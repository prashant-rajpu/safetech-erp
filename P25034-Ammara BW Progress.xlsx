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Precast\AMARA (VILLA &amp; BW)\25034- Amaara  BW\"/>
    </mc:Choice>
  </mc:AlternateContent>
  <xr:revisionPtr revIDLastSave="0" documentId="13_ncr:1_{72702240-AC8D-4D76-9E25-1F0F9A6A1EFE}" xr6:coauthVersionLast="47" xr6:coauthVersionMax="47" xr10:uidLastSave="{00000000-0000-0000-0000-000000000000}"/>
  <bookViews>
    <workbookView xWindow="-120" yWindow="-120" windowWidth="29040" windowHeight="15840" tabRatio="611" activeTab="4" xr2:uid="{72D63E39-C586-4BFD-AB06-8F23A557F3C1}"/>
  </bookViews>
  <sheets>
    <sheet name="Detail Summary" sheetId="15" r:id="rId1"/>
    <sheet name="BW" sheetId="1" state="hidden" r:id="rId2"/>
    <sheet name="Element wise-detail Summary" sheetId="11" r:id="rId3"/>
    <sheet name="Cast" sheetId="12" r:id="rId4"/>
    <sheet name="Del" sheetId="13" r:id="rId5"/>
    <sheet name="Ere" sheetId="16" r:id="rId6"/>
    <sheet name="AFC Data details" sheetId="10" state="hidden" r:id="rId7"/>
  </sheets>
  <definedNames>
    <definedName name="_xlnm._FilterDatabase" localSheetId="6" hidden="1">'AFC Data details'!$A$1:$AA$1407</definedName>
    <definedName name="_xlnm._FilterDatabase" localSheetId="1" hidden="1">BW!$B$1:$AA$274</definedName>
    <definedName name="_xlnm._FilterDatabase" localSheetId="3" hidden="1">Cast!$A$1:$I$1115</definedName>
    <definedName name="_xlnm._FilterDatabase" localSheetId="4" hidden="1">Del!$A$1:$F$424</definedName>
    <definedName name="_xlnm._FilterDatabase" localSheetId="2" hidden="1">'Element wise-detail Summary'!$A$2:$M$1113</definedName>
    <definedName name="_xlnm._FilterDatabase" localSheetId="5" hidden="1">Ere!$A$1:$F$472</definedName>
    <definedName name="_xlcn.WorksheetConnection_P25010BW.xlsxP25010A31" hidden="1">P25010A3[]</definedName>
    <definedName name="_xlnm.Print_Area" localSheetId="1">BW!$B$1:$X$73</definedName>
    <definedName name="_xlnm.Print_Area" localSheetId="3">Cast!$A$1:$G$83</definedName>
    <definedName name="_xlnm.Print_Area" localSheetId="2">'Element wise-detail Summary'!$A$1:$M$508</definedName>
    <definedName name="_xlnm.Print_Titles" localSheetId="1">BW!$1:$1</definedName>
    <definedName name="_xlnm.Print_Titles" localSheetId="2">'Element wise-detail Summary'!$1:$2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25010A3" name="P25010A3" connection="WorksheetConnection_P25010-BW.xlsx!P25010A3"/>
        </x15:modelTables>
        <x15:extLst>
          <ext xmlns:x16="http://schemas.microsoft.com/office/spreadsheetml/2014/11/main" uri="{9835A34E-60A6-4A7C-AAB8-D5F71C897F49}">
            <x16:modelTimeGroupings>
              <x16:modelTimeGrouping tableName="P25010A3" columnName="PLANNED DATE" columnId="PLANNED DATE">
                <x16:calculatedTimeColumn columnName="PLANNED DATE (Month Index)" columnId="PLANNED DATE (Month Index)" contentType="monthsindex" isSelected="1"/>
                <x16:calculatedTimeColumn columnName="PLANNED DATE (Month)" columnId="PLANNED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7" i="13" l="1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F642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E626" i="13"/>
  <c r="F625" i="13"/>
  <c r="E625" i="13"/>
  <c r="F624" i="13"/>
  <c r="E624" i="13"/>
  <c r="F623" i="13"/>
  <c r="E623" i="13"/>
  <c r="F622" i="13"/>
  <c r="E622" i="13"/>
  <c r="F621" i="13"/>
  <c r="E621" i="13"/>
  <c r="F620" i="13"/>
  <c r="E620" i="13"/>
  <c r="F619" i="13"/>
  <c r="E619" i="13"/>
  <c r="F618" i="13"/>
  <c r="E618" i="13"/>
  <c r="F617" i="13"/>
  <c r="E617" i="13"/>
  <c r="F616" i="13"/>
  <c r="E616" i="13"/>
  <c r="F615" i="13"/>
  <c r="E615" i="13"/>
  <c r="F614" i="13"/>
  <c r="E614" i="13"/>
  <c r="F613" i="13"/>
  <c r="E613" i="13"/>
  <c r="F612" i="13"/>
  <c r="E612" i="13"/>
  <c r="F611" i="13"/>
  <c r="E611" i="13"/>
  <c r="F610" i="13"/>
  <c r="E610" i="13"/>
  <c r="F609" i="13"/>
  <c r="E609" i="13"/>
  <c r="F608" i="13"/>
  <c r="E608" i="13"/>
  <c r="F607" i="13"/>
  <c r="E607" i="13"/>
  <c r="F606" i="13"/>
  <c r="E606" i="13"/>
  <c r="F605" i="13"/>
  <c r="E605" i="13"/>
  <c r="F604" i="13"/>
  <c r="E604" i="13"/>
  <c r="F603" i="13"/>
  <c r="E603" i="13"/>
  <c r="F602" i="13"/>
  <c r="E602" i="13"/>
  <c r="F601" i="13"/>
  <c r="E601" i="13"/>
  <c r="F600" i="13"/>
  <c r="E600" i="13"/>
  <c r="F599" i="13"/>
  <c r="E599" i="13"/>
  <c r="F598" i="13"/>
  <c r="E598" i="13"/>
  <c r="F597" i="13"/>
  <c r="E597" i="13"/>
  <c r="F596" i="13"/>
  <c r="E596" i="13"/>
  <c r="F595" i="13"/>
  <c r="E595" i="13"/>
  <c r="F594" i="13"/>
  <c r="E594" i="13"/>
  <c r="F593" i="13"/>
  <c r="E593" i="13"/>
  <c r="F592" i="13"/>
  <c r="E592" i="13"/>
  <c r="F591" i="13"/>
  <c r="E591" i="13"/>
  <c r="F590" i="13"/>
  <c r="E590" i="13"/>
  <c r="F589" i="13"/>
  <c r="E589" i="13"/>
  <c r="F588" i="13"/>
  <c r="E588" i="13"/>
  <c r="F587" i="13"/>
  <c r="E587" i="13"/>
  <c r="F586" i="13"/>
  <c r="E586" i="13"/>
  <c r="F585" i="13"/>
  <c r="E585" i="13"/>
  <c r="F584" i="13"/>
  <c r="E584" i="13"/>
  <c r="F583" i="13"/>
  <c r="E583" i="13"/>
  <c r="F582" i="13"/>
  <c r="E582" i="13"/>
  <c r="F581" i="13"/>
  <c r="E581" i="13"/>
  <c r="F580" i="13"/>
  <c r="E580" i="13"/>
  <c r="F579" i="13"/>
  <c r="E579" i="13"/>
  <c r="F578" i="13"/>
  <c r="E578" i="13"/>
  <c r="F577" i="13"/>
  <c r="E577" i="13"/>
  <c r="F576" i="13"/>
  <c r="E576" i="13"/>
  <c r="F575" i="13"/>
  <c r="E575" i="13"/>
  <c r="F574" i="13"/>
  <c r="E574" i="13"/>
  <c r="F573" i="13"/>
  <c r="E573" i="13"/>
  <c r="F572" i="13"/>
  <c r="E572" i="13"/>
  <c r="F571" i="13"/>
  <c r="E571" i="13"/>
  <c r="F570" i="13"/>
  <c r="E570" i="13"/>
  <c r="F569" i="13"/>
  <c r="E569" i="13"/>
  <c r="F568" i="13"/>
  <c r="E568" i="13"/>
  <c r="F567" i="13"/>
  <c r="E567" i="13"/>
  <c r="F566" i="13"/>
  <c r="E566" i="13"/>
  <c r="F565" i="13"/>
  <c r="E565" i="13"/>
  <c r="F564" i="13"/>
  <c r="E564" i="13"/>
  <c r="F563" i="13"/>
  <c r="E563" i="13"/>
  <c r="F562" i="13"/>
  <c r="E562" i="13"/>
  <c r="F561" i="13"/>
  <c r="E561" i="13"/>
  <c r="F560" i="13"/>
  <c r="E560" i="13"/>
  <c r="F559" i="13"/>
  <c r="E559" i="13"/>
  <c r="F558" i="13"/>
  <c r="E558" i="13"/>
  <c r="F557" i="13"/>
  <c r="E557" i="13"/>
  <c r="F556" i="13"/>
  <c r="E556" i="13"/>
  <c r="F555" i="13"/>
  <c r="E555" i="13"/>
  <c r="F554" i="13"/>
  <c r="E554" i="13"/>
  <c r="F553" i="13"/>
  <c r="E553" i="13"/>
  <c r="F552" i="13"/>
  <c r="E552" i="13"/>
  <c r="F551" i="13"/>
  <c r="E551" i="13"/>
  <c r="F550" i="13"/>
  <c r="E550" i="13"/>
  <c r="F549" i="13"/>
  <c r="E549" i="13"/>
  <c r="F548" i="13"/>
  <c r="E548" i="13"/>
  <c r="F547" i="13"/>
  <c r="E547" i="13"/>
  <c r="F546" i="13"/>
  <c r="E546" i="13"/>
  <c r="F545" i="13"/>
  <c r="E545" i="13"/>
  <c r="F544" i="13"/>
  <c r="E544" i="13"/>
  <c r="F543" i="13"/>
  <c r="E543" i="13"/>
  <c r="F542" i="13"/>
  <c r="E542" i="13"/>
  <c r="F541" i="13"/>
  <c r="E541" i="13"/>
  <c r="F540" i="13"/>
  <c r="E540" i="13"/>
  <c r="F539" i="13"/>
  <c r="E539" i="13"/>
  <c r="F538" i="13"/>
  <c r="E538" i="13"/>
  <c r="F537" i="13"/>
  <c r="E537" i="13"/>
  <c r="F536" i="13"/>
  <c r="E536" i="13"/>
  <c r="F535" i="13"/>
  <c r="E535" i="13"/>
  <c r="F534" i="13"/>
  <c r="E534" i="13"/>
  <c r="F533" i="13"/>
  <c r="E533" i="13"/>
  <c r="F532" i="13"/>
  <c r="E532" i="13"/>
  <c r="F531" i="13"/>
  <c r="E531" i="13"/>
  <c r="F530" i="13"/>
  <c r="E530" i="13"/>
  <c r="F529" i="13"/>
  <c r="E529" i="13"/>
  <c r="F528" i="13"/>
  <c r="E528" i="13"/>
  <c r="F527" i="13"/>
  <c r="E527" i="13"/>
  <c r="F526" i="13"/>
  <c r="E526" i="13"/>
  <c r="F525" i="13"/>
  <c r="E525" i="13"/>
  <c r="F524" i="13"/>
  <c r="E524" i="13"/>
  <c r="F523" i="13"/>
  <c r="E523" i="13"/>
  <c r="F522" i="13"/>
  <c r="E522" i="13"/>
  <c r="F521" i="13"/>
  <c r="E521" i="13"/>
  <c r="F520" i="13"/>
  <c r="E520" i="13"/>
  <c r="F519" i="13"/>
  <c r="E519" i="13"/>
  <c r="F518" i="13"/>
  <c r="E518" i="13"/>
  <c r="F517" i="13"/>
  <c r="E517" i="13"/>
  <c r="F516" i="13"/>
  <c r="E516" i="13"/>
  <c r="F515" i="13"/>
  <c r="E515" i="13"/>
  <c r="F514" i="13"/>
  <c r="E514" i="13"/>
  <c r="F513" i="13"/>
  <c r="E513" i="13"/>
  <c r="F512" i="13"/>
  <c r="E512" i="13"/>
  <c r="F511" i="13"/>
  <c r="E511" i="13"/>
  <c r="F510" i="13"/>
  <c r="E510" i="13"/>
  <c r="F509" i="13"/>
  <c r="E509" i="13"/>
  <c r="F508" i="13"/>
  <c r="E508" i="13"/>
  <c r="F507" i="13"/>
  <c r="E507" i="13"/>
  <c r="F506" i="13"/>
  <c r="E506" i="13"/>
  <c r="F505" i="13"/>
  <c r="E505" i="13"/>
  <c r="F504" i="13"/>
  <c r="E504" i="13"/>
  <c r="F503" i="13"/>
  <c r="E503" i="13"/>
  <c r="F502" i="13"/>
  <c r="E502" i="13"/>
  <c r="F501" i="13"/>
  <c r="E501" i="13"/>
  <c r="F500" i="13"/>
  <c r="E500" i="13"/>
  <c r="F499" i="13"/>
  <c r="E499" i="13"/>
  <c r="F498" i="13"/>
  <c r="E498" i="13"/>
  <c r="F497" i="13"/>
  <c r="E497" i="13"/>
  <c r="F496" i="13"/>
  <c r="E496" i="13"/>
  <c r="F495" i="13"/>
  <c r="E495" i="13"/>
  <c r="F494" i="13"/>
  <c r="E494" i="13"/>
  <c r="F493" i="13"/>
  <c r="E493" i="13"/>
  <c r="F492" i="13"/>
  <c r="E492" i="13"/>
  <c r="F491" i="13"/>
  <c r="E491" i="13"/>
  <c r="F490" i="13"/>
  <c r="E490" i="13"/>
  <c r="F489" i="13"/>
  <c r="E489" i="13"/>
  <c r="F488" i="13"/>
  <c r="E488" i="13"/>
  <c r="F487" i="13"/>
  <c r="E487" i="13"/>
  <c r="F486" i="13"/>
  <c r="E486" i="13"/>
  <c r="F485" i="13"/>
  <c r="E485" i="13"/>
  <c r="F484" i="13"/>
  <c r="E484" i="13"/>
  <c r="F483" i="13"/>
  <c r="E483" i="13"/>
  <c r="F605" i="16"/>
  <c r="E605" i="16"/>
  <c r="D605" i="16"/>
  <c r="F604" i="16"/>
  <c r="E604" i="16"/>
  <c r="D604" i="16"/>
  <c r="F603" i="16"/>
  <c r="E603" i="16"/>
  <c r="D603" i="16"/>
  <c r="F602" i="16"/>
  <c r="E602" i="16"/>
  <c r="D602" i="16"/>
  <c r="F601" i="16"/>
  <c r="E601" i="16"/>
  <c r="D601" i="16"/>
  <c r="F600" i="16"/>
  <c r="E600" i="16"/>
  <c r="D600" i="16"/>
  <c r="F599" i="16"/>
  <c r="E599" i="16"/>
  <c r="D599" i="16"/>
  <c r="F598" i="16"/>
  <c r="E598" i="16"/>
  <c r="D598" i="16"/>
  <c r="F597" i="16"/>
  <c r="E597" i="16"/>
  <c r="D597" i="16"/>
  <c r="F596" i="16"/>
  <c r="E596" i="16"/>
  <c r="D596" i="16"/>
  <c r="F595" i="16"/>
  <c r="E595" i="16"/>
  <c r="D595" i="16"/>
  <c r="F594" i="16"/>
  <c r="E594" i="16"/>
  <c r="D594" i="16"/>
  <c r="F593" i="16"/>
  <c r="E593" i="16"/>
  <c r="D593" i="16"/>
  <c r="F592" i="16"/>
  <c r="E592" i="16"/>
  <c r="D592" i="16"/>
  <c r="F591" i="16"/>
  <c r="E591" i="16"/>
  <c r="D591" i="16"/>
  <c r="F590" i="16"/>
  <c r="E590" i="16"/>
  <c r="D590" i="16"/>
  <c r="F589" i="16"/>
  <c r="E589" i="16"/>
  <c r="D589" i="16"/>
  <c r="F588" i="16"/>
  <c r="E588" i="16"/>
  <c r="D588" i="16"/>
  <c r="F587" i="16"/>
  <c r="E587" i="16"/>
  <c r="D587" i="16"/>
  <c r="F586" i="16"/>
  <c r="E586" i="16"/>
  <c r="D586" i="16"/>
  <c r="F585" i="16"/>
  <c r="E585" i="16"/>
  <c r="D585" i="16"/>
  <c r="F584" i="16"/>
  <c r="E584" i="16"/>
  <c r="D584" i="16"/>
  <c r="F583" i="16"/>
  <c r="E583" i="16"/>
  <c r="D583" i="16"/>
  <c r="F582" i="16"/>
  <c r="E582" i="16"/>
  <c r="D582" i="16"/>
  <c r="F581" i="16"/>
  <c r="E581" i="16"/>
  <c r="D581" i="16"/>
  <c r="F580" i="16"/>
  <c r="E580" i="16"/>
  <c r="D580" i="16"/>
  <c r="F579" i="16"/>
  <c r="E579" i="16"/>
  <c r="D579" i="16"/>
  <c r="F578" i="16"/>
  <c r="E578" i="16"/>
  <c r="D578" i="16"/>
  <c r="F577" i="16"/>
  <c r="E577" i="16"/>
  <c r="D577" i="16"/>
  <c r="F576" i="16"/>
  <c r="E576" i="16"/>
  <c r="D576" i="16"/>
  <c r="F575" i="16"/>
  <c r="E575" i="16"/>
  <c r="D575" i="16"/>
  <c r="F574" i="16"/>
  <c r="E574" i="16"/>
  <c r="D574" i="16"/>
  <c r="F573" i="16"/>
  <c r="E573" i="16"/>
  <c r="D573" i="16"/>
  <c r="F572" i="16"/>
  <c r="E572" i="16"/>
  <c r="D572" i="16"/>
  <c r="F571" i="16"/>
  <c r="E571" i="16"/>
  <c r="D571" i="16"/>
  <c r="F570" i="16"/>
  <c r="E570" i="16"/>
  <c r="D570" i="16"/>
  <c r="F569" i="16"/>
  <c r="E569" i="16"/>
  <c r="D569" i="16"/>
  <c r="F568" i="16"/>
  <c r="E568" i="16"/>
  <c r="D568" i="16"/>
  <c r="F567" i="16"/>
  <c r="E567" i="16"/>
  <c r="D567" i="16"/>
  <c r="F566" i="16"/>
  <c r="E566" i="16"/>
  <c r="D566" i="16"/>
  <c r="F565" i="16"/>
  <c r="E565" i="16"/>
  <c r="D565" i="16"/>
  <c r="F564" i="16"/>
  <c r="E564" i="16"/>
  <c r="D564" i="16"/>
  <c r="F563" i="16"/>
  <c r="E563" i="16"/>
  <c r="D563" i="16"/>
  <c r="F562" i="16"/>
  <c r="E562" i="16"/>
  <c r="D562" i="16"/>
  <c r="F561" i="16"/>
  <c r="E561" i="16"/>
  <c r="D561" i="16"/>
  <c r="F560" i="16"/>
  <c r="E560" i="16"/>
  <c r="D560" i="16"/>
  <c r="F559" i="16"/>
  <c r="E559" i="16"/>
  <c r="D559" i="16"/>
  <c r="F558" i="16"/>
  <c r="E558" i="16"/>
  <c r="D558" i="16"/>
  <c r="F557" i="16"/>
  <c r="E557" i="16"/>
  <c r="D557" i="16"/>
  <c r="F556" i="16"/>
  <c r="E556" i="16"/>
  <c r="D556" i="16"/>
  <c r="F555" i="16"/>
  <c r="E555" i="16"/>
  <c r="D555" i="16"/>
  <c r="F554" i="16"/>
  <c r="E554" i="16"/>
  <c r="D554" i="16"/>
  <c r="F553" i="16"/>
  <c r="E553" i="16"/>
  <c r="D553" i="16"/>
  <c r="F552" i="16"/>
  <c r="E552" i="16"/>
  <c r="D552" i="16"/>
  <c r="F551" i="16"/>
  <c r="E551" i="16"/>
  <c r="D551" i="16"/>
  <c r="F550" i="16"/>
  <c r="E550" i="16"/>
  <c r="D550" i="16"/>
  <c r="F549" i="16"/>
  <c r="E549" i="16"/>
  <c r="D549" i="16"/>
  <c r="F548" i="16"/>
  <c r="E548" i="16"/>
  <c r="D548" i="16"/>
  <c r="F547" i="16"/>
  <c r="E547" i="16"/>
  <c r="D547" i="16"/>
  <c r="F546" i="16"/>
  <c r="E546" i="16"/>
  <c r="D546" i="16"/>
  <c r="F545" i="16"/>
  <c r="E545" i="16"/>
  <c r="D545" i="16"/>
  <c r="F544" i="16"/>
  <c r="E544" i="16"/>
  <c r="D544" i="16"/>
  <c r="F543" i="16"/>
  <c r="E543" i="16"/>
  <c r="D543" i="16"/>
  <c r="F542" i="16"/>
  <c r="E542" i="16"/>
  <c r="D542" i="16"/>
  <c r="F541" i="16"/>
  <c r="E541" i="16"/>
  <c r="D541" i="16"/>
  <c r="F540" i="16"/>
  <c r="E540" i="16"/>
  <c r="D540" i="16"/>
  <c r="F539" i="16"/>
  <c r="E539" i="16"/>
  <c r="D539" i="16"/>
  <c r="F538" i="16"/>
  <c r="E538" i="16"/>
  <c r="D538" i="16"/>
  <c r="F537" i="16"/>
  <c r="E537" i="16"/>
  <c r="D537" i="16"/>
  <c r="F536" i="16"/>
  <c r="E536" i="16"/>
  <c r="D536" i="16"/>
  <c r="F535" i="16"/>
  <c r="E535" i="16"/>
  <c r="D535" i="16"/>
  <c r="F534" i="16"/>
  <c r="E534" i="16"/>
  <c r="D534" i="16"/>
  <c r="F533" i="16"/>
  <c r="E533" i="16"/>
  <c r="D533" i="16"/>
  <c r="F532" i="16"/>
  <c r="E532" i="16"/>
  <c r="D532" i="16"/>
  <c r="F531" i="16"/>
  <c r="E531" i="16"/>
  <c r="D531" i="16"/>
  <c r="F530" i="16"/>
  <c r="E530" i="16"/>
  <c r="D530" i="16"/>
  <c r="F529" i="16"/>
  <c r="E529" i="16"/>
  <c r="D529" i="16"/>
  <c r="F528" i="16"/>
  <c r="E528" i="16"/>
  <c r="D528" i="16"/>
  <c r="F527" i="16"/>
  <c r="E527" i="16"/>
  <c r="D527" i="16"/>
  <c r="F526" i="16"/>
  <c r="E526" i="16"/>
  <c r="D526" i="16"/>
  <c r="F525" i="16"/>
  <c r="E525" i="16"/>
  <c r="D525" i="16"/>
  <c r="F524" i="16"/>
  <c r="E524" i="16"/>
  <c r="D524" i="16"/>
  <c r="F523" i="16"/>
  <c r="E523" i="16"/>
  <c r="D523" i="16"/>
  <c r="F522" i="16"/>
  <c r="E522" i="16"/>
  <c r="D522" i="16"/>
  <c r="F521" i="16"/>
  <c r="E521" i="16"/>
  <c r="D521" i="16"/>
  <c r="F520" i="16"/>
  <c r="E520" i="16"/>
  <c r="D520" i="16"/>
  <c r="F519" i="16"/>
  <c r="E519" i="16"/>
  <c r="D519" i="16"/>
  <c r="F518" i="16"/>
  <c r="E518" i="16"/>
  <c r="D518" i="16"/>
  <c r="F517" i="16"/>
  <c r="E517" i="16"/>
  <c r="D517" i="16"/>
  <c r="F516" i="16"/>
  <c r="E516" i="16"/>
  <c r="D516" i="16"/>
  <c r="F515" i="16"/>
  <c r="E515" i="16"/>
  <c r="D515" i="16"/>
  <c r="F514" i="16"/>
  <c r="E514" i="16"/>
  <c r="D514" i="16"/>
  <c r="F513" i="16"/>
  <c r="E513" i="16"/>
  <c r="D513" i="16"/>
  <c r="F512" i="16"/>
  <c r="E512" i="16"/>
  <c r="D512" i="16"/>
  <c r="F511" i="16"/>
  <c r="E511" i="16"/>
  <c r="D511" i="16"/>
  <c r="F510" i="16"/>
  <c r="E510" i="16"/>
  <c r="D510" i="16"/>
  <c r="F509" i="16"/>
  <c r="E509" i="16"/>
  <c r="D509" i="16"/>
  <c r="F508" i="16"/>
  <c r="E508" i="16"/>
  <c r="D508" i="16"/>
  <c r="F507" i="16"/>
  <c r="E507" i="16"/>
  <c r="D507" i="16"/>
  <c r="F506" i="16"/>
  <c r="E506" i="16"/>
  <c r="D506" i="16"/>
  <c r="F505" i="16"/>
  <c r="E505" i="16"/>
  <c r="D505" i="16"/>
  <c r="F504" i="16"/>
  <c r="E504" i="16"/>
  <c r="D504" i="16"/>
  <c r="F503" i="16"/>
  <c r="E503" i="16"/>
  <c r="D503" i="16"/>
  <c r="F502" i="16"/>
  <c r="E502" i="16"/>
  <c r="D502" i="16"/>
  <c r="F501" i="16"/>
  <c r="E501" i="16"/>
  <c r="D501" i="16"/>
  <c r="F500" i="16"/>
  <c r="E500" i="16"/>
  <c r="D500" i="16"/>
  <c r="F499" i="16"/>
  <c r="E499" i="16"/>
  <c r="D499" i="16"/>
  <c r="F498" i="16"/>
  <c r="E498" i="16"/>
  <c r="D498" i="16"/>
  <c r="F497" i="16"/>
  <c r="E497" i="16"/>
  <c r="D497" i="16"/>
  <c r="F496" i="16"/>
  <c r="E496" i="16"/>
  <c r="D496" i="16"/>
  <c r="F495" i="16"/>
  <c r="E495" i="16"/>
  <c r="D495" i="16"/>
  <c r="F494" i="16"/>
  <c r="E494" i="16"/>
  <c r="D494" i="16"/>
  <c r="F493" i="16"/>
  <c r="E493" i="16"/>
  <c r="D493" i="16"/>
  <c r="F492" i="16"/>
  <c r="E492" i="16"/>
  <c r="D492" i="16"/>
  <c r="F491" i="16"/>
  <c r="E491" i="16"/>
  <c r="D491" i="16"/>
  <c r="F490" i="16"/>
  <c r="E490" i="16"/>
  <c r="D490" i="16"/>
  <c r="F489" i="16"/>
  <c r="E489" i="16"/>
  <c r="D489" i="16"/>
  <c r="F488" i="16"/>
  <c r="E488" i="16"/>
  <c r="D488" i="16"/>
  <c r="F487" i="16"/>
  <c r="E487" i="16"/>
  <c r="D487" i="16"/>
  <c r="F486" i="16"/>
  <c r="E486" i="16"/>
  <c r="D486" i="16"/>
  <c r="F485" i="16"/>
  <c r="E485" i="16"/>
  <c r="D485" i="16"/>
  <c r="F484" i="16"/>
  <c r="E484" i="16"/>
  <c r="D484" i="16"/>
  <c r="F483" i="16"/>
  <c r="E483" i="16"/>
  <c r="D483" i="16"/>
  <c r="F482" i="16"/>
  <c r="E482" i="16"/>
  <c r="D482" i="16"/>
  <c r="F481" i="16"/>
  <c r="E481" i="16"/>
  <c r="D481" i="16"/>
  <c r="D473" i="16"/>
  <c r="E473" i="16"/>
  <c r="F473" i="16"/>
  <c r="D474" i="16"/>
  <c r="E474" i="16"/>
  <c r="F474" i="16"/>
  <c r="D475" i="16"/>
  <c r="E475" i="16"/>
  <c r="F475" i="16"/>
  <c r="D476" i="16"/>
  <c r="E476" i="16"/>
  <c r="F476" i="16"/>
  <c r="D477" i="16"/>
  <c r="E477" i="16"/>
  <c r="F477" i="16"/>
  <c r="D478" i="16"/>
  <c r="E478" i="16"/>
  <c r="F478" i="16"/>
  <c r="D479" i="16"/>
  <c r="E479" i="16"/>
  <c r="F479" i="16"/>
  <c r="D480" i="16"/>
  <c r="E480" i="16"/>
  <c r="F480" i="16"/>
  <c r="E1115" i="12"/>
  <c r="F1115" i="12"/>
  <c r="H1115" i="12"/>
  <c r="B717" i="11"/>
  <c r="B716" i="11"/>
  <c r="B715" i="11"/>
  <c r="E1114" i="12" l="1"/>
  <c r="F1114" i="12"/>
  <c r="H1114" i="12"/>
  <c r="E438" i="16"/>
  <c r="F438" i="16"/>
  <c r="E439" i="16"/>
  <c r="F439" i="16"/>
  <c r="E440" i="16"/>
  <c r="F440" i="16"/>
  <c r="E441" i="16"/>
  <c r="F441" i="16"/>
  <c r="E442" i="16"/>
  <c r="F442" i="16"/>
  <c r="E443" i="16"/>
  <c r="F443" i="16"/>
  <c r="E444" i="16"/>
  <c r="F444" i="16"/>
  <c r="E445" i="16"/>
  <c r="F445" i="16"/>
  <c r="E446" i="16"/>
  <c r="F446" i="16"/>
  <c r="E447" i="16"/>
  <c r="F447" i="16"/>
  <c r="E448" i="16"/>
  <c r="F448" i="16"/>
  <c r="E449" i="16"/>
  <c r="F449" i="16"/>
  <c r="E450" i="16"/>
  <c r="F450" i="16"/>
  <c r="E451" i="16"/>
  <c r="F451" i="16"/>
  <c r="E452" i="16"/>
  <c r="F452" i="16"/>
  <c r="E453" i="16"/>
  <c r="F453" i="16"/>
  <c r="E454" i="16"/>
  <c r="F454" i="16"/>
  <c r="E455" i="16"/>
  <c r="F455" i="16"/>
  <c r="E456" i="16"/>
  <c r="F456" i="16"/>
  <c r="E457" i="16"/>
  <c r="F457" i="16"/>
  <c r="E458" i="16"/>
  <c r="F458" i="16"/>
  <c r="E459" i="16"/>
  <c r="F459" i="16"/>
  <c r="E460" i="16"/>
  <c r="F460" i="16"/>
  <c r="E461" i="16"/>
  <c r="F461" i="16"/>
  <c r="E462" i="16"/>
  <c r="F462" i="16"/>
  <c r="E463" i="16"/>
  <c r="F463" i="16"/>
  <c r="E464" i="16"/>
  <c r="F464" i="16"/>
  <c r="E465" i="16"/>
  <c r="F465" i="16"/>
  <c r="E466" i="16"/>
  <c r="F466" i="16"/>
  <c r="E467" i="16"/>
  <c r="F467" i="16"/>
  <c r="E468" i="16"/>
  <c r="F468" i="16"/>
  <c r="E469" i="16"/>
  <c r="F469" i="16"/>
  <c r="E470" i="16"/>
  <c r="F470" i="16"/>
  <c r="E471" i="16"/>
  <c r="F471" i="16"/>
  <c r="E472" i="16"/>
  <c r="F472" i="16"/>
  <c r="E418" i="16"/>
  <c r="F418" i="16"/>
  <c r="E419" i="16"/>
  <c r="F419" i="16"/>
  <c r="E420" i="16"/>
  <c r="F420" i="16"/>
  <c r="E421" i="16"/>
  <c r="F421" i="16"/>
  <c r="E422" i="16"/>
  <c r="F422" i="16"/>
  <c r="E423" i="16"/>
  <c r="F423" i="16"/>
  <c r="E424" i="16"/>
  <c r="F424" i="16"/>
  <c r="E425" i="16"/>
  <c r="F425" i="16"/>
  <c r="E426" i="16"/>
  <c r="F426" i="16"/>
  <c r="E427" i="16"/>
  <c r="F427" i="16"/>
  <c r="E428" i="16"/>
  <c r="F428" i="16"/>
  <c r="E429" i="16"/>
  <c r="F429" i="16"/>
  <c r="E430" i="16"/>
  <c r="F430" i="16"/>
  <c r="E431" i="16"/>
  <c r="F431" i="16"/>
  <c r="E432" i="16"/>
  <c r="F432" i="16"/>
  <c r="E433" i="16"/>
  <c r="F433" i="16"/>
  <c r="E434" i="16"/>
  <c r="F434" i="16"/>
  <c r="E435" i="16"/>
  <c r="F435" i="16"/>
  <c r="E436" i="16"/>
  <c r="F436" i="16"/>
  <c r="E437" i="16"/>
  <c r="F437" i="16"/>
  <c r="E406" i="16"/>
  <c r="F406" i="16"/>
  <c r="E407" i="16"/>
  <c r="F407" i="16"/>
  <c r="E408" i="16"/>
  <c r="F408" i="16"/>
  <c r="E409" i="16"/>
  <c r="F409" i="16"/>
  <c r="E410" i="16"/>
  <c r="F410" i="16"/>
  <c r="E411" i="16"/>
  <c r="F411" i="16"/>
  <c r="E412" i="16"/>
  <c r="F412" i="16"/>
  <c r="E413" i="16"/>
  <c r="F413" i="16"/>
  <c r="E414" i="16"/>
  <c r="F414" i="16"/>
  <c r="E415" i="16"/>
  <c r="F415" i="16"/>
  <c r="E416" i="16"/>
  <c r="F416" i="16"/>
  <c r="E417" i="16"/>
  <c r="F417" i="16"/>
  <c r="F482" i="13"/>
  <c r="E482" i="13"/>
  <c r="F481" i="13"/>
  <c r="E481" i="13"/>
  <c r="F480" i="13"/>
  <c r="E480" i="13"/>
  <c r="F479" i="13"/>
  <c r="E479" i="13"/>
  <c r="F478" i="13"/>
  <c r="E478" i="13"/>
  <c r="F477" i="13"/>
  <c r="E477" i="13"/>
  <c r="F476" i="13"/>
  <c r="E476" i="13"/>
  <c r="E425" i="13"/>
  <c r="E426" i="13"/>
  <c r="E427" i="13"/>
  <c r="E428" i="13"/>
  <c r="F425" i="13"/>
  <c r="F426" i="13"/>
  <c r="F427" i="13"/>
  <c r="F428" i="13"/>
  <c r="B977" i="11"/>
  <c r="F449" i="13" l="1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F448" i="13"/>
  <c r="E445" i="13"/>
  <c r="F445" i="13"/>
  <c r="E446" i="13"/>
  <c r="F446" i="13"/>
  <c r="E447" i="13"/>
  <c r="F447" i="13"/>
  <c r="E448" i="13"/>
  <c r="E1107" i="12" l="1"/>
  <c r="F1107" i="12"/>
  <c r="H1107" i="12"/>
  <c r="E1108" i="12"/>
  <c r="F1108" i="12"/>
  <c r="H1108" i="12"/>
  <c r="E1109" i="12"/>
  <c r="F1109" i="12"/>
  <c r="H1109" i="12"/>
  <c r="E1110" i="12"/>
  <c r="F1110" i="12"/>
  <c r="H1110" i="12"/>
  <c r="E1111" i="12"/>
  <c r="F1111" i="12"/>
  <c r="H1111" i="12"/>
  <c r="E1112" i="12"/>
  <c r="F1112" i="12"/>
  <c r="H1112" i="12"/>
  <c r="E1113" i="12"/>
  <c r="F1113" i="12"/>
  <c r="H1113" i="12"/>
  <c r="E429" i="13"/>
  <c r="F429" i="13"/>
  <c r="E430" i="13"/>
  <c r="F430" i="13"/>
  <c r="E431" i="13"/>
  <c r="F431" i="13"/>
  <c r="E432" i="13"/>
  <c r="F432" i="13"/>
  <c r="E433" i="13"/>
  <c r="F433" i="13"/>
  <c r="E434" i="13"/>
  <c r="F434" i="13"/>
  <c r="E435" i="13"/>
  <c r="F435" i="13"/>
  <c r="E436" i="13"/>
  <c r="F436" i="13"/>
  <c r="E437" i="13"/>
  <c r="F437" i="13"/>
  <c r="E438" i="13"/>
  <c r="F438" i="13"/>
  <c r="E439" i="13"/>
  <c r="F439" i="13"/>
  <c r="E440" i="13"/>
  <c r="F440" i="13"/>
  <c r="E441" i="13"/>
  <c r="F441" i="13"/>
  <c r="E442" i="13"/>
  <c r="F442" i="13"/>
  <c r="E443" i="13"/>
  <c r="F443" i="13"/>
  <c r="E444" i="13"/>
  <c r="F444" i="13"/>
  <c r="E1104" i="12"/>
  <c r="F1104" i="12"/>
  <c r="H1104" i="12"/>
  <c r="E1105" i="12"/>
  <c r="F1105" i="12"/>
  <c r="H1105" i="12"/>
  <c r="E1106" i="12"/>
  <c r="F1106" i="12"/>
  <c r="H1106" i="12"/>
  <c r="E1102" i="12"/>
  <c r="F1102" i="12"/>
  <c r="H1102" i="12"/>
  <c r="E1103" i="12"/>
  <c r="F1103" i="12"/>
  <c r="H1103" i="12"/>
  <c r="E1100" i="12"/>
  <c r="F1100" i="12"/>
  <c r="H1100" i="12"/>
  <c r="E1101" i="12"/>
  <c r="F1101" i="12"/>
  <c r="H1101" i="12"/>
  <c r="E1097" i="12"/>
  <c r="F1097" i="12"/>
  <c r="H1097" i="12"/>
  <c r="E1098" i="12"/>
  <c r="F1098" i="12"/>
  <c r="H1098" i="12"/>
  <c r="E1099" i="12"/>
  <c r="F1099" i="12"/>
  <c r="H1099" i="12"/>
  <c r="E865" i="12"/>
  <c r="F865" i="12"/>
  <c r="H865" i="12"/>
  <c r="E1076" i="12"/>
  <c r="F1076" i="12"/>
  <c r="H1076" i="12"/>
  <c r="H1075" i="12"/>
  <c r="F1075" i="12"/>
  <c r="E1075" i="12"/>
  <c r="H1074" i="12"/>
  <c r="F1074" i="12"/>
  <c r="E1074" i="12"/>
  <c r="H1073" i="12"/>
  <c r="E1073" i="12"/>
  <c r="F1073" i="12"/>
  <c r="F405" i="16"/>
  <c r="E405" i="16"/>
  <c r="F404" i="16"/>
  <c r="E404" i="16"/>
  <c r="F403" i="16"/>
  <c r="E403" i="16"/>
  <c r="F402" i="16"/>
  <c r="E402" i="16"/>
  <c r="F401" i="16"/>
  <c r="E401" i="16"/>
  <c r="F400" i="16"/>
  <c r="E400" i="16"/>
  <c r="F399" i="16"/>
  <c r="E399" i="16"/>
  <c r="F398" i="16"/>
  <c r="E398" i="16"/>
  <c r="F397" i="16"/>
  <c r="E397" i="16"/>
  <c r="F396" i="16"/>
  <c r="E396" i="16"/>
  <c r="F395" i="16"/>
  <c r="E395" i="16"/>
  <c r="F394" i="16"/>
  <c r="E394" i="16"/>
  <c r="F393" i="16"/>
  <c r="E393" i="16"/>
  <c r="F392" i="16"/>
  <c r="E392" i="16"/>
  <c r="F391" i="16"/>
  <c r="E391" i="16"/>
  <c r="F390" i="16"/>
  <c r="E390" i="16"/>
  <c r="F389" i="16"/>
  <c r="E389" i="16"/>
  <c r="F388" i="16"/>
  <c r="E388" i="16"/>
  <c r="F387" i="16"/>
  <c r="E387" i="16"/>
  <c r="F386" i="16"/>
  <c r="E386" i="16"/>
  <c r="F385" i="16"/>
  <c r="E385" i="16"/>
  <c r="F384" i="16"/>
  <c r="E384" i="16"/>
  <c r="F383" i="16"/>
  <c r="E383" i="16"/>
  <c r="F382" i="16"/>
  <c r="E382" i="16"/>
  <c r="F381" i="16"/>
  <c r="E381" i="16"/>
  <c r="F380" i="16"/>
  <c r="E380" i="16"/>
  <c r="F379" i="16"/>
  <c r="E379" i="16"/>
  <c r="F378" i="16"/>
  <c r="E378" i="16"/>
  <c r="F377" i="16"/>
  <c r="E377" i="16"/>
  <c r="F376" i="16"/>
  <c r="E376" i="16"/>
  <c r="F375" i="16"/>
  <c r="E375" i="16"/>
  <c r="F374" i="16"/>
  <c r="E374" i="16"/>
  <c r="F373" i="16"/>
  <c r="E373" i="16"/>
  <c r="F372" i="16"/>
  <c r="E372" i="16"/>
  <c r="F371" i="16"/>
  <c r="E371" i="16"/>
  <c r="F370" i="16"/>
  <c r="E370" i="16"/>
  <c r="F369" i="16"/>
  <c r="E369" i="16"/>
  <c r="F368" i="16"/>
  <c r="E368" i="16"/>
  <c r="F367" i="16"/>
  <c r="E367" i="16"/>
  <c r="F366" i="16"/>
  <c r="E366" i="16"/>
  <c r="F365" i="16"/>
  <c r="E365" i="16"/>
  <c r="F364" i="16"/>
  <c r="E364" i="16"/>
  <c r="F363" i="16"/>
  <c r="E363" i="16"/>
  <c r="F362" i="16"/>
  <c r="E362" i="16"/>
  <c r="F361" i="16"/>
  <c r="E361" i="16"/>
  <c r="F360" i="16"/>
  <c r="E360" i="16"/>
  <c r="F359" i="16"/>
  <c r="E359" i="16"/>
  <c r="F358" i="16"/>
  <c r="E358" i="16"/>
  <c r="F357" i="16"/>
  <c r="E357" i="16"/>
  <c r="F356" i="16"/>
  <c r="E356" i="16"/>
  <c r="F355" i="16"/>
  <c r="E355" i="16"/>
  <c r="F354" i="16"/>
  <c r="E354" i="16"/>
  <c r="F353" i="16"/>
  <c r="E353" i="16"/>
  <c r="F352" i="16"/>
  <c r="E352" i="16"/>
  <c r="F351" i="16"/>
  <c r="E351" i="16"/>
  <c r="F350" i="16"/>
  <c r="E350" i="16"/>
  <c r="F349" i="16"/>
  <c r="E349" i="16"/>
  <c r="F348" i="16"/>
  <c r="E348" i="16"/>
  <c r="F347" i="16"/>
  <c r="E347" i="16"/>
  <c r="F346" i="16"/>
  <c r="E346" i="16"/>
  <c r="F345" i="16"/>
  <c r="E345" i="16"/>
  <c r="F344" i="16"/>
  <c r="E344" i="16"/>
  <c r="F343" i="16"/>
  <c r="E343" i="16"/>
  <c r="F342" i="16"/>
  <c r="E342" i="16"/>
  <c r="F341" i="16"/>
  <c r="E341" i="16"/>
  <c r="F340" i="16"/>
  <c r="E340" i="16"/>
  <c r="F339" i="16"/>
  <c r="E339" i="16"/>
  <c r="F338" i="16"/>
  <c r="E338" i="16"/>
  <c r="F337" i="16"/>
  <c r="E337" i="16"/>
  <c r="F336" i="16"/>
  <c r="E336" i="16"/>
  <c r="F335" i="16"/>
  <c r="E335" i="16"/>
  <c r="F334" i="16"/>
  <c r="E334" i="16"/>
  <c r="F333" i="16"/>
  <c r="E333" i="16"/>
  <c r="F332" i="16"/>
  <c r="E332" i="16"/>
  <c r="F331" i="16"/>
  <c r="E331" i="16"/>
  <c r="F330" i="16"/>
  <c r="E330" i="16"/>
  <c r="F329" i="16"/>
  <c r="E329" i="16"/>
  <c r="F328" i="16"/>
  <c r="E328" i="16"/>
  <c r="F327" i="16"/>
  <c r="E327" i="16"/>
  <c r="F326" i="16"/>
  <c r="E326" i="16"/>
  <c r="F325" i="16"/>
  <c r="E325" i="16"/>
  <c r="F324" i="16"/>
  <c r="E324" i="16"/>
  <c r="F323" i="16"/>
  <c r="E323" i="16"/>
  <c r="F322" i="16"/>
  <c r="E322" i="16"/>
  <c r="F321" i="16"/>
  <c r="E321" i="16"/>
  <c r="F320" i="16"/>
  <c r="E320" i="16"/>
  <c r="F319" i="16"/>
  <c r="E319" i="16"/>
  <c r="F318" i="16"/>
  <c r="E318" i="16"/>
  <c r="F317" i="16"/>
  <c r="E317" i="16"/>
  <c r="F316" i="16"/>
  <c r="E316" i="16"/>
  <c r="F315" i="16"/>
  <c r="E315" i="16"/>
  <c r="F314" i="16"/>
  <c r="E314" i="16"/>
  <c r="F313" i="16"/>
  <c r="E313" i="16"/>
  <c r="F312" i="16"/>
  <c r="E312" i="16"/>
  <c r="F311" i="16"/>
  <c r="E311" i="16"/>
  <c r="F310" i="16"/>
  <c r="E310" i="16"/>
  <c r="F309" i="16"/>
  <c r="E309" i="16"/>
  <c r="F308" i="16"/>
  <c r="E308" i="16"/>
  <c r="F307" i="16"/>
  <c r="E307" i="16"/>
  <c r="F306" i="16"/>
  <c r="E306" i="16"/>
  <c r="F305" i="16"/>
  <c r="E305" i="16"/>
  <c r="F304" i="16"/>
  <c r="E304" i="16"/>
  <c r="F303" i="16"/>
  <c r="E303" i="16"/>
  <c r="F302" i="16"/>
  <c r="E302" i="16"/>
  <c r="F301" i="16"/>
  <c r="E301" i="16"/>
  <c r="F300" i="16"/>
  <c r="E300" i="16"/>
  <c r="F299" i="16"/>
  <c r="E299" i="16"/>
  <c r="F298" i="16"/>
  <c r="E298" i="16"/>
  <c r="F297" i="16"/>
  <c r="E297" i="16"/>
  <c r="F296" i="16"/>
  <c r="E296" i="16"/>
  <c r="F295" i="16"/>
  <c r="E295" i="16"/>
  <c r="F294" i="16"/>
  <c r="E294" i="16"/>
  <c r="F293" i="16"/>
  <c r="E293" i="16"/>
  <c r="F292" i="16"/>
  <c r="E292" i="16"/>
  <c r="F291" i="16"/>
  <c r="E291" i="16"/>
  <c r="F290" i="16"/>
  <c r="E290" i="16"/>
  <c r="F289" i="16"/>
  <c r="E289" i="16"/>
  <c r="F288" i="16"/>
  <c r="E288" i="16"/>
  <c r="F287" i="16"/>
  <c r="E287" i="16"/>
  <c r="F286" i="16"/>
  <c r="E286" i="16"/>
  <c r="F285" i="16"/>
  <c r="E285" i="16"/>
  <c r="F284" i="16"/>
  <c r="E284" i="16"/>
  <c r="F283" i="16"/>
  <c r="E283" i="16"/>
  <c r="F282" i="16"/>
  <c r="E282" i="16"/>
  <c r="F281" i="16"/>
  <c r="E281" i="16"/>
  <c r="F280" i="16"/>
  <c r="E280" i="16"/>
  <c r="F279" i="16"/>
  <c r="E279" i="16"/>
  <c r="F278" i="16"/>
  <c r="E278" i="16"/>
  <c r="F277" i="16"/>
  <c r="E277" i="16"/>
  <c r="F276" i="16"/>
  <c r="E276" i="16"/>
  <c r="F275" i="16"/>
  <c r="E275" i="16"/>
  <c r="F274" i="16"/>
  <c r="E274" i="16"/>
  <c r="F273" i="16"/>
  <c r="E273" i="16"/>
  <c r="F272" i="16"/>
  <c r="E272" i="16"/>
  <c r="F271" i="16"/>
  <c r="E271" i="16"/>
  <c r="F270" i="16"/>
  <c r="E270" i="16"/>
  <c r="F269" i="16"/>
  <c r="E269" i="16"/>
  <c r="F268" i="16"/>
  <c r="E268" i="16"/>
  <c r="F267" i="16"/>
  <c r="E267" i="16"/>
  <c r="F266" i="16"/>
  <c r="E266" i="16"/>
  <c r="F265" i="16"/>
  <c r="E265" i="16"/>
  <c r="F264" i="16"/>
  <c r="E264" i="16"/>
  <c r="F263" i="16"/>
  <c r="E263" i="16"/>
  <c r="F262" i="16"/>
  <c r="E262" i="16"/>
  <c r="F261" i="16"/>
  <c r="E261" i="16"/>
  <c r="F260" i="16"/>
  <c r="E260" i="16"/>
  <c r="F259" i="16"/>
  <c r="E259" i="16"/>
  <c r="F258" i="16"/>
  <c r="E258" i="16"/>
  <c r="F257" i="16"/>
  <c r="E257" i="16"/>
  <c r="F256" i="16"/>
  <c r="E256" i="16"/>
  <c r="F255" i="16"/>
  <c r="E255" i="16"/>
  <c r="F254" i="16"/>
  <c r="E254" i="16"/>
  <c r="F253" i="16"/>
  <c r="E253" i="16"/>
  <c r="F252" i="16"/>
  <c r="E252" i="16"/>
  <c r="F251" i="16"/>
  <c r="E251" i="16"/>
  <c r="F250" i="16"/>
  <c r="E250" i="16"/>
  <c r="F249" i="16"/>
  <c r="E249" i="16"/>
  <c r="F248" i="16"/>
  <c r="E248" i="16"/>
  <c r="F247" i="16"/>
  <c r="E247" i="16"/>
  <c r="F246" i="16"/>
  <c r="E246" i="16"/>
  <c r="F245" i="16"/>
  <c r="E245" i="16"/>
  <c r="F244" i="16"/>
  <c r="E244" i="16"/>
  <c r="F243" i="16"/>
  <c r="E243" i="16"/>
  <c r="F242" i="16"/>
  <c r="E242" i="16"/>
  <c r="F241" i="16"/>
  <c r="E241" i="16"/>
  <c r="F240" i="16"/>
  <c r="E240" i="16"/>
  <c r="F239" i="16"/>
  <c r="E239" i="16"/>
  <c r="F238" i="16"/>
  <c r="E238" i="16"/>
  <c r="F237" i="16"/>
  <c r="E237" i="16"/>
  <c r="F236" i="16"/>
  <c r="E236" i="16"/>
  <c r="F235" i="16"/>
  <c r="E235" i="16"/>
  <c r="F234" i="16"/>
  <c r="E234" i="16"/>
  <c r="F424" i="13"/>
  <c r="F423" i="13"/>
  <c r="F422" i="13"/>
  <c r="F421" i="13"/>
  <c r="F420" i="13"/>
  <c r="F419" i="13"/>
  <c r="F418" i="13"/>
  <c r="F417" i="13"/>
  <c r="F416" i="13"/>
  <c r="F415" i="13"/>
  <c r="F414" i="13"/>
  <c r="F413" i="13"/>
  <c r="F412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H1096" i="12"/>
  <c r="F1096" i="12"/>
  <c r="E1096" i="12"/>
  <c r="H1095" i="12"/>
  <c r="F1095" i="12"/>
  <c r="E1095" i="12"/>
  <c r="H1094" i="12"/>
  <c r="F1094" i="12"/>
  <c r="E1094" i="12"/>
  <c r="H1093" i="12"/>
  <c r="F1093" i="12"/>
  <c r="E1093" i="12"/>
  <c r="H1092" i="12"/>
  <c r="F1092" i="12"/>
  <c r="E1092" i="12"/>
  <c r="H1091" i="12"/>
  <c r="F1091" i="12"/>
  <c r="E1091" i="12"/>
  <c r="H1090" i="12"/>
  <c r="F1090" i="12"/>
  <c r="E1090" i="12"/>
  <c r="H1089" i="12"/>
  <c r="F1089" i="12"/>
  <c r="E1089" i="12"/>
  <c r="H1088" i="12"/>
  <c r="F1088" i="12"/>
  <c r="E1088" i="12"/>
  <c r="H1087" i="12"/>
  <c r="F1087" i="12"/>
  <c r="E1087" i="12"/>
  <c r="H1086" i="12"/>
  <c r="F1086" i="12"/>
  <c r="E1086" i="12"/>
  <c r="H1085" i="12"/>
  <c r="F1085" i="12"/>
  <c r="E1085" i="12"/>
  <c r="H1084" i="12"/>
  <c r="F1084" i="12"/>
  <c r="E1084" i="12"/>
  <c r="E1081" i="12" l="1"/>
  <c r="F1081" i="12"/>
  <c r="H1081" i="12"/>
  <c r="E1082" i="12"/>
  <c r="F1082" i="12"/>
  <c r="H1082" i="12"/>
  <c r="E1083" i="12"/>
  <c r="F1083" i="12"/>
  <c r="H1083" i="12"/>
  <c r="E1077" i="12"/>
  <c r="F1077" i="12"/>
  <c r="H1077" i="12"/>
  <c r="E1079" i="12"/>
  <c r="F1079" i="12"/>
  <c r="H1079" i="12"/>
  <c r="E1078" i="12"/>
  <c r="F1078" i="12"/>
  <c r="H1078" i="12"/>
  <c r="E1080" i="12"/>
  <c r="F1080" i="12"/>
  <c r="H1080" i="12"/>
  <c r="E1052" i="12" l="1"/>
  <c r="F1052" i="12"/>
  <c r="H1052" i="12"/>
  <c r="E1061" i="12"/>
  <c r="F1061" i="12"/>
  <c r="H1061" i="12"/>
  <c r="E1063" i="12"/>
  <c r="F1063" i="12"/>
  <c r="H1063" i="12"/>
  <c r="E1067" i="12"/>
  <c r="F1067" i="12"/>
  <c r="H1067" i="12"/>
  <c r="E1071" i="12"/>
  <c r="F1071" i="12"/>
  <c r="H1071" i="12"/>
  <c r="E1055" i="12"/>
  <c r="F1055" i="12"/>
  <c r="H1055" i="12"/>
  <c r="E1058" i="12"/>
  <c r="F1058" i="12"/>
  <c r="H1058" i="12"/>
  <c r="E1064" i="12"/>
  <c r="F1064" i="12"/>
  <c r="H1064" i="12"/>
  <c r="E1069" i="12"/>
  <c r="F1069" i="12"/>
  <c r="H1069" i="12"/>
  <c r="E1072" i="12"/>
  <c r="F1072" i="12"/>
  <c r="H1072" i="12"/>
  <c r="E1053" i="12"/>
  <c r="F1053" i="12"/>
  <c r="H1053" i="12"/>
  <c r="E1059" i="12"/>
  <c r="F1059" i="12"/>
  <c r="H1059" i="12"/>
  <c r="E1054" i="12"/>
  <c r="F1054" i="12"/>
  <c r="H1054" i="12"/>
  <c r="E1056" i="12"/>
  <c r="F1056" i="12"/>
  <c r="H1056" i="12"/>
  <c r="E1060" i="12"/>
  <c r="F1060" i="12"/>
  <c r="H1060" i="12"/>
  <c r="E1062" i="12"/>
  <c r="F1062" i="12"/>
  <c r="H1062" i="12"/>
  <c r="E1065" i="12"/>
  <c r="F1065" i="12"/>
  <c r="H1065" i="12"/>
  <c r="E1068" i="12"/>
  <c r="F1068" i="12"/>
  <c r="H1068" i="12"/>
  <c r="E1070" i="12"/>
  <c r="F1070" i="12"/>
  <c r="H1070" i="12"/>
  <c r="E1057" i="12"/>
  <c r="F1057" i="12"/>
  <c r="H1057" i="12"/>
  <c r="E1066" i="12"/>
  <c r="F1066" i="12"/>
  <c r="H1066" i="12"/>
  <c r="E1050" i="12" l="1"/>
  <c r="F1050" i="12"/>
  <c r="H1050" i="12"/>
  <c r="E1051" i="12"/>
  <c r="F1051" i="12"/>
  <c r="H1051" i="12"/>
  <c r="E1048" i="12"/>
  <c r="F1048" i="12"/>
  <c r="H1048" i="12"/>
  <c r="E1049" i="12"/>
  <c r="F1049" i="12"/>
  <c r="H1049" i="12"/>
  <c r="E1044" i="12"/>
  <c r="F1044" i="12"/>
  <c r="H1044" i="12"/>
  <c r="E1045" i="12"/>
  <c r="F1045" i="12"/>
  <c r="H1045" i="12"/>
  <c r="E1046" i="12"/>
  <c r="F1046" i="12"/>
  <c r="H1046" i="12"/>
  <c r="E1047" i="12"/>
  <c r="F1047" i="12"/>
  <c r="H1047" i="12"/>
  <c r="E1042" i="12"/>
  <c r="F1042" i="12"/>
  <c r="H1042" i="12"/>
  <c r="E1043" i="12"/>
  <c r="F1043" i="12"/>
  <c r="H1043" i="12"/>
  <c r="E1038" i="12"/>
  <c r="F1038" i="12"/>
  <c r="H1038" i="12"/>
  <c r="E1039" i="12"/>
  <c r="F1039" i="12"/>
  <c r="H1039" i="12"/>
  <c r="E1040" i="12"/>
  <c r="F1040" i="12"/>
  <c r="H1040" i="12"/>
  <c r="E1041" i="12"/>
  <c r="F1041" i="12"/>
  <c r="H1041" i="12"/>
  <c r="E1036" i="12" l="1"/>
  <c r="F1036" i="12"/>
  <c r="H1036" i="12"/>
  <c r="E1037" i="12"/>
  <c r="F1037" i="12"/>
  <c r="H1037" i="12"/>
  <c r="E349" i="13"/>
  <c r="F349" i="13"/>
  <c r="E350" i="13"/>
  <c r="F350" i="13"/>
  <c r="E351" i="13"/>
  <c r="F351" i="13"/>
  <c r="E352" i="13"/>
  <c r="F352" i="13"/>
  <c r="E353" i="13"/>
  <c r="F353" i="13"/>
  <c r="E354" i="13"/>
  <c r="F354" i="13"/>
  <c r="E355" i="13"/>
  <c r="F355" i="13"/>
  <c r="E356" i="13"/>
  <c r="E345" i="13"/>
  <c r="F345" i="13"/>
  <c r="E346" i="13"/>
  <c r="F346" i="13"/>
  <c r="E347" i="13"/>
  <c r="F347" i="13"/>
  <c r="E348" i="13"/>
  <c r="F348" i="13"/>
  <c r="E341" i="13"/>
  <c r="F341" i="13"/>
  <c r="E342" i="13"/>
  <c r="F342" i="13"/>
  <c r="E343" i="13"/>
  <c r="F343" i="13"/>
  <c r="E344" i="13"/>
  <c r="F344" i="13"/>
  <c r="E333" i="13"/>
  <c r="F333" i="13"/>
  <c r="E334" i="13"/>
  <c r="F334" i="13"/>
  <c r="E335" i="13"/>
  <c r="F335" i="13"/>
  <c r="E336" i="13"/>
  <c r="F336" i="13"/>
  <c r="E337" i="13"/>
  <c r="F337" i="13"/>
  <c r="E338" i="13"/>
  <c r="F338" i="13"/>
  <c r="E339" i="13"/>
  <c r="F339" i="13"/>
  <c r="E340" i="13"/>
  <c r="F340" i="13"/>
  <c r="E321" i="13"/>
  <c r="F321" i="13"/>
  <c r="E322" i="13"/>
  <c r="F322" i="13"/>
  <c r="E323" i="13"/>
  <c r="F323" i="13"/>
  <c r="E324" i="13"/>
  <c r="F324" i="13"/>
  <c r="E325" i="13"/>
  <c r="F325" i="13"/>
  <c r="E326" i="13"/>
  <c r="F326" i="13"/>
  <c r="E327" i="13"/>
  <c r="F327" i="13"/>
  <c r="E328" i="13"/>
  <c r="F328" i="13"/>
  <c r="E329" i="13"/>
  <c r="F329" i="13"/>
  <c r="E330" i="13"/>
  <c r="F330" i="13"/>
  <c r="E331" i="13"/>
  <c r="F331" i="13"/>
  <c r="E332" i="13"/>
  <c r="F332" i="13"/>
  <c r="E317" i="13"/>
  <c r="F317" i="13"/>
  <c r="E318" i="13"/>
  <c r="F318" i="13"/>
  <c r="E319" i="13"/>
  <c r="F319" i="13"/>
  <c r="E320" i="13"/>
  <c r="F320" i="13"/>
  <c r="E313" i="13"/>
  <c r="F313" i="13"/>
  <c r="E314" i="13"/>
  <c r="F314" i="13"/>
  <c r="E315" i="13"/>
  <c r="F315" i="13"/>
  <c r="E316" i="13"/>
  <c r="F316" i="13"/>
  <c r="E309" i="13"/>
  <c r="F309" i="13"/>
  <c r="E310" i="13"/>
  <c r="F310" i="13"/>
  <c r="E311" i="13"/>
  <c r="F311" i="13"/>
  <c r="E312" i="13"/>
  <c r="F312" i="13"/>
  <c r="E305" i="13"/>
  <c r="F305" i="13"/>
  <c r="E306" i="13"/>
  <c r="F306" i="13"/>
  <c r="E307" i="13"/>
  <c r="F307" i="13"/>
  <c r="E308" i="13"/>
  <c r="F308" i="13"/>
  <c r="H1033" i="12"/>
  <c r="F1033" i="12"/>
  <c r="E1033" i="12"/>
  <c r="H1026" i="12"/>
  <c r="F1026" i="12"/>
  <c r="E1026" i="12"/>
  <c r="H1025" i="12"/>
  <c r="F1025" i="12"/>
  <c r="E1025" i="12"/>
  <c r="H1035" i="12"/>
  <c r="F1035" i="12"/>
  <c r="E1035" i="12"/>
  <c r="H1029" i="12"/>
  <c r="F1029" i="12"/>
  <c r="E1029" i="12"/>
  <c r="H1024" i="12"/>
  <c r="F1024" i="12"/>
  <c r="E1024" i="12"/>
  <c r="H1028" i="12"/>
  <c r="F1028" i="12"/>
  <c r="E1028" i="12"/>
  <c r="H1023" i="12"/>
  <c r="F1023" i="12"/>
  <c r="E1023" i="12"/>
  <c r="H1022" i="12"/>
  <c r="F1022" i="12"/>
  <c r="E1022" i="12"/>
  <c r="H1021" i="12"/>
  <c r="F1021" i="12"/>
  <c r="E1021" i="12"/>
  <c r="H1020" i="12"/>
  <c r="F1020" i="12"/>
  <c r="E1020" i="12"/>
  <c r="H1019" i="12"/>
  <c r="F1019" i="12"/>
  <c r="E1019" i="12"/>
  <c r="H1018" i="12"/>
  <c r="F1018" i="12"/>
  <c r="E1018" i="12"/>
  <c r="H1017" i="12"/>
  <c r="F1017" i="12"/>
  <c r="E1017" i="12"/>
  <c r="H1034" i="12"/>
  <c r="F1034" i="12"/>
  <c r="E1034" i="12"/>
  <c r="H1032" i="12"/>
  <c r="F1032" i="12"/>
  <c r="E1032" i="12"/>
  <c r="H1016" i="12"/>
  <c r="F1016" i="12"/>
  <c r="E1016" i="12"/>
  <c r="H1027" i="12"/>
  <c r="F1027" i="12"/>
  <c r="E1027" i="12"/>
  <c r="H1015" i="12"/>
  <c r="F1015" i="12"/>
  <c r="E1015" i="12"/>
  <c r="H1031" i="12"/>
  <c r="F1031" i="12"/>
  <c r="E1031" i="12"/>
  <c r="H1014" i="12"/>
  <c r="F1014" i="12"/>
  <c r="E1014" i="12"/>
  <c r="H1030" i="12"/>
  <c r="F1030" i="12"/>
  <c r="E1030" i="12"/>
  <c r="H1013" i="12"/>
  <c r="F1013" i="12"/>
  <c r="E1013" i="12"/>
  <c r="L1113" i="11"/>
  <c r="I1113" i="11"/>
  <c r="G1113" i="11"/>
  <c r="F1113" i="11"/>
  <c r="E1113" i="11"/>
  <c r="B1113" i="11"/>
  <c r="L1112" i="11"/>
  <c r="I1112" i="11"/>
  <c r="G1112" i="11"/>
  <c r="F1112" i="11"/>
  <c r="E1112" i="11"/>
  <c r="B1112" i="11"/>
  <c r="L1111" i="11"/>
  <c r="I1111" i="11"/>
  <c r="G1111" i="11"/>
  <c r="F1111" i="11"/>
  <c r="E1111" i="11"/>
  <c r="B1111" i="11"/>
  <c r="L1110" i="11"/>
  <c r="I1110" i="11"/>
  <c r="G1110" i="11"/>
  <c r="F1110" i="11"/>
  <c r="E1110" i="11"/>
  <c r="B1110" i="11"/>
  <c r="L1109" i="11"/>
  <c r="I1109" i="11"/>
  <c r="G1109" i="11"/>
  <c r="F1109" i="11"/>
  <c r="E1109" i="11"/>
  <c r="B1109" i="11"/>
  <c r="L1108" i="11"/>
  <c r="I1108" i="11"/>
  <c r="G1108" i="11"/>
  <c r="F1108" i="11"/>
  <c r="E1108" i="11"/>
  <c r="B1108" i="11"/>
  <c r="L1107" i="11"/>
  <c r="I1107" i="11"/>
  <c r="G1107" i="11"/>
  <c r="F1107" i="11"/>
  <c r="E1107" i="11"/>
  <c r="B1107" i="11"/>
  <c r="L1106" i="11"/>
  <c r="I1106" i="11"/>
  <c r="G1106" i="11"/>
  <c r="F1106" i="11"/>
  <c r="E1106" i="11"/>
  <c r="B1106" i="11"/>
  <c r="L1105" i="11"/>
  <c r="I1105" i="11"/>
  <c r="G1105" i="11"/>
  <c r="F1105" i="11"/>
  <c r="E1105" i="11"/>
  <c r="B1105" i="11"/>
  <c r="L1104" i="11"/>
  <c r="I1104" i="11"/>
  <c r="G1104" i="11"/>
  <c r="F1104" i="11"/>
  <c r="E1104" i="11"/>
  <c r="B1104" i="11"/>
  <c r="L1103" i="11"/>
  <c r="I1103" i="11"/>
  <c r="G1103" i="11"/>
  <c r="F1103" i="11"/>
  <c r="E1103" i="11"/>
  <c r="B1103" i="11"/>
  <c r="D1020" i="12" s="1"/>
  <c r="L1102" i="11"/>
  <c r="I1102" i="11"/>
  <c r="G1102" i="11"/>
  <c r="F1102" i="11"/>
  <c r="E1102" i="11"/>
  <c r="B1102" i="11"/>
  <c r="L1101" i="11"/>
  <c r="I1101" i="11"/>
  <c r="G1101" i="11"/>
  <c r="F1101" i="11"/>
  <c r="E1101" i="11"/>
  <c r="B1101" i="11"/>
  <c r="D1018" i="12" s="1"/>
  <c r="L1100" i="11"/>
  <c r="I1100" i="11"/>
  <c r="G1100" i="11"/>
  <c r="F1100" i="11"/>
  <c r="E1100" i="11"/>
  <c r="B1100" i="11"/>
  <c r="L1099" i="11"/>
  <c r="I1099" i="11"/>
  <c r="G1099" i="11"/>
  <c r="F1099" i="11"/>
  <c r="E1099" i="11"/>
  <c r="B1099" i="11"/>
  <c r="L1098" i="11"/>
  <c r="I1098" i="11"/>
  <c r="G1098" i="11"/>
  <c r="F1098" i="11"/>
  <c r="E1098" i="11"/>
  <c r="B1098" i="11"/>
  <c r="L1097" i="11"/>
  <c r="I1097" i="11"/>
  <c r="G1097" i="11"/>
  <c r="F1097" i="11"/>
  <c r="E1097" i="11"/>
  <c r="B1097" i="11"/>
  <c r="D1024" i="12" s="1"/>
  <c r="L1096" i="11"/>
  <c r="I1096" i="11"/>
  <c r="G1096" i="11"/>
  <c r="F1096" i="11"/>
  <c r="E1096" i="11"/>
  <c r="B1096" i="11"/>
  <c r="L1095" i="11"/>
  <c r="I1095" i="11"/>
  <c r="G1095" i="11"/>
  <c r="F1095" i="11"/>
  <c r="E1095" i="11"/>
  <c r="B1095" i="11"/>
  <c r="V1112" i="10"/>
  <c r="R1112" i="10"/>
  <c r="V1111" i="10"/>
  <c r="R1111" i="10"/>
  <c r="V1110" i="10"/>
  <c r="R1110" i="10"/>
  <c r="V1109" i="10"/>
  <c r="R1109" i="10"/>
  <c r="V1108" i="10"/>
  <c r="R1108" i="10"/>
  <c r="V1107" i="10"/>
  <c r="R1107" i="10"/>
  <c r="V1106" i="10"/>
  <c r="R1106" i="10"/>
  <c r="V1105" i="10"/>
  <c r="R1105" i="10"/>
  <c r="V1104" i="10"/>
  <c r="R1104" i="10"/>
  <c r="V1103" i="10"/>
  <c r="R1103" i="10"/>
  <c r="V1102" i="10"/>
  <c r="R1102" i="10"/>
  <c r="V1101" i="10"/>
  <c r="R1101" i="10"/>
  <c r="V1100" i="10"/>
  <c r="R1100" i="10"/>
  <c r="V1099" i="10"/>
  <c r="R1099" i="10"/>
  <c r="V1098" i="10"/>
  <c r="R1098" i="10"/>
  <c r="V1097" i="10"/>
  <c r="R1097" i="10"/>
  <c r="V1096" i="10"/>
  <c r="R1096" i="10"/>
  <c r="V1095" i="10"/>
  <c r="R1095" i="10"/>
  <c r="V1094" i="10"/>
  <c r="R1094" i="10"/>
  <c r="R1093" i="10"/>
  <c r="R1092" i="10"/>
  <c r="R1091" i="10"/>
  <c r="R1090" i="10"/>
  <c r="R1089" i="10"/>
  <c r="R1088" i="10"/>
  <c r="R1087" i="10"/>
  <c r="R1086" i="10"/>
  <c r="R1085" i="10"/>
  <c r="R1084" i="10"/>
  <c r="R1083" i="10"/>
  <c r="R1082" i="10"/>
  <c r="R1081" i="10"/>
  <c r="R1080" i="10"/>
  <c r="R1079" i="10"/>
  <c r="R1078" i="10"/>
  <c r="R1077" i="10"/>
  <c r="R1076" i="10"/>
  <c r="R1075" i="10"/>
  <c r="R1074" i="10"/>
  <c r="R1073" i="10"/>
  <c r="R1072" i="10"/>
  <c r="R1071" i="10"/>
  <c r="R1070" i="10"/>
  <c r="R1069" i="10"/>
  <c r="R1068" i="10"/>
  <c r="R1067" i="10"/>
  <c r="R1066" i="10"/>
  <c r="R1065" i="10"/>
  <c r="R1064" i="10"/>
  <c r="R1063" i="10"/>
  <c r="R1062" i="10"/>
  <c r="R1061" i="10"/>
  <c r="R1060" i="10"/>
  <c r="R1059" i="10"/>
  <c r="R1058" i="10"/>
  <c r="R1057" i="10"/>
  <c r="R1056" i="10"/>
  <c r="R1055" i="10"/>
  <c r="R1054" i="10"/>
  <c r="R1053" i="10"/>
  <c r="R1052" i="10"/>
  <c r="R1051" i="10"/>
  <c r="R1050" i="10"/>
  <c r="R1049" i="10"/>
  <c r="R1048" i="10"/>
  <c r="R1047" i="10"/>
  <c r="R1046" i="10"/>
  <c r="R1045" i="10"/>
  <c r="R1044" i="10"/>
  <c r="R1043" i="10"/>
  <c r="R1042" i="10"/>
  <c r="R1041" i="10"/>
  <c r="R1040" i="10"/>
  <c r="R1039" i="10"/>
  <c r="R1038" i="10"/>
  <c r="R1037" i="10"/>
  <c r="R1036" i="10"/>
  <c r="R1035" i="10"/>
  <c r="R1034" i="10"/>
  <c r="R1033" i="10"/>
  <c r="R1032" i="10"/>
  <c r="R1031" i="10"/>
  <c r="R1030" i="10"/>
  <c r="R1029" i="10"/>
  <c r="R1028" i="10"/>
  <c r="R1027" i="10"/>
  <c r="R1026" i="10"/>
  <c r="R1025" i="10"/>
  <c r="R1024" i="10"/>
  <c r="R1023" i="10"/>
  <c r="R1022" i="10"/>
  <c r="R1021" i="10"/>
  <c r="R1020" i="10"/>
  <c r="R1019" i="10"/>
  <c r="R1018" i="10"/>
  <c r="R1017" i="10"/>
  <c r="R1016" i="10"/>
  <c r="R1015" i="10"/>
  <c r="R1014" i="10"/>
  <c r="R1013" i="10"/>
  <c r="R1012" i="10"/>
  <c r="R1011" i="10"/>
  <c r="R1010" i="10"/>
  <c r="R1009" i="10"/>
  <c r="R1008" i="10"/>
  <c r="R1007" i="10"/>
  <c r="R1006" i="10"/>
  <c r="R1005" i="10"/>
  <c r="R1004" i="10"/>
  <c r="R1003" i="10"/>
  <c r="R1002" i="10"/>
  <c r="R1001" i="10"/>
  <c r="R1000" i="10"/>
  <c r="R999" i="10"/>
  <c r="R998" i="10"/>
  <c r="R997" i="10"/>
  <c r="R996" i="10"/>
  <c r="R995" i="10"/>
  <c r="R994" i="10"/>
  <c r="R993" i="10"/>
  <c r="R992" i="10"/>
  <c r="R991" i="10"/>
  <c r="R990" i="10"/>
  <c r="R989" i="10"/>
  <c r="R988" i="10"/>
  <c r="R987" i="10"/>
  <c r="R986" i="10"/>
  <c r="R985" i="10"/>
  <c r="R984" i="10"/>
  <c r="R983" i="10"/>
  <c r="R982" i="10"/>
  <c r="R981" i="10"/>
  <c r="R980" i="10"/>
  <c r="R979" i="10"/>
  <c r="R978" i="10"/>
  <c r="R977" i="10"/>
  <c r="R976" i="10"/>
  <c r="R975" i="10"/>
  <c r="R974" i="10"/>
  <c r="R973" i="10"/>
  <c r="R972" i="10"/>
  <c r="R971" i="10"/>
  <c r="R970" i="10"/>
  <c r="R969" i="10"/>
  <c r="R968" i="10"/>
  <c r="R967" i="10"/>
  <c r="R966" i="10"/>
  <c r="R965" i="10"/>
  <c r="R964" i="10"/>
  <c r="R963" i="10"/>
  <c r="R962" i="10"/>
  <c r="R961" i="10"/>
  <c r="R960" i="10"/>
  <c r="R959" i="10"/>
  <c r="R958" i="10"/>
  <c r="R957" i="10"/>
  <c r="R956" i="10"/>
  <c r="R955" i="10"/>
  <c r="R954" i="10"/>
  <c r="R953" i="10"/>
  <c r="R952" i="10"/>
  <c r="R951" i="10"/>
  <c r="R950" i="10"/>
  <c r="R949" i="10"/>
  <c r="R948" i="10"/>
  <c r="R947" i="10"/>
  <c r="R946" i="10"/>
  <c r="R945" i="10"/>
  <c r="R944" i="10"/>
  <c r="R943" i="10"/>
  <c r="R942" i="10"/>
  <c r="R941" i="10"/>
  <c r="R940" i="10"/>
  <c r="R939" i="10"/>
  <c r="R938" i="10"/>
  <c r="R937" i="10"/>
  <c r="R936" i="10"/>
  <c r="R935" i="10"/>
  <c r="R934" i="10"/>
  <c r="R933" i="10"/>
  <c r="R932" i="10"/>
  <c r="R931" i="10"/>
  <c r="R930" i="10"/>
  <c r="R929" i="10"/>
  <c r="R928" i="10"/>
  <c r="R927" i="10"/>
  <c r="R926" i="10"/>
  <c r="R925" i="10"/>
  <c r="R924" i="10"/>
  <c r="R923" i="10"/>
  <c r="R922" i="10"/>
  <c r="R921" i="10"/>
  <c r="R920" i="10"/>
  <c r="R919" i="10"/>
  <c r="R918" i="10"/>
  <c r="R917" i="10"/>
  <c r="R916" i="10"/>
  <c r="R915" i="10"/>
  <c r="R914" i="10"/>
  <c r="R913" i="10"/>
  <c r="R912" i="10"/>
  <c r="R911" i="10"/>
  <c r="R910" i="10"/>
  <c r="R909" i="10"/>
  <c r="R908" i="10"/>
  <c r="R907" i="10"/>
  <c r="R906" i="10"/>
  <c r="R905" i="10"/>
  <c r="R904" i="10"/>
  <c r="R903" i="10"/>
  <c r="R902" i="10"/>
  <c r="R901" i="10"/>
  <c r="R900" i="10"/>
  <c r="R899" i="10"/>
  <c r="R898" i="10"/>
  <c r="R897" i="10"/>
  <c r="R896" i="10"/>
  <c r="R895" i="10"/>
  <c r="R894" i="10"/>
  <c r="R893" i="10"/>
  <c r="R892" i="10"/>
  <c r="R891" i="10"/>
  <c r="R890" i="10"/>
  <c r="R889" i="10"/>
  <c r="R888" i="10"/>
  <c r="R887" i="10"/>
  <c r="R886" i="10"/>
  <c r="R885" i="10"/>
  <c r="R884" i="10"/>
  <c r="R883" i="10"/>
  <c r="R882" i="10"/>
  <c r="R881" i="10"/>
  <c r="R880" i="10"/>
  <c r="R879" i="10"/>
  <c r="R878" i="10"/>
  <c r="R877" i="10"/>
  <c r="R876" i="10"/>
  <c r="R875" i="10"/>
  <c r="R874" i="10"/>
  <c r="R873" i="10"/>
  <c r="R872" i="10"/>
  <c r="R871" i="10"/>
  <c r="R870" i="10"/>
  <c r="R869" i="10"/>
  <c r="R868" i="10"/>
  <c r="R867" i="10"/>
  <c r="R866" i="10"/>
  <c r="R865" i="10"/>
  <c r="R864" i="10"/>
  <c r="R863" i="10"/>
  <c r="R862" i="10"/>
  <c r="R861" i="10"/>
  <c r="R860" i="10"/>
  <c r="R859" i="10"/>
  <c r="R858" i="10"/>
  <c r="R857" i="10"/>
  <c r="R856" i="10"/>
  <c r="R855" i="10"/>
  <c r="R854" i="10"/>
  <c r="R853" i="10"/>
  <c r="R852" i="10"/>
  <c r="R851" i="10"/>
  <c r="R850" i="10"/>
  <c r="R849" i="10"/>
  <c r="R848" i="10"/>
  <c r="R847" i="10"/>
  <c r="R846" i="10"/>
  <c r="R845" i="10"/>
  <c r="R844" i="10"/>
  <c r="R843" i="10"/>
  <c r="R842" i="10"/>
  <c r="R841" i="10"/>
  <c r="R840" i="10"/>
  <c r="R839" i="10"/>
  <c r="R838" i="10"/>
  <c r="R837" i="10"/>
  <c r="R836" i="10"/>
  <c r="R835" i="10"/>
  <c r="R834" i="10"/>
  <c r="R833" i="10"/>
  <c r="R832" i="10"/>
  <c r="R831" i="10"/>
  <c r="R830" i="10"/>
  <c r="R829" i="10"/>
  <c r="R828" i="10"/>
  <c r="R827" i="10"/>
  <c r="R826" i="10"/>
  <c r="R825" i="10"/>
  <c r="R824" i="10"/>
  <c r="R823" i="10"/>
  <c r="R822" i="10"/>
  <c r="R821" i="10"/>
  <c r="R820" i="10"/>
  <c r="R819" i="10"/>
  <c r="R818" i="10"/>
  <c r="R817" i="10"/>
  <c r="R816" i="10"/>
  <c r="R815" i="10"/>
  <c r="R814" i="10"/>
  <c r="R813" i="10"/>
  <c r="R812" i="10"/>
  <c r="R811" i="10"/>
  <c r="R810" i="10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D1017" i="12" l="1"/>
  <c r="D397" i="16"/>
  <c r="D1023" i="12"/>
  <c r="D392" i="16"/>
  <c r="D1040" i="12"/>
  <c r="D401" i="16"/>
  <c r="D1041" i="12"/>
  <c r="D391" i="16"/>
  <c r="D1028" i="12"/>
  <c r="D394" i="16"/>
  <c r="D1035" i="12"/>
  <c r="D400" i="16"/>
  <c r="D1037" i="12"/>
  <c r="D402" i="16"/>
  <c r="D1033" i="12"/>
  <c r="D399" i="16"/>
  <c r="D1022" i="12"/>
  <c r="D403" i="16"/>
  <c r="D1021" i="12"/>
  <c r="D396" i="16"/>
  <c r="D1057" i="12"/>
  <c r="D405" i="16"/>
  <c r="D1019" i="12"/>
  <c r="D395" i="16"/>
  <c r="D1036" i="12"/>
  <c r="D390" i="16"/>
  <c r="D1025" i="12"/>
  <c r="D404" i="16"/>
  <c r="D1026" i="12"/>
  <c r="D398" i="16"/>
  <c r="D1029" i="12"/>
  <c r="D393" i="16"/>
  <c r="M1102" i="11"/>
  <c r="J1108" i="11"/>
  <c r="K1097" i="11"/>
  <c r="M1113" i="11"/>
  <c r="M1103" i="11"/>
  <c r="K1103" i="11"/>
  <c r="K1105" i="11"/>
  <c r="K1109" i="11"/>
  <c r="H1107" i="11"/>
  <c r="M1105" i="11"/>
  <c r="K1113" i="11"/>
  <c r="M1110" i="11"/>
  <c r="M1112" i="11"/>
  <c r="H1098" i="11"/>
  <c r="K1100" i="11"/>
  <c r="K1111" i="11"/>
  <c r="J1101" i="11"/>
  <c r="K1101" i="11"/>
  <c r="K1099" i="11"/>
  <c r="H1096" i="11"/>
  <c r="K1107" i="11"/>
  <c r="H1104" i="11"/>
  <c r="M1099" i="11"/>
  <c r="K1102" i="11"/>
  <c r="M1095" i="11"/>
  <c r="M1106" i="11"/>
  <c r="K1095" i="11"/>
  <c r="M1111" i="11"/>
  <c r="K1108" i="11"/>
  <c r="K1098" i="11"/>
  <c r="H1109" i="11"/>
  <c r="J1109" i="11"/>
  <c r="J1096" i="11"/>
  <c r="M1109" i="11"/>
  <c r="H1099" i="11"/>
  <c r="J1106" i="11"/>
  <c r="M1096" i="11"/>
  <c r="M1107" i="11"/>
  <c r="M1097" i="11"/>
  <c r="K1104" i="11"/>
  <c r="H1108" i="11"/>
  <c r="J1111" i="11"/>
  <c r="M1098" i="11"/>
  <c r="K1110" i="11"/>
  <c r="M1101" i="11"/>
  <c r="K1112" i="11"/>
  <c r="J1097" i="11"/>
  <c r="J1098" i="11"/>
  <c r="M1108" i="11"/>
  <c r="K1106" i="11"/>
  <c r="J1099" i="11"/>
  <c r="J1100" i="11"/>
  <c r="J1110" i="11"/>
  <c r="K1096" i="11"/>
  <c r="H1105" i="11"/>
  <c r="J1107" i="11"/>
  <c r="H1103" i="11"/>
  <c r="J1105" i="11"/>
  <c r="H1101" i="11"/>
  <c r="J1103" i="11"/>
  <c r="H1112" i="11"/>
  <c r="H1110" i="11"/>
  <c r="J1112" i="11"/>
  <c r="H1097" i="11"/>
  <c r="H1106" i="11"/>
  <c r="H1113" i="11"/>
  <c r="H1095" i="11"/>
  <c r="J1095" i="11"/>
  <c r="H1100" i="11"/>
  <c r="J1102" i="11"/>
  <c r="H1111" i="11"/>
  <c r="J1113" i="11"/>
  <c r="H1102" i="11"/>
  <c r="J1104" i="11"/>
  <c r="M1104" i="11"/>
  <c r="M1100" i="11"/>
  <c r="L1094" i="11" l="1"/>
  <c r="I1094" i="11"/>
  <c r="G1094" i="11"/>
  <c r="F1094" i="11"/>
  <c r="E1094" i="11"/>
  <c r="B1094" i="11"/>
  <c r="D1010" i="12" s="1"/>
  <c r="L1093" i="11"/>
  <c r="I1093" i="11"/>
  <c r="G1093" i="11"/>
  <c r="F1093" i="11"/>
  <c r="E1093" i="11"/>
  <c r="B1093" i="11"/>
  <c r="D1105" i="12" s="1"/>
  <c r="L1092" i="11"/>
  <c r="I1092" i="11"/>
  <c r="G1092" i="11"/>
  <c r="F1092" i="11"/>
  <c r="E1092" i="11"/>
  <c r="B1092" i="11"/>
  <c r="D1003" i="12" s="1"/>
  <c r="L1091" i="11"/>
  <c r="I1091" i="11"/>
  <c r="G1091" i="11"/>
  <c r="F1091" i="11"/>
  <c r="E1091" i="11"/>
  <c r="B1091" i="11"/>
  <c r="D1007" i="12" s="1"/>
  <c r="L1090" i="11"/>
  <c r="I1090" i="11"/>
  <c r="G1090" i="11"/>
  <c r="F1090" i="11"/>
  <c r="E1090" i="11"/>
  <c r="B1090" i="11"/>
  <c r="D1005" i="12" s="1"/>
  <c r="L1089" i="11"/>
  <c r="I1089" i="11"/>
  <c r="G1089" i="11"/>
  <c r="F1089" i="11"/>
  <c r="E1089" i="11"/>
  <c r="B1089" i="11"/>
  <c r="D997" i="12" s="1"/>
  <c r="L1088" i="11"/>
  <c r="I1088" i="11"/>
  <c r="G1088" i="11"/>
  <c r="F1088" i="11"/>
  <c r="E1088" i="11"/>
  <c r="B1088" i="11"/>
  <c r="D989" i="12" s="1"/>
  <c r="L1087" i="11"/>
  <c r="I1087" i="11"/>
  <c r="G1087" i="11"/>
  <c r="F1087" i="11"/>
  <c r="E1087" i="11"/>
  <c r="B1087" i="11"/>
  <c r="D976" i="12" s="1"/>
  <c r="L1086" i="11"/>
  <c r="I1086" i="11"/>
  <c r="G1086" i="11"/>
  <c r="F1086" i="11"/>
  <c r="E1086" i="11"/>
  <c r="B1086" i="11"/>
  <c r="D968" i="12" s="1"/>
  <c r="L1085" i="11"/>
  <c r="I1085" i="11"/>
  <c r="G1085" i="11"/>
  <c r="F1085" i="11"/>
  <c r="E1085" i="11"/>
  <c r="B1085" i="11"/>
  <c r="D1006" i="12" s="1"/>
  <c r="L1084" i="11"/>
  <c r="I1084" i="11"/>
  <c r="G1084" i="11"/>
  <c r="F1084" i="11"/>
  <c r="E1084" i="11"/>
  <c r="B1084" i="11"/>
  <c r="D999" i="12" s="1"/>
  <c r="L1083" i="11"/>
  <c r="I1083" i="11"/>
  <c r="G1083" i="11"/>
  <c r="F1083" i="11"/>
  <c r="E1083" i="11"/>
  <c r="B1083" i="11"/>
  <c r="D960" i="12" s="1"/>
  <c r="L1082" i="11"/>
  <c r="I1082" i="11"/>
  <c r="G1082" i="11"/>
  <c r="F1082" i="11"/>
  <c r="E1082" i="11"/>
  <c r="B1082" i="11"/>
  <c r="D978" i="12" s="1"/>
  <c r="L1081" i="11"/>
  <c r="I1081" i="11"/>
  <c r="G1081" i="11"/>
  <c r="F1081" i="11"/>
  <c r="E1081" i="11"/>
  <c r="B1081" i="11"/>
  <c r="D969" i="12" s="1"/>
  <c r="L1080" i="11"/>
  <c r="I1080" i="11"/>
  <c r="G1080" i="11"/>
  <c r="F1080" i="11"/>
  <c r="E1080" i="11"/>
  <c r="B1080" i="11"/>
  <c r="D981" i="12" s="1"/>
  <c r="L1079" i="11"/>
  <c r="I1079" i="11"/>
  <c r="G1079" i="11"/>
  <c r="F1079" i="11"/>
  <c r="E1079" i="11"/>
  <c r="B1079" i="11"/>
  <c r="D983" i="12" s="1"/>
  <c r="L1078" i="11"/>
  <c r="I1078" i="11"/>
  <c r="G1078" i="11"/>
  <c r="F1078" i="11"/>
  <c r="E1078" i="11"/>
  <c r="B1078" i="11"/>
  <c r="D992" i="12" s="1"/>
  <c r="L1077" i="11"/>
  <c r="I1077" i="11"/>
  <c r="G1077" i="11"/>
  <c r="F1077" i="11"/>
  <c r="E1077" i="11"/>
  <c r="B1077" i="11"/>
  <c r="D991" i="12" s="1"/>
  <c r="L1076" i="11"/>
  <c r="I1076" i="11"/>
  <c r="G1076" i="11"/>
  <c r="F1076" i="11"/>
  <c r="E1076" i="11"/>
  <c r="B1076" i="11"/>
  <c r="D1013" i="12" s="1"/>
  <c r="L1075" i="11"/>
  <c r="I1075" i="11"/>
  <c r="G1075" i="11"/>
  <c r="F1075" i="11"/>
  <c r="E1075" i="11"/>
  <c r="B1075" i="11"/>
  <c r="D1009" i="12" s="1"/>
  <c r="L1074" i="11"/>
  <c r="I1074" i="11"/>
  <c r="G1074" i="11"/>
  <c r="F1074" i="11"/>
  <c r="E1074" i="11"/>
  <c r="B1074" i="11"/>
  <c r="D1113" i="12" s="1"/>
  <c r="L1073" i="11"/>
  <c r="I1073" i="11"/>
  <c r="G1073" i="11"/>
  <c r="F1073" i="11"/>
  <c r="E1073" i="11"/>
  <c r="B1073" i="11"/>
  <c r="D1000" i="12" s="1"/>
  <c r="L1072" i="11"/>
  <c r="I1072" i="11"/>
  <c r="G1072" i="11"/>
  <c r="F1072" i="11"/>
  <c r="E1072" i="11"/>
  <c r="B1072" i="11"/>
  <c r="D962" i="12" s="1"/>
  <c r="L1071" i="11"/>
  <c r="I1071" i="11"/>
  <c r="G1071" i="11"/>
  <c r="F1071" i="11"/>
  <c r="E1071" i="11"/>
  <c r="B1071" i="11"/>
  <c r="D990" i="12" s="1"/>
  <c r="L1070" i="11"/>
  <c r="I1070" i="11"/>
  <c r="G1070" i="11"/>
  <c r="F1070" i="11"/>
  <c r="E1070" i="11"/>
  <c r="B1070" i="11"/>
  <c r="D996" i="12" s="1"/>
  <c r="L1069" i="11"/>
  <c r="I1069" i="11"/>
  <c r="G1069" i="11"/>
  <c r="F1069" i="11"/>
  <c r="E1069" i="11"/>
  <c r="B1069" i="11"/>
  <c r="D986" i="12" s="1"/>
  <c r="L1068" i="11"/>
  <c r="I1068" i="11"/>
  <c r="G1068" i="11"/>
  <c r="F1068" i="11"/>
  <c r="E1068" i="11"/>
  <c r="B1068" i="11"/>
  <c r="D975" i="12" s="1"/>
  <c r="E960" i="12"/>
  <c r="F960" i="12"/>
  <c r="H960" i="12"/>
  <c r="E961" i="12"/>
  <c r="F961" i="12"/>
  <c r="H961" i="12"/>
  <c r="E962" i="12"/>
  <c r="F962" i="12"/>
  <c r="H962" i="12"/>
  <c r="E963" i="12"/>
  <c r="F963" i="12"/>
  <c r="H963" i="12"/>
  <c r="E964" i="12"/>
  <c r="F964" i="12"/>
  <c r="H964" i="12"/>
  <c r="E965" i="12"/>
  <c r="F965" i="12"/>
  <c r="H965" i="12"/>
  <c r="E966" i="12"/>
  <c r="F966" i="12"/>
  <c r="H966" i="12"/>
  <c r="E967" i="12"/>
  <c r="F967" i="12"/>
  <c r="H967" i="12"/>
  <c r="E968" i="12"/>
  <c r="F968" i="12"/>
  <c r="H968" i="12"/>
  <c r="E969" i="12"/>
  <c r="F969" i="12"/>
  <c r="H969" i="12"/>
  <c r="E970" i="12"/>
  <c r="F970" i="12"/>
  <c r="H970" i="12"/>
  <c r="E971" i="12"/>
  <c r="F971" i="12"/>
  <c r="H971" i="12"/>
  <c r="E972" i="12"/>
  <c r="F972" i="12"/>
  <c r="H972" i="12"/>
  <c r="E973" i="12"/>
  <c r="F973" i="12"/>
  <c r="H973" i="12"/>
  <c r="E974" i="12"/>
  <c r="F974" i="12"/>
  <c r="H974" i="12"/>
  <c r="E975" i="12"/>
  <c r="F975" i="12"/>
  <c r="H975" i="12"/>
  <c r="E976" i="12"/>
  <c r="F976" i="12"/>
  <c r="H976" i="12"/>
  <c r="E977" i="12"/>
  <c r="F977" i="12"/>
  <c r="H977" i="12"/>
  <c r="E978" i="12"/>
  <c r="F978" i="12"/>
  <c r="H978" i="12"/>
  <c r="E979" i="12"/>
  <c r="F979" i="12"/>
  <c r="H979" i="12"/>
  <c r="E980" i="12"/>
  <c r="F980" i="12"/>
  <c r="H980" i="12"/>
  <c r="E981" i="12"/>
  <c r="F981" i="12"/>
  <c r="H981" i="12"/>
  <c r="E982" i="12"/>
  <c r="F982" i="12"/>
  <c r="H982" i="12"/>
  <c r="E983" i="12"/>
  <c r="F983" i="12"/>
  <c r="H983" i="12"/>
  <c r="E984" i="12"/>
  <c r="F984" i="12"/>
  <c r="H984" i="12"/>
  <c r="E985" i="12"/>
  <c r="F985" i="12"/>
  <c r="H985" i="12"/>
  <c r="E986" i="12"/>
  <c r="F986" i="12"/>
  <c r="H986" i="12"/>
  <c r="E987" i="12"/>
  <c r="F987" i="12"/>
  <c r="H987" i="12"/>
  <c r="E988" i="12"/>
  <c r="F988" i="12"/>
  <c r="H988" i="12"/>
  <c r="E989" i="12"/>
  <c r="F989" i="12"/>
  <c r="H989" i="12"/>
  <c r="E990" i="12"/>
  <c r="F990" i="12"/>
  <c r="H990" i="12"/>
  <c r="E991" i="12"/>
  <c r="F991" i="12"/>
  <c r="H991" i="12"/>
  <c r="E992" i="12"/>
  <c r="F992" i="12"/>
  <c r="H992" i="12"/>
  <c r="E993" i="12"/>
  <c r="F993" i="12"/>
  <c r="H993" i="12"/>
  <c r="E994" i="12"/>
  <c r="F994" i="12"/>
  <c r="H994" i="12"/>
  <c r="E995" i="12"/>
  <c r="F995" i="12"/>
  <c r="H995" i="12"/>
  <c r="E996" i="12"/>
  <c r="F996" i="12"/>
  <c r="H996" i="12"/>
  <c r="E997" i="12"/>
  <c r="F997" i="12"/>
  <c r="H997" i="12"/>
  <c r="E998" i="12"/>
  <c r="F998" i="12"/>
  <c r="H998" i="12"/>
  <c r="E999" i="12"/>
  <c r="F999" i="12"/>
  <c r="H999" i="12"/>
  <c r="E1000" i="12"/>
  <c r="F1000" i="12"/>
  <c r="H1000" i="12"/>
  <c r="E1001" i="12"/>
  <c r="F1001" i="12"/>
  <c r="H1001" i="12"/>
  <c r="E1002" i="12"/>
  <c r="F1002" i="12"/>
  <c r="H1002" i="12"/>
  <c r="E1003" i="12"/>
  <c r="F1003" i="12"/>
  <c r="H1003" i="12"/>
  <c r="E1004" i="12"/>
  <c r="F1004" i="12"/>
  <c r="H1004" i="12"/>
  <c r="E1005" i="12"/>
  <c r="F1005" i="12"/>
  <c r="H1005" i="12"/>
  <c r="E1006" i="12"/>
  <c r="F1006" i="12"/>
  <c r="H1006" i="12"/>
  <c r="E1007" i="12"/>
  <c r="F1007" i="12"/>
  <c r="H1007" i="12"/>
  <c r="E1008" i="12"/>
  <c r="F1008" i="12"/>
  <c r="H1008" i="12"/>
  <c r="E1009" i="12"/>
  <c r="F1009" i="12"/>
  <c r="H1009" i="12"/>
  <c r="E1010" i="12"/>
  <c r="F1010" i="12"/>
  <c r="H1010" i="12"/>
  <c r="E1011" i="12"/>
  <c r="F1011" i="12"/>
  <c r="H1011" i="12"/>
  <c r="E1012" i="12"/>
  <c r="F1012" i="12"/>
  <c r="H1012" i="12"/>
  <c r="M1070" i="11" l="1"/>
  <c r="M1074" i="11"/>
  <c r="H1077" i="11"/>
  <c r="H1088" i="11"/>
  <c r="J1092" i="11"/>
  <c r="K1092" i="11"/>
  <c r="M1072" i="11"/>
  <c r="M1083" i="11"/>
  <c r="M1094" i="11"/>
  <c r="M1084" i="11"/>
  <c r="K1089" i="11"/>
  <c r="K1094" i="11"/>
  <c r="K1070" i="11"/>
  <c r="M1085" i="11"/>
  <c r="K1068" i="11"/>
  <c r="K1085" i="11"/>
  <c r="J1075" i="11"/>
  <c r="M1086" i="11"/>
  <c r="K1075" i="11"/>
  <c r="K1073" i="11"/>
  <c r="K1084" i="11"/>
  <c r="K1074" i="11"/>
  <c r="K1078" i="11"/>
  <c r="K1093" i="11"/>
  <c r="H1068" i="11"/>
  <c r="H1079" i="11"/>
  <c r="H1090" i="11"/>
  <c r="K1090" i="11"/>
  <c r="K1072" i="11"/>
  <c r="K1083" i="11"/>
  <c r="K1088" i="11"/>
  <c r="M1088" i="11"/>
  <c r="M1082" i="11"/>
  <c r="M1081" i="11"/>
  <c r="M1089" i="11"/>
  <c r="K1071" i="11"/>
  <c r="K1082" i="11"/>
  <c r="M1093" i="11"/>
  <c r="K1077" i="11"/>
  <c r="K1079" i="11"/>
  <c r="M1076" i="11"/>
  <c r="M1087" i="11"/>
  <c r="M1069" i="11"/>
  <c r="J1080" i="11"/>
  <c r="J1089" i="11"/>
  <c r="M1092" i="11"/>
  <c r="J1076" i="11"/>
  <c r="J1087" i="11"/>
  <c r="J1071" i="11"/>
  <c r="M1078" i="11"/>
  <c r="K1081" i="11"/>
  <c r="K1091" i="11"/>
  <c r="H1086" i="11"/>
  <c r="H1069" i="11"/>
  <c r="M1068" i="11"/>
  <c r="H1087" i="11"/>
  <c r="K1080" i="11"/>
  <c r="K1087" i="11"/>
  <c r="J1090" i="11"/>
  <c r="J1068" i="11"/>
  <c r="H1076" i="11"/>
  <c r="J1079" i="11"/>
  <c r="H1073" i="11"/>
  <c r="M1090" i="11"/>
  <c r="M1077" i="11"/>
  <c r="M1079" i="11"/>
  <c r="M1080" i="11"/>
  <c r="J1081" i="11"/>
  <c r="M1091" i="11"/>
  <c r="J1077" i="11"/>
  <c r="H1084" i="11"/>
  <c r="J1086" i="11"/>
  <c r="K1086" i="11"/>
  <c r="H1071" i="11"/>
  <c r="J1073" i="11"/>
  <c r="H1082" i="11"/>
  <c r="J1084" i="11"/>
  <c r="H1093" i="11"/>
  <c r="H1080" i="11"/>
  <c r="J1082" i="11"/>
  <c r="H1091" i="11"/>
  <c r="J1093" i="11"/>
  <c r="M1073" i="11"/>
  <c r="J1069" i="11"/>
  <c r="H1078" i="11"/>
  <c r="H1089" i="11"/>
  <c r="J1091" i="11"/>
  <c r="K1069" i="11"/>
  <c r="M1071" i="11"/>
  <c r="H1075" i="11"/>
  <c r="H1085" i="11"/>
  <c r="H1083" i="11"/>
  <c r="J1085" i="11"/>
  <c r="H1070" i="11"/>
  <c r="J1072" i="11"/>
  <c r="H1081" i="11"/>
  <c r="J1083" i="11"/>
  <c r="H1092" i="11"/>
  <c r="J1094" i="11"/>
  <c r="M1075" i="11"/>
  <c r="J1078" i="11"/>
  <c r="K1076" i="11"/>
  <c r="H1094" i="11"/>
  <c r="H1072" i="11"/>
  <c r="J1074" i="11"/>
  <c r="J1070" i="11"/>
  <c r="J1088" i="11"/>
  <c r="H1074" i="11"/>
  <c r="F233" i="16"/>
  <c r="E233" i="16"/>
  <c r="F232" i="16"/>
  <c r="E232" i="16"/>
  <c r="F231" i="16"/>
  <c r="E231" i="16"/>
  <c r="F230" i="16"/>
  <c r="E230" i="16"/>
  <c r="F229" i="16"/>
  <c r="E229" i="16"/>
  <c r="F228" i="16"/>
  <c r="E228" i="16"/>
  <c r="F227" i="16"/>
  <c r="E227" i="16"/>
  <c r="F226" i="16"/>
  <c r="E226" i="16"/>
  <c r="F225" i="16"/>
  <c r="E225" i="16"/>
  <c r="F224" i="16"/>
  <c r="E224" i="16"/>
  <c r="F223" i="16"/>
  <c r="E223" i="16"/>
  <c r="F222" i="16"/>
  <c r="E222" i="16"/>
  <c r="F221" i="16"/>
  <c r="E221" i="16"/>
  <c r="F220" i="16"/>
  <c r="E220" i="16"/>
  <c r="F219" i="16"/>
  <c r="E219" i="16"/>
  <c r="F218" i="16"/>
  <c r="E218" i="16"/>
  <c r="F217" i="16"/>
  <c r="E217" i="16"/>
  <c r="F216" i="16"/>
  <c r="E216" i="16"/>
  <c r="F215" i="16"/>
  <c r="E215" i="16"/>
  <c r="F214" i="16"/>
  <c r="E214" i="16"/>
  <c r="F213" i="16"/>
  <c r="E213" i="16"/>
  <c r="F212" i="16"/>
  <c r="E212" i="16"/>
  <c r="F211" i="16"/>
  <c r="E211" i="16"/>
  <c r="F210" i="16"/>
  <c r="E210" i="16"/>
  <c r="F209" i="16"/>
  <c r="E209" i="16"/>
  <c r="F208" i="16"/>
  <c r="E208" i="16"/>
  <c r="F207" i="16"/>
  <c r="E207" i="16"/>
  <c r="F206" i="16"/>
  <c r="E206" i="16"/>
  <c r="F205" i="16"/>
  <c r="E205" i="16"/>
  <c r="F204" i="16"/>
  <c r="E204" i="16"/>
  <c r="F203" i="16"/>
  <c r="E203" i="16"/>
  <c r="F202" i="16"/>
  <c r="E202" i="16"/>
  <c r="F201" i="16"/>
  <c r="E201" i="16"/>
  <c r="B1059" i="11" l="1"/>
  <c r="D884" i="12" s="1"/>
  <c r="E1059" i="11"/>
  <c r="F1059" i="11"/>
  <c r="G1059" i="11"/>
  <c r="I1059" i="11"/>
  <c r="L1059" i="11"/>
  <c r="B1060" i="11"/>
  <c r="D888" i="12" s="1"/>
  <c r="E1060" i="11"/>
  <c r="F1060" i="11"/>
  <c r="G1060" i="11"/>
  <c r="I1060" i="11"/>
  <c r="L1060" i="11"/>
  <c r="B1061" i="11"/>
  <c r="D897" i="12" s="1"/>
  <c r="E1061" i="11"/>
  <c r="F1061" i="11"/>
  <c r="G1061" i="11"/>
  <c r="I1061" i="11"/>
  <c r="L1061" i="11"/>
  <c r="B1062" i="11"/>
  <c r="D911" i="12" s="1"/>
  <c r="E1062" i="11"/>
  <c r="F1062" i="11"/>
  <c r="G1062" i="11"/>
  <c r="I1062" i="11"/>
  <c r="L1062" i="11"/>
  <c r="B1063" i="11"/>
  <c r="D916" i="12" s="1"/>
  <c r="E1063" i="11"/>
  <c r="F1063" i="11"/>
  <c r="G1063" i="11"/>
  <c r="I1063" i="11"/>
  <c r="L1063" i="11"/>
  <c r="B1064" i="11"/>
  <c r="D928" i="12" s="1"/>
  <c r="E1064" i="11"/>
  <c r="F1064" i="11"/>
  <c r="G1064" i="11"/>
  <c r="I1064" i="11"/>
  <c r="L1064" i="11"/>
  <c r="B1065" i="11"/>
  <c r="D937" i="12" s="1"/>
  <c r="E1065" i="11"/>
  <c r="F1065" i="11"/>
  <c r="G1065" i="11"/>
  <c r="I1065" i="11"/>
  <c r="L1065" i="11"/>
  <c r="B1066" i="11"/>
  <c r="D942" i="12" s="1"/>
  <c r="E1066" i="11"/>
  <c r="F1066" i="11"/>
  <c r="G1066" i="11"/>
  <c r="I1066" i="11"/>
  <c r="L1066" i="11"/>
  <c r="B1067" i="11"/>
  <c r="D950" i="12" s="1"/>
  <c r="E1067" i="11"/>
  <c r="F1067" i="11"/>
  <c r="G1067" i="11"/>
  <c r="I1067" i="11"/>
  <c r="L1067" i="11"/>
  <c r="E950" i="12"/>
  <c r="F950" i="12"/>
  <c r="H950" i="12"/>
  <c r="E951" i="12"/>
  <c r="F951" i="12"/>
  <c r="H951" i="12"/>
  <c r="E952" i="12"/>
  <c r="F952" i="12"/>
  <c r="H952" i="12"/>
  <c r="E953" i="12"/>
  <c r="F953" i="12"/>
  <c r="H953" i="12"/>
  <c r="E954" i="12"/>
  <c r="F954" i="12"/>
  <c r="H954" i="12"/>
  <c r="E955" i="12"/>
  <c r="F955" i="12"/>
  <c r="H955" i="12"/>
  <c r="E956" i="12"/>
  <c r="F956" i="12"/>
  <c r="H956" i="12"/>
  <c r="E957" i="12"/>
  <c r="F957" i="12"/>
  <c r="H957" i="12"/>
  <c r="E958" i="12"/>
  <c r="F958" i="12"/>
  <c r="H958" i="12"/>
  <c r="E959" i="12"/>
  <c r="F959" i="12"/>
  <c r="H959" i="12"/>
  <c r="E937" i="12"/>
  <c r="F937" i="12"/>
  <c r="H937" i="12"/>
  <c r="E938" i="12"/>
  <c r="F938" i="12"/>
  <c r="H938" i="12"/>
  <c r="E939" i="12"/>
  <c r="F939" i="12"/>
  <c r="H939" i="12"/>
  <c r="E940" i="12"/>
  <c r="F940" i="12"/>
  <c r="H940" i="12"/>
  <c r="E941" i="12"/>
  <c r="F941" i="12"/>
  <c r="H941" i="12"/>
  <c r="E942" i="12"/>
  <c r="F942" i="12"/>
  <c r="H942" i="12"/>
  <c r="E943" i="12"/>
  <c r="F943" i="12"/>
  <c r="H943" i="12"/>
  <c r="E944" i="12"/>
  <c r="F944" i="12"/>
  <c r="H944" i="12"/>
  <c r="E945" i="12"/>
  <c r="F945" i="12"/>
  <c r="H945" i="12"/>
  <c r="E946" i="12"/>
  <c r="F946" i="12"/>
  <c r="H946" i="12"/>
  <c r="E947" i="12"/>
  <c r="F947" i="12"/>
  <c r="H947" i="12"/>
  <c r="E948" i="12"/>
  <c r="F948" i="12"/>
  <c r="H948" i="12"/>
  <c r="E949" i="12"/>
  <c r="F949" i="12"/>
  <c r="H949" i="12"/>
  <c r="E924" i="12"/>
  <c r="F924" i="12"/>
  <c r="H924" i="12"/>
  <c r="E925" i="12"/>
  <c r="F925" i="12"/>
  <c r="H925" i="12"/>
  <c r="E926" i="12"/>
  <c r="F926" i="12"/>
  <c r="H926" i="12"/>
  <c r="E927" i="12"/>
  <c r="F927" i="12"/>
  <c r="H927" i="12"/>
  <c r="E928" i="12"/>
  <c r="F928" i="12"/>
  <c r="H928" i="12"/>
  <c r="E929" i="12"/>
  <c r="F929" i="12"/>
  <c r="H929" i="12"/>
  <c r="E930" i="12"/>
  <c r="F930" i="12"/>
  <c r="H930" i="12"/>
  <c r="E931" i="12"/>
  <c r="F931" i="12"/>
  <c r="H931" i="12"/>
  <c r="E932" i="12"/>
  <c r="F932" i="12"/>
  <c r="H932" i="12"/>
  <c r="E933" i="12"/>
  <c r="F933" i="12"/>
  <c r="H933" i="12"/>
  <c r="E934" i="12"/>
  <c r="F934" i="12"/>
  <c r="H934" i="12"/>
  <c r="E935" i="12"/>
  <c r="F935" i="12"/>
  <c r="H935" i="12"/>
  <c r="E936" i="12"/>
  <c r="F936" i="12"/>
  <c r="H936" i="12"/>
  <c r="E911" i="12"/>
  <c r="F911" i="12"/>
  <c r="H911" i="12"/>
  <c r="E912" i="12"/>
  <c r="F912" i="12"/>
  <c r="H912" i="12"/>
  <c r="E913" i="12"/>
  <c r="F913" i="12"/>
  <c r="H913" i="12"/>
  <c r="E914" i="12"/>
  <c r="F914" i="12"/>
  <c r="H914" i="12"/>
  <c r="E915" i="12"/>
  <c r="F915" i="12"/>
  <c r="H915" i="12"/>
  <c r="E916" i="12"/>
  <c r="F916" i="12"/>
  <c r="H916" i="12"/>
  <c r="E917" i="12"/>
  <c r="F917" i="12"/>
  <c r="H917" i="12"/>
  <c r="E918" i="12"/>
  <c r="F918" i="12"/>
  <c r="H918" i="12"/>
  <c r="E919" i="12"/>
  <c r="F919" i="12"/>
  <c r="H919" i="12"/>
  <c r="E920" i="12"/>
  <c r="F920" i="12"/>
  <c r="H920" i="12"/>
  <c r="E921" i="12"/>
  <c r="F921" i="12"/>
  <c r="H921" i="12"/>
  <c r="E922" i="12"/>
  <c r="F922" i="12"/>
  <c r="H922" i="12"/>
  <c r="E923" i="12"/>
  <c r="F923" i="12"/>
  <c r="H923" i="12"/>
  <c r="E897" i="12"/>
  <c r="F897" i="12"/>
  <c r="H897" i="12"/>
  <c r="E898" i="12"/>
  <c r="F898" i="12"/>
  <c r="H898" i="12"/>
  <c r="E899" i="12"/>
  <c r="F899" i="12"/>
  <c r="H899" i="12"/>
  <c r="E900" i="12"/>
  <c r="F900" i="12"/>
  <c r="H900" i="12"/>
  <c r="E901" i="12"/>
  <c r="F901" i="12"/>
  <c r="H901" i="12"/>
  <c r="E902" i="12"/>
  <c r="F902" i="12"/>
  <c r="H902" i="12"/>
  <c r="E903" i="12"/>
  <c r="F903" i="12"/>
  <c r="H903" i="12"/>
  <c r="E904" i="12"/>
  <c r="F904" i="12"/>
  <c r="H904" i="12"/>
  <c r="E905" i="12"/>
  <c r="F905" i="12"/>
  <c r="H905" i="12"/>
  <c r="E906" i="12"/>
  <c r="F906" i="12"/>
  <c r="H906" i="12"/>
  <c r="E907" i="12"/>
  <c r="F907" i="12"/>
  <c r="H907" i="12"/>
  <c r="E908" i="12"/>
  <c r="F908" i="12"/>
  <c r="H908" i="12"/>
  <c r="E909" i="12"/>
  <c r="F909" i="12"/>
  <c r="H909" i="12"/>
  <c r="E910" i="12"/>
  <c r="F910" i="12"/>
  <c r="H910" i="12"/>
  <c r="E881" i="12"/>
  <c r="F881" i="12"/>
  <c r="H881" i="12"/>
  <c r="E882" i="12"/>
  <c r="F882" i="12"/>
  <c r="H882" i="12"/>
  <c r="E883" i="12"/>
  <c r="F883" i="12"/>
  <c r="H883" i="12"/>
  <c r="E884" i="12"/>
  <c r="F884" i="12"/>
  <c r="H884" i="12"/>
  <c r="E885" i="12"/>
  <c r="F885" i="12"/>
  <c r="H885" i="12"/>
  <c r="E886" i="12"/>
  <c r="F886" i="12"/>
  <c r="H886" i="12"/>
  <c r="E887" i="12"/>
  <c r="F887" i="12"/>
  <c r="H887" i="12"/>
  <c r="E888" i="12"/>
  <c r="F888" i="12"/>
  <c r="H888" i="12"/>
  <c r="E889" i="12"/>
  <c r="F889" i="12"/>
  <c r="H889" i="12"/>
  <c r="E890" i="12"/>
  <c r="F890" i="12"/>
  <c r="H890" i="12"/>
  <c r="E891" i="12"/>
  <c r="F891" i="12"/>
  <c r="H891" i="12"/>
  <c r="E892" i="12"/>
  <c r="F892" i="12"/>
  <c r="H892" i="12"/>
  <c r="E893" i="12"/>
  <c r="F893" i="12"/>
  <c r="H893" i="12"/>
  <c r="E894" i="12"/>
  <c r="F894" i="12"/>
  <c r="H894" i="12"/>
  <c r="E895" i="12"/>
  <c r="F895" i="12"/>
  <c r="H895" i="12"/>
  <c r="E896" i="12"/>
  <c r="F896" i="12"/>
  <c r="H896" i="12"/>
  <c r="K1061" i="11" l="1"/>
  <c r="H1066" i="11"/>
  <c r="H1059" i="11"/>
  <c r="J1061" i="11"/>
  <c r="M1061" i="11"/>
  <c r="K1066" i="11"/>
  <c r="M1059" i="11"/>
  <c r="J1059" i="11"/>
  <c r="M1060" i="11"/>
  <c r="H1061" i="11"/>
  <c r="K1065" i="11"/>
  <c r="K1067" i="11"/>
  <c r="J1067" i="11"/>
  <c r="H1065" i="11"/>
  <c r="K1060" i="11"/>
  <c r="H1063" i="11"/>
  <c r="J1066" i="11"/>
  <c r="K1062" i="11"/>
  <c r="H1062" i="11"/>
  <c r="K1064" i="11"/>
  <c r="J1063" i="11"/>
  <c r="H1064" i="11"/>
  <c r="H1060" i="11"/>
  <c r="K1063" i="11"/>
  <c r="M1064" i="11"/>
  <c r="J1064" i="11"/>
  <c r="J1060" i="11"/>
  <c r="M1063" i="11"/>
  <c r="H1067" i="11"/>
  <c r="M1066" i="11"/>
  <c r="M1062" i="11"/>
  <c r="J1062" i="11"/>
  <c r="M1067" i="11"/>
  <c r="K1059" i="11"/>
  <c r="M1065" i="11"/>
  <c r="J1065" i="11"/>
  <c r="E867" i="12" l="1"/>
  <c r="F867" i="12"/>
  <c r="H867" i="12"/>
  <c r="E868" i="12"/>
  <c r="F868" i="12"/>
  <c r="H868" i="12"/>
  <c r="E869" i="12"/>
  <c r="F869" i="12"/>
  <c r="H869" i="12"/>
  <c r="E870" i="12"/>
  <c r="F870" i="12"/>
  <c r="H870" i="12"/>
  <c r="E871" i="12"/>
  <c r="F871" i="12"/>
  <c r="H871" i="12"/>
  <c r="E872" i="12"/>
  <c r="F872" i="12"/>
  <c r="H872" i="12"/>
  <c r="E873" i="12"/>
  <c r="F873" i="12"/>
  <c r="H873" i="12"/>
  <c r="E874" i="12"/>
  <c r="F874" i="12"/>
  <c r="H874" i="12"/>
  <c r="E875" i="12"/>
  <c r="F875" i="12"/>
  <c r="H875" i="12"/>
  <c r="E876" i="12"/>
  <c r="F876" i="12"/>
  <c r="H876" i="12"/>
  <c r="E877" i="12"/>
  <c r="F877" i="12"/>
  <c r="H877" i="12"/>
  <c r="E878" i="12"/>
  <c r="F878" i="12"/>
  <c r="H878" i="12"/>
  <c r="E879" i="12"/>
  <c r="F879" i="12"/>
  <c r="H879" i="12"/>
  <c r="E880" i="12"/>
  <c r="F880" i="12"/>
  <c r="H880" i="12"/>
  <c r="E852" i="12"/>
  <c r="F852" i="12"/>
  <c r="H852" i="12"/>
  <c r="E853" i="12"/>
  <c r="F853" i="12"/>
  <c r="H853" i="12"/>
  <c r="E854" i="12"/>
  <c r="F854" i="12"/>
  <c r="H854" i="12"/>
  <c r="E855" i="12"/>
  <c r="F855" i="12"/>
  <c r="H855" i="12"/>
  <c r="E856" i="12"/>
  <c r="F856" i="12"/>
  <c r="H856" i="12"/>
  <c r="E857" i="12"/>
  <c r="F857" i="12"/>
  <c r="H857" i="12"/>
  <c r="E858" i="12"/>
  <c r="F858" i="12"/>
  <c r="H858" i="12"/>
  <c r="E859" i="12"/>
  <c r="F859" i="12"/>
  <c r="H859" i="12"/>
  <c r="E860" i="12"/>
  <c r="F860" i="12"/>
  <c r="H860" i="12"/>
  <c r="E861" i="12"/>
  <c r="F861" i="12"/>
  <c r="H861" i="12"/>
  <c r="E862" i="12"/>
  <c r="F862" i="12"/>
  <c r="H862" i="12"/>
  <c r="E863" i="12"/>
  <c r="F863" i="12"/>
  <c r="H863" i="12"/>
  <c r="E864" i="12"/>
  <c r="F864" i="12"/>
  <c r="H864" i="12"/>
  <c r="E866" i="12"/>
  <c r="F866" i="12"/>
  <c r="H866" i="12"/>
  <c r="E838" i="12"/>
  <c r="F838" i="12"/>
  <c r="H838" i="12"/>
  <c r="E839" i="12"/>
  <c r="F839" i="12"/>
  <c r="H839" i="12"/>
  <c r="E840" i="12"/>
  <c r="F840" i="12"/>
  <c r="H840" i="12"/>
  <c r="E841" i="12"/>
  <c r="F841" i="12"/>
  <c r="H841" i="12"/>
  <c r="E842" i="12"/>
  <c r="F842" i="12"/>
  <c r="H842" i="12"/>
  <c r="E843" i="12"/>
  <c r="F843" i="12"/>
  <c r="H843" i="12"/>
  <c r="E844" i="12"/>
  <c r="F844" i="12"/>
  <c r="H844" i="12"/>
  <c r="E845" i="12"/>
  <c r="F845" i="12"/>
  <c r="H845" i="12"/>
  <c r="E846" i="12"/>
  <c r="F846" i="12"/>
  <c r="H846" i="12"/>
  <c r="E847" i="12"/>
  <c r="F847" i="12"/>
  <c r="H847" i="12"/>
  <c r="E848" i="12"/>
  <c r="F848" i="12"/>
  <c r="H848" i="12"/>
  <c r="E849" i="12"/>
  <c r="F849" i="12"/>
  <c r="H849" i="12"/>
  <c r="E850" i="12"/>
  <c r="F850" i="12"/>
  <c r="H850" i="12"/>
  <c r="E851" i="12"/>
  <c r="F851" i="12"/>
  <c r="H851" i="12"/>
  <c r="E822" i="12"/>
  <c r="F822" i="12"/>
  <c r="H822" i="12"/>
  <c r="E823" i="12"/>
  <c r="F823" i="12"/>
  <c r="H823" i="12"/>
  <c r="E824" i="12"/>
  <c r="F824" i="12"/>
  <c r="H824" i="12"/>
  <c r="E825" i="12"/>
  <c r="F825" i="12"/>
  <c r="H825" i="12"/>
  <c r="E826" i="12"/>
  <c r="F826" i="12"/>
  <c r="H826" i="12"/>
  <c r="E827" i="12"/>
  <c r="F827" i="12"/>
  <c r="H827" i="12"/>
  <c r="E828" i="12"/>
  <c r="F828" i="12"/>
  <c r="H828" i="12"/>
  <c r="E829" i="12"/>
  <c r="F829" i="12"/>
  <c r="H829" i="12"/>
  <c r="E830" i="12"/>
  <c r="F830" i="12"/>
  <c r="H830" i="12"/>
  <c r="E831" i="12"/>
  <c r="F831" i="12"/>
  <c r="H831" i="12"/>
  <c r="E832" i="12"/>
  <c r="F832" i="12"/>
  <c r="H832" i="12"/>
  <c r="E833" i="12"/>
  <c r="F833" i="12"/>
  <c r="H833" i="12"/>
  <c r="E834" i="12"/>
  <c r="F834" i="12"/>
  <c r="H834" i="12"/>
  <c r="E835" i="12"/>
  <c r="F835" i="12"/>
  <c r="H835" i="12"/>
  <c r="E836" i="12"/>
  <c r="F836" i="12"/>
  <c r="H836" i="12"/>
  <c r="E837" i="12"/>
  <c r="F837" i="12"/>
  <c r="H837" i="12"/>
  <c r="F304" i="13"/>
  <c r="E304" i="13"/>
  <c r="F303" i="13"/>
  <c r="E303" i="13"/>
  <c r="F302" i="13"/>
  <c r="E302" i="13"/>
  <c r="F301" i="13"/>
  <c r="E301" i="13"/>
  <c r="H821" i="12"/>
  <c r="F821" i="12"/>
  <c r="E821" i="12"/>
  <c r="H805" i="12"/>
  <c r="F805" i="12"/>
  <c r="E805" i="12"/>
  <c r="H820" i="12"/>
  <c r="F820" i="12"/>
  <c r="E820" i="12"/>
  <c r="H804" i="12"/>
  <c r="F804" i="12"/>
  <c r="E804" i="12"/>
  <c r="H819" i="12"/>
  <c r="F819" i="12"/>
  <c r="E819" i="12"/>
  <c r="H818" i="12"/>
  <c r="F818" i="12"/>
  <c r="E818" i="12"/>
  <c r="H803" i="12"/>
  <c r="F803" i="12"/>
  <c r="E803" i="12"/>
  <c r="H817" i="12"/>
  <c r="F817" i="12"/>
  <c r="E817" i="12"/>
  <c r="H802" i="12"/>
  <c r="F802" i="12"/>
  <c r="E802" i="12"/>
  <c r="H816" i="12"/>
  <c r="F816" i="12"/>
  <c r="E816" i="12"/>
  <c r="H801" i="12"/>
  <c r="F801" i="12"/>
  <c r="E801" i="12"/>
  <c r="H815" i="12"/>
  <c r="F815" i="12"/>
  <c r="E815" i="12"/>
  <c r="H800" i="12"/>
  <c r="F800" i="12"/>
  <c r="E800" i="12"/>
  <c r="H814" i="12"/>
  <c r="F814" i="12"/>
  <c r="E814" i="12"/>
  <c r="H799" i="12"/>
  <c r="F799" i="12"/>
  <c r="E799" i="12"/>
  <c r="H813" i="12"/>
  <c r="F813" i="12"/>
  <c r="E813" i="12"/>
  <c r="H798" i="12"/>
  <c r="F798" i="12"/>
  <c r="E798" i="12"/>
  <c r="H812" i="12"/>
  <c r="F812" i="12"/>
  <c r="E812" i="12"/>
  <c r="H811" i="12"/>
  <c r="F811" i="12"/>
  <c r="E811" i="12"/>
  <c r="H810" i="12"/>
  <c r="F810" i="12"/>
  <c r="E810" i="12"/>
  <c r="H797" i="12"/>
  <c r="F797" i="12"/>
  <c r="E797" i="12"/>
  <c r="H809" i="12"/>
  <c r="F809" i="12"/>
  <c r="E809" i="12"/>
  <c r="H796" i="12"/>
  <c r="F796" i="12"/>
  <c r="E796" i="12"/>
  <c r="H808" i="12"/>
  <c r="F808" i="12"/>
  <c r="E808" i="12"/>
  <c r="H795" i="12"/>
  <c r="F795" i="12"/>
  <c r="E795" i="12"/>
  <c r="H807" i="12"/>
  <c r="F807" i="12"/>
  <c r="E807" i="12"/>
  <c r="H794" i="12"/>
  <c r="F794" i="12"/>
  <c r="E794" i="12"/>
  <c r="H806" i="12"/>
  <c r="F806" i="12"/>
  <c r="E806" i="12"/>
  <c r="H793" i="12"/>
  <c r="F793" i="12"/>
  <c r="E793" i="12"/>
  <c r="E755" i="12" l="1"/>
  <c r="F755" i="12"/>
  <c r="H755" i="12"/>
  <c r="E756" i="12"/>
  <c r="F756" i="12"/>
  <c r="H756" i="12"/>
  <c r="E757" i="12"/>
  <c r="F757" i="12"/>
  <c r="H757" i="12"/>
  <c r="E758" i="12"/>
  <c r="F758" i="12"/>
  <c r="H758" i="12"/>
  <c r="E759" i="12"/>
  <c r="F759" i="12"/>
  <c r="H759" i="12"/>
  <c r="E760" i="12"/>
  <c r="F760" i="12"/>
  <c r="H760" i="12"/>
  <c r="E761" i="12"/>
  <c r="F761" i="12"/>
  <c r="H761" i="12"/>
  <c r="E762" i="12"/>
  <c r="F762" i="12"/>
  <c r="H762" i="12"/>
  <c r="E763" i="12"/>
  <c r="F763" i="12"/>
  <c r="H763" i="12"/>
  <c r="E764" i="12"/>
  <c r="F764" i="12"/>
  <c r="H764" i="12"/>
  <c r="E765" i="12"/>
  <c r="F765" i="12"/>
  <c r="H765" i="12"/>
  <c r="E766" i="12"/>
  <c r="F766" i="12"/>
  <c r="H766" i="12"/>
  <c r="E767" i="12"/>
  <c r="F767" i="12"/>
  <c r="H767" i="12"/>
  <c r="E768" i="12"/>
  <c r="F768" i="12"/>
  <c r="H768" i="12"/>
  <c r="E769" i="12"/>
  <c r="F769" i="12"/>
  <c r="H769" i="12"/>
  <c r="E770" i="12"/>
  <c r="F770" i="12"/>
  <c r="H770" i="12"/>
  <c r="E771" i="12"/>
  <c r="F771" i="12"/>
  <c r="H771" i="12"/>
  <c r="E772" i="12"/>
  <c r="F772" i="12"/>
  <c r="H772" i="12"/>
  <c r="E773" i="12"/>
  <c r="F773" i="12"/>
  <c r="H773" i="12"/>
  <c r="E774" i="12"/>
  <c r="F774" i="12"/>
  <c r="H774" i="12"/>
  <c r="E775" i="12"/>
  <c r="F775" i="12"/>
  <c r="H775" i="12"/>
  <c r="E776" i="12"/>
  <c r="F776" i="12"/>
  <c r="H776" i="12"/>
  <c r="E777" i="12"/>
  <c r="F777" i="12"/>
  <c r="H777" i="12"/>
  <c r="E778" i="12"/>
  <c r="F778" i="12"/>
  <c r="H778" i="12"/>
  <c r="E779" i="12"/>
  <c r="F779" i="12"/>
  <c r="H779" i="12"/>
  <c r="E780" i="12"/>
  <c r="F780" i="12"/>
  <c r="H780" i="12"/>
  <c r="E781" i="12"/>
  <c r="F781" i="12"/>
  <c r="H781" i="12"/>
  <c r="E782" i="12"/>
  <c r="F782" i="12"/>
  <c r="H782" i="12"/>
  <c r="E783" i="12"/>
  <c r="F783" i="12"/>
  <c r="H783" i="12"/>
  <c r="E784" i="12"/>
  <c r="F784" i="12"/>
  <c r="H784" i="12"/>
  <c r="E785" i="12"/>
  <c r="F785" i="12"/>
  <c r="H785" i="12"/>
  <c r="E786" i="12"/>
  <c r="F786" i="12"/>
  <c r="H786" i="12"/>
  <c r="E787" i="12"/>
  <c r="F787" i="12"/>
  <c r="H787" i="12"/>
  <c r="E788" i="12"/>
  <c r="F788" i="12"/>
  <c r="H788" i="12"/>
  <c r="E789" i="12"/>
  <c r="F789" i="12"/>
  <c r="H789" i="12"/>
  <c r="E790" i="12"/>
  <c r="F790" i="12"/>
  <c r="H790" i="12"/>
  <c r="E791" i="12"/>
  <c r="F791" i="12"/>
  <c r="H791" i="12"/>
  <c r="E792" i="12"/>
  <c r="F792" i="12"/>
  <c r="H792" i="12"/>
  <c r="C15" i="15" l="1"/>
  <c r="L1058" i="11"/>
  <c r="I1058" i="11"/>
  <c r="G1058" i="11"/>
  <c r="F1058" i="11"/>
  <c r="E1058" i="11"/>
  <c r="L1057" i="11"/>
  <c r="I1057" i="11"/>
  <c r="G1057" i="11"/>
  <c r="F1057" i="11"/>
  <c r="E1057" i="11"/>
  <c r="B1057" i="11"/>
  <c r="L1056" i="11"/>
  <c r="I1056" i="11"/>
  <c r="G1056" i="11"/>
  <c r="F1056" i="11"/>
  <c r="E1056" i="11"/>
  <c r="B1056" i="11"/>
  <c r="L1055" i="11"/>
  <c r="I1055" i="11"/>
  <c r="G1055" i="11"/>
  <c r="F1055" i="11"/>
  <c r="E1055" i="11"/>
  <c r="B1055" i="11"/>
  <c r="L1054" i="11"/>
  <c r="I1054" i="11"/>
  <c r="G1054" i="11"/>
  <c r="F1054" i="11"/>
  <c r="E1054" i="11"/>
  <c r="B1054" i="11"/>
  <c r="L1053" i="11"/>
  <c r="I1053" i="11"/>
  <c r="G1053" i="11"/>
  <c r="F1053" i="11"/>
  <c r="E1053" i="11"/>
  <c r="B1053" i="11"/>
  <c r="L1052" i="11"/>
  <c r="I1052" i="11"/>
  <c r="G1052" i="11"/>
  <c r="F1052" i="11"/>
  <c r="E1052" i="11"/>
  <c r="B1052" i="11"/>
  <c r="L1051" i="11"/>
  <c r="I1051" i="11"/>
  <c r="G1051" i="11"/>
  <c r="F1051" i="11"/>
  <c r="E1051" i="11"/>
  <c r="B1051" i="11"/>
  <c r="D1047" i="12" l="1"/>
  <c r="D388" i="16"/>
  <c r="D1053" i="12"/>
  <c r="D389" i="16"/>
  <c r="D837" i="12"/>
  <c r="D384" i="16"/>
  <c r="D804" i="12"/>
  <c r="D382" i="16"/>
  <c r="D866" i="12"/>
  <c r="D386" i="16"/>
  <c r="D820" i="12"/>
  <c r="D383" i="16"/>
  <c r="D1043" i="12"/>
  <c r="D387" i="16"/>
  <c r="D851" i="12"/>
  <c r="D385" i="16"/>
  <c r="M1058" i="11"/>
  <c r="K1054" i="11"/>
  <c r="K1057" i="11"/>
  <c r="K1056" i="11"/>
  <c r="H1056" i="11"/>
  <c r="J1053" i="11"/>
  <c r="H1054" i="11"/>
  <c r="H1052" i="11"/>
  <c r="M1052" i="11"/>
  <c r="K1053" i="11"/>
  <c r="M1051" i="11"/>
  <c r="H1057" i="11"/>
  <c r="J1051" i="11"/>
  <c r="K1052" i="11"/>
  <c r="J1054" i="11"/>
  <c r="M1054" i="11"/>
  <c r="K1055" i="11"/>
  <c r="M1056" i="11"/>
  <c r="K1058" i="11"/>
  <c r="M1055" i="11"/>
  <c r="K1051" i="11"/>
  <c r="M1053" i="11"/>
  <c r="H1053" i="11"/>
  <c r="J1055" i="11"/>
  <c r="M1057" i="11"/>
  <c r="H1055" i="11"/>
  <c r="J1057" i="11"/>
  <c r="H1051" i="11"/>
  <c r="H1058" i="11"/>
  <c r="J1052" i="11"/>
  <c r="J1056" i="11"/>
  <c r="J1058" i="11"/>
  <c r="E741" i="12" l="1"/>
  <c r="F741" i="12"/>
  <c r="H741" i="12"/>
  <c r="E742" i="12"/>
  <c r="F742" i="12"/>
  <c r="H742" i="12"/>
  <c r="E743" i="12"/>
  <c r="F743" i="12"/>
  <c r="H743" i="12"/>
  <c r="E744" i="12"/>
  <c r="F744" i="12"/>
  <c r="H744" i="12"/>
  <c r="E745" i="12"/>
  <c r="F745" i="12"/>
  <c r="H745" i="12"/>
  <c r="E746" i="12"/>
  <c r="F746" i="12"/>
  <c r="H746" i="12"/>
  <c r="E747" i="12"/>
  <c r="F747" i="12"/>
  <c r="H747" i="12"/>
  <c r="E748" i="12"/>
  <c r="F748" i="12"/>
  <c r="H748" i="12"/>
  <c r="E749" i="12"/>
  <c r="F749" i="12"/>
  <c r="H749" i="12"/>
  <c r="E750" i="12"/>
  <c r="F750" i="12"/>
  <c r="H750" i="12"/>
  <c r="E751" i="12"/>
  <c r="F751" i="12"/>
  <c r="H751" i="12"/>
  <c r="E752" i="12"/>
  <c r="F752" i="12"/>
  <c r="H752" i="12"/>
  <c r="E753" i="12"/>
  <c r="F753" i="12"/>
  <c r="H753" i="12"/>
  <c r="E754" i="12"/>
  <c r="F754" i="12"/>
  <c r="H754" i="12"/>
  <c r="E728" i="12"/>
  <c r="F728" i="12"/>
  <c r="H728" i="12"/>
  <c r="E729" i="12"/>
  <c r="F729" i="12"/>
  <c r="H729" i="12"/>
  <c r="E730" i="12"/>
  <c r="F730" i="12"/>
  <c r="H730" i="12"/>
  <c r="E731" i="12"/>
  <c r="F731" i="12"/>
  <c r="H731" i="12"/>
  <c r="E732" i="12"/>
  <c r="F732" i="12"/>
  <c r="H732" i="12"/>
  <c r="E733" i="12"/>
  <c r="F733" i="12"/>
  <c r="H733" i="12"/>
  <c r="E734" i="12"/>
  <c r="F734" i="12"/>
  <c r="H734" i="12"/>
  <c r="E735" i="12"/>
  <c r="F735" i="12"/>
  <c r="H735" i="12"/>
  <c r="E736" i="12"/>
  <c r="F736" i="12"/>
  <c r="H736" i="12"/>
  <c r="E737" i="12"/>
  <c r="F737" i="12"/>
  <c r="H737" i="12"/>
  <c r="E738" i="12"/>
  <c r="F738" i="12"/>
  <c r="H738" i="12"/>
  <c r="E739" i="12"/>
  <c r="F739" i="12"/>
  <c r="H739" i="12"/>
  <c r="E740" i="12"/>
  <c r="F740" i="12"/>
  <c r="H740" i="12"/>
  <c r="E715" i="12"/>
  <c r="F715" i="12"/>
  <c r="H715" i="12"/>
  <c r="E716" i="12"/>
  <c r="F716" i="12"/>
  <c r="H716" i="12"/>
  <c r="E717" i="12"/>
  <c r="F717" i="12"/>
  <c r="H717" i="12"/>
  <c r="E718" i="12"/>
  <c r="F718" i="12"/>
  <c r="H718" i="12"/>
  <c r="E719" i="12"/>
  <c r="F719" i="12"/>
  <c r="H719" i="12"/>
  <c r="E720" i="12"/>
  <c r="F720" i="12"/>
  <c r="H720" i="12"/>
  <c r="E721" i="12"/>
  <c r="F721" i="12"/>
  <c r="H721" i="12"/>
  <c r="E722" i="12"/>
  <c r="F722" i="12"/>
  <c r="H722" i="12"/>
  <c r="E723" i="12"/>
  <c r="F723" i="12"/>
  <c r="H723" i="12"/>
  <c r="E724" i="12"/>
  <c r="F724" i="12"/>
  <c r="H724" i="12"/>
  <c r="E725" i="12"/>
  <c r="F725" i="12"/>
  <c r="H725" i="12"/>
  <c r="E726" i="12"/>
  <c r="F726" i="12"/>
  <c r="H726" i="12"/>
  <c r="E727" i="12"/>
  <c r="F727" i="12"/>
  <c r="H727" i="12"/>
  <c r="B362" i="11" l="1"/>
  <c r="B363" i="11"/>
  <c r="D340" i="12" s="1"/>
  <c r="B364" i="11"/>
  <c r="B365" i="11"/>
  <c r="B366" i="11"/>
  <c r="B367" i="11"/>
  <c r="D330" i="12" s="1"/>
  <c r="B368" i="11"/>
  <c r="B369" i="11"/>
  <c r="B370" i="11"/>
  <c r="B371" i="11"/>
  <c r="B372" i="11"/>
  <c r="D326" i="12" s="1"/>
  <c r="B373" i="11"/>
  <c r="B374" i="11"/>
  <c r="B375" i="11"/>
  <c r="B376" i="11"/>
  <c r="B377" i="11"/>
  <c r="D352" i="12" s="1"/>
  <c r="B378" i="11"/>
  <c r="D360" i="12" s="1"/>
  <c r="B379" i="11"/>
  <c r="D345" i="12" s="1"/>
  <c r="B380" i="11"/>
  <c r="D361" i="12" s="1"/>
  <c r="B381" i="11"/>
  <c r="B382" i="11"/>
  <c r="B383" i="11"/>
  <c r="D365" i="12" s="1"/>
  <c r="B384" i="11"/>
  <c r="B385" i="11"/>
  <c r="B386" i="11"/>
  <c r="D510" i="12" s="1"/>
  <c r="B387" i="11"/>
  <c r="D523" i="12" s="1"/>
  <c r="B388" i="11"/>
  <c r="D533" i="12" s="1"/>
  <c r="B389" i="11"/>
  <c r="D546" i="12" s="1"/>
  <c r="B390" i="11"/>
  <c r="D586" i="12" s="1"/>
  <c r="B391" i="11"/>
  <c r="D554" i="12" s="1"/>
  <c r="B392" i="11"/>
  <c r="D142" i="12" s="1"/>
  <c r="B393" i="11"/>
  <c r="D514" i="12" s="1"/>
  <c r="B394" i="11"/>
  <c r="D488" i="12" s="1"/>
  <c r="B395" i="11"/>
  <c r="B396" i="11"/>
  <c r="D512" i="12" s="1"/>
  <c r="B397" i="11"/>
  <c r="B398" i="11"/>
  <c r="D535" i="12" s="1"/>
  <c r="B399" i="11"/>
  <c r="D548" i="12" s="1"/>
  <c r="B400" i="11"/>
  <c r="D563" i="12" s="1"/>
  <c r="B401" i="11"/>
  <c r="D575" i="12" s="1"/>
  <c r="B402" i="11"/>
  <c r="D537" i="12" s="1"/>
  <c r="B403" i="11"/>
  <c r="D550" i="12" s="1"/>
  <c r="B404" i="11"/>
  <c r="B405" i="11"/>
  <c r="B406" i="11"/>
  <c r="B407" i="11"/>
  <c r="D539" i="12" s="1"/>
  <c r="B408" i="11"/>
  <c r="D553" i="12" s="1"/>
  <c r="B409" i="11"/>
  <c r="D509" i="12" s="1"/>
  <c r="B410" i="11"/>
  <c r="D522" i="12" s="1"/>
  <c r="B411" i="11"/>
  <c r="D531" i="12" s="1"/>
  <c r="B412" i="11"/>
  <c r="D545" i="12" s="1"/>
  <c r="B413" i="11"/>
  <c r="D559" i="12" s="1"/>
  <c r="B414" i="11"/>
  <c r="D572" i="12" s="1"/>
  <c r="B415" i="11"/>
  <c r="B416" i="11"/>
  <c r="D578" i="12" s="1"/>
  <c r="B417" i="11"/>
  <c r="D593" i="12" s="1"/>
  <c r="B418" i="11"/>
  <c r="B419" i="11"/>
  <c r="D620" i="12" s="1"/>
  <c r="B420" i="11"/>
  <c r="B421" i="11"/>
  <c r="D641" i="12" s="1"/>
  <c r="B422" i="11"/>
  <c r="D579" i="12" s="1"/>
  <c r="B423" i="11"/>
  <c r="D145" i="12" s="1"/>
  <c r="B424" i="11"/>
  <c r="D149" i="12" s="1"/>
  <c r="B425" i="11"/>
  <c r="D151" i="12" s="1"/>
  <c r="B426" i="11"/>
  <c r="D154" i="12" s="1"/>
  <c r="B427" i="11"/>
  <c r="D558" i="12" s="1"/>
  <c r="B428" i="11"/>
  <c r="D571" i="12" s="1"/>
  <c r="B429" i="11"/>
  <c r="D583" i="12" s="1"/>
  <c r="B430" i="11"/>
  <c r="D597" i="12" s="1"/>
  <c r="B431" i="11"/>
  <c r="D584" i="12" s="1"/>
  <c r="B432" i="11"/>
  <c r="D598" i="12" s="1"/>
  <c r="B433" i="11"/>
  <c r="D520" i="12" s="1"/>
  <c r="B434" i="11"/>
  <c r="D529" i="12" s="1"/>
  <c r="B435" i="11"/>
  <c r="D543" i="12" s="1"/>
  <c r="B436" i="11"/>
  <c r="D556" i="12" s="1"/>
  <c r="B437" i="11"/>
  <c r="D569" i="12" s="1"/>
  <c r="B438" i="11"/>
  <c r="D494" i="12" s="1"/>
  <c r="B439" i="11"/>
  <c r="D507" i="12" s="1"/>
  <c r="B440" i="11"/>
  <c r="D519" i="12" s="1"/>
  <c r="B441" i="11"/>
  <c r="D528" i="12" s="1"/>
  <c r="B442" i="11"/>
  <c r="D542" i="12" s="1"/>
  <c r="B443" i="11"/>
  <c r="D581" i="12" s="1"/>
  <c r="B444" i="11"/>
  <c r="D594" i="12" s="1"/>
  <c r="B445" i="11"/>
  <c r="D493" i="12" s="1"/>
  <c r="B446" i="11"/>
  <c r="D506" i="12" s="1"/>
  <c r="B447" i="11"/>
  <c r="D518" i="12" s="1"/>
  <c r="B448" i="11"/>
  <c r="D540" i="12" s="1"/>
  <c r="B449" i="11"/>
  <c r="D541" i="12" s="1"/>
  <c r="B450" i="11"/>
  <c r="D608" i="12" s="1"/>
  <c r="B451" i="11"/>
  <c r="D555" i="12" s="1"/>
  <c r="B452" i="11"/>
  <c r="D580" i="12" s="1"/>
  <c r="B453" i="11"/>
  <c r="D595" i="12" s="1"/>
  <c r="B454" i="11"/>
  <c r="D521" i="12" s="1"/>
  <c r="B455" i="11"/>
  <c r="D544" i="12" s="1"/>
  <c r="B456" i="11"/>
  <c r="D557" i="12" s="1"/>
  <c r="B457" i="11"/>
  <c r="D560" i="12" s="1"/>
  <c r="B458" i="11"/>
  <c r="D573" i="12" s="1"/>
  <c r="B459" i="11"/>
  <c r="D585" i="12" s="1"/>
  <c r="B460" i="11"/>
  <c r="D599" i="12" s="1"/>
  <c r="B461" i="11"/>
  <c r="D570" i="12" s="1"/>
  <c r="B462" i="11"/>
  <c r="D564" i="12" s="1"/>
  <c r="B463" i="11"/>
  <c r="B464" i="11"/>
  <c r="B465" i="11"/>
  <c r="B466" i="11"/>
  <c r="D582" i="12" s="1"/>
  <c r="B467" i="11"/>
  <c r="D155" i="12" s="1"/>
  <c r="B468" i="11"/>
  <c r="B469" i="11"/>
  <c r="D673" i="12" s="1"/>
  <c r="B470" i="11"/>
  <c r="B471" i="11"/>
  <c r="B472" i="11"/>
  <c r="D596" i="12" s="1"/>
  <c r="B473" i="11"/>
  <c r="B474" i="11"/>
  <c r="D713" i="12" s="1"/>
  <c r="B475" i="11"/>
  <c r="B476" i="11"/>
  <c r="B477" i="11"/>
  <c r="D761" i="12" s="1"/>
  <c r="B478" i="11"/>
  <c r="D524" i="12" s="1"/>
  <c r="B479" i="11"/>
  <c r="D534" i="12" s="1"/>
  <c r="B480" i="11"/>
  <c r="D547" i="12" s="1"/>
  <c r="B481" i="11"/>
  <c r="D562" i="12" s="1"/>
  <c r="B482" i="11"/>
  <c r="D574" i="12" s="1"/>
  <c r="B483" i="11"/>
  <c r="D609" i="12" s="1"/>
  <c r="B484" i="11"/>
  <c r="B485" i="11"/>
  <c r="B486" i="11"/>
  <c r="D623" i="12" s="1"/>
  <c r="B487" i="11"/>
  <c r="D811" i="12" s="1"/>
  <c r="B488" i="11"/>
  <c r="D835" i="12" s="1"/>
  <c r="B489" i="11"/>
  <c r="D812" i="12" s="1"/>
  <c r="B490" i="11"/>
  <c r="D836" i="12" s="1"/>
  <c r="B491" i="11"/>
  <c r="D636" i="12" s="1"/>
  <c r="B492" i="11"/>
  <c r="D850" i="12" s="1"/>
  <c r="B493" i="11"/>
  <c r="D864" i="12" s="1"/>
  <c r="B494" i="11"/>
  <c r="D880" i="12" s="1"/>
  <c r="B495" i="11"/>
  <c r="D887" i="12" s="1"/>
  <c r="B496" i="11"/>
  <c r="D642" i="12" s="1"/>
  <c r="B497" i="11"/>
  <c r="D901" i="12" s="1"/>
  <c r="B498" i="11"/>
  <c r="D927" i="12" s="1"/>
  <c r="B499" i="11"/>
  <c r="D849" i="12" s="1"/>
  <c r="B500" i="11"/>
  <c r="D879" i="12" s="1"/>
  <c r="B501" i="11"/>
  <c r="D622" i="12" s="1"/>
  <c r="B502" i="11"/>
  <c r="D886" i="12" s="1"/>
  <c r="B503" i="11"/>
  <c r="D915" i="12" s="1"/>
  <c r="B504" i="11"/>
  <c r="D941" i="12" s="1"/>
  <c r="B505" i="11"/>
  <c r="D952" i="12" s="1"/>
  <c r="B506" i="11"/>
  <c r="D635" i="12" s="1"/>
  <c r="B507" i="11"/>
  <c r="D987" i="12" s="1"/>
  <c r="B508" i="11"/>
  <c r="D1012" i="12" s="1"/>
  <c r="B509" i="11"/>
  <c r="D187" i="12" s="1"/>
  <c r="B510" i="11"/>
  <c r="D192" i="12" s="1"/>
  <c r="B511" i="11"/>
  <c r="D200" i="12" s="1"/>
  <c r="B512" i="11"/>
  <c r="D209" i="12" s="1"/>
  <c r="B513" i="11"/>
  <c r="D224" i="12" s="1"/>
  <c r="B514" i="11"/>
  <c r="D328" i="12" s="1"/>
  <c r="B515" i="11"/>
  <c r="D339" i="12" s="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D419" i="16" s="1"/>
  <c r="B531" i="11"/>
  <c r="B532" i="11"/>
  <c r="B533" i="11"/>
  <c r="B534" i="11"/>
  <c r="B535" i="11"/>
  <c r="B536" i="11"/>
  <c r="D425" i="16" s="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D462" i="16" s="1"/>
  <c r="B557" i="11"/>
  <c r="B558" i="11"/>
  <c r="D466" i="16" s="1"/>
  <c r="B559" i="11"/>
  <c r="B560" i="11"/>
  <c r="D467" i="16" s="1"/>
  <c r="B561" i="11"/>
  <c r="B562" i="11"/>
  <c r="B563" i="11"/>
  <c r="B564" i="11"/>
  <c r="B565" i="11"/>
  <c r="D472" i="16" s="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D418" i="16" s="1"/>
  <c r="B583" i="11"/>
  <c r="B584" i="11"/>
  <c r="B585" i="11"/>
  <c r="B586" i="11"/>
  <c r="B587" i="11"/>
  <c r="D391" i="12" s="1"/>
  <c r="B588" i="11"/>
  <c r="B589" i="11"/>
  <c r="B590" i="11"/>
  <c r="B591" i="11"/>
  <c r="B592" i="11"/>
  <c r="B593" i="11"/>
  <c r="B594" i="11"/>
  <c r="D383" i="12" s="1"/>
  <c r="B595" i="11"/>
  <c r="D392" i="12" s="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D403" i="12" s="1"/>
  <c r="B609" i="11"/>
  <c r="B610" i="11"/>
  <c r="B611" i="11"/>
  <c r="B612" i="11"/>
  <c r="B613" i="11"/>
  <c r="B614" i="11"/>
  <c r="B615" i="11"/>
  <c r="D495" i="12" s="1"/>
  <c r="B616" i="11"/>
  <c r="D473" i="12" s="1"/>
  <c r="B617" i="11"/>
  <c r="B618" i="11"/>
  <c r="B619" i="11"/>
  <c r="B620" i="11"/>
  <c r="B621" i="11"/>
  <c r="D428" i="16" s="1"/>
  <c r="B622" i="11"/>
  <c r="B623" i="11"/>
  <c r="B624" i="11"/>
  <c r="B625" i="11"/>
  <c r="B626" i="11"/>
  <c r="B627" i="11"/>
  <c r="B628" i="11"/>
  <c r="B629" i="11"/>
  <c r="D433" i="16" s="1"/>
  <c r="B630" i="11"/>
  <c r="B631" i="11"/>
  <c r="B632" i="11"/>
  <c r="B633" i="11"/>
  <c r="D455" i="16" s="1"/>
  <c r="B634" i="11"/>
  <c r="D456" i="16" s="1"/>
  <c r="B635" i="11"/>
  <c r="D457" i="16" s="1"/>
  <c r="B636" i="11"/>
  <c r="D458" i="16" s="1"/>
  <c r="B637" i="11"/>
  <c r="B638" i="11"/>
  <c r="B639" i="11"/>
  <c r="B640" i="11"/>
  <c r="B641" i="11"/>
  <c r="B642" i="11"/>
  <c r="B643" i="11"/>
  <c r="B644" i="11"/>
  <c r="D460" i="16" s="1"/>
  <c r="B645" i="11"/>
  <c r="B646" i="11"/>
  <c r="B647" i="11"/>
  <c r="D576" i="12" s="1"/>
  <c r="B648" i="11"/>
  <c r="D587" i="12" s="1"/>
  <c r="B649" i="11"/>
  <c r="D588" i="12" s="1"/>
  <c r="B650" i="11"/>
  <c r="D589" i="12" s="1"/>
  <c r="B651" i="11"/>
  <c r="D600" i="12" s="1"/>
  <c r="B652" i="11"/>
  <c r="D613" i="12" s="1"/>
  <c r="B653" i="11"/>
  <c r="D627" i="12" s="1"/>
  <c r="B654" i="11"/>
  <c r="D647" i="12" s="1"/>
  <c r="B655" i="11"/>
  <c r="D657" i="12" s="1"/>
  <c r="B656" i="11"/>
  <c r="D667" i="12" s="1"/>
  <c r="B657" i="11"/>
  <c r="D675" i="12" s="1"/>
  <c r="B658" i="11"/>
  <c r="D1001" i="12" s="1"/>
  <c r="B659" i="11"/>
  <c r="D1008" i="12" s="1"/>
  <c r="B660" i="11"/>
  <c r="D1030" i="12" s="1"/>
  <c r="B661" i="11"/>
  <c r="D1077" i="12" s="1"/>
  <c r="B662" i="11"/>
  <c r="D1042" i="12" s="1"/>
  <c r="B663" i="11"/>
  <c r="D770" i="12" s="1"/>
  <c r="B664" i="11"/>
  <c r="D1045" i="12" s="1"/>
  <c r="B665" i="11"/>
  <c r="D1097" i="12" s="1"/>
  <c r="B666" i="11"/>
  <c r="D601" i="12" s="1"/>
  <c r="B667" i="11"/>
  <c r="D614" i="12" s="1"/>
  <c r="B668" i="11"/>
  <c r="D628" i="12" s="1"/>
  <c r="B669" i="11"/>
  <c r="D604" i="12" s="1"/>
  <c r="B670" i="11"/>
  <c r="D617" i="12" s="1"/>
  <c r="B671" i="11"/>
  <c r="D631" i="12" s="1"/>
  <c r="B672" i="11"/>
  <c r="D651" i="12" s="1"/>
  <c r="B673" i="11"/>
  <c r="D660" i="12" s="1"/>
  <c r="B674" i="11"/>
  <c r="D671" i="12" s="1"/>
  <c r="B675" i="11"/>
  <c r="D679" i="12" s="1"/>
  <c r="B676" i="11"/>
  <c r="D693" i="12" s="1"/>
  <c r="B677" i="11"/>
  <c r="D711" i="12" s="1"/>
  <c r="B678" i="11"/>
  <c r="D610" i="12" s="1"/>
  <c r="B679" i="11"/>
  <c r="D625" i="12" s="1"/>
  <c r="B680" i="11"/>
  <c r="D638" i="12" s="1"/>
  <c r="B681" i="11"/>
  <c r="D644" i="12" s="1"/>
  <c r="B682" i="11"/>
  <c r="D655" i="12" s="1"/>
  <c r="B683" i="11"/>
  <c r="D664" i="12" s="1"/>
  <c r="B684" i="11"/>
  <c r="D611" i="12" s="1"/>
  <c r="B685" i="11"/>
  <c r="D1084" i="12" s="1"/>
  <c r="B686" i="11"/>
  <c r="D1048" i="12" s="1"/>
  <c r="B687" i="11"/>
  <c r="D648" i="12" s="1"/>
  <c r="B688" i="11"/>
  <c r="D668" i="12" s="1"/>
  <c r="B689" i="11"/>
  <c r="D626" i="12" s="1"/>
  <c r="B690" i="11"/>
  <c r="D639" i="12" s="1"/>
  <c r="B691" i="11"/>
  <c r="D645" i="12" s="1"/>
  <c r="B692" i="11"/>
  <c r="D656" i="12" s="1"/>
  <c r="B693" i="11"/>
  <c r="D1052" i="12" s="1"/>
  <c r="B694" i="11"/>
  <c r="D1087" i="12" s="1"/>
  <c r="B695" i="11"/>
  <c r="D1061" i="12" s="1"/>
  <c r="B696" i="11"/>
  <c r="D1063" i="12" s="1"/>
  <c r="B697" i="11"/>
  <c r="D612" i="12" s="1"/>
  <c r="B698" i="11"/>
  <c r="D640" i="12" s="1"/>
  <c r="B699" i="11"/>
  <c r="D646" i="12" s="1"/>
  <c r="B700" i="11"/>
  <c r="D666" i="12" s="1"/>
  <c r="B701" i="11"/>
  <c r="D687" i="12" s="1"/>
  <c r="B702" i="11"/>
  <c r="D706" i="12" s="1"/>
  <c r="B703" i="11"/>
  <c r="D1081" i="12" s="1"/>
  <c r="B704" i="11"/>
  <c r="D1082" i="12" s="1"/>
  <c r="B705" i="11"/>
  <c r="D676" i="12" s="1"/>
  <c r="B706" i="11"/>
  <c r="D624" i="12" s="1"/>
  <c r="B707" i="11"/>
  <c r="D637" i="12" s="1"/>
  <c r="B708" i="11"/>
  <c r="D643" i="12" s="1"/>
  <c r="B709" i="11"/>
  <c r="D663" i="12" s="1"/>
  <c r="B710" i="11"/>
  <c r="D685" i="12" s="1"/>
  <c r="B711" i="11"/>
  <c r="D699" i="12" s="1"/>
  <c r="B712" i="11"/>
  <c r="D1059" i="12" s="1"/>
  <c r="B713" i="11"/>
  <c r="D1104" i="12" s="1"/>
  <c r="B714" i="11"/>
  <c r="D682" i="12" s="1"/>
  <c r="D695" i="12"/>
  <c r="D702" i="12"/>
  <c r="D722" i="12"/>
  <c r="B718" i="11"/>
  <c r="D734" i="12" s="1"/>
  <c r="B719" i="11"/>
  <c r="D748" i="12" s="1"/>
  <c r="B720" i="11"/>
  <c r="D662" i="12" s="1"/>
  <c r="B721" i="11"/>
  <c r="D684" i="12" s="1"/>
  <c r="B722" i="11"/>
  <c r="D698" i="12" s="1"/>
  <c r="B723" i="11"/>
  <c r="D704" i="12" s="1"/>
  <c r="B724" i="11"/>
  <c r="D665" i="12" s="1"/>
  <c r="B725" i="11"/>
  <c r="D686" i="12" s="1"/>
  <c r="B726" i="11"/>
  <c r="D700" i="12" s="1"/>
  <c r="B727" i="11"/>
  <c r="D705" i="12" s="1"/>
  <c r="B728" i="11"/>
  <c r="D621" i="12" s="1"/>
  <c r="B729" i="11"/>
  <c r="D634" i="12" s="1"/>
  <c r="B730" i="11"/>
  <c r="D696" i="12" s="1"/>
  <c r="B731" i="11"/>
  <c r="D723" i="12" s="1"/>
  <c r="B732" i="11"/>
  <c r="D727" i="12" s="1"/>
  <c r="B733" i="11"/>
  <c r="D735" i="12" s="1"/>
  <c r="B734" i="11"/>
  <c r="D1095" i="12" s="1"/>
  <c r="B735" i="11"/>
  <c r="D1085" i="12" s="1"/>
  <c r="B736" i="11"/>
  <c r="D690" i="12" s="1"/>
  <c r="B737" i="11"/>
  <c r="D719" i="12" s="1"/>
  <c r="B738" i="11"/>
  <c r="D688" i="12" s="1"/>
  <c r="B739" i="11"/>
  <c r="D674" i="12" s="1"/>
  <c r="B740" i="11"/>
  <c r="D701" i="12" s="1"/>
  <c r="B741" i="11"/>
  <c r="D1074" i="12" s="1"/>
  <c r="B742" i="11"/>
  <c r="D1102" i="12" s="1"/>
  <c r="B743" i="11"/>
  <c r="D967" i="12" s="1"/>
  <c r="B744" i="11"/>
  <c r="D988" i="12" s="1"/>
  <c r="B745" i="11"/>
  <c r="D714" i="12" s="1"/>
  <c r="B746" i="11"/>
  <c r="D721" i="12" s="1"/>
  <c r="B747" i="11"/>
  <c r="D654" i="12" s="1"/>
  <c r="B748" i="11"/>
  <c r="D661" i="12" s="1"/>
  <c r="B749" i="11"/>
  <c r="D683" i="12" s="1"/>
  <c r="B750" i="11"/>
  <c r="D697" i="12" s="1"/>
  <c r="B751" i="11"/>
  <c r="D703" i="12" s="1"/>
  <c r="B752" i="11"/>
  <c r="D724" i="12" s="1"/>
  <c r="B753" i="11"/>
  <c r="D733" i="12" s="1"/>
  <c r="B754" i="11"/>
  <c r="D747" i="12" s="1"/>
  <c r="B755" i="11"/>
  <c r="D1004" i="12" s="1"/>
  <c r="B756" i="11"/>
  <c r="D1014" i="12" s="1"/>
  <c r="B757" i="11"/>
  <c r="D762" i="12" s="1"/>
  <c r="B758" i="11"/>
  <c r="D776" i="12" s="1"/>
  <c r="B759" i="11"/>
  <c r="D1103" i="12" s="1"/>
  <c r="B760" i="11"/>
  <c r="D1031" i="12" s="1"/>
  <c r="B761" i="11"/>
  <c r="D708" i="12" s="1"/>
  <c r="B762" i="11"/>
  <c r="D1039" i="12" s="1"/>
  <c r="B763" i="11"/>
  <c r="D1088" i="12" s="1"/>
  <c r="B764" i="11"/>
  <c r="D1091" i="12" s="1"/>
  <c r="B765" i="11"/>
  <c r="D1100" i="12" s="1"/>
  <c r="B766" i="11"/>
  <c r="D716" i="12" s="1"/>
  <c r="B767" i="11"/>
  <c r="D689" i="12" s="1"/>
  <c r="B768" i="11"/>
  <c r="D707" i="12" s="1"/>
  <c r="B769" i="11"/>
  <c r="D715" i="12" s="1"/>
  <c r="B770" i="11"/>
  <c r="D731" i="12" s="1"/>
  <c r="B771" i="11"/>
  <c r="D745" i="12" s="1"/>
  <c r="B772" i="11"/>
  <c r="D736" i="12" s="1"/>
  <c r="B773" i="11"/>
  <c r="D750" i="12" s="1"/>
  <c r="B774" i="11"/>
  <c r="D749" i="12" s="1"/>
  <c r="B775" i="11"/>
  <c r="D725" i="12" s="1"/>
  <c r="B776" i="11"/>
  <c r="B777" i="11"/>
  <c r="D765" i="12" s="1"/>
  <c r="B778" i="11"/>
  <c r="D751" i="12" s="1"/>
  <c r="B779" i="11"/>
  <c r="D766" i="12" s="1"/>
  <c r="B780" i="11"/>
  <c r="D780" i="12" s="1"/>
  <c r="B781" i="11"/>
  <c r="D789" i="12" s="1"/>
  <c r="B782" i="11"/>
  <c r="D768" i="12" s="1"/>
  <c r="B783" i="11"/>
  <c r="D781" i="12" s="1"/>
  <c r="B784" i="11"/>
  <c r="D791" i="12" s="1"/>
  <c r="B785" i="11"/>
  <c r="D739" i="12" s="1"/>
  <c r="B786" i="11"/>
  <c r="D753" i="12" s="1"/>
  <c r="B787" i="11"/>
  <c r="D1090" i="12" s="1"/>
  <c r="B788" i="11"/>
  <c r="D1079" i="12" s="1"/>
  <c r="B789" i="11"/>
  <c r="D677" i="12" s="1"/>
  <c r="B790" i="11"/>
  <c r="D691" i="12" s="1"/>
  <c r="B791" i="11"/>
  <c r="D709" i="12" s="1"/>
  <c r="B792" i="11"/>
  <c r="D717" i="12" s="1"/>
  <c r="B793" i="11"/>
  <c r="B794" i="11"/>
  <c r="D1076" i="12" s="1"/>
  <c r="B795" i="11"/>
  <c r="D742" i="12" s="1"/>
  <c r="B796" i="11"/>
  <c r="D602" i="12" s="1"/>
  <c r="B797" i="11"/>
  <c r="D615" i="12" s="1"/>
  <c r="B798" i="11"/>
  <c r="D629" i="12" s="1"/>
  <c r="B799" i="11"/>
  <c r="D649" i="12" s="1"/>
  <c r="B800" i="11"/>
  <c r="D658" i="12" s="1"/>
  <c r="B801" i="11"/>
  <c r="D669" i="12" s="1"/>
  <c r="B802" i="11"/>
  <c r="D729" i="12" s="1"/>
  <c r="B803" i="11"/>
  <c r="D743" i="12" s="1"/>
  <c r="B804" i="11"/>
  <c r="D757" i="12" s="1"/>
  <c r="B805" i="11"/>
  <c r="D1067" i="12" s="1"/>
  <c r="B806" i="11"/>
  <c r="D1064" i="12" s="1"/>
  <c r="B807" i="11"/>
  <c r="D756" i="12" s="1"/>
  <c r="B808" i="11"/>
  <c r="D728" i="12" s="1"/>
  <c r="B809" i="11"/>
  <c r="D741" i="12" s="1"/>
  <c r="B810" i="11"/>
  <c r="D1069" i="12" s="1"/>
  <c r="B811" i="11"/>
  <c r="D1071" i="12" s="1"/>
  <c r="B812" i="11"/>
  <c r="D740" i="12" s="1"/>
  <c r="B813" i="11"/>
  <c r="D726" i="12" s="1"/>
  <c r="B814" i="11"/>
  <c r="D738" i="12" s="1"/>
  <c r="B815" i="11"/>
  <c r="D752" i="12" s="1"/>
  <c r="B816" i="11"/>
  <c r="D767" i="12" s="1"/>
  <c r="B817" i="11"/>
  <c r="D790" i="12" s="1"/>
  <c r="B818" i="11"/>
  <c r="D603" i="12" s="1"/>
  <c r="B819" i="11"/>
  <c r="D616" i="12" s="1"/>
  <c r="B820" i="11"/>
  <c r="D630" i="12" s="1"/>
  <c r="B821" i="11"/>
  <c r="D650" i="12" s="1"/>
  <c r="B822" i="11"/>
  <c r="D659" i="12" s="1"/>
  <c r="B823" i="11"/>
  <c r="D670" i="12" s="1"/>
  <c r="B824" i="11"/>
  <c r="D678" i="12" s="1"/>
  <c r="B825" i="11"/>
  <c r="D692" i="12" s="1"/>
  <c r="B826" i="11"/>
  <c r="D754" i="12" s="1"/>
  <c r="B827" i="11"/>
  <c r="D819" i="12" s="1"/>
  <c r="B828" i="11"/>
  <c r="D1046" i="12" s="1"/>
  <c r="B829" i="11"/>
  <c r="D710" i="12" s="1"/>
  <c r="B830" i="11"/>
  <c r="D771" i="12" s="1"/>
  <c r="B831" i="11"/>
  <c r="D784" i="12" s="1"/>
  <c r="B832" i="11"/>
  <c r="D795" i="12" s="1"/>
  <c r="B833" i="11"/>
  <c r="D808" i="12" s="1"/>
  <c r="B834" i="11"/>
  <c r="D926" i="12" s="1"/>
  <c r="B835" i="11"/>
  <c r="D940" i="12" s="1"/>
  <c r="B836" i="11"/>
  <c r="D895" i="12" s="1"/>
  <c r="B837" i="11"/>
  <c r="D718" i="12" s="1"/>
  <c r="B838" i="11"/>
  <c r="D730" i="12" s="1"/>
  <c r="B839" i="11"/>
  <c r="D744" i="12" s="1"/>
  <c r="B840" i="11"/>
  <c r="D758" i="12" s="1"/>
  <c r="B841" i="11"/>
  <c r="D772" i="12" s="1"/>
  <c r="B842" i="11"/>
  <c r="D785" i="12" s="1"/>
  <c r="B843" i="11"/>
  <c r="D796" i="12" s="1"/>
  <c r="B844" i="11"/>
  <c r="D909" i="12" s="1"/>
  <c r="B845" i="11"/>
  <c r="D1080" i="12" s="1"/>
  <c r="B846" i="11"/>
  <c r="D763" i="12" s="1"/>
  <c r="B847" i="11"/>
  <c r="D777" i="12" s="1"/>
  <c r="B848" i="11"/>
  <c r="D798" i="12" s="1"/>
  <c r="B849" i="11"/>
  <c r="D813" i="12" s="1"/>
  <c r="B850" i="11"/>
  <c r="D778" i="12" s="1"/>
  <c r="B851" i="11"/>
  <c r="D764" i="12" s="1"/>
  <c r="B852" i="11"/>
  <c r="D779" i="12" s="1"/>
  <c r="B853" i="11"/>
  <c r="D788" i="12" s="1"/>
  <c r="B854" i="11"/>
  <c r="D801" i="12" s="1"/>
  <c r="B855" i="11"/>
  <c r="D816" i="12" s="1"/>
  <c r="B856" i="11"/>
  <c r="D826" i="12" s="1"/>
  <c r="B857" i="11"/>
  <c r="D858" i="12" s="1"/>
  <c r="B858" i="11"/>
  <c r="D1083" i="12" s="1"/>
  <c r="B859" i="11"/>
  <c r="D1065" i="12" s="1"/>
  <c r="B860" i="11"/>
  <c r="D908" i="12" s="1"/>
  <c r="B861" i="11"/>
  <c r="D923" i="12" s="1"/>
  <c r="B862" i="11"/>
  <c r="D936" i="12" s="1"/>
  <c r="B863" i="11"/>
  <c r="D755" i="12" s="1"/>
  <c r="B864" i="11"/>
  <c r="D769" i="12" s="1"/>
  <c r="B865" i="11"/>
  <c r="D782" i="12" s="1"/>
  <c r="B866" i="11"/>
  <c r="D829" i="12" s="1"/>
  <c r="B867" i="11"/>
  <c r="D843" i="12" s="1"/>
  <c r="B868" i="11"/>
  <c r="D793" i="12" s="1"/>
  <c r="B869" i="11"/>
  <c r="D806" i="12" s="1"/>
  <c r="B870" i="11"/>
  <c r="D830" i="12" s="1"/>
  <c r="B871" i="11"/>
  <c r="D844" i="12" s="1"/>
  <c r="B872" i="11"/>
  <c r="D859" i="12" s="1"/>
  <c r="B873" i="11"/>
  <c r="D875" i="12" s="1"/>
  <c r="B874" i="11"/>
  <c r="D874" i="12" s="1"/>
  <c r="B875" i="11"/>
  <c r="D959" i="12" s="1"/>
  <c r="B876" i="11"/>
  <c r="D979" i="12" s="1"/>
  <c r="B877" i="11"/>
  <c r="D977" i="12" s="1"/>
  <c r="B878" i="11"/>
  <c r="D998" i="12" s="1"/>
  <c r="B879" i="11"/>
  <c r="D905" i="12" s="1"/>
  <c r="B880" i="11"/>
  <c r="D792" i="12" s="1"/>
  <c r="B881" i="11"/>
  <c r="D805" i="12" s="1"/>
  <c r="B882" i="11"/>
  <c r="D783" i="12" s="1"/>
  <c r="B883" i="11"/>
  <c r="D794" i="12" s="1"/>
  <c r="B884" i="11"/>
  <c r="D807" i="12" s="1"/>
  <c r="B885" i="11"/>
  <c r="D831" i="12" s="1"/>
  <c r="B886" i="11"/>
  <c r="D845" i="12" s="1"/>
  <c r="B887" i="11"/>
  <c r="D860" i="12" s="1"/>
  <c r="B888" i="11"/>
  <c r="D876" i="12" s="1"/>
  <c r="B889" i="11"/>
  <c r="D882" i="12" s="1"/>
  <c r="B890" i="11"/>
  <c r="D898" i="12" s="1"/>
  <c r="B891" i="11"/>
  <c r="D912" i="12" s="1"/>
  <c r="B892" i="11"/>
  <c r="D1034" i="12" s="1"/>
  <c r="B893" i="11"/>
  <c r="D1055" i="12" s="1"/>
  <c r="B894" i="11"/>
  <c r="D871" i="12" s="1"/>
  <c r="B895" i="11"/>
  <c r="D1051" i="12" s="1"/>
  <c r="B896" i="11"/>
  <c r="D1038" i="12" s="1"/>
  <c r="B897" i="11"/>
  <c r="D802" i="12" s="1"/>
  <c r="B898" i="11"/>
  <c r="D817" i="12" s="1"/>
  <c r="B899" i="11"/>
  <c r="D827" i="12" s="1"/>
  <c r="B900" i="11"/>
  <c r="D841" i="12" s="1"/>
  <c r="B901" i="11"/>
  <c r="D856" i="12" s="1"/>
  <c r="B902" i="11"/>
  <c r="D872" i="12" s="1"/>
  <c r="B903" i="11"/>
  <c r="D803" i="12" s="1"/>
  <c r="B904" i="11"/>
  <c r="D818" i="12" s="1"/>
  <c r="B905" i="11"/>
  <c r="D828" i="12" s="1"/>
  <c r="B906" i="11"/>
  <c r="D842" i="12" s="1"/>
  <c r="B907" i="11"/>
  <c r="D857" i="12" s="1"/>
  <c r="B908" i="11"/>
  <c r="D873" i="12" s="1"/>
  <c r="B909" i="11"/>
  <c r="D1044" i="12" s="1"/>
  <c r="B910" i="11"/>
  <c r="D1058" i="12" s="1"/>
  <c r="B911" i="11"/>
  <c r="D892" i="12" s="1"/>
  <c r="B912" i="11"/>
  <c r="D823" i="12" s="1"/>
  <c r="B913" i="11"/>
  <c r="D852" i="12" s="1"/>
  <c r="B914" i="11"/>
  <c r="D868" i="12" s="1"/>
  <c r="B915" i="11"/>
  <c r="D848" i="12" s="1"/>
  <c r="B916" i="11"/>
  <c r="D863" i="12" s="1"/>
  <c r="B917" i="11"/>
  <c r="D878" i="12" s="1"/>
  <c r="B918" i="11"/>
  <c r="D885" i="12" s="1"/>
  <c r="B919" i="11"/>
  <c r="D900" i="12" s="1"/>
  <c r="B920" i="11"/>
  <c r="D914" i="12" s="1"/>
  <c r="B921" i="11"/>
  <c r="D889" i="12" s="1"/>
  <c r="B922" i="11"/>
  <c r="D902" i="12" s="1"/>
  <c r="B923" i="11"/>
  <c r="D929" i="12" s="1"/>
  <c r="B924" i="11"/>
  <c r="D855" i="12" s="1"/>
  <c r="B925" i="11"/>
  <c r="D832" i="12" s="1"/>
  <c r="B926" i="11"/>
  <c r="D846" i="12" s="1"/>
  <c r="B927" i="11"/>
  <c r="D861" i="12" s="1"/>
  <c r="B928" i="11"/>
  <c r="D877" i="12" s="1"/>
  <c r="B929" i="11"/>
  <c r="D883" i="12" s="1"/>
  <c r="B930" i="11"/>
  <c r="D899" i="12" s="1"/>
  <c r="B931" i="11"/>
  <c r="D1086" i="12" s="1"/>
  <c r="B932" i="11"/>
  <c r="D1054" i="12" s="1"/>
  <c r="B933" i="11"/>
  <c r="D1056" i="12" s="1"/>
  <c r="B934" i="11"/>
  <c r="D1060" i="12" s="1"/>
  <c r="B935" i="11"/>
  <c r="D894" i="12" s="1"/>
  <c r="B936" i="11"/>
  <c r="D907" i="12" s="1"/>
  <c r="B937" i="11"/>
  <c r="D786" i="12" s="1"/>
  <c r="B938" i="11"/>
  <c r="D799" i="12" s="1"/>
  <c r="B939" i="11"/>
  <c r="D814" i="12" s="1"/>
  <c r="B940" i="11"/>
  <c r="D824" i="12" s="1"/>
  <c r="B941" i="11"/>
  <c r="D839" i="12" s="1"/>
  <c r="B942" i="11"/>
  <c r="D853" i="12" s="1"/>
  <c r="B943" i="11"/>
  <c r="D869" i="12" s="1"/>
  <c r="B944" i="11"/>
  <c r="D890" i="12" s="1"/>
  <c r="B945" i="11"/>
  <c r="D787" i="12" s="1"/>
  <c r="B946" i="11"/>
  <c r="D800" i="12" s="1"/>
  <c r="B947" i="11"/>
  <c r="D1062" i="12" s="1"/>
  <c r="B948" i="11"/>
  <c r="D1070" i="12" s="1"/>
  <c r="B949" i="11"/>
  <c r="D919" i="12" s="1"/>
  <c r="B950" i="11"/>
  <c r="D1073" i="12" s="1"/>
  <c r="B951" i="11"/>
  <c r="D1016" i="12" s="1"/>
  <c r="B952" i="11"/>
  <c r="D815" i="12" s="1"/>
  <c r="B953" i="11"/>
  <c r="D825" i="12" s="1"/>
  <c r="B954" i="11"/>
  <c r="D840" i="12" s="1"/>
  <c r="B955" i="11"/>
  <c r="D854" i="12" s="1"/>
  <c r="B956" i="11"/>
  <c r="D870" i="12" s="1"/>
  <c r="B957" i="11"/>
  <c r="D891" i="12" s="1"/>
  <c r="B958" i="11"/>
  <c r="D904" i="12" s="1"/>
  <c r="B959" i="11"/>
  <c r="D821" i="12" s="1"/>
  <c r="B960" i="11"/>
  <c r="D822" i="12" s="1"/>
  <c r="B961" i="11"/>
  <c r="D838" i="12" s="1"/>
  <c r="B962" i="11"/>
  <c r="D865" i="12" s="1"/>
  <c r="B963" i="11"/>
  <c r="D867" i="12" s="1"/>
  <c r="B964" i="11"/>
  <c r="D1032" i="12" s="1"/>
  <c r="B965" i="11"/>
  <c r="D1068" i="12" s="1"/>
  <c r="B966" i="11"/>
  <c r="D945" i="12" s="1"/>
  <c r="B967" i="11"/>
  <c r="D1075" i="12" s="1"/>
  <c r="B968" i="11"/>
  <c r="D1049" i="12" s="1"/>
  <c r="B969" i="11"/>
  <c r="D913" i="12" s="1"/>
  <c r="B970" i="11"/>
  <c r="D810" i="12" s="1"/>
  <c r="B971" i="11"/>
  <c r="D834" i="12" s="1"/>
  <c r="B972" i="11"/>
  <c r="D759" i="12" s="1"/>
  <c r="B973" i="11"/>
  <c r="D773" i="12" s="1"/>
  <c r="B974" i="11"/>
  <c r="D797" i="12" s="1"/>
  <c r="B975" i="11"/>
  <c r="D1050" i="12" s="1"/>
  <c r="B976" i="11"/>
  <c r="D1078" i="12" s="1"/>
  <c r="D893" i="12"/>
  <c r="B978" i="11"/>
  <c r="D906" i="12" s="1"/>
  <c r="B979" i="11"/>
  <c r="D920" i="12" s="1"/>
  <c r="B980" i="11"/>
  <c r="D932" i="12" s="1"/>
  <c r="B981" i="11"/>
  <c r="D946" i="12" s="1"/>
  <c r="B982" i="11"/>
  <c r="D955" i="12" s="1"/>
  <c r="B983" i="11"/>
  <c r="D809" i="12" s="1"/>
  <c r="B984" i="11"/>
  <c r="D833" i="12" s="1"/>
  <c r="B985" i="11"/>
  <c r="D847" i="12" s="1"/>
  <c r="B986" i="11"/>
  <c r="D1101" i="12" s="1"/>
  <c r="B987" i="11"/>
  <c r="D1108" i="12" s="1"/>
  <c r="B988" i="11"/>
  <c r="D934" i="12" s="1"/>
  <c r="B989" i="11"/>
  <c r="D903" i="12" s="1"/>
  <c r="B990" i="11"/>
  <c r="D917" i="12" s="1"/>
  <c r="B991" i="11"/>
  <c r="D896" i="12" s="1"/>
  <c r="B992" i="11"/>
  <c r="D910" i="12" s="1"/>
  <c r="B993" i="11"/>
  <c r="D922" i="12" s="1"/>
  <c r="B994" i="11"/>
  <c r="D935" i="12" s="1"/>
  <c r="B995" i="11"/>
  <c r="D949" i="12" s="1"/>
  <c r="B996" i="11"/>
  <c r="D958" i="12" s="1"/>
  <c r="B997" i="11"/>
  <c r="D930" i="12" s="1"/>
  <c r="B998" i="11"/>
  <c r="D943" i="12" s="1"/>
  <c r="B999" i="11"/>
  <c r="D953" i="12" s="1"/>
  <c r="B1000" i="11"/>
  <c r="D921" i="12" s="1"/>
  <c r="B1001" i="11"/>
  <c r="D1107" i="12" s="1"/>
  <c r="B1002" i="11"/>
  <c r="D1089" i="12" s="1"/>
  <c r="B1003" i="11"/>
  <c r="D1092" i="12" s="1"/>
  <c r="B1004" i="11"/>
  <c r="D1109" i="12" s="1"/>
  <c r="B1005" i="11"/>
  <c r="D957" i="12" s="1"/>
  <c r="B1006" i="11"/>
  <c r="D933" i="12" s="1"/>
  <c r="B1007" i="11"/>
  <c r="D947" i="12" s="1"/>
  <c r="B1008" i="11"/>
  <c r="D956" i="12" s="1"/>
  <c r="B1009" i="11"/>
  <c r="D963" i="12" s="1"/>
  <c r="B1010" i="11"/>
  <c r="D972" i="12" s="1"/>
  <c r="B1011" i="11"/>
  <c r="D918" i="12" s="1"/>
  <c r="B1012" i="11"/>
  <c r="D931" i="12" s="1"/>
  <c r="B1013" i="11"/>
  <c r="D944" i="12" s="1"/>
  <c r="B1014" i="11"/>
  <c r="D954" i="12" s="1"/>
  <c r="B1015" i="11"/>
  <c r="D970" i="12" s="1"/>
  <c r="B1016" i="11"/>
  <c r="D982" i="12" s="1"/>
  <c r="B1017" i="11"/>
  <c r="D993" i="12" s="1"/>
  <c r="B1018" i="11"/>
  <c r="D1094" i="12" s="1"/>
  <c r="B1019" i="11"/>
  <c r="D1096" i="12" s="1"/>
  <c r="B1020" i="11"/>
  <c r="D1099" i="12" s="1"/>
  <c r="B1021" i="11"/>
  <c r="D1106" i="12" s="1"/>
  <c r="B1022" i="11"/>
  <c r="D881" i="12" s="1"/>
  <c r="B1023" i="11"/>
  <c r="D924" i="12" s="1"/>
  <c r="B1024" i="11"/>
  <c r="D938" i="12" s="1"/>
  <c r="B1025" i="11"/>
  <c r="D951" i="12" s="1"/>
  <c r="B1026" i="11"/>
  <c r="D965" i="12" s="1"/>
  <c r="B1027" i="11"/>
  <c r="D974" i="12" s="1"/>
  <c r="B1028" i="11"/>
  <c r="D925" i="12" s="1"/>
  <c r="B1029" i="11"/>
  <c r="D939" i="12" s="1"/>
  <c r="B1030" i="11"/>
  <c r="D966" i="12" s="1"/>
  <c r="B1031" i="11"/>
  <c r="D985" i="12" s="1"/>
  <c r="B1032" i="11"/>
  <c r="D995" i="12" s="1"/>
  <c r="B1033" i="11"/>
  <c r="D964" i="12" s="1"/>
  <c r="B1034" i="11"/>
  <c r="D973" i="12" s="1"/>
  <c r="B1035" i="11"/>
  <c r="D1111" i="12" s="1"/>
  <c r="B1036" i="11"/>
  <c r="D1112" i="12" s="1"/>
  <c r="B1037" i="11"/>
  <c r="D862" i="12" s="1"/>
  <c r="B1038" i="11"/>
  <c r="D1098" i="12" s="1"/>
  <c r="B1039" i="11"/>
  <c r="D1110" i="12" s="1"/>
  <c r="B1040" i="11"/>
  <c r="D984" i="12" s="1"/>
  <c r="B1041" i="11"/>
  <c r="D994" i="12" s="1"/>
  <c r="B1042" i="11"/>
  <c r="D1002" i="12" s="1"/>
  <c r="B1043" i="11"/>
  <c r="D1011" i="12" s="1"/>
  <c r="B1044" i="11"/>
  <c r="D1015" i="12" s="1"/>
  <c r="B1045" i="11"/>
  <c r="D1027" i="12" s="1"/>
  <c r="B1046" i="11"/>
  <c r="D971" i="12" s="1"/>
  <c r="B1047" i="11"/>
  <c r="D948" i="12" s="1"/>
  <c r="B1048" i="11"/>
  <c r="D961" i="12" s="1"/>
  <c r="B1049" i="11"/>
  <c r="D980" i="12" s="1"/>
  <c r="B1050" i="11"/>
  <c r="D1093" i="12" s="1"/>
  <c r="E830" i="11"/>
  <c r="F830" i="11"/>
  <c r="G830" i="11"/>
  <c r="I830" i="11"/>
  <c r="L830" i="11"/>
  <c r="E831" i="11"/>
  <c r="F831" i="11"/>
  <c r="G831" i="11"/>
  <c r="I831" i="11"/>
  <c r="L831" i="11"/>
  <c r="E832" i="11"/>
  <c r="F832" i="11"/>
  <c r="G832" i="11"/>
  <c r="I832" i="11"/>
  <c r="L832" i="11"/>
  <c r="E833" i="11"/>
  <c r="F833" i="11"/>
  <c r="G833" i="11"/>
  <c r="I833" i="11"/>
  <c r="L833" i="11"/>
  <c r="E834" i="11"/>
  <c r="F834" i="11"/>
  <c r="G834" i="11"/>
  <c r="I834" i="11"/>
  <c r="L834" i="11"/>
  <c r="E835" i="11"/>
  <c r="F835" i="11"/>
  <c r="G835" i="11"/>
  <c r="I835" i="11"/>
  <c r="L835" i="11"/>
  <c r="E836" i="11"/>
  <c r="F836" i="11"/>
  <c r="G836" i="11"/>
  <c r="I836" i="11"/>
  <c r="L836" i="11"/>
  <c r="E837" i="11"/>
  <c r="F837" i="11"/>
  <c r="G837" i="11"/>
  <c r="I837" i="11"/>
  <c r="L837" i="11"/>
  <c r="E838" i="11"/>
  <c r="F838" i="11"/>
  <c r="G838" i="11"/>
  <c r="I838" i="11"/>
  <c r="L838" i="11"/>
  <c r="E839" i="11"/>
  <c r="F839" i="11"/>
  <c r="G839" i="11"/>
  <c r="I839" i="11"/>
  <c r="L839" i="11"/>
  <c r="E840" i="11"/>
  <c r="F840" i="11"/>
  <c r="G840" i="11"/>
  <c r="I840" i="11"/>
  <c r="L840" i="11"/>
  <c r="E841" i="11"/>
  <c r="F841" i="11"/>
  <c r="G841" i="11"/>
  <c r="I841" i="11"/>
  <c r="L841" i="11"/>
  <c r="E842" i="11"/>
  <c r="F842" i="11"/>
  <c r="G842" i="11"/>
  <c r="I842" i="11"/>
  <c r="L842" i="11"/>
  <c r="E843" i="11"/>
  <c r="F843" i="11"/>
  <c r="G843" i="11"/>
  <c r="I843" i="11"/>
  <c r="L843" i="11"/>
  <c r="E844" i="11"/>
  <c r="F844" i="11"/>
  <c r="G844" i="11"/>
  <c r="I844" i="11"/>
  <c r="L844" i="11"/>
  <c r="E845" i="11"/>
  <c r="F845" i="11"/>
  <c r="G845" i="11"/>
  <c r="I845" i="11"/>
  <c r="L845" i="11"/>
  <c r="E846" i="11"/>
  <c r="F846" i="11"/>
  <c r="G846" i="11"/>
  <c r="I846" i="11"/>
  <c r="L846" i="11"/>
  <c r="E847" i="11"/>
  <c r="F847" i="11"/>
  <c r="G847" i="11"/>
  <c r="I847" i="11"/>
  <c r="L847" i="11"/>
  <c r="E848" i="11"/>
  <c r="F848" i="11"/>
  <c r="G848" i="11"/>
  <c r="I848" i="11"/>
  <c r="L848" i="11"/>
  <c r="E849" i="11"/>
  <c r="F849" i="11"/>
  <c r="G849" i="11"/>
  <c r="I849" i="11"/>
  <c r="L849" i="11"/>
  <c r="E850" i="11"/>
  <c r="F850" i="11"/>
  <c r="G850" i="11"/>
  <c r="I850" i="11"/>
  <c r="L850" i="11"/>
  <c r="E851" i="11"/>
  <c r="F851" i="11"/>
  <c r="G851" i="11"/>
  <c r="I851" i="11"/>
  <c r="L851" i="11"/>
  <c r="E852" i="11"/>
  <c r="F852" i="11"/>
  <c r="G852" i="11"/>
  <c r="I852" i="11"/>
  <c r="L852" i="11"/>
  <c r="E853" i="11"/>
  <c r="F853" i="11"/>
  <c r="G853" i="11"/>
  <c r="I853" i="11"/>
  <c r="L853" i="11"/>
  <c r="E854" i="11"/>
  <c r="F854" i="11"/>
  <c r="G854" i="11"/>
  <c r="I854" i="11"/>
  <c r="L854" i="11"/>
  <c r="E855" i="11"/>
  <c r="F855" i="11"/>
  <c r="G855" i="11"/>
  <c r="I855" i="11"/>
  <c r="L855" i="11"/>
  <c r="E856" i="11"/>
  <c r="F856" i="11"/>
  <c r="G856" i="11"/>
  <c r="I856" i="11"/>
  <c r="L856" i="11"/>
  <c r="E857" i="11"/>
  <c r="F857" i="11"/>
  <c r="G857" i="11"/>
  <c r="I857" i="11"/>
  <c r="L857" i="11"/>
  <c r="E858" i="11"/>
  <c r="F858" i="11"/>
  <c r="G858" i="11"/>
  <c r="I858" i="11"/>
  <c r="L858" i="11"/>
  <c r="E859" i="11"/>
  <c r="F859" i="11"/>
  <c r="G859" i="11"/>
  <c r="I859" i="11"/>
  <c r="L859" i="11"/>
  <c r="E860" i="11"/>
  <c r="F860" i="11"/>
  <c r="G860" i="11"/>
  <c r="I860" i="11"/>
  <c r="L860" i="11"/>
  <c r="E861" i="11"/>
  <c r="F861" i="11"/>
  <c r="G861" i="11"/>
  <c r="I861" i="11"/>
  <c r="L861" i="11"/>
  <c r="E862" i="11"/>
  <c r="F862" i="11"/>
  <c r="G862" i="11"/>
  <c r="I862" i="11"/>
  <c r="L862" i="11"/>
  <c r="E863" i="11"/>
  <c r="F863" i="11"/>
  <c r="G863" i="11"/>
  <c r="I863" i="11"/>
  <c r="L863" i="11"/>
  <c r="E864" i="11"/>
  <c r="F864" i="11"/>
  <c r="G864" i="11"/>
  <c r="I864" i="11"/>
  <c r="L864" i="11"/>
  <c r="E865" i="11"/>
  <c r="F865" i="11"/>
  <c r="G865" i="11"/>
  <c r="I865" i="11"/>
  <c r="L865" i="11"/>
  <c r="E866" i="11"/>
  <c r="F866" i="11"/>
  <c r="G866" i="11"/>
  <c r="I866" i="11"/>
  <c r="L866" i="11"/>
  <c r="E867" i="11"/>
  <c r="F867" i="11"/>
  <c r="G867" i="11"/>
  <c r="I867" i="11"/>
  <c r="L867" i="11"/>
  <c r="E868" i="11"/>
  <c r="F868" i="11"/>
  <c r="G868" i="11"/>
  <c r="I868" i="11"/>
  <c r="L868" i="11"/>
  <c r="E869" i="11"/>
  <c r="F869" i="11"/>
  <c r="G869" i="11"/>
  <c r="I869" i="11"/>
  <c r="L869" i="11"/>
  <c r="E870" i="11"/>
  <c r="F870" i="11"/>
  <c r="G870" i="11"/>
  <c r="I870" i="11"/>
  <c r="L870" i="11"/>
  <c r="E871" i="11"/>
  <c r="F871" i="11"/>
  <c r="G871" i="11"/>
  <c r="I871" i="11"/>
  <c r="L871" i="11"/>
  <c r="E872" i="11"/>
  <c r="F872" i="11"/>
  <c r="G872" i="11"/>
  <c r="I872" i="11"/>
  <c r="L872" i="11"/>
  <c r="E873" i="11"/>
  <c r="F873" i="11"/>
  <c r="G873" i="11"/>
  <c r="I873" i="11"/>
  <c r="L873" i="11"/>
  <c r="E874" i="11"/>
  <c r="F874" i="11"/>
  <c r="G874" i="11"/>
  <c r="I874" i="11"/>
  <c r="L874" i="11"/>
  <c r="E875" i="11"/>
  <c r="F875" i="11"/>
  <c r="G875" i="11"/>
  <c r="I875" i="11"/>
  <c r="L875" i="11"/>
  <c r="E876" i="11"/>
  <c r="F876" i="11"/>
  <c r="G876" i="11"/>
  <c r="I876" i="11"/>
  <c r="L876" i="11"/>
  <c r="E877" i="11"/>
  <c r="F877" i="11"/>
  <c r="G877" i="11"/>
  <c r="I877" i="11"/>
  <c r="L877" i="11"/>
  <c r="E878" i="11"/>
  <c r="F878" i="11"/>
  <c r="G878" i="11"/>
  <c r="I878" i="11"/>
  <c r="L878" i="11"/>
  <c r="E879" i="11"/>
  <c r="F879" i="11"/>
  <c r="G879" i="11"/>
  <c r="I879" i="11"/>
  <c r="L879" i="11"/>
  <c r="E880" i="11"/>
  <c r="F880" i="11"/>
  <c r="G880" i="11"/>
  <c r="I880" i="11"/>
  <c r="L880" i="11"/>
  <c r="E881" i="11"/>
  <c r="F881" i="11"/>
  <c r="G881" i="11"/>
  <c r="I881" i="11"/>
  <c r="L881" i="11"/>
  <c r="E882" i="11"/>
  <c r="F882" i="11"/>
  <c r="G882" i="11"/>
  <c r="I882" i="11"/>
  <c r="L882" i="11"/>
  <c r="E883" i="11"/>
  <c r="F883" i="11"/>
  <c r="G883" i="11"/>
  <c r="I883" i="11"/>
  <c r="L883" i="11"/>
  <c r="E884" i="11"/>
  <c r="F884" i="11"/>
  <c r="G884" i="11"/>
  <c r="I884" i="11"/>
  <c r="L884" i="11"/>
  <c r="E885" i="11"/>
  <c r="F885" i="11"/>
  <c r="G885" i="11"/>
  <c r="I885" i="11"/>
  <c r="L885" i="11"/>
  <c r="E886" i="11"/>
  <c r="F886" i="11"/>
  <c r="G886" i="11"/>
  <c r="I886" i="11"/>
  <c r="L886" i="11"/>
  <c r="E887" i="11"/>
  <c r="F887" i="11"/>
  <c r="G887" i="11"/>
  <c r="I887" i="11"/>
  <c r="L887" i="11"/>
  <c r="E888" i="11"/>
  <c r="F888" i="11"/>
  <c r="G888" i="11"/>
  <c r="I888" i="11"/>
  <c r="L888" i="11"/>
  <c r="E889" i="11"/>
  <c r="F889" i="11"/>
  <c r="G889" i="11"/>
  <c r="I889" i="11"/>
  <c r="L889" i="11"/>
  <c r="E890" i="11"/>
  <c r="F890" i="11"/>
  <c r="G890" i="11"/>
  <c r="I890" i="11"/>
  <c r="L890" i="11"/>
  <c r="E891" i="11"/>
  <c r="F891" i="11"/>
  <c r="G891" i="11"/>
  <c r="I891" i="11"/>
  <c r="L891" i="11"/>
  <c r="E892" i="11"/>
  <c r="F892" i="11"/>
  <c r="G892" i="11"/>
  <c r="I892" i="11"/>
  <c r="L892" i="11"/>
  <c r="E893" i="11"/>
  <c r="F893" i="11"/>
  <c r="G893" i="11"/>
  <c r="I893" i="11"/>
  <c r="L893" i="11"/>
  <c r="E894" i="11"/>
  <c r="F894" i="11"/>
  <c r="G894" i="11"/>
  <c r="I894" i="11"/>
  <c r="L894" i="11"/>
  <c r="E895" i="11"/>
  <c r="F895" i="11"/>
  <c r="G895" i="11"/>
  <c r="I895" i="11"/>
  <c r="L895" i="11"/>
  <c r="E896" i="11"/>
  <c r="F896" i="11"/>
  <c r="G896" i="11"/>
  <c r="I896" i="11"/>
  <c r="L896" i="11"/>
  <c r="E897" i="11"/>
  <c r="F897" i="11"/>
  <c r="G897" i="11"/>
  <c r="I897" i="11"/>
  <c r="L897" i="11"/>
  <c r="E898" i="11"/>
  <c r="F898" i="11"/>
  <c r="G898" i="11"/>
  <c r="I898" i="11"/>
  <c r="L898" i="11"/>
  <c r="E899" i="11"/>
  <c r="F899" i="11"/>
  <c r="G899" i="11"/>
  <c r="I899" i="11"/>
  <c r="L899" i="11"/>
  <c r="E900" i="11"/>
  <c r="F900" i="11"/>
  <c r="G900" i="11"/>
  <c r="I900" i="11"/>
  <c r="L900" i="11"/>
  <c r="E901" i="11"/>
  <c r="F901" i="11"/>
  <c r="G901" i="11"/>
  <c r="I901" i="11"/>
  <c r="L901" i="11"/>
  <c r="E902" i="11"/>
  <c r="F902" i="11"/>
  <c r="G902" i="11"/>
  <c r="I902" i="11"/>
  <c r="L902" i="11"/>
  <c r="E903" i="11"/>
  <c r="F903" i="11"/>
  <c r="G903" i="11"/>
  <c r="I903" i="11"/>
  <c r="L903" i="11"/>
  <c r="E904" i="11"/>
  <c r="F904" i="11"/>
  <c r="G904" i="11"/>
  <c r="I904" i="11"/>
  <c r="L904" i="11"/>
  <c r="E905" i="11"/>
  <c r="F905" i="11"/>
  <c r="G905" i="11"/>
  <c r="I905" i="11"/>
  <c r="L905" i="11"/>
  <c r="E906" i="11"/>
  <c r="F906" i="11"/>
  <c r="G906" i="11"/>
  <c r="I906" i="11"/>
  <c r="L906" i="11"/>
  <c r="E907" i="11"/>
  <c r="F907" i="11"/>
  <c r="G907" i="11"/>
  <c r="I907" i="11"/>
  <c r="L907" i="11"/>
  <c r="E908" i="11"/>
  <c r="F908" i="11"/>
  <c r="G908" i="11"/>
  <c r="I908" i="11"/>
  <c r="L908" i="11"/>
  <c r="E909" i="11"/>
  <c r="F909" i="11"/>
  <c r="G909" i="11"/>
  <c r="I909" i="11"/>
  <c r="L909" i="11"/>
  <c r="E910" i="11"/>
  <c r="F910" i="11"/>
  <c r="G910" i="11"/>
  <c r="I910" i="11"/>
  <c r="L910" i="11"/>
  <c r="E911" i="11"/>
  <c r="F911" i="11"/>
  <c r="G911" i="11"/>
  <c r="I911" i="11"/>
  <c r="L911" i="11"/>
  <c r="E912" i="11"/>
  <c r="F912" i="11"/>
  <c r="G912" i="11"/>
  <c r="I912" i="11"/>
  <c r="L912" i="11"/>
  <c r="E913" i="11"/>
  <c r="F913" i="11"/>
  <c r="G913" i="11"/>
  <c r="I913" i="11"/>
  <c r="L913" i="11"/>
  <c r="E914" i="11"/>
  <c r="F914" i="11"/>
  <c r="G914" i="11"/>
  <c r="I914" i="11"/>
  <c r="L914" i="11"/>
  <c r="E915" i="11"/>
  <c r="F915" i="11"/>
  <c r="G915" i="11"/>
  <c r="I915" i="11"/>
  <c r="L915" i="11"/>
  <c r="E916" i="11"/>
  <c r="F916" i="11"/>
  <c r="G916" i="11"/>
  <c r="I916" i="11"/>
  <c r="L916" i="11"/>
  <c r="E917" i="11"/>
  <c r="F917" i="11"/>
  <c r="G917" i="11"/>
  <c r="I917" i="11"/>
  <c r="L917" i="11"/>
  <c r="E918" i="11"/>
  <c r="F918" i="11"/>
  <c r="G918" i="11"/>
  <c r="I918" i="11"/>
  <c r="L918" i="11"/>
  <c r="E919" i="11"/>
  <c r="F919" i="11"/>
  <c r="G919" i="11"/>
  <c r="I919" i="11"/>
  <c r="L919" i="11"/>
  <c r="E920" i="11"/>
  <c r="F920" i="11"/>
  <c r="G920" i="11"/>
  <c r="I920" i="11"/>
  <c r="L920" i="11"/>
  <c r="E921" i="11"/>
  <c r="F921" i="11"/>
  <c r="G921" i="11"/>
  <c r="I921" i="11"/>
  <c r="L921" i="11"/>
  <c r="E922" i="11"/>
  <c r="F922" i="11"/>
  <c r="G922" i="11"/>
  <c r="I922" i="11"/>
  <c r="L922" i="11"/>
  <c r="E923" i="11"/>
  <c r="F923" i="11"/>
  <c r="G923" i="11"/>
  <c r="I923" i="11"/>
  <c r="L923" i="11"/>
  <c r="E924" i="11"/>
  <c r="F924" i="11"/>
  <c r="G924" i="11"/>
  <c r="I924" i="11"/>
  <c r="L924" i="11"/>
  <c r="E925" i="11"/>
  <c r="F925" i="11"/>
  <c r="G925" i="11"/>
  <c r="I925" i="11"/>
  <c r="L925" i="11"/>
  <c r="E926" i="11"/>
  <c r="F926" i="11"/>
  <c r="G926" i="11"/>
  <c r="I926" i="11"/>
  <c r="L926" i="11"/>
  <c r="E927" i="11"/>
  <c r="F927" i="11"/>
  <c r="G927" i="11"/>
  <c r="I927" i="11"/>
  <c r="L927" i="11"/>
  <c r="E928" i="11"/>
  <c r="F928" i="11"/>
  <c r="G928" i="11"/>
  <c r="I928" i="11"/>
  <c r="L928" i="11"/>
  <c r="E929" i="11"/>
  <c r="F929" i="11"/>
  <c r="G929" i="11"/>
  <c r="I929" i="11"/>
  <c r="L929" i="11"/>
  <c r="E930" i="11"/>
  <c r="F930" i="11"/>
  <c r="G930" i="11"/>
  <c r="I930" i="11"/>
  <c r="L930" i="11"/>
  <c r="E931" i="11"/>
  <c r="F931" i="11"/>
  <c r="G931" i="11"/>
  <c r="I931" i="11"/>
  <c r="L931" i="11"/>
  <c r="E932" i="11"/>
  <c r="F932" i="11"/>
  <c r="G932" i="11"/>
  <c r="I932" i="11"/>
  <c r="L932" i="11"/>
  <c r="E933" i="11"/>
  <c r="F933" i="11"/>
  <c r="G933" i="11"/>
  <c r="I933" i="11"/>
  <c r="L933" i="11"/>
  <c r="E934" i="11"/>
  <c r="F934" i="11"/>
  <c r="G934" i="11"/>
  <c r="I934" i="11"/>
  <c r="L934" i="11"/>
  <c r="E935" i="11"/>
  <c r="F935" i="11"/>
  <c r="G935" i="11"/>
  <c r="I935" i="11"/>
  <c r="L935" i="11"/>
  <c r="E936" i="11"/>
  <c r="F936" i="11"/>
  <c r="G936" i="11"/>
  <c r="I936" i="11"/>
  <c r="L936" i="11"/>
  <c r="E937" i="11"/>
  <c r="F937" i="11"/>
  <c r="G937" i="11"/>
  <c r="I937" i="11"/>
  <c r="L937" i="11"/>
  <c r="E938" i="11"/>
  <c r="F938" i="11"/>
  <c r="G938" i="11"/>
  <c r="I938" i="11"/>
  <c r="L938" i="11"/>
  <c r="E939" i="11"/>
  <c r="F939" i="11"/>
  <c r="G939" i="11"/>
  <c r="I939" i="11"/>
  <c r="L939" i="11"/>
  <c r="E940" i="11"/>
  <c r="F940" i="11"/>
  <c r="G940" i="11"/>
  <c r="I940" i="11"/>
  <c r="L940" i="11"/>
  <c r="E941" i="11"/>
  <c r="F941" i="11"/>
  <c r="G941" i="11"/>
  <c r="I941" i="11"/>
  <c r="L941" i="11"/>
  <c r="E942" i="11"/>
  <c r="F942" i="11"/>
  <c r="G942" i="11"/>
  <c r="I942" i="11"/>
  <c r="L942" i="11"/>
  <c r="E943" i="11"/>
  <c r="F943" i="11"/>
  <c r="G943" i="11"/>
  <c r="I943" i="11"/>
  <c r="L943" i="11"/>
  <c r="E944" i="11"/>
  <c r="F944" i="11"/>
  <c r="G944" i="11"/>
  <c r="I944" i="11"/>
  <c r="L944" i="11"/>
  <c r="E945" i="11"/>
  <c r="F945" i="11"/>
  <c r="G945" i="11"/>
  <c r="I945" i="11"/>
  <c r="L945" i="11"/>
  <c r="E946" i="11"/>
  <c r="F946" i="11"/>
  <c r="G946" i="11"/>
  <c r="I946" i="11"/>
  <c r="L946" i="11"/>
  <c r="E947" i="11"/>
  <c r="F947" i="11"/>
  <c r="G947" i="11"/>
  <c r="I947" i="11"/>
  <c r="L947" i="11"/>
  <c r="E948" i="11"/>
  <c r="F948" i="11"/>
  <c r="G948" i="11"/>
  <c r="I948" i="11"/>
  <c r="L948" i="11"/>
  <c r="E949" i="11"/>
  <c r="F949" i="11"/>
  <c r="G949" i="11"/>
  <c r="I949" i="11"/>
  <c r="L949" i="11"/>
  <c r="E950" i="11"/>
  <c r="F950" i="11"/>
  <c r="G950" i="11"/>
  <c r="I950" i="11"/>
  <c r="L950" i="11"/>
  <c r="E951" i="11"/>
  <c r="F951" i="11"/>
  <c r="G951" i="11"/>
  <c r="I951" i="11"/>
  <c r="L951" i="11"/>
  <c r="E952" i="11"/>
  <c r="F952" i="11"/>
  <c r="G952" i="11"/>
  <c r="I952" i="11"/>
  <c r="L952" i="11"/>
  <c r="E953" i="11"/>
  <c r="F953" i="11"/>
  <c r="G953" i="11"/>
  <c r="I953" i="11"/>
  <c r="L953" i="11"/>
  <c r="E954" i="11"/>
  <c r="F954" i="11"/>
  <c r="G954" i="11"/>
  <c r="I954" i="11"/>
  <c r="L954" i="11"/>
  <c r="E955" i="11"/>
  <c r="F955" i="11"/>
  <c r="G955" i="11"/>
  <c r="I955" i="11"/>
  <c r="L955" i="11"/>
  <c r="E956" i="11"/>
  <c r="F956" i="11"/>
  <c r="G956" i="11"/>
  <c r="I956" i="11"/>
  <c r="L956" i="11"/>
  <c r="E957" i="11"/>
  <c r="F957" i="11"/>
  <c r="G957" i="11"/>
  <c r="I957" i="11"/>
  <c r="L957" i="11"/>
  <c r="E958" i="11"/>
  <c r="F958" i="11"/>
  <c r="G958" i="11"/>
  <c r="I958" i="11"/>
  <c r="L958" i="11"/>
  <c r="E959" i="11"/>
  <c r="F959" i="11"/>
  <c r="G959" i="11"/>
  <c r="I959" i="11"/>
  <c r="L959" i="11"/>
  <c r="E960" i="11"/>
  <c r="F960" i="11"/>
  <c r="G960" i="11"/>
  <c r="I960" i="11"/>
  <c r="L960" i="11"/>
  <c r="E961" i="11"/>
  <c r="F961" i="11"/>
  <c r="G961" i="11"/>
  <c r="I961" i="11"/>
  <c r="L961" i="11"/>
  <c r="E962" i="11"/>
  <c r="F962" i="11"/>
  <c r="G962" i="11"/>
  <c r="I962" i="11"/>
  <c r="L962" i="11"/>
  <c r="E963" i="11"/>
  <c r="F963" i="11"/>
  <c r="G963" i="11"/>
  <c r="I963" i="11"/>
  <c r="L963" i="11"/>
  <c r="E964" i="11"/>
  <c r="F964" i="11"/>
  <c r="G964" i="11"/>
  <c r="I964" i="11"/>
  <c r="L964" i="11"/>
  <c r="E965" i="11"/>
  <c r="F965" i="11"/>
  <c r="G965" i="11"/>
  <c r="I965" i="11"/>
  <c r="L965" i="11"/>
  <c r="E966" i="11"/>
  <c r="F966" i="11"/>
  <c r="G966" i="11"/>
  <c r="I966" i="11"/>
  <c r="L966" i="11"/>
  <c r="E967" i="11"/>
  <c r="F967" i="11"/>
  <c r="G967" i="11"/>
  <c r="I967" i="11"/>
  <c r="L967" i="11"/>
  <c r="E968" i="11"/>
  <c r="F968" i="11"/>
  <c r="G968" i="11"/>
  <c r="I968" i="11"/>
  <c r="L968" i="11"/>
  <c r="E969" i="11"/>
  <c r="F969" i="11"/>
  <c r="G969" i="11"/>
  <c r="I969" i="11"/>
  <c r="L969" i="11"/>
  <c r="E970" i="11"/>
  <c r="F970" i="11"/>
  <c r="G970" i="11"/>
  <c r="I970" i="11"/>
  <c r="L970" i="11"/>
  <c r="E971" i="11"/>
  <c r="F971" i="11"/>
  <c r="G971" i="11"/>
  <c r="I971" i="11"/>
  <c r="L971" i="11"/>
  <c r="E972" i="11"/>
  <c r="F972" i="11"/>
  <c r="G972" i="11"/>
  <c r="I972" i="11"/>
  <c r="L972" i="11"/>
  <c r="E973" i="11"/>
  <c r="F973" i="11"/>
  <c r="G973" i="11"/>
  <c r="I973" i="11"/>
  <c r="L973" i="11"/>
  <c r="E974" i="11"/>
  <c r="F974" i="11"/>
  <c r="G974" i="11"/>
  <c r="I974" i="11"/>
  <c r="L974" i="11"/>
  <c r="E975" i="11"/>
  <c r="F975" i="11"/>
  <c r="G975" i="11"/>
  <c r="I975" i="11"/>
  <c r="L975" i="11"/>
  <c r="E976" i="11"/>
  <c r="F976" i="11"/>
  <c r="G976" i="11"/>
  <c r="I976" i="11"/>
  <c r="L976" i="11"/>
  <c r="E977" i="11"/>
  <c r="F977" i="11"/>
  <c r="G977" i="11"/>
  <c r="I977" i="11"/>
  <c r="L977" i="11"/>
  <c r="E978" i="11"/>
  <c r="F978" i="11"/>
  <c r="G978" i="11"/>
  <c r="I978" i="11"/>
  <c r="L978" i="11"/>
  <c r="E979" i="11"/>
  <c r="F979" i="11"/>
  <c r="G979" i="11"/>
  <c r="I979" i="11"/>
  <c r="L979" i="11"/>
  <c r="E980" i="11"/>
  <c r="F980" i="11"/>
  <c r="G980" i="11"/>
  <c r="I980" i="11"/>
  <c r="L980" i="11"/>
  <c r="E981" i="11"/>
  <c r="F981" i="11"/>
  <c r="G981" i="11"/>
  <c r="I981" i="11"/>
  <c r="L981" i="11"/>
  <c r="E982" i="11"/>
  <c r="F982" i="11"/>
  <c r="G982" i="11"/>
  <c r="I982" i="11"/>
  <c r="L982" i="11"/>
  <c r="E983" i="11"/>
  <c r="F983" i="11"/>
  <c r="G983" i="11"/>
  <c r="I983" i="11"/>
  <c r="L983" i="11"/>
  <c r="E984" i="11"/>
  <c r="F984" i="11"/>
  <c r="G984" i="11"/>
  <c r="I984" i="11"/>
  <c r="L984" i="11"/>
  <c r="E985" i="11"/>
  <c r="F985" i="11"/>
  <c r="G985" i="11"/>
  <c r="I985" i="11"/>
  <c r="L985" i="11"/>
  <c r="E986" i="11"/>
  <c r="F986" i="11"/>
  <c r="G986" i="11"/>
  <c r="I986" i="11"/>
  <c r="L986" i="11"/>
  <c r="E987" i="11"/>
  <c r="F987" i="11"/>
  <c r="G987" i="11"/>
  <c r="I987" i="11"/>
  <c r="L987" i="11"/>
  <c r="E988" i="11"/>
  <c r="F988" i="11"/>
  <c r="G988" i="11"/>
  <c r="I988" i="11"/>
  <c r="L988" i="11"/>
  <c r="E989" i="11"/>
  <c r="F989" i="11"/>
  <c r="G989" i="11"/>
  <c r="I989" i="11"/>
  <c r="L989" i="11"/>
  <c r="E990" i="11"/>
  <c r="F990" i="11"/>
  <c r="G990" i="11"/>
  <c r="I990" i="11"/>
  <c r="L990" i="11"/>
  <c r="E991" i="11"/>
  <c r="F991" i="11"/>
  <c r="G991" i="11"/>
  <c r="I991" i="11"/>
  <c r="L991" i="11"/>
  <c r="E992" i="11"/>
  <c r="F992" i="11"/>
  <c r="G992" i="11"/>
  <c r="I992" i="11"/>
  <c r="L992" i="11"/>
  <c r="E993" i="11"/>
  <c r="F993" i="11"/>
  <c r="G993" i="11"/>
  <c r="I993" i="11"/>
  <c r="L993" i="11"/>
  <c r="E994" i="11"/>
  <c r="F994" i="11"/>
  <c r="G994" i="11"/>
  <c r="I994" i="11"/>
  <c r="L994" i="11"/>
  <c r="E995" i="11"/>
  <c r="F995" i="11"/>
  <c r="G995" i="11"/>
  <c r="I995" i="11"/>
  <c r="L995" i="11"/>
  <c r="E996" i="11"/>
  <c r="F996" i="11"/>
  <c r="G996" i="11"/>
  <c r="I996" i="11"/>
  <c r="L996" i="11"/>
  <c r="E997" i="11"/>
  <c r="F997" i="11"/>
  <c r="G997" i="11"/>
  <c r="I997" i="11"/>
  <c r="L997" i="11"/>
  <c r="E998" i="11"/>
  <c r="F998" i="11"/>
  <c r="G998" i="11"/>
  <c r="I998" i="11"/>
  <c r="L998" i="11"/>
  <c r="E999" i="11"/>
  <c r="F999" i="11"/>
  <c r="G999" i="11"/>
  <c r="I999" i="11"/>
  <c r="L999" i="11"/>
  <c r="E1000" i="11"/>
  <c r="F1000" i="11"/>
  <c r="G1000" i="11"/>
  <c r="I1000" i="11"/>
  <c r="L1000" i="11"/>
  <c r="E1001" i="11"/>
  <c r="F1001" i="11"/>
  <c r="G1001" i="11"/>
  <c r="I1001" i="11"/>
  <c r="L1001" i="11"/>
  <c r="E1002" i="11"/>
  <c r="F1002" i="11"/>
  <c r="G1002" i="11"/>
  <c r="I1002" i="11"/>
  <c r="L1002" i="11"/>
  <c r="E1003" i="11"/>
  <c r="F1003" i="11"/>
  <c r="G1003" i="11"/>
  <c r="I1003" i="11"/>
  <c r="L1003" i="11"/>
  <c r="E1004" i="11"/>
  <c r="F1004" i="11"/>
  <c r="G1004" i="11"/>
  <c r="I1004" i="11"/>
  <c r="L1004" i="11"/>
  <c r="E1005" i="11"/>
  <c r="F1005" i="11"/>
  <c r="G1005" i="11"/>
  <c r="I1005" i="11"/>
  <c r="L1005" i="11"/>
  <c r="E1006" i="11"/>
  <c r="F1006" i="11"/>
  <c r="G1006" i="11"/>
  <c r="I1006" i="11"/>
  <c r="L1006" i="11"/>
  <c r="E1007" i="11"/>
  <c r="F1007" i="11"/>
  <c r="G1007" i="11"/>
  <c r="I1007" i="11"/>
  <c r="L1007" i="11"/>
  <c r="E1008" i="11"/>
  <c r="F1008" i="11"/>
  <c r="G1008" i="11"/>
  <c r="I1008" i="11"/>
  <c r="L1008" i="11"/>
  <c r="E1009" i="11"/>
  <c r="F1009" i="11"/>
  <c r="G1009" i="11"/>
  <c r="I1009" i="11"/>
  <c r="L1009" i="11"/>
  <c r="E1010" i="11"/>
  <c r="F1010" i="11"/>
  <c r="G1010" i="11"/>
  <c r="I1010" i="11"/>
  <c r="L1010" i="11"/>
  <c r="E1011" i="11"/>
  <c r="F1011" i="11"/>
  <c r="G1011" i="11"/>
  <c r="I1011" i="11"/>
  <c r="L1011" i="11"/>
  <c r="E1012" i="11"/>
  <c r="F1012" i="11"/>
  <c r="G1012" i="11"/>
  <c r="I1012" i="11"/>
  <c r="L1012" i="11"/>
  <c r="E1013" i="11"/>
  <c r="F1013" i="11"/>
  <c r="G1013" i="11"/>
  <c r="I1013" i="11"/>
  <c r="L1013" i="11"/>
  <c r="E1014" i="11"/>
  <c r="F1014" i="11"/>
  <c r="G1014" i="11"/>
  <c r="I1014" i="11"/>
  <c r="L1014" i="11"/>
  <c r="E1015" i="11"/>
  <c r="F1015" i="11"/>
  <c r="G1015" i="11"/>
  <c r="I1015" i="11"/>
  <c r="L1015" i="11"/>
  <c r="E1016" i="11"/>
  <c r="F1016" i="11"/>
  <c r="G1016" i="11"/>
  <c r="I1016" i="11"/>
  <c r="L1016" i="11"/>
  <c r="E1017" i="11"/>
  <c r="F1017" i="11"/>
  <c r="G1017" i="11"/>
  <c r="I1017" i="11"/>
  <c r="L1017" i="11"/>
  <c r="E1018" i="11"/>
  <c r="F1018" i="11"/>
  <c r="G1018" i="11"/>
  <c r="I1018" i="11"/>
  <c r="L1018" i="11"/>
  <c r="E1019" i="11"/>
  <c r="F1019" i="11"/>
  <c r="G1019" i="11"/>
  <c r="I1019" i="11"/>
  <c r="L1019" i="11"/>
  <c r="E1020" i="11"/>
  <c r="F1020" i="11"/>
  <c r="G1020" i="11"/>
  <c r="I1020" i="11"/>
  <c r="L1020" i="11"/>
  <c r="E1021" i="11"/>
  <c r="F1021" i="11"/>
  <c r="G1021" i="11"/>
  <c r="I1021" i="11"/>
  <c r="L1021" i="11"/>
  <c r="E1022" i="11"/>
  <c r="F1022" i="11"/>
  <c r="G1022" i="11"/>
  <c r="I1022" i="11"/>
  <c r="L1022" i="11"/>
  <c r="E1023" i="11"/>
  <c r="F1023" i="11"/>
  <c r="G1023" i="11"/>
  <c r="I1023" i="11"/>
  <c r="L1023" i="11"/>
  <c r="E1024" i="11"/>
  <c r="F1024" i="11"/>
  <c r="G1024" i="11"/>
  <c r="I1024" i="11"/>
  <c r="L1024" i="11"/>
  <c r="E1025" i="11"/>
  <c r="F1025" i="11"/>
  <c r="G1025" i="11"/>
  <c r="I1025" i="11"/>
  <c r="L1025" i="11"/>
  <c r="E1026" i="11"/>
  <c r="F1026" i="11"/>
  <c r="G1026" i="11"/>
  <c r="I1026" i="11"/>
  <c r="L1026" i="11"/>
  <c r="E1027" i="11"/>
  <c r="F1027" i="11"/>
  <c r="G1027" i="11"/>
  <c r="I1027" i="11"/>
  <c r="L1027" i="11"/>
  <c r="E1028" i="11"/>
  <c r="F1028" i="11"/>
  <c r="G1028" i="11"/>
  <c r="I1028" i="11"/>
  <c r="L1028" i="11"/>
  <c r="E1029" i="11"/>
  <c r="F1029" i="11"/>
  <c r="G1029" i="11"/>
  <c r="I1029" i="11"/>
  <c r="L1029" i="11"/>
  <c r="E1030" i="11"/>
  <c r="F1030" i="11"/>
  <c r="G1030" i="11"/>
  <c r="I1030" i="11"/>
  <c r="L1030" i="11"/>
  <c r="E1031" i="11"/>
  <c r="F1031" i="11"/>
  <c r="G1031" i="11"/>
  <c r="I1031" i="11"/>
  <c r="L1031" i="11"/>
  <c r="E1032" i="11"/>
  <c r="F1032" i="11"/>
  <c r="G1032" i="11"/>
  <c r="I1032" i="11"/>
  <c r="L1032" i="11"/>
  <c r="E1033" i="11"/>
  <c r="F1033" i="11"/>
  <c r="G1033" i="11"/>
  <c r="I1033" i="11"/>
  <c r="L1033" i="11"/>
  <c r="E1034" i="11"/>
  <c r="F1034" i="11"/>
  <c r="G1034" i="11"/>
  <c r="I1034" i="11"/>
  <c r="L1034" i="11"/>
  <c r="E1035" i="11"/>
  <c r="F1035" i="11"/>
  <c r="G1035" i="11"/>
  <c r="I1035" i="11"/>
  <c r="L1035" i="11"/>
  <c r="E1036" i="11"/>
  <c r="F1036" i="11"/>
  <c r="G1036" i="11"/>
  <c r="I1036" i="11"/>
  <c r="L1036" i="11"/>
  <c r="E1037" i="11"/>
  <c r="F1037" i="11"/>
  <c r="G1037" i="11"/>
  <c r="I1037" i="11"/>
  <c r="L1037" i="11"/>
  <c r="E1038" i="11"/>
  <c r="F1038" i="11"/>
  <c r="G1038" i="11"/>
  <c r="I1038" i="11"/>
  <c r="L1038" i="11"/>
  <c r="E1039" i="11"/>
  <c r="F1039" i="11"/>
  <c r="G1039" i="11"/>
  <c r="I1039" i="11"/>
  <c r="L1039" i="11"/>
  <c r="E1040" i="11"/>
  <c r="F1040" i="11"/>
  <c r="G1040" i="11"/>
  <c r="I1040" i="11"/>
  <c r="L1040" i="11"/>
  <c r="E1041" i="11"/>
  <c r="F1041" i="11"/>
  <c r="G1041" i="11"/>
  <c r="I1041" i="11"/>
  <c r="L1041" i="11"/>
  <c r="E1042" i="11"/>
  <c r="F1042" i="11"/>
  <c r="G1042" i="11"/>
  <c r="I1042" i="11"/>
  <c r="L1042" i="11"/>
  <c r="E1043" i="11"/>
  <c r="F1043" i="11"/>
  <c r="G1043" i="11"/>
  <c r="I1043" i="11"/>
  <c r="L1043" i="11"/>
  <c r="E1044" i="11"/>
  <c r="F1044" i="11"/>
  <c r="G1044" i="11"/>
  <c r="I1044" i="11"/>
  <c r="L1044" i="11"/>
  <c r="E1045" i="11"/>
  <c r="F1045" i="11"/>
  <c r="G1045" i="11"/>
  <c r="I1045" i="11"/>
  <c r="L1045" i="11"/>
  <c r="E1046" i="11"/>
  <c r="F1046" i="11"/>
  <c r="G1046" i="11"/>
  <c r="I1046" i="11"/>
  <c r="L1046" i="11"/>
  <c r="E1047" i="11"/>
  <c r="F1047" i="11"/>
  <c r="G1047" i="11"/>
  <c r="I1047" i="11"/>
  <c r="L1047" i="11"/>
  <c r="E1048" i="11"/>
  <c r="F1048" i="11"/>
  <c r="G1048" i="11"/>
  <c r="I1048" i="11"/>
  <c r="L1048" i="11"/>
  <c r="E1049" i="11"/>
  <c r="F1049" i="11"/>
  <c r="G1049" i="11"/>
  <c r="I1049" i="11"/>
  <c r="L1049" i="11"/>
  <c r="E1050" i="11"/>
  <c r="F1050" i="11"/>
  <c r="G1050" i="11"/>
  <c r="I1050" i="11"/>
  <c r="L1050" i="11"/>
  <c r="D1072" i="12" l="1"/>
  <c r="D1115" i="12"/>
  <c r="D737" i="12"/>
  <c r="D1114" i="12"/>
  <c r="D390" i="12"/>
  <c r="D434" i="16"/>
  <c r="D417" i="16"/>
  <c r="D424" i="16"/>
  <c r="D464" i="12"/>
  <c r="D468" i="16"/>
  <c r="D760" i="12"/>
  <c r="D445" i="16"/>
  <c r="D549" i="12"/>
  <c r="D415" i="16"/>
  <c r="D577" i="12"/>
  <c r="D451" i="16"/>
  <c r="D525" i="12"/>
  <c r="D450" i="16"/>
  <c r="D561" i="12"/>
  <c r="D414" i="16"/>
  <c r="D355" i="12"/>
  <c r="D412" i="16"/>
  <c r="D344" i="12"/>
  <c r="D441" i="16"/>
  <c r="D384" i="12"/>
  <c r="D439" i="16"/>
  <c r="D462" i="12"/>
  <c r="D422" i="16"/>
  <c r="D464" i="16"/>
  <c r="D461" i="12"/>
  <c r="D423" i="16"/>
  <c r="D465" i="16"/>
  <c r="D434" i="12"/>
  <c r="D437" i="16"/>
  <c r="D447" i="12"/>
  <c r="D431" i="16"/>
  <c r="D404" i="12"/>
  <c r="D454" i="16"/>
  <c r="D499" i="12"/>
  <c r="D471" i="16"/>
  <c r="D775" i="12"/>
  <c r="D444" i="16"/>
  <c r="D746" i="12"/>
  <c r="D443" i="16"/>
  <c r="D774" i="12"/>
  <c r="D442" i="16"/>
  <c r="D633" i="12"/>
  <c r="D453" i="16"/>
  <c r="D565" i="12"/>
  <c r="D447" i="16"/>
  <c r="D374" i="12"/>
  <c r="D411" i="16"/>
  <c r="D359" i="12"/>
  <c r="D408" i="16"/>
  <c r="D375" i="12"/>
  <c r="D438" i="16"/>
  <c r="D449" i="12"/>
  <c r="D421" i="16"/>
  <c r="D463" i="16"/>
  <c r="D422" i="12"/>
  <c r="D436" i="16"/>
  <c r="D437" i="12"/>
  <c r="D430" i="16"/>
  <c r="D445" i="12"/>
  <c r="D426" i="16"/>
  <c r="D487" i="12"/>
  <c r="D470" i="16"/>
  <c r="D461" i="16"/>
  <c r="D420" i="16"/>
  <c r="D720" i="12"/>
  <c r="D416" i="16"/>
  <c r="D694" i="12"/>
  <c r="D410" i="16"/>
  <c r="D568" i="12"/>
  <c r="D448" i="16"/>
  <c r="D500" i="12"/>
  <c r="D446" i="16"/>
  <c r="D336" i="12"/>
  <c r="D407" i="16"/>
  <c r="D455" i="12"/>
  <c r="D459" i="16"/>
  <c r="D427" i="12"/>
  <c r="D432" i="16"/>
  <c r="D401" i="12"/>
  <c r="D435" i="16"/>
  <c r="D426" i="12"/>
  <c r="D429" i="16"/>
  <c r="D398" i="12"/>
  <c r="D427" i="16"/>
  <c r="D477" i="12"/>
  <c r="D469" i="16"/>
  <c r="D681" i="12"/>
  <c r="D409" i="16"/>
  <c r="D607" i="12"/>
  <c r="D449" i="16"/>
  <c r="D590" i="12"/>
  <c r="D452" i="16"/>
  <c r="D364" i="12"/>
  <c r="D413" i="16"/>
  <c r="D327" i="12"/>
  <c r="D406" i="16"/>
  <c r="D341" i="12"/>
  <c r="D440" i="16"/>
  <c r="D489" i="12"/>
  <c r="D378" i="16"/>
  <c r="D413" i="12"/>
  <c r="D368" i="16"/>
  <c r="D471" i="12"/>
  <c r="D351" i="16"/>
  <c r="D381" i="12"/>
  <c r="D333" i="16"/>
  <c r="D552" i="12"/>
  <c r="D315" i="16"/>
  <c r="D492" i="12"/>
  <c r="D293" i="16"/>
  <c r="D459" i="12"/>
  <c r="D350" i="16"/>
  <c r="D371" i="12"/>
  <c r="D332" i="16"/>
  <c r="D438" i="12"/>
  <c r="D314" i="16"/>
  <c r="D469" i="12"/>
  <c r="D292" i="16"/>
  <c r="D442" i="12"/>
  <c r="D377" i="16"/>
  <c r="D508" i="12"/>
  <c r="D367" i="16"/>
  <c r="D424" i="12"/>
  <c r="D349" i="16"/>
  <c r="D430" i="12"/>
  <c r="D331" i="16"/>
  <c r="D538" i="12"/>
  <c r="D313" i="16"/>
  <c r="D502" i="12"/>
  <c r="D291" i="16"/>
  <c r="D732" i="12"/>
  <c r="D275" i="16"/>
  <c r="D485" i="12"/>
  <c r="D297" i="16"/>
  <c r="D496" i="12"/>
  <c r="D366" i="16"/>
  <c r="D402" i="12"/>
  <c r="D348" i="16"/>
  <c r="D417" i="12"/>
  <c r="D330" i="16"/>
  <c r="D527" i="12"/>
  <c r="D312" i="16"/>
  <c r="D490" i="12"/>
  <c r="D290" i="16"/>
  <c r="D712" i="12"/>
  <c r="D274" i="16"/>
  <c r="D536" i="12"/>
  <c r="D381" i="16"/>
  <c r="D567" i="12"/>
  <c r="D316" i="16"/>
  <c r="D516" i="12"/>
  <c r="D311" i="16"/>
  <c r="D441" i="12"/>
  <c r="D376" i="16"/>
  <c r="D504" i="12"/>
  <c r="D310" i="16"/>
  <c r="D407" i="12"/>
  <c r="D327" i="16"/>
  <c r="D478" i="12"/>
  <c r="D287" i="16"/>
  <c r="D458" i="12"/>
  <c r="D346" i="16"/>
  <c r="D465" i="12"/>
  <c r="D286" i="16"/>
  <c r="D451" i="12"/>
  <c r="D373" i="16"/>
  <c r="D460" i="12"/>
  <c r="D363" i="16"/>
  <c r="D387" i="12"/>
  <c r="D325" i="16"/>
  <c r="D468" i="12"/>
  <c r="D307" i="16"/>
  <c r="D453" i="12"/>
  <c r="D285" i="16"/>
  <c r="D356" i="12"/>
  <c r="D272" i="16"/>
  <c r="D439" i="12"/>
  <c r="D372" i="16"/>
  <c r="D446" i="12"/>
  <c r="D362" i="16"/>
  <c r="D435" i="12"/>
  <c r="D345" i="16"/>
  <c r="D369" i="12"/>
  <c r="D324" i="16"/>
  <c r="D653" i="12"/>
  <c r="D306" i="16"/>
  <c r="D498" i="12"/>
  <c r="D284" i="16"/>
  <c r="D632" i="12"/>
  <c r="D323" i="16"/>
  <c r="D652" i="12"/>
  <c r="D305" i="16"/>
  <c r="D486" i="12"/>
  <c r="D283" i="16"/>
  <c r="D399" i="12"/>
  <c r="D336" i="16"/>
  <c r="D513" i="12"/>
  <c r="D380" i="16"/>
  <c r="D606" i="12"/>
  <c r="D318" i="16"/>
  <c r="D482" i="12"/>
  <c r="D353" i="16"/>
  <c r="D505" i="12"/>
  <c r="D294" i="16"/>
  <c r="D680" i="12"/>
  <c r="D273" i="16"/>
  <c r="D425" i="12"/>
  <c r="D360" i="16"/>
  <c r="D316" i="12"/>
  <c r="D271" i="16"/>
  <c r="D530" i="12"/>
  <c r="D296" i="16"/>
  <c r="D483" i="12"/>
  <c r="D352" i="16"/>
  <c r="D619" i="12"/>
  <c r="D322" i="16"/>
  <c r="D412" i="12"/>
  <c r="D359" i="16"/>
  <c r="D672" i="12"/>
  <c r="D281" i="16"/>
  <c r="D440" i="12"/>
  <c r="D342" i="16"/>
  <c r="D457" i="12"/>
  <c r="D369" i="16"/>
  <c r="D408" i="12"/>
  <c r="D358" i="16"/>
  <c r="D431" i="12"/>
  <c r="D341" i="16"/>
  <c r="D532" i="12"/>
  <c r="D301" i="16"/>
  <c r="D566" i="12"/>
  <c r="D279" i="16"/>
  <c r="D307" i="12"/>
  <c r="D270" i="16"/>
  <c r="D409" i="12"/>
  <c r="D337" i="16"/>
  <c r="D389" i="12"/>
  <c r="D335" i="16"/>
  <c r="D501" i="12"/>
  <c r="D379" i="16"/>
  <c r="D480" i="12"/>
  <c r="D289" i="16"/>
  <c r="D470" i="12"/>
  <c r="D347" i="16"/>
  <c r="D419" i="12"/>
  <c r="D374" i="16"/>
  <c r="D397" i="12"/>
  <c r="D326" i="16"/>
  <c r="D423" i="12"/>
  <c r="D344" i="16"/>
  <c r="D618" i="12"/>
  <c r="D304" i="16"/>
  <c r="D448" i="12"/>
  <c r="D370" i="16"/>
  <c r="D605" i="12"/>
  <c r="D303" i="16"/>
  <c r="D416" i="12"/>
  <c r="D302" i="16"/>
  <c r="D433" i="12"/>
  <c r="D340" i="16"/>
  <c r="D475" i="12"/>
  <c r="D300" i="16"/>
  <c r="D405" i="12"/>
  <c r="D278" i="16"/>
  <c r="D349" i="12"/>
  <c r="D269" i="16"/>
  <c r="D592" i="12"/>
  <c r="D317" i="16"/>
  <c r="D406" i="12"/>
  <c r="D329" i="16"/>
  <c r="D418" i="12"/>
  <c r="D328" i="16"/>
  <c r="D474" i="12"/>
  <c r="D371" i="16"/>
  <c r="D411" i="12"/>
  <c r="D343" i="16"/>
  <c r="D388" i="12"/>
  <c r="D357" i="16"/>
  <c r="D479" i="12"/>
  <c r="D339" i="16"/>
  <c r="D463" i="12"/>
  <c r="D299" i="16"/>
  <c r="D551" i="12"/>
  <c r="D277" i="16"/>
  <c r="D380" i="12"/>
  <c r="D355" i="16"/>
  <c r="D450" i="12"/>
  <c r="D319" i="16"/>
  <c r="D370" i="12"/>
  <c r="D354" i="16"/>
  <c r="D517" i="12"/>
  <c r="D295" i="16"/>
  <c r="D454" i="12"/>
  <c r="D334" i="16"/>
  <c r="D484" i="12"/>
  <c r="D365" i="16"/>
  <c r="D467" i="12"/>
  <c r="D288" i="16"/>
  <c r="D432" i="12"/>
  <c r="D375" i="16"/>
  <c r="D428" i="12"/>
  <c r="D309" i="16"/>
  <c r="D472" i="12"/>
  <c r="D364" i="16"/>
  <c r="D491" i="12"/>
  <c r="D308" i="16"/>
  <c r="D436" i="12"/>
  <c r="D361" i="16"/>
  <c r="D476" i="12"/>
  <c r="D282" i="16"/>
  <c r="D511" i="12"/>
  <c r="D321" i="16"/>
  <c r="D591" i="12"/>
  <c r="D280" i="16"/>
  <c r="D466" i="12"/>
  <c r="D356" i="16"/>
  <c r="D420" i="12"/>
  <c r="D338" i="16"/>
  <c r="D452" i="12"/>
  <c r="D320" i="16"/>
  <c r="D497" i="12"/>
  <c r="D298" i="16"/>
  <c r="D526" i="12"/>
  <c r="D276" i="16"/>
  <c r="D329" i="12"/>
  <c r="D268" i="16"/>
  <c r="N836" i="11"/>
  <c r="J1015" i="11"/>
  <c r="J841" i="11"/>
  <c r="J844" i="11"/>
  <c r="J987" i="11"/>
  <c r="K973" i="11"/>
  <c r="H960" i="11"/>
  <c r="J831" i="11"/>
  <c r="H1050" i="11"/>
  <c r="H949" i="11"/>
  <c r="M852" i="11"/>
  <c r="M871" i="11"/>
  <c r="J985" i="11"/>
  <c r="N867" i="11"/>
  <c r="M957" i="11"/>
  <c r="M887" i="11"/>
  <c r="H842" i="11"/>
  <c r="J1046" i="11"/>
  <c r="H1005" i="11"/>
  <c r="M1019" i="11"/>
  <c r="J1001" i="11"/>
  <c r="M968" i="11"/>
  <c r="J993" i="11"/>
  <c r="M1005" i="11"/>
  <c r="M860" i="11"/>
  <c r="J855" i="11"/>
  <c r="J986" i="11"/>
  <c r="M997" i="11"/>
  <c r="J977" i="11"/>
  <c r="J951" i="11"/>
  <c r="M967" i="11"/>
  <c r="M1011" i="11"/>
  <c r="K992" i="11"/>
  <c r="M1035" i="11"/>
  <c r="J1005" i="11"/>
  <c r="J1022" i="11"/>
  <c r="M975" i="11"/>
  <c r="J847" i="11"/>
  <c r="M864" i="11"/>
  <c r="N1019" i="11"/>
  <c r="H977" i="11"/>
  <c r="K855" i="11"/>
  <c r="J1039" i="11"/>
  <c r="J857" i="11"/>
  <c r="J940" i="11"/>
  <c r="K1000" i="11"/>
  <c r="H1028" i="11"/>
  <c r="H1015" i="11"/>
  <c r="H930" i="11"/>
  <c r="J917" i="11"/>
  <c r="K901" i="11"/>
  <c r="K866" i="11"/>
  <c r="J892" i="11"/>
  <c r="J1006" i="11"/>
  <c r="J983" i="11"/>
  <c r="J1042" i="11"/>
  <c r="J931" i="11"/>
  <c r="M849" i="11"/>
  <c r="J927" i="11"/>
  <c r="M918" i="11"/>
  <c r="M990" i="11"/>
  <c r="J960" i="11"/>
  <c r="K968" i="11"/>
  <c r="J1014" i="11"/>
  <c r="M1002" i="11"/>
  <c r="M1040" i="11"/>
  <c r="J1031" i="11"/>
  <c r="M973" i="11"/>
  <c r="M868" i="11"/>
  <c r="J851" i="11"/>
  <c r="M1010" i="11"/>
  <c r="M985" i="11"/>
  <c r="J1027" i="11"/>
  <c r="M1026" i="11"/>
  <c r="H880" i="11"/>
  <c r="M866" i="11"/>
  <c r="M958" i="11"/>
  <c r="M1014" i="11"/>
  <c r="H1039" i="11"/>
  <c r="J1035" i="11"/>
  <c r="K1006" i="11"/>
  <c r="H927" i="11"/>
  <c r="K1034" i="11"/>
  <c r="J1018" i="11"/>
  <c r="J981" i="11"/>
  <c r="K934" i="11"/>
  <c r="K865" i="11"/>
  <c r="J947" i="11"/>
  <c r="J934" i="11"/>
  <c r="M865" i="11"/>
  <c r="H831" i="11"/>
  <c r="J1010" i="11"/>
  <c r="J943" i="11"/>
  <c r="M882" i="11"/>
  <c r="J1050" i="11"/>
  <c r="J1017" i="11"/>
  <c r="J992" i="11"/>
  <c r="J976" i="11"/>
  <c r="J938" i="11"/>
  <c r="M921" i="11"/>
  <c r="N917" i="11"/>
  <c r="H886" i="11"/>
  <c r="K922" i="11"/>
  <c r="M984" i="11"/>
  <c r="J980" i="11"/>
  <c r="N976" i="11"/>
  <c r="J972" i="11"/>
  <c r="M955" i="11"/>
  <c r="K909" i="11"/>
  <c r="M983" i="11"/>
  <c r="K894" i="11"/>
  <c r="K881" i="11"/>
  <c r="K868" i="11"/>
  <c r="H864" i="11"/>
  <c r="K1008" i="11"/>
  <c r="J898" i="11"/>
  <c r="J864" i="11"/>
  <c r="J1013" i="11"/>
  <c r="M1020" i="11"/>
  <c r="M1016" i="11"/>
  <c r="N1008" i="11"/>
  <c r="H971" i="11"/>
  <c r="K898" i="11"/>
  <c r="J834" i="11"/>
  <c r="N1034" i="11"/>
  <c r="K1040" i="11"/>
  <c r="M1036" i="11"/>
  <c r="M1027" i="11"/>
  <c r="H1003" i="11"/>
  <c r="M911" i="11"/>
  <c r="J900" i="11"/>
  <c r="M940" i="11"/>
  <c r="M1044" i="11"/>
  <c r="M962" i="11"/>
  <c r="J953" i="11"/>
  <c r="J1048" i="11"/>
  <c r="J936" i="11"/>
  <c r="M931" i="11"/>
  <c r="K897" i="11"/>
  <c r="M1006" i="11"/>
  <c r="H940" i="11"/>
  <c r="J861" i="11"/>
  <c r="K979" i="11"/>
  <c r="J903" i="11"/>
  <c r="J1011" i="11"/>
  <c r="J1040" i="11"/>
  <c r="H1020" i="11"/>
  <c r="H996" i="11"/>
  <c r="H984" i="11"/>
  <c r="K980" i="11"/>
  <c r="H972" i="11"/>
  <c r="M951" i="11"/>
  <c r="N900" i="11"/>
  <c r="H891" i="11"/>
  <c r="M845" i="11"/>
  <c r="H1031" i="11"/>
  <c r="M1023" i="11"/>
  <c r="K1007" i="11"/>
  <c r="J1003" i="11"/>
  <c r="J995" i="11"/>
  <c r="N991" i="11"/>
  <c r="N987" i="11"/>
  <c r="J979" i="11"/>
  <c r="M971" i="11"/>
  <c r="K941" i="11"/>
  <c r="H920" i="11"/>
  <c r="J916" i="11"/>
  <c r="K907" i="11"/>
  <c r="M890" i="11"/>
  <c r="J877" i="11"/>
  <c r="K856" i="11"/>
  <c r="M840" i="11"/>
  <c r="K987" i="11"/>
  <c r="M987" i="11"/>
  <c r="M937" i="11"/>
  <c r="J920" i="11"/>
  <c r="J907" i="11"/>
  <c r="N890" i="11"/>
  <c r="J872" i="11"/>
  <c r="J856" i="11"/>
  <c r="J835" i="11"/>
  <c r="N912" i="11"/>
  <c r="J1007" i="11"/>
  <c r="H860" i="11"/>
  <c r="K970" i="11"/>
  <c r="K953" i="11"/>
  <c r="K915" i="11"/>
  <c r="J902" i="11"/>
  <c r="M880" i="11"/>
  <c r="K843" i="11"/>
  <c r="K890" i="11"/>
  <c r="N873" i="11"/>
  <c r="J949" i="11"/>
  <c r="J932" i="11"/>
  <c r="K1042" i="11"/>
  <c r="K1022" i="11"/>
  <c r="M966" i="11"/>
  <c r="M953" i="11"/>
  <c r="M915" i="11"/>
  <c r="J839" i="11"/>
  <c r="N861" i="11"/>
  <c r="K995" i="11"/>
  <c r="M1042" i="11"/>
  <c r="N970" i="11"/>
  <c r="N915" i="11"/>
  <c r="M906" i="11"/>
  <c r="M925" i="11"/>
  <c r="K916" i="11"/>
  <c r="M1022" i="11"/>
  <c r="K961" i="11"/>
  <c r="M855" i="11"/>
  <c r="M830" i="11"/>
  <c r="K1010" i="11"/>
  <c r="J923" i="11"/>
  <c r="K914" i="11"/>
  <c r="M884" i="11"/>
  <c r="N846" i="11"/>
  <c r="M1046" i="11"/>
  <c r="K1029" i="11"/>
  <c r="K1021" i="11"/>
  <c r="N948" i="11"/>
  <c r="M927" i="11"/>
  <c r="J875" i="11"/>
  <c r="J854" i="11"/>
  <c r="K846" i="11"/>
  <c r="M838" i="11"/>
  <c r="J963" i="11"/>
  <c r="K933" i="11"/>
  <c r="J873" i="11"/>
  <c r="J886" i="11"/>
  <c r="N974" i="11"/>
  <c r="N944" i="11"/>
  <c r="N910" i="11"/>
  <c r="K1045" i="11"/>
  <c r="J1045" i="11"/>
  <c r="K1033" i="11"/>
  <c r="M1021" i="11"/>
  <c r="K1017" i="11"/>
  <c r="K1013" i="11"/>
  <c r="H997" i="11"/>
  <c r="H985" i="11"/>
  <c r="K918" i="11"/>
  <c r="M900" i="11"/>
  <c r="K879" i="11"/>
  <c r="M850" i="11"/>
  <c r="J948" i="11"/>
  <c r="M1031" i="11"/>
  <c r="N1021" i="11"/>
  <c r="N1033" i="11"/>
  <c r="N1013" i="11"/>
  <c r="K883" i="11"/>
  <c r="K862" i="11"/>
  <c r="K912" i="11"/>
  <c r="K873" i="11"/>
  <c r="N995" i="11"/>
  <c r="K948" i="11"/>
  <c r="N850" i="11"/>
  <c r="M841" i="11"/>
  <c r="N1017" i="11"/>
  <c r="H947" i="11"/>
  <c r="H988" i="11"/>
  <c r="M972" i="11"/>
  <c r="K964" i="11"/>
  <c r="K947" i="11"/>
  <c r="N922" i="11"/>
  <c r="K900" i="11"/>
  <c r="J896" i="11"/>
  <c r="M891" i="11"/>
  <c r="N935" i="11"/>
  <c r="N855" i="11"/>
  <c r="J1019" i="11"/>
  <c r="M875" i="11"/>
  <c r="J871" i="11"/>
  <c r="J859" i="11"/>
  <c r="J830" i="11"/>
  <c r="H1019" i="11"/>
  <c r="H888" i="11"/>
  <c r="M1017" i="11"/>
  <c r="J1002" i="11"/>
  <c r="J998" i="11"/>
  <c r="H925" i="11"/>
  <c r="H895" i="11"/>
  <c r="N1002" i="11"/>
  <c r="J908" i="11"/>
  <c r="H1025" i="11"/>
  <c r="H962" i="11"/>
  <c r="J937" i="11"/>
  <c r="K984" i="11"/>
  <c r="K955" i="11"/>
  <c r="K1028" i="11"/>
  <c r="H975" i="11"/>
  <c r="K831" i="11"/>
  <c r="K972" i="11"/>
  <c r="K977" i="11"/>
  <c r="H948" i="11"/>
  <c r="K1050" i="11"/>
  <c r="K1015" i="11"/>
  <c r="H916" i="11"/>
  <c r="H979" i="11"/>
  <c r="K962" i="11"/>
  <c r="H1029" i="11"/>
  <c r="H991" i="11"/>
  <c r="K1032" i="11"/>
  <c r="H912" i="11"/>
  <c r="K845" i="11"/>
  <c r="H1022" i="11"/>
  <c r="K1024" i="11"/>
  <c r="K946" i="11"/>
  <c r="K940" i="11"/>
  <c r="K926" i="11"/>
  <c r="K859" i="11"/>
  <c r="K1047" i="11"/>
  <c r="N1047" i="11"/>
  <c r="K978" i="11"/>
  <c r="K853" i="11"/>
  <c r="J1020" i="11"/>
  <c r="M869" i="11"/>
  <c r="N978" i="11"/>
  <c r="K929" i="11"/>
  <c r="H924" i="11"/>
  <c r="H903" i="11"/>
  <c r="J858" i="11"/>
  <c r="N853" i="11"/>
  <c r="J836" i="11"/>
  <c r="N963" i="11"/>
  <c r="N870" i="11"/>
  <c r="J842" i="11"/>
  <c r="M994" i="11"/>
  <c r="K836" i="11"/>
  <c r="M847" i="11"/>
  <c r="M956" i="11"/>
  <c r="N983" i="11"/>
  <c r="N951" i="11"/>
  <c r="K913" i="11"/>
  <c r="N897" i="11"/>
  <c r="N886" i="11"/>
  <c r="K841" i="11"/>
  <c r="K835" i="11"/>
  <c r="N1026" i="11"/>
  <c r="K994" i="11"/>
  <c r="N887" i="11"/>
  <c r="J973" i="11"/>
  <c r="H881" i="11"/>
  <c r="M919" i="11"/>
  <c r="J853" i="11"/>
  <c r="N929" i="11"/>
  <c r="M923" i="11"/>
  <c r="K908" i="11"/>
  <c r="N1030" i="11"/>
  <c r="K1014" i="11"/>
  <c r="K993" i="11"/>
  <c r="J967" i="11"/>
  <c r="K945" i="11"/>
  <c r="M908" i="11"/>
  <c r="J880" i="11"/>
  <c r="H1035" i="11"/>
  <c r="M1029" i="11"/>
  <c r="M913" i="11"/>
  <c r="K902" i="11"/>
  <c r="M896" i="11"/>
  <c r="J891" i="11"/>
  <c r="N880" i="11"/>
  <c r="K874" i="11"/>
  <c r="K857" i="11"/>
  <c r="K852" i="11"/>
  <c r="M952" i="11"/>
  <c r="K887" i="11"/>
  <c r="N930" i="11"/>
  <c r="N909" i="11"/>
  <c r="M831" i="11"/>
  <c r="N1010" i="11"/>
  <c r="K924" i="11"/>
  <c r="K951" i="11"/>
  <c r="M929" i="11"/>
  <c r="N924" i="11"/>
  <c r="K1046" i="11"/>
  <c r="M886" i="11"/>
  <c r="M1045" i="11"/>
  <c r="N913" i="11"/>
  <c r="M907" i="11"/>
  <c r="N1050" i="11"/>
  <c r="J1029" i="11"/>
  <c r="K982" i="11"/>
  <c r="M977" i="11"/>
  <c r="M961" i="11"/>
  <c r="N934" i="11"/>
  <c r="J928" i="11"/>
  <c r="H923" i="11"/>
  <c r="M912" i="11"/>
  <c r="N902" i="11"/>
  <c r="N874" i="11"/>
  <c r="J868" i="11"/>
  <c r="N863" i="11"/>
  <c r="N857" i="11"/>
  <c r="N852" i="11"/>
  <c r="J846" i="11"/>
  <c r="H835" i="11"/>
  <c r="J876" i="11"/>
  <c r="J957" i="11"/>
  <c r="M898" i="11"/>
  <c r="K869" i="11"/>
  <c r="M914" i="11"/>
  <c r="J999" i="11"/>
  <c r="M856" i="11"/>
  <c r="M851" i="11"/>
  <c r="J840" i="11"/>
  <c r="M835" i="11"/>
  <c r="M837" i="11"/>
  <c r="K957" i="11"/>
  <c r="N859" i="11"/>
  <c r="K1036" i="11"/>
  <c r="N1005" i="11"/>
  <c r="N957" i="11"/>
  <c r="M892" i="11"/>
  <c r="N842" i="11"/>
  <c r="J978" i="11"/>
  <c r="N973" i="11"/>
  <c r="M1025" i="11"/>
  <c r="N999" i="11"/>
  <c r="M1050" i="11"/>
  <c r="K1003" i="11"/>
  <c r="J982" i="11"/>
  <c r="N977" i="11"/>
  <c r="N961" i="11"/>
  <c r="J955" i="11"/>
  <c r="M939" i="11"/>
  <c r="N928" i="11"/>
  <c r="M1003" i="11"/>
  <c r="N982" i="11"/>
  <c r="K966" i="11"/>
  <c r="M960" i="11"/>
  <c r="N950" i="11"/>
  <c r="K944" i="11"/>
  <c r="J912" i="11"/>
  <c r="H896" i="11"/>
  <c r="J890" i="11"/>
  <c r="N845" i="11"/>
  <c r="K840" i="11"/>
  <c r="N835" i="11"/>
  <c r="K876" i="11"/>
  <c r="J870" i="11"/>
  <c r="J968" i="11"/>
  <c r="J971" i="11"/>
  <c r="H840" i="11"/>
  <c r="H976" i="11"/>
  <c r="K927" i="11"/>
  <c r="K917" i="11"/>
  <c r="H907" i="11"/>
  <c r="H890" i="11"/>
  <c r="K867" i="11"/>
  <c r="N856" i="11"/>
  <c r="K870" i="11"/>
  <c r="K848" i="11"/>
  <c r="K986" i="11"/>
  <c r="K954" i="11"/>
  <c r="J884" i="11"/>
  <c r="K878" i="11"/>
  <c r="K1012" i="11"/>
  <c r="J997" i="11"/>
  <c r="J965" i="11"/>
  <c r="N960" i="11"/>
  <c r="M954" i="11"/>
  <c r="J895" i="11"/>
  <c r="N884" i="11"/>
  <c r="K872" i="11"/>
  <c r="M1049" i="11"/>
  <c r="M1007" i="11"/>
  <c r="H1002" i="11"/>
  <c r="N997" i="11"/>
  <c r="K991" i="11"/>
  <c r="J975" i="11"/>
  <c r="N965" i="11"/>
  <c r="K932" i="11"/>
  <c r="K906" i="11"/>
  <c r="N895" i="11"/>
  <c r="N878" i="11"/>
  <c r="M872" i="11"/>
  <c r="K850" i="11"/>
  <c r="H839" i="11"/>
  <c r="K904" i="11"/>
  <c r="K925" i="11"/>
  <c r="J930" i="11"/>
  <c r="N1012" i="11"/>
  <c r="H959" i="11"/>
  <c r="K911" i="11"/>
  <c r="H889" i="11"/>
  <c r="K833" i="11"/>
  <c r="K952" i="11"/>
  <c r="J1026" i="11"/>
  <c r="J911" i="11"/>
  <c r="J866" i="11"/>
  <c r="J833" i="11"/>
  <c r="K963" i="11"/>
  <c r="H859" i="11"/>
  <c r="N1049" i="11"/>
  <c r="J964" i="11"/>
  <c r="H942" i="11"/>
  <c r="M894" i="11"/>
  <c r="H877" i="11"/>
  <c r="N866" i="11"/>
  <c r="N833" i="11"/>
  <c r="N904" i="11"/>
  <c r="K997" i="11"/>
  <c r="M932" i="11"/>
  <c r="J926" i="11"/>
  <c r="M920" i="11"/>
  <c r="J989" i="11"/>
  <c r="J1047" i="11"/>
  <c r="J959" i="11"/>
  <c r="J1016" i="11"/>
  <c r="K1001" i="11"/>
  <c r="K969" i="11"/>
  <c r="M963" i="11"/>
  <c r="N937" i="11"/>
  <c r="N926" i="11"/>
  <c r="K899" i="11"/>
  <c r="J865" i="11"/>
  <c r="J904" i="11"/>
  <c r="K1031" i="11"/>
  <c r="K884" i="11"/>
  <c r="M981" i="11"/>
  <c r="M1033" i="11"/>
  <c r="K1049" i="11"/>
  <c r="K1038" i="11"/>
  <c r="J1038" i="11"/>
  <c r="K996" i="11"/>
  <c r="K1043" i="11"/>
  <c r="N980" i="11"/>
  <c r="M947" i="11"/>
  <c r="M1043" i="11"/>
  <c r="J958" i="11"/>
  <c r="K849" i="11"/>
  <c r="K838" i="11"/>
  <c r="M1001" i="11"/>
  <c r="J990" i="11"/>
  <c r="N985" i="11"/>
  <c r="H958" i="11"/>
  <c r="M936" i="11"/>
  <c r="J899" i="11"/>
  <c r="K893" i="11"/>
  <c r="J888" i="11"/>
  <c r="M876" i="11"/>
  <c r="M870" i="11"/>
  <c r="J860" i="11"/>
  <c r="J849" i="11"/>
  <c r="H838" i="11"/>
  <c r="J925" i="11"/>
  <c r="M910" i="11"/>
  <c r="N899" i="11"/>
  <c r="H893" i="11"/>
  <c r="H882" i="11"/>
  <c r="N849" i="11"/>
  <c r="N838" i="11"/>
  <c r="J832" i="11"/>
  <c r="H869" i="11"/>
  <c r="H974" i="11"/>
  <c r="H879" i="11"/>
  <c r="K1035" i="11"/>
  <c r="H1030" i="11"/>
  <c r="H980" i="11"/>
  <c r="H1014" i="11"/>
  <c r="H878" i="11"/>
  <c r="H830" i="11"/>
  <c r="K1039" i="11"/>
  <c r="H952" i="11"/>
  <c r="H867" i="11"/>
  <c r="H983" i="11"/>
  <c r="H909" i="11"/>
  <c r="H1012" i="11"/>
  <c r="K971" i="11"/>
  <c r="K860" i="11"/>
  <c r="H943" i="11"/>
  <c r="H1046" i="11"/>
  <c r="H1008" i="11"/>
  <c r="H993" i="11"/>
  <c r="H915" i="11"/>
  <c r="H887" i="11"/>
  <c r="H865" i="11"/>
  <c r="H1034" i="11"/>
  <c r="H935" i="11"/>
  <c r="H848" i="11"/>
  <c r="H874" i="11"/>
  <c r="H963" i="11"/>
  <c r="H883" i="11"/>
  <c r="H1037" i="11"/>
  <c r="H955" i="11"/>
  <c r="H950" i="11"/>
  <c r="H908" i="11"/>
  <c r="K886" i="11"/>
  <c r="H998" i="11"/>
  <c r="H946" i="11"/>
  <c r="H845" i="11"/>
  <c r="H987" i="11"/>
  <c r="H1036" i="11"/>
  <c r="H964" i="11"/>
  <c r="H1009" i="11"/>
  <c r="K923" i="11"/>
  <c r="K985" i="11"/>
  <c r="H944" i="11"/>
  <c r="H897" i="11"/>
  <c r="H843" i="11"/>
  <c r="H968" i="11"/>
  <c r="H861" i="11"/>
  <c r="H856" i="11"/>
  <c r="M976" i="11"/>
  <c r="M946" i="11"/>
  <c r="H956" i="11"/>
  <c r="H936" i="11"/>
  <c r="J869" i="11"/>
  <c r="H992" i="11"/>
  <c r="H1006" i="11"/>
  <c r="M1048" i="11"/>
  <c r="M899" i="11"/>
  <c r="M989" i="11"/>
  <c r="H1038" i="11"/>
  <c r="J1023" i="11"/>
  <c r="M1018" i="11"/>
  <c r="J929" i="11"/>
  <c r="M924" i="11"/>
  <c r="M832" i="11"/>
  <c r="H1011" i="11"/>
  <c r="M1009" i="11"/>
  <c r="M909" i="11"/>
  <c r="J894" i="11"/>
  <c r="H858" i="11"/>
  <c r="J1033" i="11"/>
  <c r="M979" i="11"/>
  <c r="H929" i="11"/>
  <c r="J924" i="11"/>
  <c r="M883" i="11"/>
  <c r="H873" i="11"/>
  <c r="M1013" i="11"/>
  <c r="H989" i="11"/>
  <c r="M949" i="11"/>
  <c r="M944" i="11"/>
  <c r="H934" i="11"/>
  <c r="H868" i="11"/>
  <c r="M1037" i="11"/>
  <c r="H1018" i="11"/>
  <c r="J984" i="11"/>
  <c r="M959" i="11"/>
  <c r="J909" i="11"/>
  <c r="M857" i="11"/>
  <c r="M993" i="11"/>
  <c r="H939" i="11"/>
  <c r="H914" i="11"/>
  <c r="J883" i="11"/>
  <c r="N869" i="11"/>
  <c r="J1025" i="11"/>
  <c r="H978" i="11"/>
  <c r="H965" i="11"/>
  <c r="J956" i="11"/>
  <c r="M943" i="11"/>
  <c r="J939" i="11"/>
  <c r="H904" i="11"/>
  <c r="J882" i="11"/>
  <c r="M848" i="11"/>
  <c r="H1042" i="11"/>
  <c r="N1038" i="11"/>
  <c r="N1025" i="11"/>
  <c r="H1007" i="11"/>
  <c r="M998" i="11"/>
  <c r="H986" i="11"/>
  <c r="N969" i="11"/>
  <c r="N956" i="11"/>
  <c r="N952" i="11"/>
  <c r="N939" i="11"/>
  <c r="M903" i="11"/>
  <c r="N882" i="11"/>
  <c r="K877" i="11"/>
  <c r="H844" i="11"/>
  <c r="H990" i="11"/>
  <c r="K1037" i="11"/>
  <c r="H1033" i="11"/>
  <c r="N1020" i="11"/>
  <c r="N994" i="11"/>
  <c r="N990" i="11"/>
  <c r="K938" i="11"/>
  <c r="H894" i="11"/>
  <c r="M877" i="11"/>
  <c r="N872" i="11"/>
  <c r="N860" i="11"/>
  <c r="J921" i="11"/>
  <c r="K903" i="11"/>
  <c r="N938" i="11"/>
  <c r="N968" i="11"/>
  <c r="M950" i="11"/>
  <c r="J942" i="11"/>
  <c r="H933" i="11"/>
  <c r="M928" i="11"/>
  <c r="K920" i="11"/>
  <c r="H898" i="11"/>
  <c r="K889" i="11"/>
  <c r="N885" i="11"/>
  <c r="K864" i="11"/>
  <c r="H847" i="11"/>
  <c r="J843" i="11"/>
  <c r="N839" i="11"/>
  <c r="K830" i="11"/>
  <c r="M844" i="11"/>
  <c r="N981" i="11"/>
  <c r="M1041" i="11"/>
  <c r="M839" i="11"/>
  <c r="N920" i="11"/>
  <c r="J915" i="11"/>
  <c r="H911" i="11"/>
  <c r="N898" i="11"/>
  <c r="N889" i="11"/>
  <c r="K880" i="11"/>
  <c r="N864" i="11"/>
  <c r="N830" i="11"/>
  <c r="H1045" i="11"/>
  <c r="M1032" i="11"/>
  <c r="J1028" i="11"/>
  <c r="K1023" i="11"/>
  <c r="H1010" i="11"/>
  <c r="N1006" i="11"/>
  <c r="N989" i="11"/>
  <c r="N959" i="11"/>
  <c r="K950" i="11"/>
  <c r="K937" i="11"/>
  <c r="N911" i="11"/>
  <c r="N907" i="11"/>
  <c r="J893" i="11"/>
  <c r="M888" i="11"/>
  <c r="H876" i="11"/>
  <c r="N868" i="11"/>
  <c r="N851" i="11"/>
  <c r="M846" i="11"/>
  <c r="M842" i="11"/>
  <c r="N1041" i="11"/>
  <c r="N1032" i="11"/>
  <c r="J946" i="11"/>
  <c r="H928" i="11"/>
  <c r="J919" i="11"/>
  <c r="H902" i="11"/>
  <c r="N893" i="11"/>
  <c r="M867" i="11"/>
  <c r="M859" i="11"/>
  <c r="J838" i="11"/>
  <c r="M834" i="11"/>
  <c r="J969" i="11"/>
  <c r="K990" i="11"/>
  <c r="N908" i="11"/>
  <c r="J881" i="11"/>
  <c r="M902" i="11"/>
  <c r="K888" i="11"/>
  <c r="N876" i="11"/>
  <c r="H863" i="11"/>
  <c r="J850" i="11"/>
  <c r="K842" i="11"/>
  <c r="N834" i="11"/>
  <c r="N1046" i="11"/>
  <c r="J1036" i="11"/>
  <c r="J941" i="11"/>
  <c r="J906" i="11"/>
  <c r="H884" i="11"/>
  <c r="J863" i="11"/>
  <c r="M833" i="11"/>
  <c r="N844" i="11"/>
  <c r="H951" i="11"/>
  <c r="H1049" i="11"/>
  <c r="M879" i="11"/>
  <c r="K858" i="11"/>
  <c r="H850" i="11"/>
  <c r="N1023" i="11"/>
  <c r="N1040" i="11"/>
  <c r="H846" i="11"/>
  <c r="M964" i="11"/>
  <c r="N903" i="11"/>
  <c r="N1045" i="11"/>
  <c r="N946" i="11"/>
  <c r="N831" i="11"/>
  <c r="M916" i="11"/>
  <c r="N993" i="11"/>
  <c r="J1044" i="11"/>
  <c r="N958" i="11"/>
  <c r="K854" i="11"/>
  <c r="N942" i="11"/>
  <c r="K1044" i="11"/>
  <c r="N986" i="11"/>
  <c r="N947" i="11"/>
  <c r="N1024" i="11"/>
  <c r="K959" i="11"/>
  <c r="N1028" i="11"/>
  <c r="N1044" i="11"/>
  <c r="N1003" i="11"/>
  <c r="K943" i="11"/>
  <c r="H994" i="11"/>
  <c r="N894" i="11"/>
  <c r="J885" i="11"/>
  <c r="K1002" i="11"/>
  <c r="N1015" i="11"/>
  <c r="M874" i="11"/>
  <c r="N862" i="11"/>
  <c r="M853" i="11"/>
  <c r="K837" i="11"/>
  <c r="M873" i="11"/>
  <c r="K998" i="11"/>
  <c r="N1037" i="11"/>
  <c r="K885" i="11"/>
  <c r="K942" i="11"/>
  <c r="N843" i="11"/>
  <c r="N954" i="11"/>
  <c r="K1009" i="11"/>
  <c r="N1027" i="11"/>
  <c r="N992" i="11"/>
  <c r="N901" i="11"/>
  <c r="N875" i="11"/>
  <c r="N854" i="11"/>
  <c r="N962" i="11"/>
  <c r="N914" i="11"/>
  <c r="K905" i="11"/>
  <c r="M1047" i="11"/>
  <c r="J1043" i="11"/>
  <c r="M1039" i="11"/>
  <c r="N1035" i="11"/>
  <c r="M1030" i="11"/>
  <c r="N1022" i="11"/>
  <c r="H1000" i="11"/>
  <c r="N996" i="11"/>
  <c r="N975" i="11"/>
  <c r="N966" i="11"/>
  <c r="H953" i="11"/>
  <c r="J944" i="11"/>
  <c r="M935" i="11"/>
  <c r="K931" i="11"/>
  <c r="N927" i="11"/>
  <c r="N923" i="11"/>
  <c r="J918" i="11"/>
  <c r="H905" i="11"/>
  <c r="K891" i="11"/>
  <c r="J887" i="11"/>
  <c r="N879" i="11"/>
  <c r="M861" i="11"/>
  <c r="H837" i="11"/>
  <c r="N1007" i="11"/>
  <c r="N925" i="11"/>
  <c r="N955" i="11"/>
  <c r="H1027" i="11"/>
  <c r="K1048" i="11"/>
  <c r="N1018" i="11"/>
  <c r="N945" i="11"/>
  <c r="J962" i="11"/>
  <c r="J914" i="11"/>
  <c r="J966" i="11"/>
  <c r="N1039" i="11"/>
  <c r="M1034" i="11"/>
  <c r="H1013" i="11"/>
  <c r="J1004" i="11"/>
  <c r="J1000" i="11"/>
  <c r="M995" i="11"/>
  <c r="K983" i="11"/>
  <c r="N979" i="11"/>
  <c r="M974" i="11"/>
  <c r="M965" i="11"/>
  <c r="M926" i="11"/>
  <c r="N918" i="11"/>
  <c r="N905" i="11"/>
  <c r="N896" i="11"/>
  <c r="M878" i="11"/>
  <c r="J874" i="11"/>
  <c r="H866" i="11"/>
  <c r="J845" i="11"/>
  <c r="N837" i="11"/>
  <c r="N921" i="11"/>
  <c r="N865" i="11"/>
  <c r="N1042" i="11"/>
  <c r="N943" i="11"/>
  <c r="J1024" i="11"/>
  <c r="N877" i="11"/>
  <c r="N1029" i="11"/>
  <c r="N998" i="11"/>
  <c r="N972" i="11"/>
  <c r="J954" i="11"/>
  <c r="H932" i="11"/>
  <c r="H1001" i="11"/>
  <c r="N919" i="11"/>
  <c r="N984" i="11"/>
  <c r="K871" i="11"/>
  <c r="N1014" i="11"/>
  <c r="J1009" i="11"/>
  <c r="H1048" i="11"/>
  <c r="K975" i="11"/>
  <c r="N949" i="11"/>
  <c r="N936" i="11"/>
  <c r="H862" i="11"/>
  <c r="N1048" i="11"/>
  <c r="N1031" i="11"/>
  <c r="J996" i="11"/>
  <c r="M991" i="11"/>
  <c r="M1038" i="11"/>
  <c r="J1030" i="11"/>
  <c r="H1026" i="11"/>
  <c r="H1017" i="11"/>
  <c r="N1004" i="11"/>
  <c r="N1000" i="11"/>
  <c r="J991" i="11"/>
  <c r="M978" i="11"/>
  <c r="M970" i="11"/>
  <c r="N953" i="11"/>
  <c r="N940" i="11"/>
  <c r="J935" i="11"/>
  <c r="N931" i="11"/>
  <c r="M917" i="11"/>
  <c r="M904" i="11"/>
  <c r="M895" i="11"/>
  <c r="N1011" i="11"/>
  <c r="N916" i="11"/>
  <c r="N933" i="11"/>
  <c r="N847" i="11"/>
  <c r="M980" i="11"/>
  <c r="N988" i="11"/>
  <c r="N906" i="11"/>
  <c r="N888" i="11"/>
  <c r="M992" i="11"/>
  <c r="H901" i="11"/>
  <c r="N892" i="11"/>
  <c r="N871" i="11"/>
  <c r="N858" i="11"/>
  <c r="N883" i="11"/>
  <c r="J878" i="11"/>
  <c r="H853" i="11"/>
  <c r="N841" i="11"/>
  <c r="M836" i="11"/>
  <c r="K1016" i="11"/>
  <c r="N1016" i="11"/>
  <c r="N840" i="11"/>
  <c r="N964" i="11"/>
  <c r="K847" i="11"/>
  <c r="M1015" i="11"/>
  <c r="H1040" i="11"/>
  <c r="J988" i="11"/>
  <c r="N967" i="11"/>
  <c r="N941" i="11"/>
  <c r="H906" i="11"/>
  <c r="N932" i="11"/>
  <c r="K892" i="11"/>
  <c r="J945" i="11"/>
  <c r="J879" i="11"/>
  <c r="M854" i="11"/>
  <c r="N1009" i="11"/>
  <c r="J1021" i="11"/>
  <c r="M999" i="11"/>
  <c r="M930" i="11"/>
  <c r="N1043" i="11"/>
  <c r="M986" i="11"/>
  <c r="M982" i="11"/>
  <c r="K974" i="11"/>
  <c r="M969" i="11"/>
  <c r="H922" i="11"/>
  <c r="K895" i="11"/>
  <c r="N832" i="11"/>
  <c r="N848" i="11"/>
  <c r="J852" i="11"/>
  <c r="M938" i="11"/>
  <c r="N881" i="11"/>
  <c r="J889" i="11"/>
  <c r="N1036" i="11"/>
  <c r="K1027" i="11"/>
  <c r="N1001" i="11"/>
  <c r="N971" i="11"/>
  <c r="J1034" i="11"/>
  <c r="K965" i="11"/>
  <c r="H1047" i="11"/>
  <c r="K1030" i="11"/>
  <c r="H1021" i="11"/>
  <c r="J961" i="11"/>
  <c r="J952" i="11"/>
  <c r="M948" i="11"/>
  <c r="K939" i="11"/>
  <c r="K935" i="11"/>
  <c r="K930" i="11"/>
  <c r="H926" i="11"/>
  <c r="J922" i="11"/>
  <c r="J913" i="11"/>
  <c r="N891" i="11"/>
  <c r="H999" i="11"/>
  <c r="H900" i="11"/>
  <c r="H857" i="11"/>
  <c r="H967" i="11"/>
  <c r="H919" i="11"/>
  <c r="H872" i="11"/>
  <c r="H849" i="11"/>
  <c r="H834" i="11"/>
  <c r="J974" i="11"/>
  <c r="J950" i="11"/>
  <c r="M942" i="11"/>
  <c r="J910" i="11"/>
  <c r="H875" i="11"/>
  <c r="J848" i="11"/>
  <c r="H841" i="11"/>
  <c r="M934" i="11"/>
  <c r="M922" i="11"/>
  <c r="J867" i="11"/>
  <c r="M863" i="11"/>
  <c r="J837" i="11"/>
  <c r="H982" i="11"/>
  <c r="J970" i="11"/>
  <c r="H954" i="11"/>
  <c r="H833" i="11"/>
  <c r="J994" i="11"/>
  <c r="J1049" i="11"/>
  <c r="J1041" i="11"/>
  <c r="J1037" i="11"/>
  <c r="H1041" i="11"/>
  <c r="H966" i="11"/>
  <c r="H918" i="11"/>
  <c r="H910" i="11"/>
  <c r="H852" i="11"/>
  <c r="M1004" i="11"/>
  <c r="M996" i="11"/>
  <c r="H981" i="11"/>
  <c r="H957" i="11"/>
  <c r="M893" i="11"/>
  <c r="M858" i="11"/>
  <c r="H855" i="11"/>
  <c r="H851" i="11"/>
  <c r="M843" i="11"/>
  <c r="H832" i="11"/>
  <c r="M1008" i="11"/>
  <c r="M933" i="11"/>
  <c r="M862" i="11"/>
  <c r="M1012" i="11"/>
  <c r="M897" i="11"/>
  <c r="J933" i="11"/>
  <c r="J905" i="11"/>
  <c r="M889" i="11"/>
  <c r="M881" i="11"/>
  <c r="J862" i="11"/>
  <c r="M1024" i="11"/>
  <c r="M945" i="11"/>
  <c r="M941" i="11"/>
  <c r="M905" i="11"/>
  <c r="M901" i="11"/>
  <c r="M1028" i="11"/>
  <c r="J1012" i="11"/>
  <c r="J1008" i="11"/>
  <c r="M1000" i="11"/>
  <c r="J1032" i="11"/>
  <c r="M988" i="11"/>
  <c r="H973" i="11"/>
  <c r="H969" i="11"/>
  <c r="H961" i="11"/>
  <c r="H921" i="11"/>
  <c r="H913" i="11"/>
  <c r="J901" i="11"/>
  <c r="J897" i="11"/>
  <c r="M885" i="11"/>
  <c r="H836" i="11"/>
  <c r="H1032" i="11"/>
  <c r="H1024" i="11"/>
  <c r="H1004" i="11"/>
  <c r="H945" i="11"/>
  <c r="H941" i="11"/>
  <c r="H1044" i="11"/>
  <c r="K1026" i="11"/>
  <c r="K1019" i="11"/>
  <c r="K1005" i="11"/>
  <c r="H970" i="11"/>
  <c r="H938" i="11"/>
  <c r="H931" i="11"/>
  <c r="H899" i="11"/>
  <c r="H892" i="11"/>
  <c r="H885" i="11"/>
  <c r="H871" i="11"/>
  <c r="K976" i="11"/>
  <c r="K863" i="11"/>
  <c r="H1043" i="11"/>
  <c r="K1025" i="11"/>
  <c r="K1018" i="11"/>
  <c r="K1011" i="11"/>
  <c r="K1004" i="11"/>
  <c r="K958" i="11"/>
  <c r="H937" i="11"/>
  <c r="K919" i="11"/>
  <c r="H870" i="11"/>
  <c r="K839" i="11"/>
  <c r="K832" i="11"/>
  <c r="H1023" i="11"/>
  <c r="K989" i="11"/>
  <c r="H917" i="11"/>
  <c r="H1016" i="11"/>
  <c r="H854" i="11"/>
  <c r="K999" i="11"/>
  <c r="K960" i="11"/>
  <c r="K921" i="11"/>
  <c r="K875" i="11"/>
  <c r="K851" i="11"/>
  <c r="K834" i="11"/>
  <c r="K936" i="11"/>
  <c r="K1041" i="11"/>
  <c r="K967" i="11"/>
  <c r="K928" i="11"/>
  <c r="K896" i="11"/>
  <c r="K882" i="11"/>
  <c r="K1020" i="11"/>
  <c r="K861" i="11"/>
  <c r="K844" i="11"/>
  <c r="K988" i="11"/>
  <c r="K981" i="11"/>
  <c r="K949" i="11"/>
  <c r="K910" i="11"/>
  <c r="H995" i="11"/>
  <c r="K956" i="11"/>
  <c r="E829" i="11"/>
  <c r="F829" i="11"/>
  <c r="G829" i="11"/>
  <c r="I829" i="11"/>
  <c r="L829" i="11"/>
  <c r="E702" i="12"/>
  <c r="F702" i="12"/>
  <c r="H702" i="12"/>
  <c r="E703" i="12"/>
  <c r="F703" i="12"/>
  <c r="H703" i="12"/>
  <c r="E704" i="12"/>
  <c r="F704" i="12"/>
  <c r="H704" i="12"/>
  <c r="E705" i="12"/>
  <c r="F705" i="12"/>
  <c r="H705" i="12"/>
  <c r="E706" i="12"/>
  <c r="F706" i="12"/>
  <c r="H706" i="12"/>
  <c r="E707" i="12"/>
  <c r="F707" i="12"/>
  <c r="H707" i="12"/>
  <c r="E708" i="12"/>
  <c r="F708" i="12"/>
  <c r="H708" i="12"/>
  <c r="E709" i="12"/>
  <c r="F709" i="12"/>
  <c r="H709" i="12"/>
  <c r="E710" i="12"/>
  <c r="F710" i="12"/>
  <c r="H710" i="12"/>
  <c r="E711" i="12"/>
  <c r="F711" i="12"/>
  <c r="H711" i="12"/>
  <c r="E712" i="12"/>
  <c r="F712" i="12"/>
  <c r="H712" i="12"/>
  <c r="E713" i="12"/>
  <c r="F713" i="12"/>
  <c r="H713" i="12"/>
  <c r="E714" i="12"/>
  <c r="F714" i="12"/>
  <c r="H714" i="12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H701" i="12"/>
  <c r="F701" i="12"/>
  <c r="E701" i="12"/>
  <c r="H700" i="12"/>
  <c r="F700" i="12"/>
  <c r="E700" i="12"/>
  <c r="H699" i="12"/>
  <c r="F699" i="12"/>
  <c r="E699" i="12"/>
  <c r="H698" i="12"/>
  <c r="F698" i="12"/>
  <c r="E698" i="12"/>
  <c r="H697" i="12"/>
  <c r="F697" i="12"/>
  <c r="E697" i="12"/>
  <c r="H696" i="12"/>
  <c r="F696" i="12"/>
  <c r="E696" i="12"/>
  <c r="H695" i="12"/>
  <c r="F695" i="12"/>
  <c r="E695" i="12"/>
  <c r="H694" i="12"/>
  <c r="F694" i="12"/>
  <c r="E694" i="12"/>
  <c r="H693" i="12"/>
  <c r="F693" i="12"/>
  <c r="E693" i="12"/>
  <c r="H692" i="12"/>
  <c r="F692" i="12"/>
  <c r="E692" i="12"/>
  <c r="H691" i="12"/>
  <c r="F691" i="12"/>
  <c r="E691" i="12"/>
  <c r="H690" i="12"/>
  <c r="F690" i="12"/>
  <c r="E690" i="12"/>
  <c r="H689" i="12"/>
  <c r="F689" i="12"/>
  <c r="E689" i="12"/>
  <c r="H688" i="12"/>
  <c r="F688" i="12"/>
  <c r="E688" i="12"/>
  <c r="H687" i="12"/>
  <c r="F687" i="12"/>
  <c r="E687" i="12"/>
  <c r="H686" i="12"/>
  <c r="F686" i="12"/>
  <c r="E686" i="12"/>
  <c r="H685" i="12"/>
  <c r="F685" i="12"/>
  <c r="E685" i="12"/>
  <c r="H684" i="12"/>
  <c r="F684" i="12"/>
  <c r="E684" i="12"/>
  <c r="H683" i="12"/>
  <c r="F683" i="12"/>
  <c r="E683" i="12"/>
  <c r="H682" i="12"/>
  <c r="F682" i="12"/>
  <c r="E682" i="12"/>
  <c r="H681" i="12"/>
  <c r="F681" i="12"/>
  <c r="E681" i="12"/>
  <c r="H680" i="12"/>
  <c r="F680" i="12"/>
  <c r="E680" i="12"/>
  <c r="H679" i="12"/>
  <c r="F679" i="12"/>
  <c r="E679" i="12"/>
  <c r="H678" i="12"/>
  <c r="F678" i="12"/>
  <c r="E678" i="12"/>
  <c r="H677" i="12"/>
  <c r="F677" i="12"/>
  <c r="E677" i="12"/>
  <c r="H676" i="12"/>
  <c r="F676" i="12"/>
  <c r="E676" i="12"/>
  <c r="H675" i="12"/>
  <c r="F675" i="12"/>
  <c r="E675" i="12"/>
  <c r="K829" i="11" l="1"/>
  <c r="H829" i="11"/>
  <c r="N829" i="11"/>
  <c r="E1" i="11"/>
  <c r="M829" i="11"/>
  <c r="J829" i="11"/>
  <c r="F300" i="13"/>
  <c r="E300" i="13"/>
  <c r="F299" i="13"/>
  <c r="E299" i="13"/>
  <c r="F298" i="13"/>
  <c r="E298" i="13"/>
  <c r="F297" i="13"/>
  <c r="E297" i="13"/>
  <c r="E293" i="13"/>
  <c r="F293" i="13"/>
  <c r="E294" i="13"/>
  <c r="F294" i="13"/>
  <c r="E295" i="13"/>
  <c r="F295" i="13"/>
  <c r="E296" i="13"/>
  <c r="F296" i="13"/>
  <c r="E285" i="13"/>
  <c r="F285" i="13"/>
  <c r="E286" i="13"/>
  <c r="F286" i="13"/>
  <c r="E287" i="13"/>
  <c r="F287" i="13"/>
  <c r="E288" i="13"/>
  <c r="F288" i="13"/>
  <c r="E289" i="13"/>
  <c r="F289" i="13"/>
  <c r="E290" i="13"/>
  <c r="F290" i="13"/>
  <c r="E291" i="13"/>
  <c r="F291" i="13"/>
  <c r="E292" i="13"/>
  <c r="F292" i="13"/>
  <c r="E281" i="13"/>
  <c r="F281" i="13"/>
  <c r="E282" i="13"/>
  <c r="F282" i="13"/>
  <c r="E283" i="13"/>
  <c r="F283" i="13"/>
  <c r="E284" i="13"/>
  <c r="F284" i="13"/>
  <c r="E661" i="12"/>
  <c r="F661" i="12"/>
  <c r="H661" i="12"/>
  <c r="E662" i="12"/>
  <c r="F662" i="12"/>
  <c r="H662" i="12"/>
  <c r="E663" i="12"/>
  <c r="F663" i="12"/>
  <c r="H663" i="12"/>
  <c r="E664" i="12"/>
  <c r="F664" i="12"/>
  <c r="H664" i="12"/>
  <c r="E665" i="12"/>
  <c r="F665" i="12"/>
  <c r="H665" i="12"/>
  <c r="E666" i="12"/>
  <c r="F666" i="12"/>
  <c r="H666" i="12"/>
  <c r="E667" i="12"/>
  <c r="F667" i="12"/>
  <c r="H667" i="12"/>
  <c r="E668" i="12"/>
  <c r="F668" i="12"/>
  <c r="H668" i="12"/>
  <c r="E669" i="12"/>
  <c r="F669" i="12"/>
  <c r="H669" i="12"/>
  <c r="E670" i="12"/>
  <c r="F670" i="12"/>
  <c r="H670" i="12"/>
  <c r="E671" i="12"/>
  <c r="F671" i="12"/>
  <c r="H671" i="12"/>
  <c r="E672" i="12"/>
  <c r="F672" i="12"/>
  <c r="H672" i="12"/>
  <c r="E673" i="12"/>
  <c r="F673" i="12"/>
  <c r="H673" i="12"/>
  <c r="E674" i="12"/>
  <c r="F674" i="12"/>
  <c r="H674" i="12"/>
  <c r="E654" i="12"/>
  <c r="F654" i="12"/>
  <c r="H654" i="12"/>
  <c r="E655" i="12"/>
  <c r="F655" i="12"/>
  <c r="H655" i="12"/>
  <c r="E656" i="12"/>
  <c r="F656" i="12"/>
  <c r="H656" i="12"/>
  <c r="E657" i="12"/>
  <c r="F657" i="12"/>
  <c r="H657" i="12"/>
  <c r="E658" i="12"/>
  <c r="F658" i="12"/>
  <c r="H658" i="12"/>
  <c r="E659" i="12"/>
  <c r="F659" i="12"/>
  <c r="H659" i="12"/>
  <c r="E660" i="12"/>
  <c r="F660" i="12"/>
  <c r="H660" i="12"/>
  <c r="E641" i="12"/>
  <c r="F641" i="12"/>
  <c r="H641" i="12"/>
  <c r="E642" i="12"/>
  <c r="F642" i="12"/>
  <c r="H642" i="12"/>
  <c r="E643" i="12"/>
  <c r="F643" i="12"/>
  <c r="H643" i="12"/>
  <c r="E644" i="12"/>
  <c r="F644" i="12"/>
  <c r="H644" i="12"/>
  <c r="E645" i="12"/>
  <c r="F645" i="12"/>
  <c r="H645" i="12"/>
  <c r="E646" i="12"/>
  <c r="F646" i="12"/>
  <c r="H646" i="12"/>
  <c r="E647" i="12"/>
  <c r="F647" i="12"/>
  <c r="H647" i="12"/>
  <c r="E648" i="12"/>
  <c r="F648" i="12"/>
  <c r="H648" i="12"/>
  <c r="E649" i="12"/>
  <c r="F649" i="12"/>
  <c r="H649" i="12"/>
  <c r="E650" i="12"/>
  <c r="F650" i="12"/>
  <c r="H650" i="12"/>
  <c r="E651" i="12"/>
  <c r="F651" i="12"/>
  <c r="H651" i="12"/>
  <c r="E652" i="12"/>
  <c r="F652" i="12"/>
  <c r="H652" i="12"/>
  <c r="E653" i="12"/>
  <c r="F653" i="12"/>
  <c r="H653" i="12"/>
  <c r="F280" i="13"/>
  <c r="E280" i="13"/>
  <c r="F279" i="13"/>
  <c r="E279" i="13"/>
  <c r="F278" i="13"/>
  <c r="E278" i="13"/>
  <c r="F277" i="13"/>
  <c r="E277" i="13"/>
  <c r="F276" i="13"/>
  <c r="E276" i="13"/>
  <c r="F275" i="13"/>
  <c r="E275" i="13"/>
  <c r="F274" i="13"/>
  <c r="E274" i="13"/>
  <c r="F273" i="13"/>
  <c r="E273" i="13"/>
  <c r="F272" i="13"/>
  <c r="E272" i="13"/>
  <c r="F271" i="13"/>
  <c r="E271" i="13"/>
  <c r="F270" i="13"/>
  <c r="E270" i="13"/>
  <c r="F269" i="13"/>
  <c r="E269" i="13"/>
  <c r="F268" i="13"/>
  <c r="E268" i="13"/>
  <c r="F267" i="13"/>
  <c r="E267" i="13"/>
  <c r="F266" i="13"/>
  <c r="E266" i="13"/>
  <c r="F265" i="13"/>
  <c r="E265" i="13"/>
  <c r="F264" i="13"/>
  <c r="E264" i="13"/>
  <c r="F263" i="13"/>
  <c r="E263" i="13"/>
  <c r="F262" i="13"/>
  <c r="E262" i="13"/>
  <c r="F261" i="13"/>
  <c r="E261" i="13"/>
  <c r="F260" i="13"/>
  <c r="E260" i="13"/>
  <c r="F259" i="13"/>
  <c r="E259" i="13"/>
  <c r="F258" i="13"/>
  <c r="E258" i="13"/>
  <c r="F257" i="13"/>
  <c r="E257" i="13"/>
  <c r="F256" i="13"/>
  <c r="E256" i="13"/>
  <c r="F255" i="13"/>
  <c r="E255" i="13"/>
  <c r="F254" i="13"/>
  <c r="E254" i="13"/>
  <c r="F253" i="13"/>
  <c r="E253" i="13"/>
  <c r="F252" i="13"/>
  <c r="E252" i="13"/>
  <c r="F251" i="13"/>
  <c r="E251" i="13"/>
  <c r="F250" i="13"/>
  <c r="E250" i="13"/>
  <c r="F249" i="13"/>
  <c r="E249" i="13"/>
  <c r="F248" i="13"/>
  <c r="E248" i="13"/>
  <c r="F247" i="13"/>
  <c r="E247" i="13"/>
  <c r="F246" i="13"/>
  <c r="E246" i="13"/>
  <c r="F245" i="13"/>
  <c r="E245" i="13"/>
  <c r="F244" i="13"/>
  <c r="E244" i="13"/>
  <c r="F243" i="13"/>
  <c r="E243" i="13"/>
  <c r="F242" i="13"/>
  <c r="E242" i="13"/>
  <c r="F241" i="13"/>
  <c r="E241" i="13"/>
  <c r="F240" i="13"/>
  <c r="E240" i="13"/>
  <c r="F239" i="13"/>
  <c r="E239" i="13"/>
  <c r="F238" i="13"/>
  <c r="E238" i="13"/>
  <c r="F237" i="13"/>
  <c r="E237" i="13"/>
  <c r="F236" i="13"/>
  <c r="E236" i="13"/>
  <c r="F235" i="13"/>
  <c r="E235" i="13"/>
  <c r="F234" i="13"/>
  <c r="E234" i="13"/>
  <c r="F233" i="13"/>
  <c r="E233" i="13"/>
  <c r="H640" i="12"/>
  <c r="F429" i="12"/>
  <c r="E429" i="12"/>
  <c r="H639" i="12"/>
  <c r="F385" i="12"/>
  <c r="E385" i="12"/>
  <c r="E531" i="12"/>
  <c r="E509" i="12"/>
  <c r="E497" i="12"/>
  <c r="E378" i="12"/>
  <c r="E367" i="12"/>
  <c r="E463" i="12"/>
  <c r="E450" i="12"/>
  <c r="E640" i="12"/>
  <c r="E612" i="12"/>
  <c r="E599" i="12"/>
  <c r="E585" i="12"/>
  <c r="E573" i="12"/>
  <c r="E560" i="12"/>
  <c r="E532" i="12"/>
  <c r="E475" i="12"/>
  <c r="E572" i="12"/>
  <c r="E559" i="12"/>
  <c r="E545" i="12"/>
  <c r="E415" i="12"/>
  <c r="E377" i="12"/>
  <c r="E639" i="12"/>
  <c r="E626" i="12"/>
  <c r="E598" i="12"/>
  <c r="E584" i="12"/>
  <c r="E405" i="12"/>
  <c r="E395" i="12"/>
  <c r="E428" i="12"/>
  <c r="E416" i="12"/>
  <c r="E438" i="12"/>
  <c r="E357" i="12"/>
  <c r="E342" i="12"/>
  <c r="E255" i="12"/>
  <c r="E224" i="12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B361" i="11"/>
  <c r="D515" i="12" s="1"/>
  <c r="B360" i="11"/>
  <c r="D503" i="12" s="1"/>
  <c r="B359" i="11"/>
  <c r="D481" i="12" s="1"/>
  <c r="B358" i="11"/>
  <c r="D414" i="12" s="1"/>
  <c r="B357" i="11"/>
  <c r="D315" i="12" s="1"/>
  <c r="B356" i="11"/>
  <c r="D306" i="12" s="1"/>
  <c r="B355" i="11"/>
  <c r="D296" i="12" s="1"/>
  <c r="B354" i="11"/>
  <c r="D285" i="12" s="1"/>
  <c r="B353" i="11"/>
  <c r="D456" i="12" s="1"/>
  <c r="B352" i="11"/>
  <c r="D444" i="12" s="1"/>
  <c r="B351" i="11"/>
  <c r="D319" i="12" s="1"/>
  <c r="B350" i="11"/>
  <c r="D357" i="12" s="1"/>
  <c r="B349" i="11"/>
  <c r="D429" i="12" s="1"/>
  <c r="B348" i="11"/>
  <c r="D421" i="12" s="1"/>
  <c r="B347" i="11"/>
  <c r="D302" i="12" s="1"/>
  <c r="B346" i="11"/>
  <c r="D291" i="12" s="1"/>
  <c r="B345" i="11"/>
  <c r="D280" i="12" s="1"/>
  <c r="B344" i="11"/>
  <c r="D320" i="12" s="1"/>
  <c r="B343" i="11"/>
  <c r="D312" i="12" s="1"/>
  <c r="B342" i="11"/>
  <c r="D353" i="12" s="1"/>
  <c r="B341" i="11"/>
  <c r="D346" i="12" s="1"/>
  <c r="B340" i="11"/>
  <c r="D303" i="12" s="1"/>
  <c r="B339" i="11"/>
  <c r="D292" i="12" s="1"/>
  <c r="B338" i="11"/>
  <c r="D396" i="12" s="1"/>
  <c r="B337" i="11"/>
  <c r="D367" i="12" s="1"/>
  <c r="B336" i="11"/>
  <c r="D338" i="12" s="1"/>
  <c r="B335" i="11"/>
  <c r="D325" i="12" s="1"/>
  <c r="B334" i="11"/>
  <c r="D386" i="12" s="1"/>
  <c r="B333" i="11"/>
  <c r="D379" i="12" s="1"/>
  <c r="B332" i="11"/>
  <c r="D368" i="12" s="1"/>
  <c r="B331" i="11"/>
  <c r="D358" i="12" s="1"/>
  <c r="B330" i="11"/>
  <c r="D351" i="12" s="1"/>
  <c r="B329" i="11"/>
  <c r="D334" i="12" s="1"/>
  <c r="B328" i="11"/>
  <c r="D324" i="12" s="1"/>
  <c r="B327" i="11"/>
  <c r="D343" i="12" s="1"/>
  <c r="B326" i="11"/>
  <c r="D335" i="12" s="1"/>
  <c r="B325" i="11"/>
  <c r="D311" i="12" s="1"/>
  <c r="B324" i="11"/>
  <c r="D301" i="12" s="1"/>
  <c r="B323" i="11"/>
  <c r="D318" i="12" s="1"/>
  <c r="B322" i="11"/>
  <c r="D310" i="12" s="1"/>
  <c r="B321" i="11"/>
  <c r="D290" i="12" s="1"/>
  <c r="B320" i="11"/>
  <c r="D272" i="12" s="1"/>
  <c r="B319" i="11"/>
  <c r="D304" i="12" s="1"/>
  <c r="B318" i="11"/>
  <c r="D283" i="12" s="1"/>
  <c r="B317" i="11"/>
  <c r="D138" i="12" s="1"/>
  <c r="B316" i="11"/>
  <c r="D135" i="12" s="1"/>
  <c r="B315" i="11"/>
  <c r="D130" i="12" s="1"/>
  <c r="B314" i="11"/>
  <c r="D393" i="12" s="1"/>
  <c r="B313" i="11"/>
  <c r="D376" i="12" s="1"/>
  <c r="B312" i="11"/>
  <c r="D350" i="12" s="1"/>
  <c r="B311" i="11"/>
  <c r="D332" i="12" s="1"/>
  <c r="B310" i="11"/>
  <c r="D322" i="12" s="1"/>
  <c r="B309" i="11"/>
  <c r="D308" i="12" s="1"/>
  <c r="B308" i="11"/>
  <c r="D342" i="12" s="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D415" i="12" s="1"/>
  <c r="B289" i="11"/>
  <c r="D394" i="12" s="1"/>
  <c r="B288" i="11"/>
  <c r="D378" i="12" s="1"/>
  <c r="B287" i="11"/>
  <c r="D377" i="12" s="1"/>
  <c r="B286" i="11"/>
  <c r="B285" i="11"/>
  <c r="B284" i="11"/>
  <c r="D331" i="12" s="1"/>
  <c r="B283" i="11"/>
  <c r="B282" i="11"/>
  <c r="D354" i="12" s="1"/>
  <c r="B281" i="11"/>
  <c r="D348" i="12" s="1"/>
  <c r="B280" i="11"/>
  <c r="D182" i="12" s="1"/>
  <c r="B279" i="11"/>
  <c r="D214" i="12" s="1"/>
  <c r="B278" i="11"/>
  <c r="D208" i="12" s="1"/>
  <c r="B277" i="11"/>
  <c r="D321" i="12" s="1"/>
  <c r="B276" i="11"/>
  <c r="D203" i="12" s="1"/>
  <c r="B275" i="11"/>
  <c r="D197" i="12" s="1"/>
  <c r="B274" i="11"/>
  <c r="D193" i="12" s="1"/>
  <c r="B273" i="11"/>
  <c r="D183" i="12" s="1"/>
  <c r="B272" i="11"/>
  <c r="D305" i="12" s="1"/>
  <c r="B271" i="11"/>
  <c r="D295" i="12" s="1"/>
  <c r="B270" i="11"/>
  <c r="D284" i="12" s="1"/>
  <c r="B269" i="11"/>
  <c r="D347" i="12" s="1"/>
  <c r="B268" i="11"/>
  <c r="D223" i="12" s="1"/>
  <c r="B267" i="11"/>
  <c r="B266" i="11"/>
  <c r="D188" i="12" s="1"/>
  <c r="B265" i="11"/>
  <c r="D121" i="12" s="1"/>
  <c r="B264" i="11"/>
  <c r="D198" i="12" s="1"/>
  <c r="B263" i="11"/>
  <c r="D205" i="12" s="1"/>
  <c r="B262" i="11"/>
  <c r="D204" i="12" s="1"/>
  <c r="B261" i="11"/>
  <c r="D199" i="12" s="1"/>
  <c r="B260" i="11"/>
  <c r="D181" i="12" s="1"/>
  <c r="B259" i="11"/>
  <c r="D195" i="12" s="1"/>
  <c r="B258" i="11"/>
  <c r="D194" i="12" s="1"/>
  <c r="B257" i="11"/>
  <c r="D216" i="12" s="1"/>
  <c r="B256" i="11"/>
  <c r="D314" i="12" s="1"/>
  <c r="B255" i="11"/>
  <c r="D294" i="12" s="1"/>
  <c r="B254" i="11"/>
  <c r="D215" i="12" s="1"/>
  <c r="B253" i="11"/>
  <c r="B252" i="11"/>
  <c r="D133" i="12" s="1"/>
  <c r="B251" i="11"/>
  <c r="D123" i="12" s="1"/>
  <c r="B250" i="11"/>
  <c r="B249" i="11"/>
  <c r="D153" i="12" s="1"/>
  <c r="B248" i="11"/>
  <c r="D152" i="12" s="1"/>
  <c r="B247" i="11"/>
  <c r="D150" i="12" s="1"/>
  <c r="B246" i="11"/>
  <c r="D147" i="12" s="1"/>
  <c r="B245" i="11"/>
  <c r="D118" i="12" s="1"/>
  <c r="B244" i="11"/>
  <c r="D109" i="12" s="1"/>
  <c r="B243" i="11"/>
  <c r="D91" i="12" s="1"/>
  <c r="B242" i="11"/>
  <c r="D220" i="12" s="1"/>
  <c r="B241" i="11"/>
  <c r="D275" i="12" s="1"/>
  <c r="B240" i="11"/>
  <c r="D114" i="12" s="1"/>
  <c r="B239" i="11"/>
  <c r="D266" i="12" s="1"/>
  <c r="B238" i="11"/>
  <c r="D212" i="12" s="1"/>
  <c r="B237" i="11"/>
  <c r="B236" i="11"/>
  <c r="D143" i="12" s="1"/>
  <c r="B235" i="11"/>
  <c r="D137" i="12" s="1"/>
  <c r="B234" i="11"/>
  <c r="D309" i="12" s="1"/>
  <c r="B233" i="11"/>
  <c r="D300" i="12" s="1"/>
  <c r="B232" i="11"/>
  <c r="D289" i="12" s="1"/>
  <c r="B231" i="11"/>
  <c r="D141" i="12" s="1"/>
  <c r="B230" i="11"/>
  <c r="B229" i="11"/>
  <c r="B228" i="11"/>
  <c r="D297" i="12" s="1"/>
  <c r="B227" i="11"/>
  <c r="D148" i="12" s="1"/>
  <c r="B226" i="11"/>
  <c r="B225" i="11"/>
  <c r="D84" i="12" s="1"/>
  <c r="B224" i="11"/>
  <c r="B223" i="11"/>
  <c r="B222" i="11"/>
  <c r="B221" i="11"/>
  <c r="D213" i="12" s="1"/>
  <c r="B220" i="11"/>
  <c r="D180" i="12" s="1"/>
  <c r="B219" i="11"/>
  <c r="B218" i="11"/>
  <c r="D144" i="12" s="1"/>
  <c r="B217" i="11"/>
  <c r="B216" i="11"/>
  <c r="B215" i="11"/>
  <c r="B214" i="11"/>
  <c r="B213" i="11"/>
  <c r="D127" i="12" s="1"/>
  <c r="B212" i="11"/>
  <c r="D261" i="12" s="1"/>
  <c r="B211" i="11"/>
  <c r="D253" i="12" s="1"/>
  <c r="B210" i="11"/>
  <c r="D245" i="12" s="1"/>
  <c r="B209" i="11"/>
  <c r="D132" i="12" s="1"/>
  <c r="B208" i="11"/>
  <c r="B207" i="11"/>
  <c r="B206" i="11"/>
  <c r="B205" i="11"/>
  <c r="B204" i="11"/>
  <c r="B203" i="11"/>
  <c r="D170" i="12" s="1"/>
  <c r="B202" i="11"/>
  <c r="B201" i="11"/>
  <c r="B200" i="11"/>
  <c r="D129" i="12" s="1"/>
  <c r="B199" i="11"/>
  <c r="D136" i="12" s="1"/>
  <c r="B198" i="11"/>
  <c r="B197" i="11"/>
  <c r="B196" i="11"/>
  <c r="D244" i="12" s="1"/>
  <c r="B195" i="11"/>
  <c r="B194" i="11"/>
  <c r="B193" i="11"/>
  <c r="D267" i="12" s="1"/>
  <c r="B192" i="11"/>
  <c r="B191" i="11"/>
  <c r="D134" i="12" s="1"/>
  <c r="B190" i="11"/>
  <c r="D250" i="12" s="1"/>
  <c r="B189" i="11"/>
  <c r="B188" i="11"/>
  <c r="B187" i="11"/>
  <c r="B186" i="11"/>
  <c r="B185" i="11"/>
  <c r="B184" i="11"/>
  <c r="D89" i="12" s="1"/>
  <c r="B183" i="11"/>
  <c r="D96" i="12" s="1"/>
  <c r="B182" i="11"/>
  <c r="B181" i="11"/>
  <c r="B180" i="11"/>
  <c r="B179" i="11"/>
  <c r="D146" i="12" s="1"/>
  <c r="B178" i="11"/>
  <c r="D139" i="12" s="1"/>
  <c r="B177" i="11"/>
  <c r="D159" i="12" s="1"/>
  <c r="B176" i="11"/>
  <c r="D157" i="12" s="1"/>
  <c r="B175" i="11"/>
  <c r="D162" i="12" s="1"/>
  <c r="B174" i="11"/>
  <c r="D156" i="12" s="1"/>
  <c r="B173" i="11"/>
  <c r="D80" i="12" s="1"/>
  <c r="B172" i="11"/>
  <c r="D74" i="12" s="1"/>
  <c r="B171" i="11"/>
  <c r="D131" i="12" s="1"/>
  <c r="B170" i="11"/>
  <c r="D140" i="12" s="1"/>
  <c r="B169" i="11"/>
  <c r="D236" i="12" s="1"/>
  <c r="B168" i="11"/>
  <c r="D117" i="12" s="1"/>
  <c r="B167" i="11"/>
  <c r="D111" i="12" s="1"/>
  <c r="B166" i="11"/>
  <c r="D124" i="12" s="1"/>
  <c r="B165" i="11"/>
  <c r="D229" i="12" s="1"/>
  <c r="B164" i="11"/>
  <c r="D107" i="12" s="1"/>
  <c r="B163" i="11"/>
  <c r="D237" i="12" s="1"/>
  <c r="B162" i="11"/>
  <c r="D230" i="12" s="1"/>
  <c r="B161" i="11"/>
  <c r="D242" i="12" s="1"/>
  <c r="B160" i="11"/>
  <c r="D235" i="12" s="1"/>
  <c r="B159" i="11"/>
  <c r="D234" i="12" s="1"/>
  <c r="B158" i="11"/>
  <c r="D228" i="12" s="1"/>
  <c r="B157" i="11"/>
  <c r="D120" i="12" s="1"/>
  <c r="B156" i="11"/>
  <c r="D112" i="12" s="1"/>
  <c r="B155" i="11"/>
  <c r="D69" i="12" s="1"/>
  <c r="B154" i="11"/>
  <c r="D113" i="12" s="1"/>
  <c r="B153" i="11"/>
  <c r="D103" i="12" s="1"/>
  <c r="B152" i="11"/>
  <c r="D119" i="12" s="1"/>
  <c r="B151" i="11"/>
  <c r="D108" i="12" s="1"/>
  <c r="B150" i="11"/>
  <c r="D222" i="12" s="1"/>
  <c r="B149" i="11"/>
  <c r="D227" i="12" s="1"/>
  <c r="B148" i="11"/>
  <c r="D98" i="12" s="1"/>
  <c r="B147" i="11"/>
  <c r="D99" i="12" s="1"/>
  <c r="B146" i="11"/>
  <c r="D100" i="12" s="1"/>
  <c r="B145" i="11"/>
  <c r="D122" i="12" s="1"/>
  <c r="B144" i="11"/>
  <c r="D221" i="12" s="1"/>
  <c r="B143" i="11"/>
  <c r="D265" i="12" s="1"/>
  <c r="B142" i="11"/>
  <c r="D115" i="12" s="1"/>
  <c r="B141" i="11"/>
  <c r="D92" i="12" s="1"/>
  <c r="B140" i="11"/>
  <c r="D248" i="12" s="1"/>
  <c r="B139" i="11"/>
  <c r="D241" i="12" s="1"/>
  <c r="B138" i="11"/>
  <c r="D104" i="12" s="1"/>
  <c r="B137" i="11"/>
  <c r="D125" i="12" s="1"/>
  <c r="B136" i="11"/>
  <c r="D218" i="12" s="1"/>
  <c r="B135" i="11"/>
  <c r="D196" i="12" s="1"/>
  <c r="B134" i="11"/>
  <c r="D185" i="12" s="1"/>
  <c r="B133" i="11"/>
  <c r="D178" i="12" s="1"/>
  <c r="B132" i="11"/>
  <c r="D174" i="12" s="1"/>
  <c r="B131" i="11"/>
  <c r="D169" i="12" s="1"/>
  <c r="B130" i="11"/>
  <c r="D163" i="12" s="1"/>
  <c r="B129" i="11"/>
  <c r="D258" i="12" s="1"/>
  <c r="B128" i="11"/>
  <c r="D247" i="12" s="1"/>
  <c r="B127" i="11"/>
  <c r="D240" i="12" s="1"/>
  <c r="B126" i="11"/>
  <c r="D95" i="12" s="1"/>
  <c r="B125" i="11"/>
  <c r="D94" i="12" s="1"/>
  <c r="B124" i="11"/>
  <c r="D76" i="12" s="1"/>
  <c r="B123" i="11"/>
  <c r="D226" i="12" s="1"/>
  <c r="B122" i="11"/>
  <c r="D64" i="12" s="1"/>
  <c r="B121" i="11"/>
  <c r="D87" i="12" s="1"/>
  <c r="B120" i="11"/>
  <c r="D83" i="12" s="1"/>
  <c r="B119" i="11"/>
  <c r="D217" i="12" s="1"/>
  <c r="B118" i="11"/>
  <c r="D207" i="12" s="1"/>
  <c r="B117" i="11"/>
  <c r="D184" i="12" s="1"/>
  <c r="B116" i="11"/>
  <c r="D177" i="12" s="1"/>
  <c r="B115" i="11"/>
  <c r="D173" i="12" s="1"/>
  <c r="B114" i="11"/>
  <c r="D71" i="12" s="1"/>
  <c r="B113" i="11"/>
  <c r="D68" i="12" s="1"/>
  <c r="B112" i="11"/>
  <c r="D36" i="12" s="1"/>
  <c r="B111" i="11"/>
  <c r="D59" i="12" s="1"/>
  <c r="B110" i="11"/>
  <c r="D105" i="12" s="1"/>
  <c r="B109" i="11"/>
  <c r="D168" i="12" s="1"/>
  <c r="B108" i="11"/>
  <c r="D164" i="12" s="1"/>
  <c r="B107" i="11"/>
  <c r="D88" i="12" s="1"/>
  <c r="B106" i="11"/>
  <c r="D101" i="12" s="1"/>
  <c r="B105" i="11"/>
  <c r="D63" i="12" s="1"/>
  <c r="B104" i="11"/>
  <c r="D82" i="12" s="1"/>
  <c r="B103" i="11"/>
  <c r="D93" i="12" s="1"/>
  <c r="B102" i="11"/>
  <c r="D282" i="12" s="1"/>
  <c r="B101" i="11"/>
  <c r="D50" i="12" s="1"/>
  <c r="B100" i="11"/>
  <c r="D72" i="12" s="1"/>
  <c r="B99" i="11"/>
  <c r="D43" i="12" s="1"/>
  <c r="B98" i="11"/>
  <c r="D44" i="12" s="1"/>
  <c r="B97" i="11"/>
  <c r="D56" i="12" s="1"/>
  <c r="B96" i="11"/>
  <c r="D85" i="12" s="1"/>
  <c r="B95" i="11"/>
  <c r="D273" i="12" s="1"/>
  <c r="B94" i="11"/>
  <c r="D281" i="12" s="1"/>
  <c r="B93" i="11"/>
  <c r="D86" i="12" s="1"/>
  <c r="B92" i="11"/>
  <c r="D75" i="12" s="1"/>
  <c r="B91" i="11"/>
  <c r="D264" i="12" s="1"/>
  <c r="B90" i="11"/>
  <c r="D257" i="12" s="1"/>
  <c r="B89" i="11"/>
  <c r="D232" i="12" s="1"/>
  <c r="B88" i="11"/>
  <c r="D225" i="12" s="1"/>
  <c r="B87" i="11"/>
  <c r="D206" i="12" s="1"/>
  <c r="B86" i="11"/>
  <c r="D40" i="12" s="1"/>
  <c r="B85" i="11"/>
  <c r="D38" i="12" s="1"/>
  <c r="B84" i="11"/>
  <c r="D37" i="12" s="1"/>
  <c r="B83" i="11"/>
  <c r="D90" i="12" s="1"/>
  <c r="B82" i="11"/>
  <c r="D70" i="12" s="1"/>
  <c r="B81" i="11"/>
  <c r="D62" i="12" s="1"/>
  <c r="B80" i="11"/>
  <c r="D57" i="12" s="1"/>
  <c r="B79" i="11"/>
  <c r="D65" i="12" s="1"/>
  <c r="B78" i="11"/>
  <c r="D190" i="12" s="1"/>
  <c r="B77" i="11"/>
  <c r="D58" i="12" s="1"/>
  <c r="B76" i="11"/>
  <c r="D46" i="12" s="1"/>
  <c r="B75" i="11"/>
  <c r="D45" i="12" s="1"/>
  <c r="B74" i="11"/>
  <c r="D66" i="12" s="1"/>
  <c r="B73" i="11"/>
  <c r="D179" i="12" s="1"/>
  <c r="B72" i="11"/>
  <c r="D175" i="12" s="1"/>
  <c r="B71" i="11"/>
  <c r="D60" i="12" s="1"/>
  <c r="B70" i="11"/>
  <c r="D39" i="12" s="1"/>
  <c r="B69" i="11"/>
  <c r="D171" i="12" s="1"/>
  <c r="B68" i="11"/>
  <c r="D167" i="12" s="1"/>
  <c r="B67" i="11"/>
  <c r="D79" i="12" s="1"/>
  <c r="B66" i="11"/>
  <c r="D61" i="12" s="1"/>
  <c r="B65" i="11"/>
  <c r="D263" i="12" s="1"/>
  <c r="B64" i="11"/>
  <c r="D256" i="12" s="1"/>
  <c r="B63" i="11"/>
  <c r="D239" i="12" s="1"/>
  <c r="B62" i="11"/>
  <c r="D231" i="12" s="1"/>
  <c r="B61" i="11"/>
  <c r="D219" i="12" s="1"/>
  <c r="B60" i="11"/>
  <c r="D53" i="12" s="1"/>
  <c r="B59" i="11"/>
  <c r="D52" i="12" s="1"/>
  <c r="B58" i="11"/>
  <c r="D55" i="12" s="1"/>
  <c r="B57" i="11"/>
  <c r="D211" i="12" s="1"/>
  <c r="B56" i="11"/>
  <c r="D42" i="12" s="1"/>
  <c r="B55" i="11"/>
  <c r="D28" i="12" s="1"/>
  <c r="B54" i="11"/>
  <c r="D32" i="12" s="1"/>
  <c r="B53" i="11"/>
  <c r="D202" i="12" s="1"/>
  <c r="B52" i="11"/>
  <c r="D189" i="12" s="1"/>
  <c r="B51" i="11"/>
  <c r="D166" i="12" s="1"/>
  <c r="B50" i="11"/>
  <c r="D160" i="12" s="1"/>
  <c r="B49" i="11"/>
  <c r="B48" i="11"/>
  <c r="B47" i="11"/>
  <c r="D81" i="12" s="1"/>
  <c r="B46" i="11"/>
  <c r="D67" i="12" s="1"/>
  <c r="B45" i="11"/>
  <c r="D15" i="12" s="1"/>
  <c r="B44" i="11"/>
  <c r="D73" i="12" s="1"/>
  <c r="B43" i="11"/>
  <c r="B42" i="11"/>
  <c r="B41" i="11"/>
  <c r="B40" i="11"/>
  <c r="B39" i="11"/>
  <c r="B38" i="11"/>
  <c r="B37" i="11"/>
  <c r="D19" i="12" s="1"/>
  <c r="B36" i="11"/>
  <c r="B35" i="11"/>
  <c r="D255" i="12" s="1"/>
  <c r="B34" i="11"/>
  <c r="B33" i="11"/>
  <c r="B32" i="11"/>
  <c r="B31" i="11"/>
  <c r="L828" i="11"/>
  <c r="I828" i="11"/>
  <c r="N828" i="11" s="1"/>
  <c r="G828" i="11"/>
  <c r="F828" i="11"/>
  <c r="L827" i="11"/>
  <c r="I827" i="11"/>
  <c r="N827" i="11" s="1"/>
  <c r="G827" i="11"/>
  <c r="F827" i="11"/>
  <c r="L826" i="11"/>
  <c r="I826" i="11"/>
  <c r="N826" i="11" s="1"/>
  <c r="G826" i="11"/>
  <c r="F826" i="11"/>
  <c r="L825" i="11"/>
  <c r="I825" i="11"/>
  <c r="N825" i="11" s="1"/>
  <c r="G825" i="11"/>
  <c r="F825" i="11"/>
  <c r="L824" i="11"/>
  <c r="I824" i="11"/>
  <c r="N824" i="11" s="1"/>
  <c r="G824" i="11"/>
  <c r="F824" i="11"/>
  <c r="L823" i="11"/>
  <c r="I823" i="11"/>
  <c r="N823" i="11" s="1"/>
  <c r="G823" i="11"/>
  <c r="F823" i="11"/>
  <c r="L822" i="11"/>
  <c r="I822" i="11"/>
  <c r="N822" i="11" s="1"/>
  <c r="G822" i="11"/>
  <c r="F822" i="11"/>
  <c r="L821" i="11"/>
  <c r="I821" i="11"/>
  <c r="N821" i="11" s="1"/>
  <c r="G821" i="11"/>
  <c r="F821" i="11"/>
  <c r="L820" i="11"/>
  <c r="I820" i="11"/>
  <c r="N820" i="11" s="1"/>
  <c r="G820" i="11"/>
  <c r="F820" i="11"/>
  <c r="L819" i="11"/>
  <c r="I819" i="11"/>
  <c r="N819" i="11" s="1"/>
  <c r="G819" i="11"/>
  <c r="F819" i="11"/>
  <c r="L818" i="11"/>
  <c r="I818" i="11"/>
  <c r="N818" i="11" s="1"/>
  <c r="G818" i="11"/>
  <c r="F818" i="11"/>
  <c r="L817" i="11"/>
  <c r="I817" i="11"/>
  <c r="N817" i="11" s="1"/>
  <c r="G817" i="11"/>
  <c r="F817" i="11"/>
  <c r="L816" i="11"/>
  <c r="I816" i="11"/>
  <c r="N816" i="11" s="1"/>
  <c r="G816" i="11"/>
  <c r="F816" i="11"/>
  <c r="L815" i="11"/>
  <c r="I815" i="11"/>
  <c r="N815" i="11" s="1"/>
  <c r="G815" i="11"/>
  <c r="F815" i="11"/>
  <c r="L814" i="11"/>
  <c r="I814" i="11"/>
  <c r="N814" i="11" s="1"/>
  <c r="G814" i="11"/>
  <c r="F814" i="11"/>
  <c r="L813" i="11"/>
  <c r="I813" i="11"/>
  <c r="N813" i="11" s="1"/>
  <c r="G813" i="11"/>
  <c r="F813" i="11"/>
  <c r="L812" i="11"/>
  <c r="I812" i="11"/>
  <c r="N812" i="11" s="1"/>
  <c r="G812" i="11"/>
  <c r="F812" i="11"/>
  <c r="L811" i="11"/>
  <c r="I811" i="11"/>
  <c r="N811" i="11" s="1"/>
  <c r="G811" i="11"/>
  <c r="F811" i="11"/>
  <c r="L810" i="11"/>
  <c r="I810" i="11"/>
  <c r="N810" i="11" s="1"/>
  <c r="G810" i="11"/>
  <c r="F810" i="11"/>
  <c r="L809" i="11"/>
  <c r="I809" i="11"/>
  <c r="N809" i="11" s="1"/>
  <c r="G809" i="11"/>
  <c r="F809" i="11"/>
  <c r="L808" i="11"/>
  <c r="I808" i="11"/>
  <c r="N808" i="11" s="1"/>
  <c r="G808" i="11"/>
  <c r="F808" i="11"/>
  <c r="L807" i="11"/>
  <c r="I807" i="11"/>
  <c r="N807" i="11" s="1"/>
  <c r="G807" i="11"/>
  <c r="F807" i="11"/>
  <c r="L806" i="11"/>
  <c r="I806" i="11"/>
  <c r="N806" i="11" s="1"/>
  <c r="G806" i="11"/>
  <c r="F806" i="11"/>
  <c r="L805" i="11"/>
  <c r="I805" i="11"/>
  <c r="N805" i="11" s="1"/>
  <c r="G805" i="11"/>
  <c r="F805" i="11"/>
  <c r="L804" i="11"/>
  <c r="I804" i="11"/>
  <c r="N804" i="11" s="1"/>
  <c r="G804" i="11"/>
  <c r="F804" i="11"/>
  <c r="L803" i="11"/>
  <c r="I803" i="11"/>
  <c r="N803" i="11" s="1"/>
  <c r="G803" i="11"/>
  <c r="F803" i="11"/>
  <c r="L802" i="11"/>
  <c r="I802" i="11"/>
  <c r="N802" i="11" s="1"/>
  <c r="G802" i="11"/>
  <c r="F802" i="11"/>
  <c r="L801" i="11"/>
  <c r="I801" i="11"/>
  <c r="N801" i="11" s="1"/>
  <c r="G801" i="11"/>
  <c r="F801" i="11"/>
  <c r="L800" i="11"/>
  <c r="I800" i="11"/>
  <c r="N800" i="11" s="1"/>
  <c r="G800" i="11"/>
  <c r="F800" i="11"/>
  <c r="L799" i="11"/>
  <c r="I799" i="11"/>
  <c r="N799" i="11" s="1"/>
  <c r="G799" i="11"/>
  <c r="F799" i="11"/>
  <c r="L798" i="11"/>
  <c r="I798" i="11"/>
  <c r="N798" i="11" s="1"/>
  <c r="G798" i="11"/>
  <c r="F798" i="11"/>
  <c r="L797" i="11"/>
  <c r="I797" i="11"/>
  <c r="N797" i="11" s="1"/>
  <c r="G797" i="11"/>
  <c r="F797" i="11"/>
  <c r="L796" i="11"/>
  <c r="I796" i="11"/>
  <c r="N796" i="11" s="1"/>
  <c r="G796" i="11"/>
  <c r="F796" i="11"/>
  <c r="L795" i="11"/>
  <c r="I795" i="11"/>
  <c r="N795" i="11" s="1"/>
  <c r="G795" i="11"/>
  <c r="F795" i="11"/>
  <c r="L794" i="11"/>
  <c r="I794" i="11"/>
  <c r="N794" i="11" s="1"/>
  <c r="G794" i="11"/>
  <c r="F794" i="11"/>
  <c r="L793" i="11"/>
  <c r="I793" i="11"/>
  <c r="N793" i="11" s="1"/>
  <c r="G793" i="11"/>
  <c r="F793" i="11"/>
  <c r="L792" i="11"/>
  <c r="I792" i="11"/>
  <c r="N792" i="11" s="1"/>
  <c r="G792" i="11"/>
  <c r="F792" i="11"/>
  <c r="L791" i="11"/>
  <c r="I791" i="11"/>
  <c r="N791" i="11" s="1"/>
  <c r="G791" i="11"/>
  <c r="F791" i="11"/>
  <c r="L790" i="11"/>
  <c r="I790" i="11"/>
  <c r="N790" i="11" s="1"/>
  <c r="G790" i="11"/>
  <c r="F790" i="11"/>
  <c r="L789" i="11"/>
  <c r="I789" i="11"/>
  <c r="N789" i="11" s="1"/>
  <c r="G789" i="11"/>
  <c r="F789" i="11"/>
  <c r="L788" i="11"/>
  <c r="I788" i="11"/>
  <c r="N788" i="11" s="1"/>
  <c r="G788" i="11"/>
  <c r="F788" i="11"/>
  <c r="L787" i="11"/>
  <c r="I787" i="11"/>
  <c r="N787" i="11" s="1"/>
  <c r="G787" i="11"/>
  <c r="F787" i="11"/>
  <c r="L786" i="11"/>
  <c r="I786" i="11"/>
  <c r="N786" i="11" s="1"/>
  <c r="G786" i="11"/>
  <c r="F786" i="11"/>
  <c r="L785" i="11"/>
  <c r="I785" i="11"/>
  <c r="N785" i="11" s="1"/>
  <c r="G785" i="11"/>
  <c r="F785" i="11"/>
  <c r="L784" i="11"/>
  <c r="I784" i="11"/>
  <c r="N784" i="11" s="1"/>
  <c r="G784" i="11"/>
  <c r="F784" i="11"/>
  <c r="L783" i="11"/>
  <c r="I783" i="11"/>
  <c r="N783" i="11" s="1"/>
  <c r="G783" i="11"/>
  <c r="F783" i="11"/>
  <c r="L782" i="11"/>
  <c r="I782" i="11"/>
  <c r="N782" i="11" s="1"/>
  <c r="G782" i="11"/>
  <c r="F782" i="11"/>
  <c r="L781" i="11"/>
  <c r="I781" i="11"/>
  <c r="N781" i="11" s="1"/>
  <c r="G781" i="11"/>
  <c r="F781" i="11"/>
  <c r="L780" i="11"/>
  <c r="I780" i="11"/>
  <c r="N780" i="11" s="1"/>
  <c r="G780" i="11"/>
  <c r="F780" i="11"/>
  <c r="L779" i="11"/>
  <c r="I779" i="11"/>
  <c r="N779" i="11" s="1"/>
  <c r="G779" i="11"/>
  <c r="F779" i="11"/>
  <c r="L778" i="11"/>
  <c r="I778" i="11"/>
  <c r="N778" i="11" s="1"/>
  <c r="G778" i="11"/>
  <c r="F778" i="11"/>
  <c r="L777" i="11"/>
  <c r="I777" i="11"/>
  <c r="N777" i="11" s="1"/>
  <c r="G777" i="11"/>
  <c r="F777" i="11"/>
  <c r="L776" i="11"/>
  <c r="I776" i="11"/>
  <c r="N776" i="11" s="1"/>
  <c r="G776" i="11"/>
  <c r="F776" i="11"/>
  <c r="L775" i="11"/>
  <c r="I775" i="11"/>
  <c r="N775" i="11" s="1"/>
  <c r="G775" i="11"/>
  <c r="F775" i="11"/>
  <c r="L774" i="11"/>
  <c r="I774" i="11"/>
  <c r="N774" i="11" s="1"/>
  <c r="G774" i="11"/>
  <c r="F774" i="11"/>
  <c r="L773" i="11"/>
  <c r="I773" i="11"/>
  <c r="N773" i="11" s="1"/>
  <c r="G773" i="11"/>
  <c r="F773" i="11"/>
  <c r="L772" i="11"/>
  <c r="I772" i="11"/>
  <c r="N772" i="11" s="1"/>
  <c r="G772" i="11"/>
  <c r="F772" i="11"/>
  <c r="L771" i="11"/>
  <c r="I771" i="11"/>
  <c r="N771" i="11" s="1"/>
  <c r="G771" i="11"/>
  <c r="F771" i="11"/>
  <c r="L770" i="11"/>
  <c r="I770" i="11"/>
  <c r="N770" i="11" s="1"/>
  <c r="G770" i="11"/>
  <c r="F770" i="11"/>
  <c r="L769" i="11"/>
  <c r="I769" i="11"/>
  <c r="N769" i="11" s="1"/>
  <c r="G769" i="11"/>
  <c r="F769" i="11"/>
  <c r="L768" i="11"/>
  <c r="I768" i="11"/>
  <c r="N768" i="11" s="1"/>
  <c r="G768" i="11"/>
  <c r="F768" i="11"/>
  <c r="L767" i="11"/>
  <c r="I767" i="11"/>
  <c r="N767" i="11" s="1"/>
  <c r="G767" i="11"/>
  <c r="F767" i="11"/>
  <c r="L766" i="11"/>
  <c r="I766" i="11"/>
  <c r="N766" i="11" s="1"/>
  <c r="G766" i="11"/>
  <c r="F766" i="11"/>
  <c r="L765" i="11"/>
  <c r="I765" i="11"/>
  <c r="N765" i="11" s="1"/>
  <c r="G765" i="11"/>
  <c r="F765" i="11"/>
  <c r="L764" i="11"/>
  <c r="I764" i="11"/>
  <c r="N764" i="11" s="1"/>
  <c r="G764" i="11"/>
  <c r="F764" i="11"/>
  <c r="L763" i="11"/>
  <c r="I763" i="11"/>
  <c r="N763" i="11" s="1"/>
  <c r="G763" i="11"/>
  <c r="F763" i="11"/>
  <c r="L762" i="11"/>
  <c r="I762" i="11"/>
  <c r="N762" i="11" s="1"/>
  <c r="G762" i="11"/>
  <c r="F762" i="11"/>
  <c r="L761" i="11"/>
  <c r="I761" i="11"/>
  <c r="N761" i="11" s="1"/>
  <c r="G761" i="11"/>
  <c r="F761" i="11"/>
  <c r="L760" i="11"/>
  <c r="I760" i="11"/>
  <c r="N760" i="11" s="1"/>
  <c r="G760" i="11"/>
  <c r="F760" i="11"/>
  <c r="L759" i="11"/>
  <c r="I759" i="11"/>
  <c r="N759" i="11" s="1"/>
  <c r="G759" i="11"/>
  <c r="F759" i="11"/>
  <c r="L758" i="11"/>
  <c r="I758" i="11"/>
  <c r="N758" i="11" s="1"/>
  <c r="G758" i="11"/>
  <c r="F758" i="11"/>
  <c r="L757" i="11"/>
  <c r="I757" i="11"/>
  <c r="N757" i="11" s="1"/>
  <c r="G757" i="11"/>
  <c r="F757" i="11"/>
  <c r="L756" i="11"/>
  <c r="I756" i="11"/>
  <c r="N756" i="11" s="1"/>
  <c r="G756" i="11"/>
  <c r="F756" i="11"/>
  <c r="L755" i="11"/>
  <c r="I755" i="11"/>
  <c r="N755" i="11" s="1"/>
  <c r="G755" i="11"/>
  <c r="F755" i="11"/>
  <c r="L754" i="11"/>
  <c r="I754" i="11"/>
  <c r="N754" i="11" s="1"/>
  <c r="G754" i="11"/>
  <c r="F754" i="11"/>
  <c r="L753" i="11"/>
  <c r="I753" i="11"/>
  <c r="N753" i="11" s="1"/>
  <c r="G753" i="11"/>
  <c r="F753" i="11"/>
  <c r="L752" i="11"/>
  <c r="I752" i="11"/>
  <c r="N752" i="11" s="1"/>
  <c r="G752" i="11"/>
  <c r="F752" i="11"/>
  <c r="L751" i="11"/>
  <c r="I751" i="11"/>
  <c r="N751" i="11" s="1"/>
  <c r="G751" i="11"/>
  <c r="F751" i="11"/>
  <c r="L750" i="11"/>
  <c r="I750" i="11"/>
  <c r="N750" i="11" s="1"/>
  <c r="G750" i="11"/>
  <c r="F750" i="11"/>
  <c r="L749" i="11"/>
  <c r="I749" i="11"/>
  <c r="N749" i="11" s="1"/>
  <c r="G749" i="11"/>
  <c r="F749" i="11"/>
  <c r="L748" i="11"/>
  <c r="I748" i="11"/>
  <c r="N748" i="11" s="1"/>
  <c r="G748" i="11"/>
  <c r="F748" i="11"/>
  <c r="L747" i="11"/>
  <c r="I747" i="11"/>
  <c r="N747" i="11" s="1"/>
  <c r="G747" i="11"/>
  <c r="F747" i="11"/>
  <c r="L746" i="11"/>
  <c r="I746" i="11"/>
  <c r="N746" i="11" s="1"/>
  <c r="G746" i="11"/>
  <c r="F746" i="11"/>
  <c r="L745" i="11"/>
  <c r="I745" i="11"/>
  <c r="N745" i="11" s="1"/>
  <c r="G745" i="11"/>
  <c r="F745" i="11"/>
  <c r="L744" i="11"/>
  <c r="I744" i="11"/>
  <c r="N744" i="11" s="1"/>
  <c r="G744" i="11"/>
  <c r="F744" i="11"/>
  <c r="L743" i="11"/>
  <c r="I743" i="11"/>
  <c r="N743" i="11" s="1"/>
  <c r="G743" i="11"/>
  <c r="F743" i="11"/>
  <c r="L742" i="11"/>
  <c r="I742" i="11"/>
  <c r="N742" i="11" s="1"/>
  <c r="G742" i="11"/>
  <c r="F742" i="11"/>
  <c r="L741" i="11"/>
  <c r="I741" i="11"/>
  <c r="N741" i="11" s="1"/>
  <c r="G741" i="11"/>
  <c r="F741" i="11"/>
  <c r="L740" i="11"/>
  <c r="I740" i="11"/>
  <c r="N740" i="11" s="1"/>
  <c r="G740" i="11"/>
  <c r="F740" i="11"/>
  <c r="L739" i="11"/>
  <c r="I739" i="11"/>
  <c r="N739" i="11" s="1"/>
  <c r="G739" i="11"/>
  <c r="F739" i="11"/>
  <c r="L738" i="11"/>
  <c r="I738" i="11"/>
  <c r="N738" i="11" s="1"/>
  <c r="G738" i="11"/>
  <c r="F738" i="11"/>
  <c r="L737" i="11"/>
  <c r="I737" i="11"/>
  <c r="N737" i="11" s="1"/>
  <c r="G737" i="11"/>
  <c r="F737" i="11"/>
  <c r="L736" i="11"/>
  <c r="I736" i="11"/>
  <c r="N736" i="11" s="1"/>
  <c r="G736" i="11"/>
  <c r="F736" i="11"/>
  <c r="L735" i="11"/>
  <c r="I735" i="11"/>
  <c r="N735" i="11" s="1"/>
  <c r="G735" i="11"/>
  <c r="F735" i="11"/>
  <c r="L734" i="11"/>
  <c r="I734" i="11"/>
  <c r="N734" i="11" s="1"/>
  <c r="G734" i="11"/>
  <c r="F734" i="11"/>
  <c r="L733" i="11"/>
  <c r="I733" i="11"/>
  <c r="N733" i="11" s="1"/>
  <c r="G733" i="11"/>
  <c r="F733" i="11"/>
  <c r="L732" i="11"/>
  <c r="I732" i="11"/>
  <c r="N732" i="11" s="1"/>
  <c r="G732" i="11"/>
  <c r="F732" i="11"/>
  <c r="L731" i="11"/>
  <c r="I731" i="11"/>
  <c r="N731" i="11" s="1"/>
  <c r="G731" i="11"/>
  <c r="F731" i="11"/>
  <c r="L730" i="11"/>
  <c r="I730" i="11"/>
  <c r="N730" i="11" s="1"/>
  <c r="G730" i="11"/>
  <c r="F730" i="11"/>
  <c r="L729" i="11"/>
  <c r="I729" i="11"/>
  <c r="N729" i="11" s="1"/>
  <c r="G729" i="11"/>
  <c r="F729" i="11"/>
  <c r="L728" i="11"/>
  <c r="I728" i="11"/>
  <c r="N728" i="11" s="1"/>
  <c r="G728" i="11"/>
  <c r="F728" i="11"/>
  <c r="L727" i="11"/>
  <c r="I727" i="11"/>
  <c r="N727" i="11" s="1"/>
  <c r="G727" i="11"/>
  <c r="F727" i="11"/>
  <c r="L726" i="11"/>
  <c r="I726" i="11"/>
  <c r="N726" i="11" s="1"/>
  <c r="G726" i="11"/>
  <c r="F726" i="11"/>
  <c r="L725" i="11"/>
  <c r="I725" i="11"/>
  <c r="N725" i="11" s="1"/>
  <c r="G725" i="11"/>
  <c r="F725" i="11"/>
  <c r="L724" i="11"/>
  <c r="I724" i="11"/>
  <c r="N724" i="11" s="1"/>
  <c r="G724" i="11"/>
  <c r="F724" i="11"/>
  <c r="L723" i="11"/>
  <c r="I723" i="11"/>
  <c r="N723" i="11" s="1"/>
  <c r="G723" i="11"/>
  <c r="F723" i="11"/>
  <c r="L722" i="11"/>
  <c r="I722" i="11"/>
  <c r="N722" i="11" s="1"/>
  <c r="G722" i="11"/>
  <c r="F722" i="11"/>
  <c r="L721" i="11"/>
  <c r="I721" i="11"/>
  <c r="N721" i="11" s="1"/>
  <c r="G721" i="11"/>
  <c r="F721" i="11"/>
  <c r="L720" i="11"/>
  <c r="I720" i="11"/>
  <c r="N720" i="11" s="1"/>
  <c r="G720" i="11"/>
  <c r="F720" i="11"/>
  <c r="L719" i="11"/>
  <c r="I719" i="11"/>
  <c r="N719" i="11" s="1"/>
  <c r="G719" i="11"/>
  <c r="F719" i="11"/>
  <c r="L718" i="11"/>
  <c r="I718" i="11"/>
  <c r="N718" i="11" s="1"/>
  <c r="G718" i="11"/>
  <c r="F718" i="11"/>
  <c r="L717" i="11"/>
  <c r="I717" i="11"/>
  <c r="N717" i="11" s="1"/>
  <c r="G717" i="11"/>
  <c r="F717" i="11"/>
  <c r="L716" i="11"/>
  <c r="I716" i="11"/>
  <c r="N716" i="11" s="1"/>
  <c r="G716" i="11"/>
  <c r="F716" i="11"/>
  <c r="L715" i="11"/>
  <c r="I715" i="11"/>
  <c r="N715" i="11" s="1"/>
  <c r="G715" i="11"/>
  <c r="F715" i="11"/>
  <c r="L714" i="11"/>
  <c r="I714" i="11"/>
  <c r="N714" i="11" s="1"/>
  <c r="G714" i="11"/>
  <c r="F714" i="11"/>
  <c r="L713" i="11"/>
  <c r="I713" i="11"/>
  <c r="N713" i="11" s="1"/>
  <c r="G713" i="11"/>
  <c r="F713" i="11"/>
  <c r="L712" i="11"/>
  <c r="I712" i="11"/>
  <c r="N712" i="11" s="1"/>
  <c r="G712" i="11"/>
  <c r="F712" i="11"/>
  <c r="L711" i="11"/>
  <c r="I711" i="11"/>
  <c r="N711" i="11" s="1"/>
  <c r="G711" i="11"/>
  <c r="F711" i="11"/>
  <c r="L710" i="11"/>
  <c r="I710" i="11"/>
  <c r="N710" i="11" s="1"/>
  <c r="G710" i="11"/>
  <c r="F710" i="11"/>
  <c r="L709" i="11"/>
  <c r="I709" i="11"/>
  <c r="N709" i="11" s="1"/>
  <c r="G709" i="11"/>
  <c r="F709" i="11"/>
  <c r="L708" i="11"/>
  <c r="I708" i="11"/>
  <c r="N708" i="11" s="1"/>
  <c r="G708" i="11"/>
  <c r="F708" i="11"/>
  <c r="L707" i="11"/>
  <c r="I707" i="11"/>
  <c r="N707" i="11" s="1"/>
  <c r="G707" i="11"/>
  <c r="F707" i="11"/>
  <c r="L706" i="11"/>
  <c r="I706" i="11"/>
  <c r="N706" i="11" s="1"/>
  <c r="G706" i="11"/>
  <c r="F706" i="11"/>
  <c r="L705" i="11"/>
  <c r="I705" i="11"/>
  <c r="N705" i="11" s="1"/>
  <c r="G705" i="11"/>
  <c r="F705" i="11"/>
  <c r="L704" i="11"/>
  <c r="I704" i="11"/>
  <c r="N704" i="11" s="1"/>
  <c r="G704" i="11"/>
  <c r="F704" i="11"/>
  <c r="L703" i="11"/>
  <c r="I703" i="11"/>
  <c r="N703" i="11" s="1"/>
  <c r="G703" i="11"/>
  <c r="F703" i="11"/>
  <c r="L702" i="11"/>
  <c r="I702" i="11"/>
  <c r="N702" i="11" s="1"/>
  <c r="G702" i="11"/>
  <c r="F702" i="11"/>
  <c r="L701" i="11"/>
  <c r="I701" i="11"/>
  <c r="N701" i="11" s="1"/>
  <c r="G701" i="11"/>
  <c r="F701" i="11"/>
  <c r="L700" i="11"/>
  <c r="I700" i="11"/>
  <c r="N700" i="11" s="1"/>
  <c r="G700" i="11"/>
  <c r="F700" i="11"/>
  <c r="L699" i="11"/>
  <c r="I699" i="11"/>
  <c r="N699" i="11" s="1"/>
  <c r="G699" i="11"/>
  <c r="F699" i="11"/>
  <c r="L698" i="11"/>
  <c r="I698" i="11"/>
  <c r="N698" i="11" s="1"/>
  <c r="G698" i="11"/>
  <c r="F698" i="11"/>
  <c r="L697" i="11"/>
  <c r="I697" i="11"/>
  <c r="N697" i="11" s="1"/>
  <c r="G697" i="11"/>
  <c r="F697" i="11"/>
  <c r="L696" i="11"/>
  <c r="I696" i="11"/>
  <c r="N696" i="11" s="1"/>
  <c r="G696" i="11"/>
  <c r="F696" i="11"/>
  <c r="L695" i="11"/>
  <c r="I695" i="11"/>
  <c r="N695" i="11" s="1"/>
  <c r="G695" i="11"/>
  <c r="F695" i="11"/>
  <c r="L694" i="11"/>
  <c r="I694" i="11"/>
  <c r="N694" i="11" s="1"/>
  <c r="G694" i="11"/>
  <c r="F694" i="11"/>
  <c r="L693" i="11"/>
  <c r="I693" i="11"/>
  <c r="N693" i="11" s="1"/>
  <c r="G693" i="11"/>
  <c r="F693" i="11"/>
  <c r="L692" i="11"/>
  <c r="I692" i="11"/>
  <c r="N692" i="11" s="1"/>
  <c r="G692" i="11"/>
  <c r="F692" i="11"/>
  <c r="L691" i="11"/>
  <c r="I691" i="11"/>
  <c r="N691" i="11" s="1"/>
  <c r="G691" i="11"/>
  <c r="F691" i="11"/>
  <c r="L690" i="11"/>
  <c r="I690" i="11"/>
  <c r="N690" i="11" s="1"/>
  <c r="G690" i="11"/>
  <c r="F690" i="11"/>
  <c r="L689" i="11"/>
  <c r="I689" i="11"/>
  <c r="N689" i="11" s="1"/>
  <c r="G689" i="11"/>
  <c r="F689" i="11"/>
  <c r="L688" i="11"/>
  <c r="I688" i="11"/>
  <c r="N688" i="11" s="1"/>
  <c r="G688" i="11"/>
  <c r="F688" i="11"/>
  <c r="L687" i="11"/>
  <c r="I687" i="11"/>
  <c r="N687" i="11" s="1"/>
  <c r="G687" i="11"/>
  <c r="F687" i="11"/>
  <c r="L686" i="11"/>
  <c r="I686" i="11"/>
  <c r="N686" i="11" s="1"/>
  <c r="G686" i="11"/>
  <c r="F686" i="11"/>
  <c r="L685" i="11"/>
  <c r="I685" i="11"/>
  <c r="N685" i="11" s="1"/>
  <c r="G685" i="11"/>
  <c r="F685" i="11"/>
  <c r="L684" i="11"/>
  <c r="I684" i="11"/>
  <c r="N684" i="11" s="1"/>
  <c r="G684" i="11"/>
  <c r="F684" i="11"/>
  <c r="L683" i="11"/>
  <c r="I683" i="11"/>
  <c r="N683" i="11" s="1"/>
  <c r="G683" i="11"/>
  <c r="F683" i="11"/>
  <c r="L682" i="11"/>
  <c r="I682" i="11"/>
  <c r="N682" i="11" s="1"/>
  <c r="G682" i="11"/>
  <c r="F682" i="11"/>
  <c r="L681" i="11"/>
  <c r="I681" i="11"/>
  <c r="N681" i="11" s="1"/>
  <c r="G681" i="11"/>
  <c r="F681" i="11"/>
  <c r="L680" i="11"/>
  <c r="I680" i="11"/>
  <c r="N680" i="11" s="1"/>
  <c r="G680" i="11"/>
  <c r="F680" i="11"/>
  <c r="L679" i="11"/>
  <c r="I679" i="11"/>
  <c r="N679" i="11" s="1"/>
  <c r="G679" i="11"/>
  <c r="F679" i="11"/>
  <c r="L678" i="11"/>
  <c r="I678" i="11"/>
  <c r="N678" i="11" s="1"/>
  <c r="G678" i="11"/>
  <c r="F678" i="11"/>
  <c r="L677" i="11"/>
  <c r="I677" i="11"/>
  <c r="N677" i="11" s="1"/>
  <c r="G677" i="11"/>
  <c r="F677" i="11"/>
  <c r="L676" i="11"/>
  <c r="I676" i="11"/>
  <c r="N676" i="11" s="1"/>
  <c r="G676" i="11"/>
  <c r="F676" i="11"/>
  <c r="L675" i="11"/>
  <c r="I675" i="11"/>
  <c r="N675" i="11" s="1"/>
  <c r="G675" i="11"/>
  <c r="F675" i="11"/>
  <c r="L674" i="11"/>
  <c r="I674" i="11"/>
  <c r="N674" i="11" s="1"/>
  <c r="G674" i="11"/>
  <c r="F674" i="11"/>
  <c r="L673" i="11"/>
  <c r="I673" i="11"/>
  <c r="N673" i="11" s="1"/>
  <c r="G673" i="11"/>
  <c r="F673" i="11"/>
  <c r="L672" i="11"/>
  <c r="I672" i="11"/>
  <c r="N672" i="11" s="1"/>
  <c r="G672" i="11"/>
  <c r="F672" i="11"/>
  <c r="L671" i="11"/>
  <c r="I671" i="11"/>
  <c r="N671" i="11" s="1"/>
  <c r="G671" i="11"/>
  <c r="F671" i="11"/>
  <c r="L670" i="11"/>
  <c r="I670" i="11"/>
  <c r="N670" i="11" s="1"/>
  <c r="G670" i="11"/>
  <c r="F670" i="11"/>
  <c r="L669" i="11"/>
  <c r="I669" i="11"/>
  <c r="N669" i="11" s="1"/>
  <c r="G669" i="11"/>
  <c r="F669" i="11"/>
  <c r="L668" i="11"/>
  <c r="I668" i="11"/>
  <c r="N668" i="11" s="1"/>
  <c r="G668" i="11"/>
  <c r="F668" i="11"/>
  <c r="L667" i="11"/>
  <c r="I667" i="11"/>
  <c r="N667" i="11" s="1"/>
  <c r="G667" i="11"/>
  <c r="F667" i="11"/>
  <c r="L666" i="11"/>
  <c r="I666" i="11"/>
  <c r="N666" i="11" s="1"/>
  <c r="G666" i="11"/>
  <c r="F666" i="11"/>
  <c r="L665" i="11"/>
  <c r="I665" i="11"/>
  <c r="N665" i="11" s="1"/>
  <c r="G665" i="11"/>
  <c r="F665" i="11"/>
  <c r="L664" i="11"/>
  <c r="I664" i="11"/>
  <c r="N664" i="11" s="1"/>
  <c r="G664" i="11"/>
  <c r="F664" i="11"/>
  <c r="L663" i="11"/>
  <c r="I663" i="11"/>
  <c r="N663" i="11" s="1"/>
  <c r="G663" i="11"/>
  <c r="F663" i="11"/>
  <c r="L662" i="11"/>
  <c r="I662" i="11"/>
  <c r="N662" i="11" s="1"/>
  <c r="G662" i="11"/>
  <c r="F662" i="11"/>
  <c r="L661" i="11"/>
  <c r="I661" i="11"/>
  <c r="N661" i="11" s="1"/>
  <c r="G661" i="11"/>
  <c r="F661" i="11"/>
  <c r="L660" i="11"/>
  <c r="I660" i="11"/>
  <c r="N660" i="11" s="1"/>
  <c r="G660" i="11"/>
  <c r="F660" i="11"/>
  <c r="L659" i="11"/>
  <c r="I659" i="11"/>
  <c r="N659" i="11" s="1"/>
  <c r="G659" i="11"/>
  <c r="F659" i="11"/>
  <c r="L658" i="11"/>
  <c r="I658" i="11"/>
  <c r="N658" i="11" s="1"/>
  <c r="G658" i="11"/>
  <c r="F658" i="11"/>
  <c r="L657" i="11"/>
  <c r="I657" i="11"/>
  <c r="N657" i="11" s="1"/>
  <c r="G657" i="11"/>
  <c r="F657" i="11"/>
  <c r="L656" i="11"/>
  <c r="I656" i="11"/>
  <c r="N656" i="11" s="1"/>
  <c r="G656" i="11"/>
  <c r="F656" i="11"/>
  <c r="L655" i="11"/>
  <c r="I655" i="11"/>
  <c r="N655" i="11" s="1"/>
  <c r="G655" i="11"/>
  <c r="F655" i="11"/>
  <c r="L654" i="11"/>
  <c r="I654" i="11"/>
  <c r="N654" i="11" s="1"/>
  <c r="G654" i="11"/>
  <c r="F654" i="11"/>
  <c r="L653" i="11"/>
  <c r="I653" i="11"/>
  <c r="N653" i="11" s="1"/>
  <c r="G653" i="11"/>
  <c r="F653" i="11"/>
  <c r="L652" i="11"/>
  <c r="I652" i="11"/>
  <c r="N652" i="11" s="1"/>
  <c r="G652" i="11"/>
  <c r="F652" i="11"/>
  <c r="L651" i="11"/>
  <c r="I651" i="11"/>
  <c r="N651" i="11" s="1"/>
  <c r="G651" i="11"/>
  <c r="F651" i="11"/>
  <c r="H638" i="12"/>
  <c r="H637" i="12"/>
  <c r="H636" i="12"/>
  <c r="H635" i="12"/>
  <c r="H634" i="12"/>
  <c r="H633" i="12"/>
  <c r="H632" i="12"/>
  <c r="H631" i="12"/>
  <c r="H630" i="12"/>
  <c r="H629" i="12"/>
  <c r="H628" i="12"/>
  <c r="H627" i="12"/>
  <c r="H626" i="12"/>
  <c r="H625" i="12"/>
  <c r="H624" i="12"/>
  <c r="H623" i="12"/>
  <c r="H622" i="12"/>
  <c r="H621" i="12"/>
  <c r="H620" i="12"/>
  <c r="H619" i="12"/>
  <c r="H618" i="12"/>
  <c r="H617" i="12"/>
  <c r="H616" i="12"/>
  <c r="H615" i="12"/>
  <c r="H614" i="12"/>
  <c r="H613" i="12"/>
  <c r="H612" i="12"/>
  <c r="H611" i="12"/>
  <c r="H610" i="12"/>
  <c r="H609" i="12"/>
  <c r="H608" i="12"/>
  <c r="H607" i="12"/>
  <c r="H606" i="12"/>
  <c r="H605" i="12"/>
  <c r="H604" i="12"/>
  <c r="H603" i="12"/>
  <c r="H602" i="12"/>
  <c r="H601" i="12"/>
  <c r="H600" i="12"/>
  <c r="H599" i="12"/>
  <c r="H598" i="12"/>
  <c r="F640" i="12"/>
  <c r="F612" i="12"/>
  <c r="F599" i="12"/>
  <c r="F585" i="12"/>
  <c r="F573" i="12"/>
  <c r="F560" i="12"/>
  <c r="F532" i="12"/>
  <c r="F475" i="12"/>
  <c r="F463" i="12"/>
  <c r="F450" i="12"/>
  <c r="F438" i="12"/>
  <c r="F428" i="12"/>
  <c r="F416" i="12"/>
  <c r="F405" i="12"/>
  <c r="F395" i="12"/>
  <c r="F378" i="12"/>
  <c r="F367" i="12"/>
  <c r="F357" i="12"/>
  <c r="F342" i="12"/>
  <c r="F255" i="12"/>
  <c r="F224" i="12"/>
  <c r="F639" i="12"/>
  <c r="F626" i="12"/>
  <c r="F611" i="12"/>
  <c r="E611" i="12"/>
  <c r="F598" i="12"/>
  <c r="F584" i="12"/>
  <c r="F572" i="12"/>
  <c r="F559" i="12"/>
  <c r="F545" i="12"/>
  <c r="F531" i="12"/>
  <c r="F522" i="12"/>
  <c r="E522" i="12"/>
  <c r="F509" i="12"/>
  <c r="F497" i="12"/>
  <c r="F485" i="12"/>
  <c r="E485" i="12"/>
  <c r="F462" i="12"/>
  <c r="E462" i="12"/>
  <c r="F449" i="12"/>
  <c r="E449" i="12"/>
  <c r="F415" i="12"/>
  <c r="F394" i="12"/>
  <c r="E394" i="12"/>
  <c r="F377" i="12"/>
  <c r="F333" i="12"/>
  <c r="E333" i="12"/>
  <c r="F323" i="12"/>
  <c r="E323" i="12"/>
  <c r="D279" i="12" l="1"/>
  <c r="D259" i="16"/>
  <c r="D382" i="12"/>
  <c r="D264" i="16"/>
  <c r="D317" i="12"/>
  <c r="D248" i="16"/>
  <c r="D274" i="12"/>
  <c r="D265" i="16"/>
  <c r="D288" i="12"/>
  <c r="D260" i="16"/>
  <c r="D293" i="12"/>
  <c r="D266" i="16"/>
  <c r="D362" i="12"/>
  <c r="D251" i="16"/>
  <c r="D337" i="12"/>
  <c r="D252" i="16"/>
  <c r="D372" i="12"/>
  <c r="D253" i="16"/>
  <c r="D313" i="12"/>
  <c r="D267" i="16"/>
  <c r="D385" i="12"/>
  <c r="D250" i="16"/>
  <c r="D201" i="12"/>
  <c r="D247" i="16"/>
  <c r="D249" i="12"/>
  <c r="D254" i="16"/>
  <c r="D299" i="12"/>
  <c r="D261" i="16"/>
  <c r="D373" i="12"/>
  <c r="D263" i="16"/>
  <c r="D395" i="12"/>
  <c r="D255" i="16"/>
  <c r="D400" i="12"/>
  <c r="D256" i="16"/>
  <c r="D366" i="12"/>
  <c r="D249" i="16"/>
  <c r="D210" i="12"/>
  <c r="D246" i="16"/>
  <c r="D410" i="12"/>
  <c r="D257" i="16"/>
  <c r="D363" i="12"/>
  <c r="D262" i="16"/>
  <c r="D443" i="12"/>
  <c r="D258" i="16"/>
  <c r="D48" i="12"/>
  <c r="D238" i="16"/>
  <c r="D41" i="12"/>
  <c r="D239" i="16"/>
  <c r="D49" i="12"/>
  <c r="D240" i="16"/>
  <c r="D51" i="12"/>
  <c r="D241" i="16"/>
  <c r="D54" i="12"/>
  <c r="D242" i="16"/>
  <c r="D47" i="12"/>
  <c r="D243" i="16"/>
  <c r="D35" i="12"/>
  <c r="D244" i="16"/>
  <c r="D23" i="12"/>
  <c r="D245" i="16"/>
  <c r="D238" i="12"/>
  <c r="D234" i="16"/>
  <c r="D246" i="12"/>
  <c r="D235" i="16"/>
  <c r="D262" i="12"/>
  <c r="D236" i="16"/>
  <c r="D254" i="12"/>
  <c r="D237" i="16"/>
  <c r="D158" i="12"/>
  <c r="D1066" i="12"/>
  <c r="D208" i="16"/>
  <c r="D77" i="12"/>
  <c r="D209" i="16"/>
  <c r="D259" i="12"/>
  <c r="D221" i="16"/>
  <c r="D270" i="12"/>
  <c r="D232" i="16"/>
  <c r="D323" i="12"/>
  <c r="D222" i="16"/>
  <c r="D278" i="12"/>
  <c r="D210" i="16"/>
  <c r="D276" i="12"/>
  <c r="D223" i="16"/>
  <c r="D287" i="12"/>
  <c r="D211" i="16"/>
  <c r="D126" i="12"/>
  <c r="D224" i="16"/>
  <c r="D128" i="12"/>
  <c r="D212" i="16"/>
  <c r="D252" i="12"/>
  <c r="D225" i="16"/>
  <c r="D298" i="12"/>
  <c r="D226" i="16"/>
  <c r="D110" i="12"/>
  <c r="D214" i="16"/>
  <c r="D269" i="12"/>
  <c r="D203" i="16"/>
  <c r="D102" i="12"/>
  <c r="D216" i="16"/>
  <c r="D106" i="12"/>
  <c r="D229" i="16"/>
  <c r="D286" i="12"/>
  <c r="D213" i="16"/>
  <c r="D260" i="12"/>
  <c r="D227" i="16"/>
  <c r="D233" i="12"/>
  <c r="D228" i="16"/>
  <c r="D191" i="12"/>
  <c r="D217" i="16"/>
  <c r="D186" i="12"/>
  <c r="D204" i="16"/>
  <c r="D268" i="12"/>
  <c r="D219" i="16"/>
  <c r="D78" i="12"/>
  <c r="D230" i="16"/>
  <c r="D333" i="12"/>
  <c r="D215" i="16"/>
  <c r="D161" i="12"/>
  <c r="D202" i="16"/>
  <c r="D251" i="12"/>
  <c r="D205" i="16"/>
  <c r="D97" i="12"/>
  <c r="D220" i="16"/>
  <c r="D277" i="12"/>
  <c r="D231" i="16"/>
  <c r="D271" i="12"/>
  <c r="D233" i="16"/>
  <c r="D116" i="12"/>
  <c r="D206" i="16"/>
  <c r="D165" i="12"/>
  <c r="D201" i="16"/>
  <c r="D243" i="12"/>
  <c r="D218" i="16"/>
  <c r="D176" i="12"/>
  <c r="D207" i="16"/>
  <c r="D172" i="12"/>
  <c r="K750" i="11"/>
  <c r="K822" i="11"/>
  <c r="K798" i="11"/>
  <c r="K651" i="11"/>
  <c r="K723" i="11"/>
  <c r="K739" i="11"/>
  <c r="K811" i="11"/>
  <c r="K677" i="11"/>
  <c r="K701" i="11"/>
  <c r="K805" i="11"/>
  <c r="K673" i="11"/>
  <c r="K668" i="11"/>
  <c r="K655" i="11"/>
  <c r="K695" i="11"/>
  <c r="K743" i="11"/>
  <c r="K783" i="11"/>
  <c r="K712" i="11"/>
  <c r="K728" i="11"/>
  <c r="K666" i="11"/>
  <c r="K690" i="11"/>
  <c r="K778" i="11"/>
  <c r="K794" i="11"/>
  <c r="K679" i="11"/>
  <c r="K800" i="11"/>
  <c r="K772" i="11"/>
  <c r="K662" i="11"/>
  <c r="K734" i="11"/>
  <c r="K688" i="11"/>
  <c r="H815" i="11"/>
  <c r="H727" i="11"/>
  <c r="H826" i="11"/>
  <c r="H705" i="11"/>
  <c r="H760" i="11"/>
  <c r="H738" i="11"/>
  <c r="H716" i="11"/>
  <c r="H749" i="11"/>
  <c r="J742" i="11"/>
  <c r="K782" i="11"/>
  <c r="K659" i="11"/>
  <c r="K725" i="11"/>
  <c r="K736" i="11"/>
  <c r="K747" i="11"/>
  <c r="K758" i="11"/>
  <c r="K769" i="11"/>
  <c r="K791" i="11"/>
  <c r="K824" i="11"/>
  <c r="J690" i="11"/>
  <c r="K754" i="11"/>
  <c r="K776" i="11"/>
  <c r="K787" i="11"/>
  <c r="K654" i="11"/>
  <c r="K665" i="11"/>
  <c r="K687" i="11"/>
  <c r="K698" i="11"/>
  <c r="K709" i="11"/>
  <c r="K720" i="11"/>
  <c r="K742" i="11"/>
  <c r="K775" i="11"/>
  <c r="K819" i="11"/>
  <c r="K765" i="11"/>
  <c r="K653" i="11"/>
  <c r="K664" i="11"/>
  <c r="K675" i="11"/>
  <c r="K686" i="11"/>
  <c r="K741" i="11"/>
  <c r="K752" i="11"/>
  <c r="K763" i="11"/>
  <c r="K774" i="11"/>
  <c r="K785" i="11"/>
  <c r="K796" i="11"/>
  <c r="K818" i="11"/>
  <c r="H694" i="11"/>
  <c r="H745" i="11"/>
  <c r="H810" i="11"/>
  <c r="K658" i="11"/>
  <c r="K669" i="11"/>
  <c r="K680" i="11"/>
  <c r="K691" i="11"/>
  <c r="K702" i="11"/>
  <c r="K713" i="11"/>
  <c r="K724" i="11"/>
  <c r="K735" i="11"/>
  <c r="K746" i="11"/>
  <c r="K779" i="11"/>
  <c r="K790" i="11"/>
  <c r="K801" i="11"/>
  <c r="K823" i="11"/>
  <c r="M698" i="11"/>
  <c r="H709" i="11"/>
  <c r="H720" i="11"/>
  <c r="H819" i="11"/>
  <c r="K696" i="11"/>
  <c r="K729" i="11"/>
  <c r="K773" i="11"/>
  <c r="K784" i="11"/>
  <c r="K795" i="11"/>
  <c r="K806" i="11"/>
  <c r="K817" i="11"/>
  <c r="K828" i="11"/>
  <c r="H653" i="11"/>
  <c r="J686" i="11"/>
  <c r="H708" i="11"/>
  <c r="H763" i="11"/>
  <c r="H785" i="11"/>
  <c r="H807" i="11"/>
  <c r="M664" i="11"/>
  <c r="M697" i="11"/>
  <c r="J659" i="11"/>
  <c r="H714" i="11"/>
  <c r="H736" i="11"/>
  <c r="M747" i="11"/>
  <c r="M758" i="11"/>
  <c r="J769" i="11"/>
  <c r="H780" i="11"/>
  <c r="H813" i="11"/>
  <c r="K707" i="11"/>
  <c r="K740" i="11"/>
  <c r="K762" i="11"/>
  <c r="K718" i="11"/>
  <c r="M682" i="11"/>
  <c r="M693" i="11"/>
  <c r="M704" i="11"/>
  <c r="J755" i="11"/>
  <c r="J766" i="11"/>
  <c r="J777" i="11"/>
  <c r="J788" i="11"/>
  <c r="K656" i="11"/>
  <c r="K667" i="11"/>
  <c r="K689" i="11"/>
  <c r="K700" i="11"/>
  <c r="K711" i="11"/>
  <c r="K722" i="11"/>
  <c r="K733" i="11"/>
  <c r="K744" i="11"/>
  <c r="K755" i="11"/>
  <c r="K766" i="11"/>
  <c r="K777" i="11"/>
  <c r="K788" i="11"/>
  <c r="K799" i="11"/>
  <c r="K821" i="11"/>
  <c r="M748" i="11"/>
  <c r="M770" i="11"/>
  <c r="M781" i="11"/>
  <c r="M814" i="11"/>
  <c r="M825" i="11"/>
  <c r="K660" i="11"/>
  <c r="K682" i="11"/>
  <c r="K704" i="11"/>
  <c r="K748" i="11"/>
  <c r="K759" i="11"/>
  <c r="K770" i="11"/>
  <c r="K781" i="11"/>
  <c r="K803" i="11"/>
  <c r="K814" i="11"/>
  <c r="K825" i="11"/>
  <c r="K731" i="11"/>
  <c r="M799" i="11"/>
  <c r="J651" i="11"/>
  <c r="H662" i="11"/>
  <c r="M673" i="11"/>
  <c r="H684" i="11"/>
  <c r="H706" i="11"/>
  <c r="H717" i="11"/>
  <c r="H739" i="11"/>
  <c r="M750" i="11"/>
  <c r="H761" i="11"/>
  <c r="J772" i="11"/>
  <c r="H783" i="11"/>
  <c r="J794" i="11"/>
  <c r="H816" i="11"/>
  <c r="M723" i="11"/>
  <c r="H658" i="11"/>
  <c r="H669" i="11"/>
  <c r="H691" i="11"/>
  <c r="H702" i="11"/>
  <c r="H713" i="11"/>
  <c r="H735" i="11"/>
  <c r="H746" i="11"/>
  <c r="H757" i="11"/>
  <c r="H768" i="11"/>
  <c r="H790" i="11"/>
  <c r="H812" i="11"/>
  <c r="M812" i="11"/>
  <c r="H786" i="11"/>
  <c r="M769" i="11"/>
  <c r="M780" i="11"/>
  <c r="K663" i="11"/>
  <c r="K674" i="11"/>
  <c r="K685" i="11"/>
  <c r="M757" i="11"/>
  <c r="M779" i="11"/>
  <c r="H802" i="11"/>
  <c r="H797" i="11"/>
  <c r="J802" i="11"/>
  <c r="M807" i="11"/>
  <c r="M665" i="11"/>
  <c r="H683" i="11"/>
  <c r="M699" i="11"/>
  <c r="M820" i="11"/>
  <c r="M656" i="11"/>
  <c r="M667" i="11"/>
  <c r="H678" i="11"/>
  <c r="J700" i="11"/>
  <c r="H711" i="11"/>
  <c r="H722" i="11"/>
  <c r="M744" i="11"/>
  <c r="K760" i="11"/>
  <c r="J782" i="11"/>
  <c r="H793" i="11"/>
  <c r="H804" i="11"/>
  <c r="K809" i="11"/>
  <c r="K652" i="11"/>
  <c r="M746" i="11"/>
  <c r="M823" i="11"/>
  <c r="J807" i="11"/>
  <c r="M668" i="11"/>
  <c r="M679" i="11"/>
  <c r="M712" i="11"/>
  <c r="M805" i="11"/>
  <c r="M767" i="11"/>
  <c r="H685" i="11"/>
  <c r="K756" i="11"/>
  <c r="K767" i="11"/>
  <c r="M778" i="11"/>
  <c r="K827" i="11"/>
  <c r="K813" i="11"/>
  <c r="M705" i="11"/>
  <c r="M797" i="11"/>
  <c r="M738" i="11"/>
  <c r="H771" i="11"/>
  <c r="M690" i="11"/>
  <c r="M793" i="11"/>
  <c r="J680" i="11"/>
  <c r="K705" i="11"/>
  <c r="J727" i="11"/>
  <c r="J684" i="11"/>
  <c r="M727" i="11"/>
  <c r="K738" i="11"/>
  <c r="K808" i="11"/>
  <c r="M684" i="11"/>
  <c r="M776" i="11"/>
  <c r="M771" i="11"/>
  <c r="J712" i="11"/>
  <c r="J723" i="11"/>
  <c r="K745" i="11"/>
  <c r="K826" i="11"/>
  <c r="M680" i="11"/>
  <c r="M826" i="11"/>
  <c r="M800" i="11"/>
  <c r="M703" i="11"/>
  <c r="J724" i="11"/>
  <c r="M730" i="11"/>
  <c r="M783" i="11"/>
  <c r="M654" i="11"/>
  <c r="H665" i="11"/>
  <c r="K670" i="11"/>
  <c r="M687" i="11"/>
  <c r="K692" i="11"/>
  <c r="K703" i="11"/>
  <c r="M713" i="11"/>
  <c r="K719" i="11"/>
  <c r="M724" i="11"/>
  <c r="K730" i="11"/>
  <c r="M741" i="11"/>
  <c r="K757" i="11"/>
  <c r="K768" i="11"/>
  <c r="H779" i="11"/>
  <c r="M811" i="11"/>
  <c r="H822" i="11"/>
  <c r="M732" i="11"/>
  <c r="M813" i="11"/>
  <c r="K676" i="11"/>
  <c r="M677" i="11"/>
  <c r="M796" i="11"/>
  <c r="M715" i="11"/>
  <c r="M726" i="11"/>
  <c r="H661" i="11"/>
  <c r="H672" i="11"/>
  <c r="K699" i="11"/>
  <c r="K753" i="11"/>
  <c r="K764" i="11"/>
  <c r="M775" i="11"/>
  <c r="J791" i="11"/>
  <c r="K812" i="11"/>
  <c r="J823" i="11"/>
  <c r="J692" i="11"/>
  <c r="K697" i="11"/>
  <c r="J702" i="11"/>
  <c r="J716" i="11"/>
  <c r="K721" i="11"/>
  <c r="J735" i="11"/>
  <c r="H740" i="11"/>
  <c r="M754" i="11"/>
  <c r="J764" i="11"/>
  <c r="M772" i="11"/>
  <c r="K786" i="11"/>
  <c r="M790" i="11"/>
  <c r="H801" i="11"/>
  <c r="K810" i="11"/>
  <c r="K820" i="11"/>
  <c r="J691" i="11"/>
  <c r="M691" i="11"/>
  <c r="J654" i="11"/>
  <c r="J669" i="11"/>
  <c r="M768" i="11"/>
  <c r="M659" i="11"/>
  <c r="M764" i="11"/>
  <c r="M669" i="11"/>
  <c r="K717" i="11"/>
  <c r="M801" i="11"/>
  <c r="H681" i="11"/>
  <c r="K789" i="11"/>
  <c r="J681" i="11"/>
  <c r="K804" i="11"/>
  <c r="J658" i="11"/>
  <c r="J711" i="11"/>
  <c r="M794" i="11"/>
  <c r="J706" i="11"/>
  <c r="M819" i="11"/>
  <c r="M672" i="11"/>
  <c r="K749" i="11"/>
  <c r="M763" i="11"/>
  <c r="M716" i="11"/>
  <c r="M678" i="11"/>
  <c r="M815" i="11"/>
  <c r="J683" i="11"/>
  <c r="M702" i="11"/>
  <c r="J726" i="11"/>
  <c r="M735" i="11"/>
  <c r="M782" i="11"/>
  <c r="M786" i="11"/>
  <c r="J801" i="11"/>
  <c r="M683" i="11"/>
  <c r="M660" i="11"/>
  <c r="H693" i="11"/>
  <c r="J760" i="11"/>
  <c r="M774" i="11"/>
  <c r="M791" i="11"/>
  <c r="K816" i="11"/>
  <c r="M670" i="11"/>
  <c r="J693" i="11"/>
  <c r="K708" i="11"/>
  <c r="M717" i="11"/>
  <c r="M792" i="11"/>
  <c r="M802" i="11"/>
  <c r="M816" i="11"/>
  <c r="H680" i="11"/>
  <c r="M708" i="11"/>
  <c r="J713" i="11"/>
  <c r="H723" i="11"/>
  <c r="K732" i="11"/>
  <c r="J746" i="11"/>
  <c r="K751" i="11"/>
  <c r="M760" i="11"/>
  <c r="J779" i="11"/>
  <c r="J783" i="11"/>
  <c r="K792" i="11"/>
  <c r="K797" i="11"/>
  <c r="H817" i="11"/>
  <c r="M681" i="11"/>
  <c r="K715" i="11"/>
  <c r="M662" i="11"/>
  <c r="J720" i="11"/>
  <c r="M653" i="11"/>
  <c r="M711" i="11"/>
  <c r="H782" i="11"/>
  <c r="M749" i="11"/>
  <c r="J768" i="11"/>
  <c r="K815" i="11"/>
  <c r="H715" i="11"/>
  <c r="J785" i="11"/>
  <c r="M720" i="11"/>
  <c r="M785" i="11"/>
  <c r="J790" i="11"/>
  <c r="M658" i="11"/>
  <c r="M810" i="11"/>
  <c r="J748" i="11"/>
  <c r="K771" i="11"/>
  <c r="J767" i="11"/>
  <c r="J819" i="11"/>
  <c r="K672" i="11"/>
  <c r="M804" i="11"/>
  <c r="J687" i="11"/>
  <c r="K678" i="11"/>
  <c r="J670" i="11"/>
  <c r="J812" i="11"/>
  <c r="J675" i="11"/>
  <c r="M752" i="11"/>
  <c r="M675" i="11"/>
  <c r="H690" i="11"/>
  <c r="K694" i="11"/>
  <c r="M709" i="11"/>
  <c r="M733" i="11"/>
  <c r="K761" i="11"/>
  <c r="M803" i="11"/>
  <c r="M808" i="11"/>
  <c r="M651" i="11"/>
  <c r="M657" i="11"/>
  <c r="K661" i="11"/>
  <c r="M671" i="11"/>
  <c r="M676" i="11"/>
  <c r="M694" i="11"/>
  <c r="K714" i="11"/>
  <c r="M742" i="11"/>
  <c r="J757" i="11"/>
  <c r="M761" i="11"/>
  <c r="M788" i="11"/>
  <c r="K657" i="11"/>
  <c r="M661" i="11"/>
  <c r="K671" i="11"/>
  <c r="M695" i="11"/>
  <c r="K710" i="11"/>
  <c r="M714" i="11"/>
  <c r="H724" i="11"/>
  <c r="M743" i="11"/>
  <c r="M766" i="11"/>
  <c r="J780" i="11"/>
  <c r="M798" i="11"/>
  <c r="H808" i="11"/>
  <c r="H823" i="11"/>
  <c r="H703" i="11"/>
  <c r="J813" i="11"/>
  <c r="J667" i="11"/>
  <c r="H660" i="11"/>
  <c r="H689" i="11"/>
  <c r="M689" i="11"/>
  <c r="J689" i="11"/>
  <c r="H733" i="11"/>
  <c r="J736" i="11"/>
  <c r="M739" i="11"/>
  <c r="J660" i="11"/>
  <c r="J714" i="11"/>
  <c r="H814" i="11"/>
  <c r="J733" i="11"/>
  <c r="M759" i="11"/>
  <c r="J759" i="11"/>
  <c r="H759" i="11"/>
  <c r="H774" i="11"/>
  <c r="K807" i="11"/>
  <c r="J826" i="11"/>
  <c r="H679" i="11"/>
  <c r="H682" i="11"/>
  <c r="H697" i="11"/>
  <c r="M700" i="11"/>
  <c r="M718" i="11"/>
  <c r="J718" i="11"/>
  <c r="M736" i="11"/>
  <c r="H748" i="11"/>
  <c r="J770" i="11"/>
  <c r="H792" i="11"/>
  <c r="H796" i="11"/>
  <c r="H811" i="11"/>
  <c r="J814" i="11"/>
  <c r="J657" i="11"/>
  <c r="J672" i="11"/>
  <c r="J701" i="11"/>
  <c r="H701" i="11"/>
  <c r="M701" i="11"/>
  <c r="H730" i="11"/>
  <c r="M737" i="11"/>
  <c r="J737" i="11"/>
  <c r="H752" i="11"/>
  <c r="M755" i="11"/>
  <c r="J774" i="11"/>
  <c r="M789" i="11"/>
  <c r="J679" i="11"/>
  <c r="J682" i="11"/>
  <c r="K693" i="11"/>
  <c r="J697" i="11"/>
  <c r="J708" i="11"/>
  <c r="H718" i="11"/>
  <c r="K737" i="11"/>
  <c r="M756" i="11"/>
  <c r="J756" i="11"/>
  <c r="H756" i="11"/>
  <c r="H767" i="11"/>
  <c r="J792" i="11"/>
  <c r="J796" i="11"/>
  <c r="J804" i="11"/>
  <c r="J811" i="11"/>
  <c r="H676" i="11"/>
  <c r="J730" i="11"/>
  <c r="M734" i="11"/>
  <c r="J734" i="11"/>
  <c r="H737" i="11"/>
  <c r="J752" i="11"/>
  <c r="H789" i="11"/>
  <c r="M827" i="11"/>
  <c r="J827" i="11"/>
  <c r="M652" i="11"/>
  <c r="J652" i="11"/>
  <c r="K684" i="11"/>
  <c r="K706" i="11"/>
  <c r="J721" i="11"/>
  <c r="H721" i="11"/>
  <c r="H652" i="11"/>
  <c r="J818" i="11"/>
  <c r="M818" i="11"/>
  <c r="H818" i="11"/>
  <c r="H657" i="11"/>
  <c r="J664" i="11"/>
  <c r="H654" i="11"/>
  <c r="J661" i="11"/>
  <c r="J705" i="11"/>
  <c r="J715" i="11"/>
  <c r="J666" i="11"/>
  <c r="H666" i="11"/>
  <c r="H687" i="11"/>
  <c r="M728" i="11"/>
  <c r="H728" i="11"/>
  <c r="J728" i="11"/>
  <c r="H787" i="11"/>
  <c r="J787" i="11"/>
  <c r="M787" i="11"/>
  <c r="M821" i="11"/>
  <c r="J821" i="11"/>
  <c r="M773" i="11"/>
  <c r="J773" i="11"/>
  <c r="M817" i="11"/>
  <c r="J817" i="11"/>
  <c r="M696" i="11"/>
  <c r="J696" i="11"/>
  <c r="J743" i="11"/>
  <c r="H743" i="11"/>
  <c r="H758" i="11"/>
  <c r="H777" i="11"/>
  <c r="K780" i="11"/>
  <c r="J678" i="11"/>
  <c r="J703" i="11"/>
  <c r="J739" i="11"/>
  <c r="H675" i="11"/>
  <c r="K681" i="11"/>
  <c r="H696" i="11"/>
  <c r="M685" i="11"/>
  <c r="J685" i="11"/>
  <c r="J717" i="11"/>
  <c r="M762" i="11"/>
  <c r="J762" i="11"/>
  <c r="H762" i="11"/>
  <c r="J799" i="11"/>
  <c r="M721" i="11"/>
  <c r="M777" i="11"/>
  <c r="H712" i="11"/>
  <c r="J719" i="11"/>
  <c r="H719" i="11"/>
  <c r="M719" i="11"/>
  <c r="H734" i="11"/>
  <c r="J789" i="11"/>
  <c r="H673" i="11"/>
  <c r="J793" i="11"/>
  <c r="K793" i="11"/>
  <c r="J694" i="11"/>
  <c r="J776" i="11"/>
  <c r="H776" i="11"/>
  <c r="H805" i="11"/>
  <c r="M824" i="11"/>
  <c r="J824" i="11"/>
  <c r="H651" i="11"/>
  <c r="J673" i="11"/>
  <c r="J786" i="11"/>
  <c r="H670" i="11"/>
  <c r="M706" i="11"/>
  <c r="J709" i="11"/>
  <c r="K727" i="11"/>
  <c r="J805" i="11"/>
  <c r="J816" i="11"/>
  <c r="H824" i="11"/>
  <c r="M663" i="11"/>
  <c r="J663" i="11"/>
  <c r="J688" i="11"/>
  <c r="H688" i="11"/>
  <c r="J765" i="11"/>
  <c r="H765" i="11"/>
  <c r="M765" i="11"/>
  <c r="H663" i="11"/>
  <c r="H667" i="11"/>
  <c r="J761" i="11"/>
  <c r="M795" i="11"/>
  <c r="J795" i="11"/>
  <c r="H821" i="11"/>
  <c r="H773" i="11"/>
  <c r="H799" i="11"/>
  <c r="J810" i="11"/>
  <c r="M688" i="11"/>
  <c r="H700" i="11"/>
  <c r="J758" i="11"/>
  <c r="H795" i="11"/>
  <c r="J725" i="11"/>
  <c r="H725" i="11"/>
  <c r="M725" i="11"/>
  <c r="H751" i="11"/>
  <c r="H755" i="11"/>
  <c r="H664" i="11"/>
  <c r="M740" i="11"/>
  <c r="J740" i="11"/>
  <c r="H770" i="11"/>
  <c r="J722" i="11"/>
  <c r="M722" i="11"/>
  <c r="J676" i="11"/>
  <c r="H827" i="11"/>
  <c r="J745" i="11"/>
  <c r="J771" i="11"/>
  <c r="J808" i="11"/>
  <c r="M731" i="11"/>
  <c r="J731" i="11"/>
  <c r="J753" i="11"/>
  <c r="H753" i="11"/>
  <c r="M753" i="11"/>
  <c r="H764" i="11"/>
  <c r="J749" i="11"/>
  <c r="H820" i="11"/>
  <c r="J820" i="11"/>
  <c r="H731" i="11"/>
  <c r="H742" i="11"/>
  <c r="J798" i="11"/>
  <c r="H798" i="11"/>
  <c r="J655" i="11"/>
  <c r="H655" i="11"/>
  <c r="M655" i="11"/>
  <c r="M666" i="11"/>
  <c r="K802" i="11"/>
  <c r="M707" i="11"/>
  <c r="J707" i="11"/>
  <c r="H809" i="11"/>
  <c r="J809" i="11"/>
  <c r="H692" i="11"/>
  <c r="H698" i="11"/>
  <c r="H744" i="11"/>
  <c r="H747" i="11"/>
  <c r="H750" i="11"/>
  <c r="M806" i="11"/>
  <c r="J806" i="11"/>
  <c r="J815" i="11"/>
  <c r="M674" i="11"/>
  <c r="J674" i="11"/>
  <c r="H695" i="11"/>
  <c r="H775" i="11"/>
  <c r="H659" i="11"/>
  <c r="J698" i="11"/>
  <c r="J704" i="11"/>
  <c r="J744" i="11"/>
  <c r="J747" i="11"/>
  <c r="J750" i="11"/>
  <c r="H766" i="11"/>
  <c r="H769" i="11"/>
  <c r="H772" i="11"/>
  <c r="H800" i="11"/>
  <c r="H803" i="11"/>
  <c r="H806" i="11"/>
  <c r="M828" i="11"/>
  <c r="J828" i="11"/>
  <c r="J656" i="11"/>
  <c r="H674" i="11"/>
  <c r="J695" i="11"/>
  <c r="J741" i="11"/>
  <c r="J653" i="11"/>
  <c r="J665" i="11"/>
  <c r="J671" i="11"/>
  <c r="K683" i="11"/>
  <c r="M729" i="11"/>
  <c r="J729" i="11"/>
  <c r="J738" i="11"/>
  <c r="H788" i="11"/>
  <c r="H791" i="11"/>
  <c r="H794" i="11"/>
  <c r="J800" i="11"/>
  <c r="J803" i="11"/>
  <c r="H825" i="11"/>
  <c r="H828" i="11"/>
  <c r="J677" i="11"/>
  <c r="H677" i="11"/>
  <c r="H686" i="11"/>
  <c r="H704" i="11"/>
  <c r="H656" i="11"/>
  <c r="H668" i="11"/>
  <c r="H707" i="11"/>
  <c r="H671" i="11"/>
  <c r="K716" i="11"/>
  <c r="J778" i="11"/>
  <c r="J781" i="11"/>
  <c r="M822" i="11"/>
  <c r="J668" i="11"/>
  <c r="J732" i="11"/>
  <c r="H732" i="11"/>
  <c r="J662" i="11"/>
  <c r="M686" i="11"/>
  <c r="M692" i="11"/>
  <c r="K726" i="11"/>
  <c r="H754" i="11"/>
  <c r="J754" i="11"/>
  <c r="J763" i="11"/>
  <c r="J797" i="11"/>
  <c r="J710" i="11"/>
  <c r="H710" i="11"/>
  <c r="M784" i="11"/>
  <c r="J784" i="11"/>
  <c r="H778" i="11"/>
  <c r="H781" i="11"/>
  <c r="H784" i="11"/>
  <c r="H741" i="11"/>
  <c r="M710" i="11"/>
  <c r="J775" i="11"/>
  <c r="M809" i="11"/>
  <c r="J699" i="11"/>
  <c r="H699" i="11"/>
  <c r="H726" i="11"/>
  <c r="H729" i="11"/>
  <c r="M745" i="11"/>
  <c r="M751" i="11"/>
  <c r="J751" i="11"/>
  <c r="J822" i="11"/>
  <c r="J825" i="11"/>
  <c r="F647" i="11" l="1"/>
  <c r="G647" i="11"/>
  <c r="I647" i="11"/>
  <c r="N647" i="11" s="1"/>
  <c r="L647" i="11"/>
  <c r="F648" i="11"/>
  <c r="G648" i="11"/>
  <c r="I648" i="11"/>
  <c r="N648" i="11" s="1"/>
  <c r="L648" i="11"/>
  <c r="F649" i="11"/>
  <c r="G649" i="11"/>
  <c r="I649" i="11"/>
  <c r="N649" i="11" s="1"/>
  <c r="L649" i="11"/>
  <c r="F650" i="11"/>
  <c r="G650" i="11"/>
  <c r="I650" i="11"/>
  <c r="N650" i="11" s="1"/>
  <c r="L650" i="11"/>
  <c r="E530" i="12"/>
  <c r="F530" i="12"/>
  <c r="H584" i="12"/>
  <c r="E558" i="12"/>
  <c r="F558" i="12"/>
  <c r="H585" i="12"/>
  <c r="E571" i="12"/>
  <c r="F571" i="12"/>
  <c r="H586" i="12"/>
  <c r="E583" i="12"/>
  <c r="F583" i="12"/>
  <c r="H587" i="12"/>
  <c r="E597" i="12"/>
  <c r="F597" i="12"/>
  <c r="H588" i="12"/>
  <c r="E610" i="12"/>
  <c r="F610" i="12"/>
  <c r="H589" i="12"/>
  <c r="E625" i="12"/>
  <c r="F625" i="12"/>
  <c r="H590" i="12"/>
  <c r="E638" i="12"/>
  <c r="F638" i="12"/>
  <c r="H591" i="12"/>
  <c r="E223" i="12"/>
  <c r="F223" i="12"/>
  <c r="H592" i="12"/>
  <c r="E254" i="12"/>
  <c r="F254" i="12"/>
  <c r="H593" i="12"/>
  <c r="E271" i="12"/>
  <c r="F271" i="12"/>
  <c r="H594" i="12"/>
  <c r="E289" i="12"/>
  <c r="F289" i="12"/>
  <c r="H595" i="12"/>
  <c r="E300" i="12"/>
  <c r="F300" i="12"/>
  <c r="H596" i="12"/>
  <c r="E309" i="12"/>
  <c r="F309" i="12"/>
  <c r="H597" i="12"/>
  <c r="E299" i="12"/>
  <c r="F299" i="12"/>
  <c r="H572" i="12"/>
  <c r="E308" i="12"/>
  <c r="F308" i="12"/>
  <c r="H573" i="12"/>
  <c r="E322" i="12"/>
  <c r="F322" i="12"/>
  <c r="H574" i="12"/>
  <c r="E332" i="12"/>
  <c r="F332" i="12"/>
  <c r="H575" i="12"/>
  <c r="E350" i="12"/>
  <c r="F350" i="12"/>
  <c r="H576" i="12"/>
  <c r="E376" i="12"/>
  <c r="F376" i="12"/>
  <c r="H577" i="12"/>
  <c r="E393" i="12"/>
  <c r="F393" i="12"/>
  <c r="H578" i="12"/>
  <c r="E414" i="12"/>
  <c r="F414" i="12"/>
  <c r="H579" i="12"/>
  <c r="E427" i="12"/>
  <c r="F427" i="12"/>
  <c r="H580" i="12"/>
  <c r="E448" i="12"/>
  <c r="F448" i="12"/>
  <c r="H581" i="12"/>
  <c r="E461" i="12"/>
  <c r="F461" i="12"/>
  <c r="H582" i="12"/>
  <c r="E474" i="12"/>
  <c r="F474" i="12"/>
  <c r="H583" i="12"/>
  <c r="E557" i="12"/>
  <c r="F557" i="12"/>
  <c r="H561" i="12"/>
  <c r="E570" i="12"/>
  <c r="F570" i="12"/>
  <c r="H562" i="12"/>
  <c r="E582" i="12"/>
  <c r="F582" i="12"/>
  <c r="H563" i="12"/>
  <c r="E596" i="12"/>
  <c r="F596" i="12"/>
  <c r="H564" i="12"/>
  <c r="E609" i="12"/>
  <c r="F609" i="12"/>
  <c r="H565" i="12"/>
  <c r="E624" i="12"/>
  <c r="F624" i="12"/>
  <c r="H566" i="12"/>
  <c r="E637" i="12"/>
  <c r="F637" i="12"/>
  <c r="H567" i="12"/>
  <c r="E188" i="12"/>
  <c r="F188" i="12"/>
  <c r="H568" i="12"/>
  <c r="E201" i="12"/>
  <c r="F201" i="12"/>
  <c r="H569" i="12"/>
  <c r="E279" i="12"/>
  <c r="F279" i="12"/>
  <c r="H570" i="12"/>
  <c r="E288" i="12"/>
  <c r="F288" i="12"/>
  <c r="H571" i="12"/>
  <c r="E331" i="12"/>
  <c r="F331" i="12"/>
  <c r="H546" i="12"/>
  <c r="E366" i="12"/>
  <c r="F366" i="12"/>
  <c r="H547" i="12"/>
  <c r="E375" i="12"/>
  <c r="F375" i="12"/>
  <c r="H548" i="12"/>
  <c r="E384" i="12"/>
  <c r="F384" i="12"/>
  <c r="H549" i="12"/>
  <c r="E404" i="12"/>
  <c r="F404" i="12"/>
  <c r="H550" i="12"/>
  <c r="E413" i="12"/>
  <c r="F413" i="12"/>
  <c r="H551" i="12"/>
  <c r="E426" i="12"/>
  <c r="F426" i="12"/>
  <c r="H552" i="12"/>
  <c r="E437" i="12"/>
  <c r="F437" i="12"/>
  <c r="H553" i="12"/>
  <c r="E447" i="12"/>
  <c r="F447" i="12"/>
  <c r="H554" i="12"/>
  <c r="E473" i="12"/>
  <c r="F473" i="12"/>
  <c r="H555" i="12"/>
  <c r="E484" i="12"/>
  <c r="F484" i="12"/>
  <c r="H556" i="12"/>
  <c r="E496" i="12"/>
  <c r="F496" i="12"/>
  <c r="H557" i="12"/>
  <c r="E508" i="12"/>
  <c r="F508" i="12"/>
  <c r="H558" i="12"/>
  <c r="E521" i="12"/>
  <c r="F521" i="12"/>
  <c r="H559" i="12"/>
  <c r="E544" i="12"/>
  <c r="F544" i="12"/>
  <c r="H560" i="12"/>
  <c r="E556" i="12"/>
  <c r="F556" i="12"/>
  <c r="H533" i="12"/>
  <c r="E569" i="12"/>
  <c r="F569" i="12"/>
  <c r="H534" i="12"/>
  <c r="E581" i="12"/>
  <c r="F581" i="12"/>
  <c r="H535" i="12"/>
  <c r="E623" i="12"/>
  <c r="F623" i="12"/>
  <c r="H536" i="12"/>
  <c r="E636" i="12"/>
  <c r="F636" i="12"/>
  <c r="H537" i="12"/>
  <c r="E200" i="12"/>
  <c r="F200" i="12"/>
  <c r="H538" i="12"/>
  <c r="E205" i="12"/>
  <c r="F205" i="12"/>
  <c r="H539" i="12"/>
  <c r="E238" i="12"/>
  <c r="F238" i="12"/>
  <c r="H540" i="12"/>
  <c r="E246" i="12"/>
  <c r="F246" i="12"/>
  <c r="H541" i="12"/>
  <c r="E262" i="12"/>
  <c r="F262" i="12"/>
  <c r="H542" i="12"/>
  <c r="E287" i="12"/>
  <c r="F287" i="12"/>
  <c r="H543" i="12"/>
  <c r="E298" i="12"/>
  <c r="F298" i="12"/>
  <c r="H544" i="12"/>
  <c r="E317" i="12"/>
  <c r="F317" i="12"/>
  <c r="H545" i="12"/>
  <c r="E412" i="12"/>
  <c r="F412" i="12"/>
  <c r="H523" i="12"/>
  <c r="E425" i="12"/>
  <c r="F425" i="12"/>
  <c r="H524" i="12"/>
  <c r="E436" i="12"/>
  <c r="F436" i="12"/>
  <c r="H525" i="12"/>
  <c r="E446" i="12"/>
  <c r="F446" i="12"/>
  <c r="H526" i="12"/>
  <c r="E460" i="12"/>
  <c r="F460" i="12"/>
  <c r="H527" i="12"/>
  <c r="E472" i="12"/>
  <c r="F472" i="12"/>
  <c r="H528" i="12"/>
  <c r="E495" i="12"/>
  <c r="F495" i="12"/>
  <c r="H529" i="12"/>
  <c r="E520" i="12"/>
  <c r="F520" i="12"/>
  <c r="H530" i="12"/>
  <c r="E529" i="12"/>
  <c r="F529" i="12"/>
  <c r="H531" i="12"/>
  <c r="E543" i="12"/>
  <c r="F543" i="12"/>
  <c r="H532" i="12"/>
  <c r="E261" i="12"/>
  <c r="F261" i="12"/>
  <c r="H510" i="12"/>
  <c r="E270" i="12"/>
  <c r="F270" i="12"/>
  <c r="H511" i="12"/>
  <c r="E278" i="12"/>
  <c r="F278" i="12"/>
  <c r="H512" i="12"/>
  <c r="E286" i="12"/>
  <c r="F286" i="12"/>
  <c r="H513" i="12"/>
  <c r="E297" i="12"/>
  <c r="F297" i="12"/>
  <c r="H514" i="12"/>
  <c r="E307" i="12"/>
  <c r="F307" i="12"/>
  <c r="H515" i="12"/>
  <c r="E316" i="12"/>
  <c r="F316" i="12"/>
  <c r="H516" i="12"/>
  <c r="E330" i="12"/>
  <c r="F330" i="12"/>
  <c r="H517" i="12"/>
  <c r="E341" i="12"/>
  <c r="F341" i="12"/>
  <c r="H518" i="12"/>
  <c r="E356" i="12"/>
  <c r="F356" i="12"/>
  <c r="H519" i="12"/>
  <c r="E365" i="12"/>
  <c r="F365" i="12"/>
  <c r="H520" i="12"/>
  <c r="E374" i="12"/>
  <c r="F374" i="12"/>
  <c r="H521" i="12"/>
  <c r="E403" i="12"/>
  <c r="F403" i="12"/>
  <c r="H522" i="12"/>
  <c r="D12" i="15" l="1"/>
  <c r="J650" i="11"/>
  <c r="H650" i="11"/>
  <c r="J649" i="11"/>
  <c r="K648" i="11"/>
  <c r="M650" i="11"/>
  <c r="K649" i="11"/>
  <c r="K647" i="11"/>
  <c r="H648" i="11"/>
  <c r="K650" i="11"/>
  <c r="H647" i="11"/>
  <c r="H649" i="11"/>
  <c r="M649" i="11"/>
  <c r="M648" i="11"/>
  <c r="J648" i="11"/>
  <c r="M647" i="11"/>
  <c r="J647" i="11"/>
  <c r="H509" i="12"/>
  <c r="F253" i="12"/>
  <c r="E253" i="12"/>
  <c r="H508" i="12"/>
  <c r="F245" i="12"/>
  <c r="E245" i="12"/>
  <c r="H507" i="12"/>
  <c r="F237" i="12"/>
  <c r="E237" i="12"/>
  <c r="H506" i="12"/>
  <c r="F230" i="12"/>
  <c r="E230" i="12"/>
  <c r="H505" i="12"/>
  <c r="F216" i="12"/>
  <c r="E216" i="12"/>
  <c r="H504" i="12"/>
  <c r="F210" i="12"/>
  <c r="E210" i="12"/>
  <c r="H503" i="12"/>
  <c r="F204" i="12"/>
  <c r="E204" i="12"/>
  <c r="H502" i="12"/>
  <c r="F199" i="12"/>
  <c r="E199" i="12"/>
  <c r="H501" i="12"/>
  <c r="F195" i="12"/>
  <c r="E195" i="12"/>
  <c r="H500" i="12"/>
  <c r="F635" i="12"/>
  <c r="E635" i="12"/>
  <c r="H499" i="12"/>
  <c r="F622" i="12"/>
  <c r="E622" i="12"/>
  <c r="H498" i="12"/>
  <c r="F595" i="12"/>
  <c r="E595" i="12"/>
  <c r="H497" i="12"/>
  <c r="F580" i="12"/>
  <c r="E580" i="12"/>
  <c r="H496" i="12"/>
  <c r="F555" i="12"/>
  <c r="E555" i="12"/>
  <c r="H495" i="12"/>
  <c r="F542" i="12"/>
  <c r="E542" i="12"/>
  <c r="H494" i="12"/>
  <c r="F528" i="12"/>
  <c r="E528" i="12"/>
  <c r="H493" i="12"/>
  <c r="F519" i="12"/>
  <c r="E519" i="12"/>
  <c r="H492" i="12"/>
  <c r="F507" i="12"/>
  <c r="E507" i="12"/>
  <c r="H491" i="12"/>
  <c r="F494" i="12"/>
  <c r="E494" i="12"/>
  <c r="H490" i="12"/>
  <c r="F483" i="12"/>
  <c r="E483" i="12"/>
  <c r="H489" i="12"/>
  <c r="F471" i="12"/>
  <c r="E471" i="12"/>
  <c r="H488" i="12"/>
  <c r="F459" i="12"/>
  <c r="E459" i="12"/>
  <c r="H487" i="12"/>
  <c r="F424" i="12"/>
  <c r="E424" i="12"/>
  <c r="H486" i="12"/>
  <c r="F402" i="12"/>
  <c r="E402" i="12"/>
  <c r="H485" i="12"/>
  <c r="F392" i="12"/>
  <c r="E392" i="12"/>
  <c r="H484" i="12"/>
  <c r="F383" i="12"/>
  <c r="E383" i="12"/>
  <c r="H483" i="12"/>
  <c r="F364" i="12"/>
  <c r="E364" i="12"/>
  <c r="H482" i="12"/>
  <c r="F355" i="12"/>
  <c r="E355" i="12"/>
  <c r="H481" i="12"/>
  <c r="F349" i="12"/>
  <c r="E349" i="12"/>
  <c r="H480" i="12"/>
  <c r="F340" i="12"/>
  <c r="E340" i="12"/>
  <c r="H479" i="12"/>
  <c r="F329" i="12"/>
  <c r="E329" i="12"/>
  <c r="H478" i="12"/>
  <c r="F315" i="12"/>
  <c r="E315" i="12"/>
  <c r="H477" i="12"/>
  <c r="F306" i="12"/>
  <c r="E306" i="12"/>
  <c r="H476" i="12"/>
  <c r="F296" i="12"/>
  <c r="E296" i="12"/>
  <c r="F232" i="13" l="1"/>
  <c r="E232" i="13"/>
  <c r="F231" i="13"/>
  <c r="E231" i="13"/>
  <c r="F230" i="13"/>
  <c r="E230" i="13"/>
  <c r="F229" i="13"/>
  <c r="E229" i="13"/>
  <c r="H475" i="12"/>
  <c r="F285" i="12"/>
  <c r="E285" i="12"/>
  <c r="H474" i="12"/>
  <c r="F277" i="12"/>
  <c r="E277" i="12"/>
  <c r="H473" i="12"/>
  <c r="F269" i="12"/>
  <c r="E269" i="12"/>
  <c r="H472" i="12"/>
  <c r="F260" i="12"/>
  <c r="E260" i="12"/>
  <c r="H471" i="12"/>
  <c r="F252" i="12"/>
  <c r="E252" i="12"/>
  <c r="H470" i="12"/>
  <c r="F244" i="12"/>
  <c r="E244" i="12"/>
  <c r="H469" i="12"/>
  <c r="F236" i="12"/>
  <c r="E236" i="12"/>
  <c r="H468" i="12"/>
  <c r="F229" i="12"/>
  <c r="E229" i="12"/>
  <c r="H467" i="12"/>
  <c r="F209" i="12"/>
  <c r="E209" i="12"/>
  <c r="H466" i="12"/>
  <c r="F203" i="12"/>
  <c r="E203" i="12"/>
  <c r="H465" i="12"/>
  <c r="F194" i="12"/>
  <c r="E194" i="12"/>
  <c r="H464" i="12"/>
  <c r="F183" i="12"/>
  <c r="E183" i="12"/>
  <c r="E221" i="13" l="1"/>
  <c r="F221" i="13"/>
  <c r="E222" i="13"/>
  <c r="F222" i="13"/>
  <c r="E223" i="13"/>
  <c r="F223" i="13"/>
  <c r="E224" i="13"/>
  <c r="F224" i="13"/>
  <c r="E225" i="13"/>
  <c r="F225" i="13"/>
  <c r="E226" i="13"/>
  <c r="F226" i="13"/>
  <c r="E227" i="13"/>
  <c r="F227" i="13"/>
  <c r="E228" i="13"/>
  <c r="F228" i="13"/>
  <c r="E470" i="12"/>
  <c r="F470" i="12"/>
  <c r="H451" i="12"/>
  <c r="E482" i="12"/>
  <c r="F482" i="12"/>
  <c r="H452" i="12"/>
  <c r="E493" i="12"/>
  <c r="F493" i="12"/>
  <c r="H453" i="12"/>
  <c r="E506" i="12"/>
  <c r="F506" i="12"/>
  <c r="H454" i="12"/>
  <c r="E518" i="12"/>
  <c r="F518" i="12"/>
  <c r="H455" i="12"/>
  <c r="E540" i="12"/>
  <c r="F540" i="12"/>
  <c r="H456" i="12"/>
  <c r="E541" i="12"/>
  <c r="F541" i="12"/>
  <c r="H457" i="12"/>
  <c r="E554" i="12"/>
  <c r="F554" i="12"/>
  <c r="H458" i="12"/>
  <c r="E579" i="12"/>
  <c r="F579" i="12"/>
  <c r="H459" i="12"/>
  <c r="E594" i="12"/>
  <c r="F594" i="12"/>
  <c r="H460" i="12"/>
  <c r="E608" i="12"/>
  <c r="F608" i="12"/>
  <c r="H461" i="12"/>
  <c r="E621" i="12"/>
  <c r="F621" i="12"/>
  <c r="H462" i="12"/>
  <c r="E634" i="12"/>
  <c r="F634" i="12"/>
  <c r="H463" i="12"/>
  <c r="E295" i="12"/>
  <c r="E305" i="12"/>
  <c r="F305" i="12"/>
  <c r="H439" i="12"/>
  <c r="E321" i="12"/>
  <c r="F321" i="12"/>
  <c r="H440" i="12"/>
  <c r="E328" i="12"/>
  <c r="F328" i="12"/>
  <c r="H441" i="12"/>
  <c r="E339" i="12"/>
  <c r="F339" i="12"/>
  <c r="H442" i="12"/>
  <c r="E348" i="12"/>
  <c r="F348" i="12"/>
  <c r="H443" i="12"/>
  <c r="E354" i="12"/>
  <c r="F354" i="12"/>
  <c r="H444" i="12"/>
  <c r="E391" i="12"/>
  <c r="F391" i="12"/>
  <c r="H445" i="12"/>
  <c r="E411" i="12"/>
  <c r="F411" i="12"/>
  <c r="H446" i="12"/>
  <c r="E423" i="12"/>
  <c r="F423" i="12"/>
  <c r="H447" i="12"/>
  <c r="E435" i="12"/>
  <c r="F435" i="12"/>
  <c r="H448" i="12"/>
  <c r="E445" i="12"/>
  <c r="F445" i="12"/>
  <c r="H449" i="12"/>
  <c r="E458" i="12"/>
  <c r="F458" i="12"/>
  <c r="H450" i="12"/>
  <c r="F220" i="13" l="1"/>
  <c r="E220" i="13"/>
  <c r="F219" i="13"/>
  <c r="E219" i="13"/>
  <c r="F218" i="13"/>
  <c r="E218" i="13"/>
  <c r="F217" i="13"/>
  <c r="E217" i="13"/>
  <c r="F216" i="13"/>
  <c r="E216" i="13"/>
  <c r="F215" i="13"/>
  <c r="E215" i="13"/>
  <c r="F214" i="13"/>
  <c r="E214" i="13"/>
  <c r="F213" i="13"/>
  <c r="E213" i="13"/>
  <c r="F212" i="13"/>
  <c r="E212" i="13"/>
  <c r="F211" i="13"/>
  <c r="E211" i="13"/>
  <c r="F210" i="13"/>
  <c r="E210" i="13"/>
  <c r="F209" i="13"/>
  <c r="E209" i="13"/>
  <c r="F208" i="13"/>
  <c r="E208" i="13"/>
  <c r="F207" i="13"/>
  <c r="E207" i="13"/>
  <c r="F206" i="13"/>
  <c r="E206" i="13"/>
  <c r="F205" i="13"/>
  <c r="E205" i="13"/>
  <c r="H438" i="12"/>
  <c r="F295" i="12"/>
  <c r="H437" i="12"/>
  <c r="F284" i="12"/>
  <c r="E284" i="12"/>
  <c r="H436" i="12"/>
  <c r="F268" i="12"/>
  <c r="E268" i="12"/>
  <c r="H435" i="12"/>
  <c r="F251" i="12"/>
  <c r="E251" i="12"/>
  <c r="H434" i="12"/>
  <c r="F243" i="12"/>
  <c r="E243" i="12"/>
  <c r="H433" i="12"/>
  <c r="F235" i="12"/>
  <c r="E235" i="12"/>
  <c r="H432" i="12"/>
  <c r="F228" i="12"/>
  <c r="E228" i="12"/>
  <c r="H431" i="12"/>
  <c r="F222" i="12"/>
  <c r="E222" i="12"/>
  <c r="H430" i="12"/>
  <c r="F215" i="12"/>
  <c r="E215" i="12"/>
  <c r="L646" i="11" l="1"/>
  <c r="I646" i="11"/>
  <c r="N646" i="11" s="1"/>
  <c r="G646" i="11"/>
  <c r="F646" i="11"/>
  <c r="L645" i="11"/>
  <c r="I645" i="11"/>
  <c r="N645" i="11" s="1"/>
  <c r="G645" i="11"/>
  <c r="F645" i="11"/>
  <c r="L644" i="11"/>
  <c r="I644" i="11"/>
  <c r="N644" i="11" s="1"/>
  <c r="G644" i="11"/>
  <c r="F644" i="11"/>
  <c r="L643" i="11"/>
  <c r="I643" i="11"/>
  <c r="N643" i="11" s="1"/>
  <c r="G643" i="11"/>
  <c r="F643" i="11"/>
  <c r="L642" i="11"/>
  <c r="I642" i="11"/>
  <c r="N642" i="11" s="1"/>
  <c r="G642" i="11"/>
  <c r="F642" i="11"/>
  <c r="L641" i="11"/>
  <c r="I641" i="11"/>
  <c r="N641" i="11" s="1"/>
  <c r="G641" i="11"/>
  <c r="F641" i="11"/>
  <c r="L640" i="11"/>
  <c r="I640" i="11"/>
  <c r="N640" i="11" s="1"/>
  <c r="G640" i="11"/>
  <c r="F640" i="11"/>
  <c r="L639" i="11"/>
  <c r="I639" i="11"/>
  <c r="N639" i="11" s="1"/>
  <c r="G639" i="11"/>
  <c r="F639" i="11"/>
  <c r="L638" i="11"/>
  <c r="I638" i="11"/>
  <c r="N638" i="11" s="1"/>
  <c r="G638" i="11"/>
  <c r="F638" i="11"/>
  <c r="L637" i="11"/>
  <c r="I637" i="11"/>
  <c r="N637" i="11" s="1"/>
  <c r="G637" i="11"/>
  <c r="F637" i="11"/>
  <c r="L636" i="11"/>
  <c r="I636" i="11"/>
  <c r="N636" i="11" s="1"/>
  <c r="G636" i="11"/>
  <c r="F636" i="11"/>
  <c r="L635" i="11"/>
  <c r="I635" i="11"/>
  <c r="N635" i="11" s="1"/>
  <c r="G635" i="11"/>
  <c r="F635" i="11"/>
  <c r="L634" i="11"/>
  <c r="I634" i="11"/>
  <c r="N634" i="11" s="1"/>
  <c r="G634" i="11"/>
  <c r="F634" i="11"/>
  <c r="L633" i="11"/>
  <c r="I633" i="11"/>
  <c r="N633" i="11" s="1"/>
  <c r="G633" i="11"/>
  <c r="F633" i="11"/>
  <c r="L632" i="11"/>
  <c r="I632" i="11"/>
  <c r="N632" i="11" s="1"/>
  <c r="G632" i="11"/>
  <c r="F632" i="11"/>
  <c r="L631" i="11"/>
  <c r="I631" i="11"/>
  <c r="N631" i="11" s="1"/>
  <c r="G631" i="11"/>
  <c r="F631" i="11"/>
  <c r="L630" i="11"/>
  <c r="I630" i="11"/>
  <c r="N630" i="11" s="1"/>
  <c r="G630" i="11"/>
  <c r="F630" i="11"/>
  <c r="L629" i="11"/>
  <c r="I629" i="11"/>
  <c r="N629" i="11" s="1"/>
  <c r="G629" i="11"/>
  <c r="F629" i="11"/>
  <c r="L628" i="11"/>
  <c r="I628" i="11"/>
  <c r="N628" i="11" s="1"/>
  <c r="G628" i="11"/>
  <c r="F628" i="11"/>
  <c r="L627" i="11"/>
  <c r="I627" i="11"/>
  <c r="N627" i="11" s="1"/>
  <c r="G627" i="11"/>
  <c r="F627" i="11"/>
  <c r="L626" i="11"/>
  <c r="I626" i="11"/>
  <c r="N626" i="11" s="1"/>
  <c r="G626" i="11"/>
  <c r="F626" i="11"/>
  <c r="L625" i="11"/>
  <c r="I625" i="11"/>
  <c r="N625" i="11" s="1"/>
  <c r="G625" i="11"/>
  <c r="F625" i="11"/>
  <c r="L624" i="11"/>
  <c r="I624" i="11"/>
  <c r="N624" i="11" s="1"/>
  <c r="G624" i="11"/>
  <c r="F624" i="11"/>
  <c r="L623" i="11"/>
  <c r="I623" i="11"/>
  <c r="N623" i="11" s="1"/>
  <c r="G623" i="11"/>
  <c r="F623" i="11"/>
  <c r="L622" i="11"/>
  <c r="I622" i="11"/>
  <c r="N622" i="11" s="1"/>
  <c r="G622" i="11"/>
  <c r="F622" i="11"/>
  <c r="L621" i="11"/>
  <c r="I621" i="11"/>
  <c r="N621" i="11" s="1"/>
  <c r="G621" i="11"/>
  <c r="F621" i="11"/>
  <c r="L620" i="11"/>
  <c r="I620" i="11"/>
  <c r="N620" i="11" s="1"/>
  <c r="G620" i="11"/>
  <c r="F620" i="11"/>
  <c r="L619" i="11"/>
  <c r="I619" i="11"/>
  <c r="N619" i="11" s="1"/>
  <c r="G619" i="11"/>
  <c r="F619" i="11"/>
  <c r="L618" i="11"/>
  <c r="I618" i="11"/>
  <c r="N618" i="11" s="1"/>
  <c r="G618" i="11"/>
  <c r="F618" i="11"/>
  <c r="L617" i="11"/>
  <c r="I617" i="11"/>
  <c r="N617" i="11" s="1"/>
  <c r="G617" i="11"/>
  <c r="F617" i="11"/>
  <c r="L616" i="11"/>
  <c r="I616" i="11"/>
  <c r="N616" i="11" s="1"/>
  <c r="G616" i="11"/>
  <c r="F616" i="11"/>
  <c r="L615" i="11"/>
  <c r="I615" i="11"/>
  <c r="N615" i="11" s="1"/>
  <c r="G615" i="11"/>
  <c r="F615" i="11"/>
  <c r="L614" i="11"/>
  <c r="I614" i="11"/>
  <c r="N614" i="11" s="1"/>
  <c r="G614" i="11"/>
  <c r="F614" i="11"/>
  <c r="L613" i="11"/>
  <c r="I613" i="11"/>
  <c r="N613" i="11" s="1"/>
  <c r="G613" i="11"/>
  <c r="F613" i="11"/>
  <c r="L612" i="11"/>
  <c r="I612" i="11"/>
  <c r="N612" i="11" s="1"/>
  <c r="G612" i="11"/>
  <c r="F612" i="11"/>
  <c r="L611" i="11"/>
  <c r="I611" i="11"/>
  <c r="N611" i="11" s="1"/>
  <c r="G611" i="11"/>
  <c r="F611" i="11"/>
  <c r="L610" i="11"/>
  <c r="I610" i="11"/>
  <c r="N610" i="11" s="1"/>
  <c r="G610" i="11"/>
  <c r="F610" i="11"/>
  <c r="L609" i="11"/>
  <c r="I609" i="11"/>
  <c r="N609" i="11" s="1"/>
  <c r="G609" i="11"/>
  <c r="F609" i="11"/>
  <c r="L608" i="11"/>
  <c r="I608" i="11"/>
  <c r="N608" i="11" s="1"/>
  <c r="G608" i="11"/>
  <c r="F608" i="11"/>
  <c r="L607" i="11"/>
  <c r="I607" i="11"/>
  <c r="N607" i="11" s="1"/>
  <c r="G607" i="11"/>
  <c r="F607" i="11"/>
  <c r="L606" i="11"/>
  <c r="I606" i="11"/>
  <c r="N606" i="11" s="1"/>
  <c r="G606" i="11"/>
  <c r="F606" i="11"/>
  <c r="L605" i="11"/>
  <c r="I605" i="11"/>
  <c r="N605" i="11" s="1"/>
  <c r="G605" i="11"/>
  <c r="F605" i="11"/>
  <c r="L604" i="11"/>
  <c r="I604" i="11"/>
  <c r="N604" i="11" s="1"/>
  <c r="G604" i="11"/>
  <c r="F604" i="11"/>
  <c r="L603" i="11"/>
  <c r="I603" i="11"/>
  <c r="N603" i="11" s="1"/>
  <c r="G603" i="11"/>
  <c r="F603" i="11"/>
  <c r="L602" i="11"/>
  <c r="I602" i="11"/>
  <c r="N602" i="11" s="1"/>
  <c r="G602" i="11"/>
  <c r="F602" i="11"/>
  <c r="L601" i="11"/>
  <c r="I601" i="11"/>
  <c r="N601" i="11" s="1"/>
  <c r="G601" i="11"/>
  <c r="F601" i="11"/>
  <c r="L600" i="11"/>
  <c r="I600" i="11"/>
  <c r="N600" i="11" s="1"/>
  <c r="G600" i="11"/>
  <c r="F600" i="11"/>
  <c r="L599" i="11"/>
  <c r="I599" i="11"/>
  <c r="N599" i="11" s="1"/>
  <c r="G599" i="11"/>
  <c r="F599" i="11"/>
  <c r="L598" i="11"/>
  <c r="I598" i="11"/>
  <c r="N598" i="11" s="1"/>
  <c r="G598" i="11"/>
  <c r="F598" i="11"/>
  <c r="L597" i="11"/>
  <c r="I597" i="11"/>
  <c r="N597" i="11" s="1"/>
  <c r="G597" i="11"/>
  <c r="F597" i="11"/>
  <c r="L596" i="11"/>
  <c r="I596" i="11"/>
  <c r="N596" i="11" s="1"/>
  <c r="G596" i="11"/>
  <c r="F596" i="11"/>
  <c r="L595" i="11"/>
  <c r="I595" i="11"/>
  <c r="N595" i="11" s="1"/>
  <c r="G595" i="11"/>
  <c r="F595" i="11"/>
  <c r="L594" i="11"/>
  <c r="I594" i="11"/>
  <c r="N594" i="11" s="1"/>
  <c r="G594" i="11"/>
  <c r="F594" i="11"/>
  <c r="L593" i="11"/>
  <c r="I593" i="11"/>
  <c r="N593" i="11" s="1"/>
  <c r="G593" i="11"/>
  <c r="F593" i="11"/>
  <c r="L592" i="11"/>
  <c r="I592" i="11"/>
  <c r="N592" i="11" s="1"/>
  <c r="G592" i="11"/>
  <c r="F592" i="11"/>
  <c r="L591" i="11"/>
  <c r="I591" i="11"/>
  <c r="N591" i="11" s="1"/>
  <c r="G591" i="11"/>
  <c r="F591" i="11"/>
  <c r="L590" i="11"/>
  <c r="I590" i="11"/>
  <c r="N590" i="11" s="1"/>
  <c r="G590" i="11"/>
  <c r="F590" i="11"/>
  <c r="L589" i="11"/>
  <c r="I589" i="11"/>
  <c r="N589" i="11" s="1"/>
  <c r="G589" i="11"/>
  <c r="F589" i="11"/>
  <c r="L588" i="11"/>
  <c r="I588" i="11"/>
  <c r="N588" i="11" s="1"/>
  <c r="G588" i="11"/>
  <c r="F588" i="11"/>
  <c r="L587" i="11"/>
  <c r="I587" i="11"/>
  <c r="N587" i="11" s="1"/>
  <c r="G587" i="11"/>
  <c r="F587" i="11"/>
  <c r="L586" i="11"/>
  <c r="I586" i="11"/>
  <c r="N586" i="11" s="1"/>
  <c r="G586" i="11"/>
  <c r="F586" i="11"/>
  <c r="L585" i="11"/>
  <c r="I585" i="11"/>
  <c r="N585" i="11" s="1"/>
  <c r="G585" i="11"/>
  <c r="F585" i="11"/>
  <c r="L584" i="11"/>
  <c r="I584" i="11"/>
  <c r="N584" i="11" s="1"/>
  <c r="G584" i="11"/>
  <c r="F584" i="11"/>
  <c r="L583" i="11"/>
  <c r="I583" i="11"/>
  <c r="N583" i="11" s="1"/>
  <c r="G583" i="11"/>
  <c r="F583" i="11"/>
  <c r="L582" i="11"/>
  <c r="I582" i="11"/>
  <c r="N582" i="11" s="1"/>
  <c r="G582" i="11"/>
  <c r="F582" i="11"/>
  <c r="L581" i="11"/>
  <c r="I581" i="11"/>
  <c r="N581" i="11" s="1"/>
  <c r="G581" i="11"/>
  <c r="F581" i="11"/>
  <c r="L580" i="11"/>
  <c r="I580" i="11"/>
  <c r="N580" i="11" s="1"/>
  <c r="G580" i="11"/>
  <c r="F580" i="11"/>
  <c r="L579" i="11"/>
  <c r="I579" i="11"/>
  <c r="N579" i="11" s="1"/>
  <c r="G579" i="11"/>
  <c r="F579" i="11"/>
  <c r="L578" i="11"/>
  <c r="I578" i="11"/>
  <c r="N578" i="11" s="1"/>
  <c r="G578" i="11"/>
  <c r="F578" i="11"/>
  <c r="L577" i="11"/>
  <c r="I577" i="11"/>
  <c r="N577" i="11" s="1"/>
  <c r="G577" i="11"/>
  <c r="F577" i="11"/>
  <c r="L576" i="11"/>
  <c r="I576" i="11"/>
  <c r="N576" i="11" s="1"/>
  <c r="G576" i="11"/>
  <c r="F576" i="11"/>
  <c r="L575" i="11"/>
  <c r="I575" i="11"/>
  <c r="N575" i="11" s="1"/>
  <c r="G575" i="11"/>
  <c r="F575" i="11"/>
  <c r="L574" i="11"/>
  <c r="I574" i="11"/>
  <c r="N574" i="11" s="1"/>
  <c r="G574" i="11"/>
  <c r="F574" i="11"/>
  <c r="L573" i="11"/>
  <c r="I573" i="11"/>
  <c r="N573" i="11" s="1"/>
  <c r="G573" i="11"/>
  <c r="F573" i="11"/>
  <c r="L572" i="11"/>
  <c r="I572" i="11"/>
  <c r="N572" i="11" s="1"/>
  <c r="G572" i="11"/>
  <c r="F572" i="11"/>
  <c r="L571" i="11"/>
  <c r="I571" i="11"/>
  <c r="N571" i="11" s="1"/>
  <c r="G571" i="11"/>
  <c r="F571" i="11"/>
  <c r="L570" i="11"/>
  <c r="I570" i="11"/>
  <c r="N570" i="11" s="1"/>
  <c r="G570" i="11"/>
  <c r="F570" i="11"/>
  <c r="L569" i="11"/>
  <c r="I569" i="11"/>
  <c r="N569" i="11" s="1"/>
  <c r="G569" i="11"/>
  <c r="F569" i="11"/>
  <c r="L568" i="11"/>
  <c r="I568" i="11"/>
  <c r="N568" i="11" s="1"/>
  <c r="G568" i="11"/>
  <c r="F568" i="11"/>
  <c r="L567" i="11"/>
  <c r="I567" i="11"/>
  <c r="N567" i="11" s="1"/>
  <c r="G567" i="11"/>
  <c r="F567" i="11"/>
  <c r="L566" i="11"/>
  <c r="I566" i="11"/>
  <c r="N566" i="11" s="1"/>
  <c r="G566" i="11"/>
  <c r="F566" i="11"/>
  <c r="L565" i="11"/>
  <c r="I565" i="11"/>
  <c r="N565" i="11" s="1"/>
  <c r="G565" i="11"/>
  <c r="F565" i="11"/>
  <c r="L564" i="11"/>
  <c r="I564" i="11"/>
  <c r="N564" i="11" s="1"/>
  <c r="G564" i="11"/>
  <c r="F564" i="11"/>
  <c r="L563" i="11"/>
  <c r="I563" i="11"/>
  <c r="N563" i="11" s="1"/>
  <c r="G563" i="11"/>
  <c r="F563" i="11"/>
  <c r="L562" i="11"/>
  <c r="I562" i="11"/>
  <c r="N562" i="11" s="1"/>
  <c r="G562" i="11"/>
  <c r="F562" i="11"/>
  <c r="L561" i="11"/>
  <c r="I561" i="11"/>
  <c r="N561" i="11" s="1"/>
  <c r="G561" i="11"/>
  <c r="F561" i="11"/>
  <c r="L560" i="11"/>
  <c r="I560" i="11"/>
  <c r="N560" i="11" s="1"/>
  <c r="G560" i="11"/>
  <c r="F560" i="11"/>
  <c r="L559" i="11"/>
  <c r="I559" i="11"/>
  <c r="N559" i="11" s="1"/>
  <c r="G559" i="11"/>
  <c r="F559" i="11"/>
  <c r="L558" i="11"/>
  <c r="I558" i="11"/>
  <c r="N558" i="11" s="1"/>
  <c r="G558" i="11"/>
  <c r="F558" i="11"/>
  <c r="L557" i="11"/>
  <c r="I557" i="11"/>
  <c r="N557" i="11" s="1"/>
  <c r="G557" i="11"/>
  <c r="F557" i="11"/>
  <c r="L556" i="11"/>
  <c r="I556" i="11"/>
  <c r="N556" i="11" s="1"/>
  <c r="G556" i="11"/>
  <c r="F556" i="11"/>
  <c r="L555" i="11"/>
  <c r="I555" i="11"/>
  <c r="N555" i="11" s="1"/>
  <c r="G555" i="11"/>
  <c r="F555" i="11"/>
  <c r="L554" i="11"/>
  <c r="I554" i="11"/>
  <c r="N554" i="11" s="1"/>
  <c r="G554" i="11"/>
  <c r="F554" i="11"/>
  <c r="L553" i="11"/>
  <c r="I553" i="11"/>
  <c r="N553" i="11" s="1"/>
  <c r="G553" i="11"/>
  <c r="F553" i="11"/>
  <c r="L552" i="11"/>
  <c r="I552" i="11"/>
  <c r="N552" i="11" s="1"/>
  <c r="G552" i="11"/>
  <c r="F552" i="11"/>
  <c r="L551" i="11"/>
  <c r="I551" i="11"/>
  <c r="N551" i="11" s="1"/>
  <c r="G551" i="11"/>
  <c r="F551" i="11"/>
  <c r="L550" i="11"/>
  <c r="I550" i="11"/>
  <c r="N550" i="11" s="1"/>
  <c r="G550" i="11"/>
  <c r="F550" i="11"/>
  <c r="L549" i="11"/>
  <c r="I549" i="11"/>
  <c r="N549" i="11" s="1"/>
  <c r="G549" i="11"/>
  <c r="F549" i="11"/>
  <c r="L548" i="11"/>
  <c r="I548" i="11"/>
  <c r="N548" i="11" s="1"/>
  <c r="G548" i="11"/>
  <c r="F548" i="11"/>
  <c r="L547" i="11"/>
  <c r="I547" i="11"/>
  <c r="N547" i="11" s="1"/>
  <c r="G547" i="11"/>
  <c r="F547" i="11"/>
  <c r="L546" i="11"/>
  <c r="I546" i="11"/>
  <c r="N546" i="11" s="1"/>
  <c r="G546" i="11"/>
  <c r="F546" i="11"/>
  <c r="L545" i="11"/>
  <c r="I545" i="11"/>
  <c r="N545" i="11" s="1"/>
  <c r="G545" i="11"/>
  <c r="F545" i="11"/>
  <c r="L544" i="11"/>
  <c r="I544" i="11"/>
  <c r="N544" i="11" s="1"/>
  <c r="G544" i="11"/>
  <c r="F544" i="11"/>
  <c r="L543" i="11"/>
  <c r="I543" i="11"/>
  <c r="N543" i="11" s="1"/>
  <c r="G543" i="11"/>
  <c r="F543" i="11"/>
  <c r="L542" i="11"/>
  <c r="I542" i="11"/>
  <c r="N542" i="11" s="1"/>
  <c r="G542" i="11"/>
  <c r="F542" i="11"/>
  <c r="L541" i="11"/>
  <c r="I541" i="11"/>
  <c r="N541" i="11" s="1"/>
  <c r="G541" i="11"/>
  <c r="F541" i="11"/>
  <c r="L540" i="11"/>
  <c r="I540" i="11"/>
  <c r="N540" i="11" s="1"/>
  <c r="G540" i="11"/>
  <c r="F540" i="11"/>
  <c r="L539" i="11"/>
  <c r="I539" i="11"/>
  <c r="N539" i="11" s="1"/>
  <c r="G539" i="11"/>
  <c r="F539" i="11"/>
  <c r="L538" i="11"/>
  <c r="I538" i="11"/>
  <c r="N538" i="11" s="1"/>
  <c r="G538" i="11"/>
  <c r="F538" i="11"/>
  <c r="L537" i="11"/>
  <c r="I537" i="11"/>
  <c r="N537" i="11" s="1"/>
  <c r="G537" i="11"/>
  <c r="F537" i="11"/>
  <c r="L536" i="11"/>
  <c r="I536" i="11"/>
  <c r="N536" i="11" s="1"/>
  <c r="G536" i="11"/>
  <c r="F536" i="11"/>
  <c r="L535" i="11"/>
  <c r="I535" i="11"/>
  <c r="N535" i="11" s="1"/>
  <c r="G535" i="11"/>
  <c r="F535" i="11"/>
  <c r="L534" i="11"/>
  <c r="I534" i="11"/>
  <c r="N534" i="11" s="1"/>
  <c r="G534" i="11"/>
  <c r="F534" i="11"/>
  <c r="L533" i="11"/>
  <c r="I533" i="11"/>
  <c r="N533" i="11" s="1"/>
  <c r="G533" i="11"/>
  <c r="F533" i="11"/>
  <c r="L532" i="11"/>
  <c r="I532" i="11"/>
  <c r="N532" i="11" s="1"/>
  <c r="G532" i="11"/>
  <c r="F532" i="11"/>
  <c r="L531" i="11"/>
  <c r="I531" i="11"/>
  <c r="N531" i="11" s="1"/>
  <c r="G531" i="11"/>
  <c r="F531" i="11"/>
  <c r="L530" i="11"/>
  <c r="I530" i="11"/>
  <c r="N530" i="11" s="1"/>
  <c r="G530" i="11"/>
  <c r="F530" i="11"/>
  <c r="L529" i="11"/>
  <c r="I529" i="11"/>
  <c r="N529" i="11" s="1"/>
  <c r="G529" i="11"/>
  <c r="F529" i="11"/>
  <c r="L528" i="11"/>
  <c r="I528" i="11"/>
  <c r="N528" i="11" s="1"/>
  <c r="G528" i="11"/>
  <c r="F528" i="11"/>
  <c r="L527" i="11"/>
  <c r="I527" i="11"/>
  <c r="N527" i="11" s="1"/>
  <c r="G527" i="11"/>
  <c r="F527" i="11"/>
  <c r="L526" i="11"/>
  <c r="I526" i="11"/>
  <c r="N526" i="11" s="1"/>
  <c r="G526" i="11"/>
  <c r="F526" i="11"/>
  <c r="L525" i="11"/>
  <c r="I525" i="11"/>
  <c r="N525" i="11" s="1"/>
  <c r="G525" i="11"/>
  <c r="F525" i="11"/>
  <c r="L524" i="11"/>
  <c r="I524" i="11"/>
  <c r="N524" i="11" s="1"/>
  <c r="G524" i="11"/>
  <c r="F524" i="11"/>
  <c r="L523" i="11"/>
  <c r="I523" i="11"/>
  <c r="N523" i="11" s="1"/>
  <c r="G523" i="11"/>
  <c r="F523" i="11"/>
  <c r="L522" i="11"/>
  <c r="I522" i="11"/>
  <c r="N522" i="11" s="1"/>
  <c r="G522" i="11"/>
  <c r="F522" i="11"/>
  <c r="L521" i="11"/>
  <c r="I521" i="11"/>
  <c r="N521" i="11" s="1"/>
  <c r="G521" i="11"/>
  <c r="F521" i="11"/>
  <c r="L520" i="11"/>
  <c r="I520" i="11"/>
  <c r="N520" i="11" s="1"/>
  <c r="G520" i="11"/>
  <c r="F520" i="11"/>
  <c r="L519" i="11"/>
  <c r="I519" i="11"/>
  <c r="N519" i="11" s="1"/>
  <c r="G519" i="11"/>
  <c r="F519" i="11"/>
  <c r="L518" i="11"/>
  <c r="I518" i="11"/>
  <c r="N518" i="11" s="1"/>
  <c r="G518" i="11"/>
  <c r="F518" i="11"/>
  <c r="L517" i="11"/>
  <c r="I517" i="11"/>
  <c r="N517" i="11" s="1"/>
  <c r="G517" i="11"/>
  <c r="F517" i="11"/>
  <c r="L516" i="11"/>
  <c r="I516" i="11"/>
  <c r="N516" i="11" s="1"/>
  <c r="G516" i="11"/>
  <c r="F516" i="11"/>
  <c r="H429" i="12"/>
  <c r="F208" i="12"/>
  <c r="E208" i="12"/>
  <c r="H428" i="12"/>
  <c r="F198" i="12"/>
  <c r="E198" i="12"/>
  <c r="H427" i="12"/>
  <c r="F505" i="12"/>
  <c r="E505" i="12"/>
  <c r="H426" i="12"/>
  <c r="F347" i="12"/>
  <c r="E347" i="12"/>
  <c r="H425" i="12"/>
  <c r="F492" i="12"/>
  <c r="E492" i="12"/>
  <c r="H424" i="12"/>
  <c r="F193" i="12"/>
  <c r="E193" i="12"/>
  <c r="H423" i="12"/>
  <c r="F469" i="12"/>
  <c r="E469" i="12"/>
  <c r="H422" i="12"/>
  <c r="F182" i="12"/>
  <c r="E182" i="12"/>
  <c r="H421" i="12"/>
  <c r="F457" i="12"/>
  <c r="E457" i="12"/>
  <c r="H420" i="12"/>
  <c r="F314" i="12"/>
  <c r="E314" i="12"/>
  <c r="H419" i="12"/>
  <c r="F633" i="12"/>
  <c r="E633" i="12"/>
  <c r="H418" i="12"/>
  <c r="F434" i="12"/>
  <c r="E434" i="12"/>
  <c r="H417" i="12"/>
  <c r="F294" i="12"/>
  <c r="E294" i="12"/>
  <c r="H416" i="12"/>
  <c r="F620" i="12"/>
  <c r="E620" i="12"/>
  <c r="H415" i="12"/>
  <c r="F276" i="12"/>
  <c r="E276" i="12"/>
  <c r="H414" i="12"/>
  <c r="F607" i="12"/>
  <c r="E607" i="12"/>
  <c r="H413" i="12"/>
  <c r="F422" i="12"/>
  <c r="E422" i="12"/>
  <c r="H412" i="12"/>
  <c r="F593" i="12"/>
  <c r="E593" i="12"/>
  <c r="H411" i="12"/>
  <c r="F267" i="12"/>
  <c r="E267" i="12"/>
  <c r="H410" i="12"/>
  <c r="F578" i="12"/>
  <c r="E578" i="12"/>
  <c r="H409" i="12"/>
  <c r="F401" i="12"/>
  <c r="E401" i="12"/>
  <c r="H408" i="12"/>
  <c r="F259" i="12"/>
  <c r="E259" i="12"/>
  <c r="H407" i="12"/>
  <c r="F568" i="12"/>
  <c r="E568" i="12"/>
  <c r="H406" i="12"/>
  <c r="F390" i="12"/>
  <c r="E390" i="12"/>
  <c r="H405" i="12"/>
  <c r="F250" i="12"/>
  <c r="E250" i="12"/>
  <c r="H404" i="12"/>
  <c r="F553" i="12"/>
  <c r="E553" i="12"/>
  <c r="H403" i="12"/>
  <c r="F382" i="12"/>
  <c r="E382" i="12"/>
  <c r="H402" i="12"/>
  <c r="F242" i="12"/>
  <c r="E242" i="12"/>
  <c r="H401" i="12"/>
  <c r="F539" i="12"/>
  <c r="E539" i="12"/>
  <c r="H400" i="12"/>
  <c r="F373" i="12"/>
  <c r="E373" i="12"/>
  <c r="H399" i="12"/>
  <c r="F234" i="12"/>
  <c r="E234" i="12"/>
  <c r="H398" i="12"/>
  <c r="F517" i="12"/>
  <c r="E517" i="12"/>
  <c r="H397" i="12"/>
  <c r="F363" i="12"/>
  <c r="E363" i="12"/>
  <c r="H396" i="12"/>
  <c r="F227" i="12"/>
  <c r="E227" i="12"/>
  <c r="M532" i="11" l="1"/>
  <c r="M565" i="11"/>
  <c r="M516" i="11"/>
  <c r="M637" i="11"/>
  <c r="M521" i="11"/>
  <c r="M555" i="11"/>
  <c r="M571" i="11"/>
  <c r="K593" i="11"/>
  <c r="M518" i="11"/>
  <c r="M524" i="11"/>
  <c r="M557" i="11"/>
  <c r="M529" i="11"/>
  <c r="M573" i="11"/>
  <c r="M538" i="11"/>
  <c r="M544" i="11"/>
  <c r="M576" i="11"/>
  <c r="M584" i="11"/>
  <c r="M617" i="11"/>
  <c r="M577" i="11"/>
  <c r="M593" i="11"/>
  <c r="M609" i="11"/>
  <c r="M595" i="11"/>
  <c r="M535" i="11"/>
  <c r="M551" i="11"/>
  <c r="M631" i="11"/>
  <c r="M610" i="11"/>
  <c r="M554" i="11"/>
  <c r="M626" i="11"/>
  <c r="K577" i="11"/>
  <c r="K621" i="11"/>
  <c r="H642" i="11"/>
  <c r="J599" i="11"/>
  <c r="K599" i="11"/>
  <c r="J615" i="11"/>
  <c r="J643" i="11"/>
  <c r="K643" i="11"/>
  <c r="J588" i="11"/>
  <c r="K588" i="11"/>
  <c r="K610" i="11"/>
  <c r="J632" i="11"/>
  <c r="K632" i="11"/>
  <c r="J527" i="11"/>
  <c r="J604" i="11"/>
  <c r="K555" i="11"/>
  <c r="H621" i="11"/>
  <c r="H644" i="11"/>
  <c r="H598" i="11"/>
  <c r="H633" i="11"/>
  <c r="K544" i="11"/>
  <c r="J582" i="11"/>
  <c r="J543" i="11"/>
  <c r="J587" i="11"/>
  <c r="K587" i="11"/>
  <c r="K598" i="11"/>
  <c r="K609" i="11"/>
  <c r="K620" i="11"/>
  <c r="K631" i="11"/>
  <c r="K642" i="11"/>
  <c r="K540" i="11"/>
  <c r="K551" i="11"/>
  <c r="K562" i="11"/>
  <c r="K573" i="11"/>
  <c r="K584" i="11"/>
  <c r="K595" i="11"/>
  <c r="K606" i="11"/>
  <c r="K617" i="11"/>
  <c r="K628" i="11"/>
  <c r="K639" i="11"/>
  <c r="J579" i="11"/>
  <c r="J601" i="11"/>
  <c r="K549" i="11"/>
  <c r="K571" i="11"/>
  <c r="K560" i="11"/>
  <c r="K604" i="11"/>
  <c r="K582" i="11"/>
  <c r="K554" i="11"/>
  <c r="J528" i="11"/>
  <c r="J583" i="11"/>
  <c r="J605" i="11"/>
  <c r="J616" i="11"/>
  <c r="J517" i="11"/>
  <c r="J539" i="11"/>
  <c r="J561" i="11"/>
  <c r="J572" i="11"/>
  <c r="J594" i="11"/>
  <c r="J627" i="11"/>
  <c r="J638" i="11"/>
  <c r="K517" i="11"/>
  <c r="K550" i="11"/>
  <c r="K561" i="11"/>
  <c r="K583" i="11"/>
  <c r="K594" i="11"/>
  <c r="K605" i="11"/>
  <c r="K616" i="11"/>
  <c r="K627" i="11"/>
  <c r="K638" i="11"/>
  <c r="K543" i="11"/>
  <c r="J590" i="11"/>
  <c r="J623" i="11"/>
  <c r="J645" i="11"/>
  <c r="J612" i="11"/>
  <c r="J634" i="11"/>
  <c r="K535" i="11"/>
  <c r="K579" i="11"/>
  <c r="K640" i="11"/>
  <c r="K602" i="11"/>
  <c r="K613" i="11"/>
  <c r="K624" i="11"/>
  <c r="K635" i="11"/>
  <c r="K646" i="11"/>
  <c r="K565" i="11"/>
  <c r="K518" i="11"/>
  <c r="K566" i="11"/>
  <c r="K568" i="11"/>
  <c r="J519" i="11"/>
  <c r="J596" i="11"/>
  <c r="K574" i="11"/>
  <c r="K585" i="11"/>
  <c r="K596" i="11"/>
  <c r="K607" i="11"/>
  <c r="K522" i="11"/>
  <c r="J568" i="11"/>
  <c r="J542" i="11"/>
  <c r="J553" i="11"/>
  <c r="K576" i="11"/>
  <c r="K527" i="11"/>
  <c r="K533" i="11"/>
  <c r="K572" i="11"/>
  <c r="K524" i="11"/>
  <c r="J641" i="11"/>
  <c r="K564" i="11"/>
  <c r="K575" i="11"/>
  <c r="K586" i="11"/>
  <c r="K597" i="11"/>
  <c r="K608" i="11"/>
  <c r="K619" i="11"/>
  <c r="K630" i="11"/>
  <c r="K641" i="11"/>
  <c r="H597" i="11"/>
  <c r="H639" i="11"/>
  <c r="M525" i="11"/>
  <c r="M536" i="11"/>
  <c r="M547" i="11"/>
  <c r="M569" i="11"/>
  <c r="M580" i="11"/>
  <c r="M591" i="11"/>
  <c r="M602" i="11"/>
  <c r="M613" i="11"/>
  <c r="M624" i="11"/>
  <c r="M635" i="11"/>
  <c r="M646" i="11"/>
  <c r="K525" i="11"/>
  <c r="K536" i="11"/>
  <c r="K558" i="11"/>
  <c r="K569" i="11"/>
  <c r="K580" i="11"/>
  <c r="K591" i="11"/>
  <c r="H619" i="11"/>
  <c r="H570" i="11"/>
  <c r="H592" i="11"/>
  <c r="M552" i="11"/>
  <c r="M563" i="11"/>
  <c r="M574" i="11"/>
  <c r="M585" i="11"/>
  <c r="M607" i="11"/>
  <c r="K612" i="11"/>
  <c r="M618" i="11"/>
  <c r="M629" i="11"/>
  <c r="K634" i="11"/>
  <c r="M640" i="11"/>
  <c r="K519" i="11"/>
  <c r="K541" i="11"/>
  <c r="K618" i="11"/>
  <c r="K629" i="11"/>
  <c r="M541" i="11"/>
  <c r="K520" i="11"/>
  <c r="K531" i="11"/>
  <c r="K542" i="11"/>
  <c r="K553" i="11"/>
  <c r="M559" i="11"/>
  <c r="J581" i="11"/>
  <c r="J603" i="11"/>
  <c r="J614" i="11"/>
  <c r="J625" i="11"/>
  <c r="J636" i="11"/>
  <c r="M526" i="11"/>
  <c r="M537" i="11"/>
  <c r="K526" i="11"/>
  <c r="K537" i="11"/>
  <c r="K548" i="11"/>
  <c r="K559" i="11"/>
  <c r="K570" i="11"/>
  <c r="K581" i="11"/>
  <c r="K592" i="11"/>
  <c r="K603" i="11"/>
  <c r="K614" i="11"/>
  <c r="K625" i="11"/>
  <c r="K636" i="11"/>
  <c r="H615" i="11"/>
  <c r="H620" i="11"/>
  <c r="H523" i="11"/>
  <c r="H545" i="11"/>
  <c r="H556" i="11"/>
  <c r="H567" i="11"/>
  <c r="H578" i="11"/>
  <c r="H589" i="11"/>
  <c r="H600" i="11"/>
  <c r="K611" i="11"/>
  <c r="H628" i="11"/>
  <c r="H546" i="11"/>
  <c r="K589" i="11"/>
  <c r="H611" i="11"/>
  <c r="H606" i="11"/>
  <c r="H622" i="11"/>
  <c r="K578" i="11"/>
  <c r="K590" i="11"/>
  <c r="K633" i="11"/>
  <c r="H531" i="11"/>
  <c r="K601" i="11"/>
  <c r="K644" i="11"/>
  <c r="H564" i="11"/>
  <c r="H575" i="11"/>
  <c r="H586" i="11"/>
  <c r="K623" i="11"/>
  <c r="H608" i="11"/>
  <c r="K645" i="11"/>
  <c r="H630" i="11"/>
  <c r="K567" i="11"/>
  <c r="H566" i="11"/>
  <c r="H641" i="11"/>
  <c r="M616" i="11"/>
  <c r="M627" i="11"/>
  <c r="M594" i="11"/>
  <c r="H637" i="11"/>
  <c r="J637" i="11"/>
  <c r="M611" i="11"/>
  <c r="M564" i="11"/>
  <c r="J575" i="11"/>
  <c r="M575" i="11"/>
  <c r="J586" i="11"/>
  <c r="M644" i="11"/>
  <c r="M550" i="11"/>
  <c r="M572" i="11"/>
  <c r="H534" i="11"/>
  <c r="M586" i="11"/>
  <c r="M597" i="11"/>
  <c r="M633" i="11"/>
  <c r="J619" i="11"/>
  <c r="M583" i="11"/>
  <c r="M619" i="11"/>
  <c r="M578" i="11"/>
  <c r="J630" i="11"/>
  <c r="M638" i="11"/>
  <c r="M630" i="11"/>
  <c r="J520" i="11"/>
  <c r="H542" i="11"/>
  <c r="M589" i="11"/>
  <c r="M520" i="11"/>
  <c r="M605" i="11"/>
  <c r="H626" i="11"/>
  <c r="H646" i="11"/>
  <c r="J622" i="11"/>
  <c r="M622" i="11"/>
  <c r="J597" i="11"/>
  <c r="J608" i="11"/>
  <c r="M608" i="11"/>
  <c r="J600" i="11"/>
  <c r="J626" i="11"/>
  <c r="M600" i="11"/>
  <c r="M641" i="11"/>
  <c r="H595" i="11"/>
  <c r="M570" i="11"/>
  <c r="M581" i="11"/>
  <c r="M592" i="11"/>
  <c r="M603" i="11"/>
  <c r="M614" i="11"/>
  <c r="M625" i="11"/>
  <c r="M636" i="11"/>
  <c r="H581" i="11"/>
  <c r="J598" i="11"/>
  <c r="H601" i="11"/>
  <c r="J609" i="11"/>
  <c r="H612" i="11"/>
  <c r="J620" i="11"/>
  <c r="H623" i="11"/>
  <c r="J631" i="11"/>
  <c r="H634" i="11"/>
  <c r="J642" i="11"/>
  <c r="H645" i="11"/>
  <c r="J633" i="11"/>
  <c r="J592" i="11"/>
  <c r="H617" i="11"/>
  <c r="J584" i="11"/>
  <c r="H587" i="11"/>
  <c r="J576" i="11"/>
  <c r="H579" i="11"/>
  <c r="H590" i="11"/>
  <c r="M606" i="11"/>
  <c r="M639" i="11"/>
  <c r="M587" i="11"/>
  <c r="M620" i="11"/>
  <c r="M642" i="11"/>
  <c r="H629" i="11"/>
  <c r="H640" i="11"/>
  <c r="M579" i="11"/>
  <c r="M590" i="11"/>
  <c r="M601" i="11"/>
  <c r="M612" i="11"/>
  <c r="K615" i="11"/>
  <c r="M623" i="11"/>
  <c r="K626" i="11"/>
  <c r="M634" i="11"/>
  <c r="K637" i="11"/>
  <c r="M645" i="11"/>
  <c r="H636" i="11"/>
  <c r="J570" i="11"/>
  <c r="H610" i="11"/>
  <c r="J629" i="11"/>
  <c r="H632" i="11"/>
  <c r="J640" i="11"/>
  <c r="H643" i="11"/>
  <c r="J595" i="11"/>
  <c r="M604" i="11"/>
  <c r="M615" i="11"/>
  <c r="J611" i="11"/>
  <c r="J578" i="11"/>
  <c r="J589" i="11"/>
  <c r="H573" i="11"/>
  <c r="J573" i="11"/>
  <c r="H576" i="11"/>
  <c r="J606" i="11"/>
  <c r="H609" i="11"/>
  <c r="J628" i="11"/>
  <c r="M628" i="11"/>
  <c r="M598" i="11"/>
  <c r="H618" i="11"/>
  <c r="J574" i="11"/>
  <c r="H577" i="11"/>
  <c r="J585" i="11"/>
  <c r="H588" i="11"/>
  <c r="H599" i="11"/>
  <c r="M582" i="11"/>
  <c r="J577" i="11"/>
  <c r="H580" i="11"/>
  <c r="J610" i="11"/>
  <c r="H613" i="11"/>
  <c r="J621" i="11"/>
  <c r="H624" i="11"/>
  <c r="M596" i="11"/>
  <c r="H572" i="11"/>
  <c r="J580" i="11"/>
  <c r="H583" i="11"/>
  <c r="J602" i="11"/>
  <c r="H605" i="11"/>
  <c r="J624" i="11"/>
  <c r="H627" i="11"/>
  <c r="J635" i="11"/>
  <c r="J646" i="11"/>
  <c r="H614" i="11"/>
  <c r="K600" i="11"/>
  <c r="H631" i="11"/>
  <c r="J639" i="11"/>
  <c r="J591" i="11"/>
  <c r="H594" i="11"/>
  <c r="J613" i="11"/>
  <c r="H616" i="11"/>
  <c r="H638" i="11"/>
  <c r="M588" i="11"/>
  <c r="M599" i="11"/>
  <c r="M621" i="11"/>
  <c r="M632" i="11"/>
  <c r="M643" i="11"/>
  <c r="H603" i="11"/>
  <c r="K622" i="11"/>
  <c r="H584" i="11"/>
  <c r="H571" i="11"/>
  <c r="H582" i="11"/>
  <c r="H593" i="11"/>
  <c r="H604" i="11"/>
  <c r="J571" i="11"/>
  <c r="H574" i="11"/>
  <c r="H585" i="11"/>
  <c r="J593" i="11"/>
  <c r="H596" i="11"/>
  <c r="H607" i="11"/>
  <c r="J607" i="11"/>
  <c r="J618" i="11"/>
  <c r="H625" i="11"/>
  <c r="J644" i="11"/>
  <c r="J617" i="11"/>
  <c r="H591" i="11"/>
  <c r="H602" i="11"/>
  <c r="H635" i="11"/>
  <c r="M545" i="11"/>
  <c r="K516" i="11"/>
  <c r="K521" i="11"/>
  <c r="J531" i="11"/>
  <c r="K546" i="11"/>
  <c r="J556" i="11"/>
  <c r="M561" i="11"/>
  <c r="M531" i="11"/>
  <c r="K552" i="11"/>
  <c r="M556" i="11"/>
  <c r="H562" i="11"/>
  <c r="K545" i="11"/>
  <c r="K532" i="11"/>
  <c r="K547" i="11"/>
  <c r="K557" i="11"/>
  <c r="K528" i="11"/>
  <c r="M533" i="11"/>
  <c r="K538" i="11"/>
  <c r="M542" i="11"/>
  <c r="M548" i="11"/>
  <c r="H553" i="11"/>
  <c r="M558" i="11"/>
  <c r="K563" i="11"/>
  <c r="M567" i="11"/>
  <c r="H522" i="11"/>
  <c r="M523" i="11"/>
  <c r="K529" i="11"/>
  <c r="K539" i="11"/>
  <c r="J549" i="11"/>
  <c r="M553" i="11"/>
  <c r="M517" i="11"/>
  <c r="M528" i="11"/>
  <c r="K523" i="11"/>
  <c r="M530" i="11"/>
  <c r="K534" i="11"/>
  <c r="M539" i="11"/>
  <c r="J564" i="11"/>
  <c r="H520" i="11"/>
  <c r="K530" i="11"/>
  <c r="M534" i="11"/>
  <c r="M540" i="11"/>
  <c r="J550" i="11"/>
  <c r="J560" i="11"/>
  <c r="M568" i="11"/>
  <c r="J532" i="11"/>
  <c r="H527" i="11"/>
  <c r="H552" i="11"/>
  <c r="J518" i="11"/>
  <c r="H524" i="11"/>
  <c r="J545" i="11"/>
  <c r="H548" i="11"/>
  <c r="H559" i="11"/>
  <c r="H518" i="11"/>
  <c r="J548" i="11"/>
  <c r="H551" i="11"/>
  <c r="J559" i="11"/>
  <c r="J562" i="11"/>
  <c r="M562" i="11"/>
  <c r="J524" i="11"/>
  <c r="J535" i="11"/>
  <c r="H538" i="11"/>
  <c r="J546" i="11"/>
  <c r="H549" i="11"/>
  <c r="H560" i="11"/>
  <c r="M543" i="11"/>
  <c r="H563" i="11"/>
  <c r="J541" i="11"/>
  <c r="J552" i="11"/>
  <c r="H555" i="11"/>
  <c r="J563" i="11"/>
  <c r="M549" i="11"/>
  <c r="M560" i="11"/>
  <c r="J522" i="11"/>
  <c r="H525" i="11"/>
  <c r="J533" i="11"/>
  <c r="H536" i="11"/>
  <c r="J544" i="11"/>
  <c r="H547" i="11"/>
  <c r="J555" i="11"/>
  <c r="H558" i="11"/>
  <c r="J566" i="11"/>
  <c r="H569" i="11"/>
  <c r="H540" i="11"/>
  <c r="J530" i="11"/>
  <c r="H533" i="11"/>
  <c r="H544" i="11"/>
  <c r="H537" i="11"/>
  <c r="K556" i="11"/>
  <c r="H528" i="11"/>
  <c r="J536" i="11"/>
  <c r="H539" i="11"/>
  <c r="J547" i="11"/>
  <c r="H550" i="11"/>
  <c r="J558" i="11"/>
  <c r="H561" i="11"/>
  <c r="J569" i="11"/>
  <c r="J523" i="11"/>
  <c r="H526" i="11"/>
  <c r="J526" i="11"/>
  <c r="H529" i="11"/>
  <c r="H521" i="11"/>
  <c r="J565" i="11"/>
  <c r="H517" i="11"/>
  <c r="J525" i="11"/>
  <c r="M522" i="11"/>
  <c r="M566" i="11"/>
  <c r="J534" i="11"/>
  <c r="J537" i="11"/>
  <c r="J540" i="11"/>
  <c r="J551" i="11"/>
  <c r="H554" i="11"/>
  <c r="H565" i="11"/>
  <c r="J521" i="11"/>
  <c r="H535" i="11"/>
  <c r="J538" i="11"/>
  <c r="H541" i="11"/>
  <c r="M546" i="11"/>
  <c r="M527" i="11"/>
  <c r="M519" i="11"/>
  <c r="J567" i="11"/>
  <c r="J529" i="11"/>
  <c r="H532" i="11"/>
  <c r="H543" i="11"/>
  <c r="J554" i="11"/>
  <c r="H557" i="11"/>
  <c r="H568" i="11"/>
  <c r="H516" i="11"/>
  <c r="J557" i="11"/>
  <c r="J516" i="11"/>
  <c r="H519" i="11"/>
  <c r="H530" i="11"/>
  <c r="E78" i="12" l="1"/>
  <c r="F78" i="12"/>
  <c r="H386" i="12"/>
  <c r="E84" i="12"/>
  <c r="F84" i="12"/>
  <c r="H387" i="12"/>
  <c r="E91" i="12"/>
  <c r="F91" i="12"/>
  <c r="H388" i="12"/>
  <c r="E118" i="12"/>
  <c r="F118" i="12"/>
  <c r="H389" i="12"/>
  <c r="E181" i="12"/>
  <c r="F181" i="12"/>
  <c r="H390" i="12"/>
  <c r="E187" i="12"/>
  <c r="F187" i="12"/>
  <c r="H391" i="12"/>
  <c r="E192" i="12"/>
  <c r="F192" i="12"/>
  <c r="H392" i="12"/>
  <c r="E197" i="12"/>
  <c r="F197" i="12"/>
  <c r="H393" i="12"/>
  <c r="E214" i="12"/>
  <c r="F214" i="12"/>
  <c r="H394" i="12"/>
  <c r="E221" i="12"/>
  <c r="F221" i="12"/>
  <c r="H395" i="12"/>
  <c r="E619" i="12"/>
  <c r="F619" i="12"/>
  <c r="H379" i="12"/>
  <c r="E632" i="12"/>
  <c r="F632" i="12"/>
  <c r="H380" i="12"/>
  <c r="E59" i="12"/>
  <c r="F59" i="12"/>
  <c r="H381" i="12"/>
  <c r="E64" i="12"/>
  <c r="F64" i="12"/>
  <c r="H382" i="12"/>
  <c r="E69" i="12"/>
  <c r="F69" i="12"/>
  <c r="H383" i="12"/>
  <c r="E73" i="12"/>
  <c r="F73" i="12"/>
  <c r="H384" i="12"/>
  <c r="E77" i="12"/>
  <c r="F77" i="12"/>
  <c r="H385" i="12"/>
  <c r="E456" i="12"/>
  <c r="F456" i="12"/>
  <c r="H368" i="12"/>
  <c r="E468" i="12"/>
  <c r="F468" i="12"/>
  <c r="H369" i="12"/>
  <c r="E491" i="12"/>
  <c r="F491" i="12"/>
  <c r="H370" i="12"/>
  <c r="E504" i="12"/>
  <c r="F504" i="12"/>
  <c r="H371" i="12"/>
  <c r="E516" i="12"/>
  <c r="F516" i="12"/>
  <c r="H372" i="12"/>
  <c r="E527" i="12"/>
  <c r="F527" i="12"/>
  <c r="H373" i="12"/>
  <c r="E538" i="12"/>
  <c r="F538" i="12"/>
  <c r="H374" i="12"/>
  <c r="E552" i="12"/>
  <c r="F552" i="12"/>
  <c r="H375" i="12"/>
  <c r="E567" i="12"/>
  <c r="F567" i="12"/>
  <c r="H376" i="12"/>
  <c r="E592" i="12"/>
  <c r="F592" i="12"/>
  <c r="H377" i="12"/>
  <c r="E606" i="12"/>
  <c r="F606" i="12"/>
  <c r="H378" i="12"/>
  <c r="E266" i="12"/>
  <c r="F266" i="12"/>
  <c r="H358" i="12"/>
  <c r="E275" i="12"/>
  <c r="F275" i="12"/>
  <c r="H359" i="12"/>
  <c r="E283" i="12"/>
  <c r="F283" i="12"/>
  <c r="H360" i="12"/>
  <c r="E304" i="12"/>
  <c r="F304" i="12"/>
  <c r="H361" i="12"/>
  <c r="E325" i="12"/>
  <c r="F325" i="12"/>
  <c r="H362" i="12"/>
  <c r="E338" i="12"/>
  <c r="F338" i="12"/>
  <c r="H363" i="12"/>
  <c r="E346" i="12"/>
  <c r="F346" i="12"/>
  <c r="H364" i="12"/>
  <c r="E353" i="12"/>
  <c r="F353" i="12"/>
  <c r="H365" i="12"/>
  <c r="E421" i="12"/>
  <c r="F421" i="12"/>
  <c r="H366" i="12"/>
  <c r="E444" i="12"/>
  <c r="F444" i="12"/>
  <c r="H367" i="12"/>
  <c r="E131" i="12"/>
  <c r="F131" i="12"/>
  <c r="H351" i="12"/>
  <c r="E139" i="12"/>
  <c r="F139" i="12"/>
  <c r="H352" i="12"/>
  <c r="E165" i="12"/>
  <c r="F165" i="12"/>
  <c r="H353" i="12"/>
  <c r="E170" i="12"/>
  <c r="F170" i="12"/>
  <c r="H354" i="12"/>
  <c r="E186" i="12"/>
  <c r="F186" i="12"/>
  <c r="H355" i="12"/>
  <c r="E213" i="12"/>
  <c r="F213" i="12"/>
  <c r="H356" i="12"/>
  <c r="E233" i="12"/>
  <c r="F233" i="12"/>
  <c r="H357" i="12"/>
  <c r="E53" i="12"/>
  <c r="F53" i="12"/>
  <c r="H343" i="12"/>
  <c r="E56" i="12"/>
  <c r="F56" i="12"/>
  <c r="H344" i="12"/>
  <c r="E72" i="12"/>
  <c r="F72" i="12"/>
  <c r="H345" i="12"/>
  <c r="E83" i="12"/>
  <c r="F83" i="12"/>
  <c r="H346" i="12"/>
  <c r="E95" i="12"/>
  <c r="F95" i="12"/>
  <c r="H347" i="12"/>
  <c r="E99" i="12"/>
  <c r="F99" i="12"/>
  <c r="H348" i="12"/>
  <c r="E113" i="12"/>
  <c r="F113" i="12"/>
  <c r="H349" i="12"/>
  <c r="E124" i="12"/>
  <c r="F124" i="12"/>
  <c r="H350" i="12"/>
  <c r="F204" i="13"/>
  <c r="E204" i="13"/>
  <c r="F203" i="13"/>
  <c r="E203" i="13"/>
  <c r="F202" i="13"/>
  <c r="E202" i="13"/>
  <c r="F201" i="13"/>
  <c r="E201" i="13"/>
  <c r="H342" i="12"/>
  <c r="F46" i="12"/>
  <c r="E46" i="12"/>
  <c r="H341" i="12"/>
  <c r="F44" i="12"/>
  <c r="E44" i="12"/>
  <c r="H340" i="12"/>
  <c r="F38" i="12"/>
  <c r="E38" i="12"/>
  <c r="H339" i="12"/>
  <c r="F32" i="12"/>
  <c r="E32" i="12"/>
  <c r="H338" i="12"/>
  <c r="F23" i="12"/>
  <c r="E23" i="12"/>
  <c r="H337" i="12"/>
  <c r="F18" i="12"/>
  <c r="E18" i="12"/>
  <c r="H336" i="12"/>
  <c r="F618" i="12"/>
  <c r="E618" i="12"/>
  <c r="H335" i="12"/>
  <c r="F605" i="12"/>
  <c r="E605" i="12"/>
  <c r="H334" i="12"/>
  <c r="F591" i="12"/>
  <c r="E591" i="12"/>
  <c r="F200" i="16"/>
  <c r="E200" i="16"/>
  <c r="F199" i="16"/>
  <c r="E199" i="16"/>
  <c r="F198" i="16"/>
  <c r="E198" i="16"/>
  <c r="F197" i="16"/>
  <c r="E197" i="16"/>
  <c r="F196" i="16"/>
  <c r="E196" i="16"/>
  <c r="F195" i="16"/>
  <c r="E195" i="16"/>
  <c r="F194" i="16"/>
  <c r="E194" i="16"/>
  <c r="F193" i="16"/>
  <c r="E193" i="16"/>
  <c r="F192" i="16"/>
  <c r="E192" i="16"/>
  <c r="F191" i="16"/>
  <c r="E191" i="16"/>
  <c r="F190" i="16"/>
  <c r="E190" i="16"/>
  <c r="F189" i="16"/>
  <c r="E189" i="16"/>
  <c r="F188" i="16"/>
  <c r="E188" i="16"/>
  <c r="F187" i="16"/>
  <c r="E187" i="16"/>
  <c r="F186" i="16"/>
  <c r="E186" i="16"/>
  <c r="F185" i="16"/>
  <c r="E185" i="16"/>
  <c r="F184" i="16"/>
  <c r="E184" i="16"/>
  <c r="F183" i="16"/>
  <c r="E183" i="16"/>
  <c r="F182" i="16"/>
  <c r="E182" i="16"/>
  <c r="F181" i="16"/>
  <c r="E181" i="16"/>
  <c r="F180" i="16"/>
  <c r="E180" i="16"/>
  <c r="F179" i="16"/>
  <c r="E179" i="16"/>
  <c r="F178" i="16"/>
  <c r="E178" i="16"/>
  <c r="F177" i="16"/>
  <c r="E177" i="16"/>
  <c r="F176" i="16"/>
  <c r="E176" i="16"/>
  <c r="F175" i="16"/>
  <c r="E175" i="16"/>
  <c r="F174" i="16"/>
  <c r="E174" i="16"/>
  <c r="F173" i="16"/>
  <c r="E173" i="16"/>
  <c r="F172" i="16"/>
  <c r="E172" i="16"/>
  <c r="F171" i="16"/>
  <c r="E171" i="16"/>
  <c r="F170" i="16"/>
  <c r="E170" i="16"/>
  <c r="F169" i="16"/>
  <c r="E169" i="16"/>
  <c r="F168" i="16"/>
  <c r="E168" i="16"/>
  <c r="F167" i="16"/>
  <c r="E167" i="16"/>
  <c r="F166" i="16"/>
  <c r="E166" i="16"/>
  <c r="F165" i="16"/>
  <c r="E165" i="16"/>
  <c r="F164" i="16"/>
  <c r="E164" i="16"/>
  <c r="F163" i="16"/>
  <c r="E163" i="16"/>
  <c r="F162" i="16"/>
  <c r="E162" i="16"/>
  <c r="F161" i="16"/>
  <c r="E161" i="16"/>
  <c r="F160" i="16"/>
  <c r="E160" i="16"/>
  <c r="F159" i="16"/>
  <c r="E159" i="16"/>
  <c r="F158" i="16"/>
  <c r="E158" i="16"/>
  <c r="F157" i="16"/>
  <c r="E157" i="16"/>
  <c r="F156" i="16"/>
  <c r="E156" i="16"/>
  <c r="F155" i="16"/>
  <c r="E155" i="16"/>
  <c r="F154" i="16"/>
  <c r="E154" i="16"/>
  <c r="F153" i="16"/>
  <c r="E153" i="16"/>
  <c r="F152" i="16"/>
  <c r="E152" i="16"/>
  <c r="F151" i="16"/>
  <c r="E151" i="16"/>
  <c r="F150" i="16"/>
  <c r="E150" i="16"/>
  <c r="F149" i="16"/>
  <c r="E149" i="16"/>
  <c r="F148" i="16"/>
  <c r="E148" i="16"/>
  <c r="F147" i="16"/>
  <c r="E147" i="16"/>
  <c r="F146" i="16"/>
  <c r="E146" i="16"/>
  <c r="F145" i="16"/>
  <c r="E145" i="16"/>
  <c r="F144" i="16"/>
  <c r="E144" i="16"/>
  <c r="F143" i="16"/>
  <c r="E143" i="16"/>
  <c r="F142" i="16"/>
  <c r="E142" i="16"/>
  <c r="F141" i="16"/>
  <c r="E141" i="16"/>
  <c r="F140" i="16"/>
  <c r="E140" i="16"/>
  <c r="F139" i="16"/>
  <c r="E139" i="16"/>
  <c r="F138" i="16"/>
  <c r="E138" i="16"/>
  <c r="F137" i="16"/>
  <c r="E137" i="16"/>
  <c r="F136" i="16"/>
  <c r="E136" i="16"/>
  <c r="F135" i="16"/>
  <c r="E135" i="16"/>
  <c r="F134" i="16"/>
  <c r="E134" i="16"/>
  <c r="F133" i="16"/>
  <c r="E133" i="16"/>
  <c r="F132" i="16"/>
  <c r="E132" i="16"/>
  <c r="F131" i="16"/>
  <c r="E131" i="16"/>
  <c r="F130" i="16"/>
  <c r="E130" i="16"/>
  <c r="F129" i="16"/>
  <c r="E129" i="16"/>
  <c r="F128" i="16"/>
  <c r="E128" i="16"/>
  <c r="F127" i="16"/>
  <c r="E127" i="16"/>
  <c r="F126" i="16"/>
  <c r="E126" i="16"/>
  <c r="F125" i="16"/>
  <c r="E125" i="16"/>
  <c r="F124" i="16"/>
  <c r="E124" i="16"/>
  <c r="F123" i="16"/>
  <c r="E123" i="16"/>
  <c r="F122" i="16"/>
  <c r="E122" i="16"/>
  <c r="F121" i="16"/>
  <c r="E121" i="16"/>
  <c r="F120" i="16"/>
  <c r="E120" i="16"/>
  <c r="F119" i="16"/>
  <c r="E119" i="16"/>
  <c r="F118" i="16"/>
  <c r="E118" i="16"/>
  <c r="F117" i="16"/>
  <c r="E117" i="16"/>
  <c r="F116" i="16"/>
  <c r="E116" i="16"/>
  <c r="F115" i="16"/>
  <c r="E115" i="16"/>
  <c r="F114" i="16"/>
  <c r="E114" i="16"/>
  <c r="F113" i="16"/>
  <c r="E113" i="16"/>
  <c r="F112" i="16"/>
  <c r="E112" i="16"/>
  <c r="F111" i="16"/>
  <c r="E111" i="16"/>
  <c r="F110" i="16"/>
  <c r="E110" i="16"/>
  <c r="F200" i="13"/>
  <c r="E200" i="13"/>
  <c r="F199" i="13"/>
  <c r="E199" i="13"/>
  <c r="F198" i="13"/>
  <c r="E198" i="13"/>
  <c r="F197" i="13"/>
  <c r="E197" i="13"/>
  <c r="F196" i="13"/>
  <c r="E196" i="13"/>
  <c r="F195" i="13"/>
  <c r="E195" i="13"/>
  <c r="F194" i="13"/>
  <c r="E194" i="13"/>
  <c r="F193" i="13"/>
  <c r="E193" i="13"/>
  <c r="F192" i="13"/>
  <c r="E192" i="13"/>
  <c r="F191" i="13"/>
  <c r="E191" i="13"/>
  <c r="F190" i="13"/>
  <c r="E190" i="13"/>
  <c r="F189" i="13"/>
  <c r="E189" i="13"/>
  <c r="F188" i="13"/>
  <c r="E188" i="13"/>
  <c r="F187" i="13"/>
  <c r="E187" i="13"/>
  <c r="F186" i="13"/>
  <c r="E186" i="13"/>
  <c r="F185" i="13"/>
  <c r="E185" i="13"/>
  <c r="F184" i="13"/>
  <c r="E184" i="13"/>
  <c r="F183" i="13"/>
  <c r="E183" i="13"/>
  <c r="F182" i="13"/>
  <c r="E182" i="13"/>
  <c r="F181" i="13"/>
  <c r="E181" i="13"/>
  <c r="F180" i="13"/>
  <c r="E180" i="13"/>
  <c r="F179" i="13"/>
  <c r="E179" i="13"/>
  <c r="F178" i="13"/>
  <c r="E178" i="13"/>
  <c r="F177" i="13"/>
  <c r="E177" i="13"/>
  <c r="F176" i="13"/>
  <c r="E176" i="13"/>
  <c r="F175" i="13"/>
  <c r="E175" i="13"/>
  <c r="F174" i="13"/>
  <c r="E174" i="13"/>
  <c r="F173" i="13"/>
  <c r="E173" i="13"/>
  <c r="F172" i="13"/>
  <c r="E172" i="13"/>
  <c r="F171" i="13"/>
  <c r="E171" i="13"/>
  <c r="F170" i="13"/>
  <c r="E170" i="13"/>
  <c r="F169" i="13"/>
  <c r="E169" i="13"/>
  <c r="F168" i="13"/>
  <c r="E168" i="13"/>
  <c r="F167" i="13"/>
  <c r="E167" i="13"/>
  <c r="F166" i="13"/>
  <c r="E166" i="13"/>
  <c r="F165" i="13"/>
  <c r="E165" i="13"/>
  <c r="L515" i="11" l="1"/>
  <c r="I515" i="11"/>
  <c r="N515" i="11" s="1"/>
  <c r="G515" i="11"/>
  <c r="F515" i="11"/>
  <c r="L514" i="11"/>
  <c r="I514" i="11"/>
  <c r="N514" i="11" s="1"/>
  <c r="G514" i="11"/>
  <c r="F514" i="11"/>
  <c r="F481" i="12"/>
  <c r="E481" i="12"/>
  <c r="E503" i="12"/>
  <c r="E410" i="12"/>
  <c r="F410" i="12"/>
  <c r="H326" i="12"/>
  <c r="E443" i="12"/>
  <c r="F443" i="12"/>
  <c r="H327" i="12"/>
  <c r="H328" i="12"/>
  <c r="F503" i="12"/>
  <c r="H329" i="12"/>
  <c r="E515" i="12"/>
  <c r="F515" i="12"/>
  <c r="H330" i="12"/>
  <c r="E526" i="12"/>
  <c r="F526" i="12"/>
  <c r="H331" i="12"/>
  <c r="E551" i="12"/>
  <c r="F551" i="12"/>
  <c r="H332" i="12"/>
  <c r="E566" i="12"/>
  <c r="F566" i="12"/>
  <c r="H333" i="12"/>
  <c r="E372" i="12"/>
  <c r="F372" i="12"/>
  <c r="H324" i="12"/>
  <c r="E400" i="12"/>
  <c r="F400" i="12"/>
  <c r="H325" i="12"/>
  <c r="E249" i="12"/>
  <c r="F249" i="12"/>
  <c r="H318" i="12"/>
  <c r="E274" i="12"/>
  <c r="F274" i="12"/>
  <c r="H319" i="12"/>
  <c r="E293" i="12"/>
  <c r="F293" i="12"/>
  <c r="H320" i="12"/>
  <c r="E313" i="12"/>
  <c r="F313" i="12"/>
  <c r="H321" i="12"/>
  <c r="E337" i="12"/>
  <c r="F337" i="12"/>
  <c r="H322" i="12"/>
  <c r="E362" i="12"/>
  <c r="F362" i="12"/>
  <c r="H323" i="12"/>
  <c r="E146" i="12"/>
  <c r="F146" i="12"/>
  <c r="H310" i="12"/>
  <c r="E161" i="12"/>
  <c r="F161" i="12"/>
  <c r="H311" i="12"/>
  <c r="E172" i="12"/>
  <c r="F172" i="12"/>
  <c r="H312" i="12"/>
  <c r="E176" i="12"/>
  <c r="F176" i="12"/>
  <c r="H313" i="12"/>
  <c r="E180" i="12"/>
  <c r="F180" i="12"/>
  <c r="H314" i="12"/>
  <c r="E191" i="12"/>
  <c r="F191" i="12"/>
  <c r="H315" i="12"/>
  <c r="E212" i="12"/>
  <c r="F212" i="12"/>
  <c r="H316" i="12"/>
  <c r="E220" i="12"/>
  <c r="F220" i="12"/>
  <c r="H317" i="12"/>
  <c r="H309" i="12"/>
  <c r="F140" i="12"/>
  <c r="E140" i="12"/>
  <c r="H308" i="12"/>
  <c r="F111" i="12"/>
  <c r="E111" i="12"/>
  <c r="H307" i="12"/>
  <c r="F103" i="12"/>
  <c r="E103" i="12"/>
  <c r="H306" i="12"/>
  <c r="F98" i="12"/>
  <c r="E98" i="12"/>
  <c r="H305" i="12"/>
  <c r="F94" i="12"/>
  <c r="E94" i="12"/>
  <c r="H304" i="12"/>
  <c r="F87" i="12"/>
  <c r="E87" i="12"/>
  <c r="H303" i="12"/>
  <c r="F82" i="12"/>
  <c r="E82" i="12"/>
  <c r="H302" i="12"/>
  <c r="F71" i="12"/>
  <c r="E71" i="12"/>
  <c r="H301" i="12"/>
  <c r="F68" i="12"/>
  <c r="E68" i="12"/>
  <c r="M515" i="11" l="1"/>
  <c r="H514" i="11"/>
  <c r="K515" i="11"/>
  <c r="K514" i="11"/>
  <c r="J514" i="11"/>
  <c r="H515" i="11"/>
  <c r="M514" i="11"/>
  <c r="J515" i="11"/>
  <c r="F164" i="13"/>
  <c r="E164" i="13"/>
  <c r="F163" i="13"/>
  <c r="E163" i="13"/>
  <c r="F162" i="13"/>
  <c r="E162" i="13"/>
  <c r="F161" i="13"/>
  <c r="E161" i="13"/>
  <c r="F160" i="13"/>
  <c r="E160" i="13"/>
  <c r="F159" i="13"/>
  <c r="E159" i="13"/>
  <c r="F158" i="13"/>
  <c r="E158" i="13"/>
  <c r="F157" i="13"/>
  <c r="E157" i="13"/>
  <c r="F156" i="13"/>
  <c r="E156" i="13"/>
  <c r="F155" i="13"/>
  <c r="E155" i="13"/>
  <c r="F154" i="13"/>
  <c r="E154" i="13"/>
  <c r="F153" i="13"/>
  <c r="E153" i="13"/>
  <c r="F152" i="13"/>
  <c r="E152" i="13"/>
  <c r="F151" i="13"/>
  <c r="E151" i="13"/>
  <c r="F150" i="13"/>
  <c r="E150" i="13"/>
  <c r="F149" i="13"/>
  <c r="E149" i="13"/>
  <c r="F148" i="13"/>
  <c r="E148" i="13"/>
  <c r="F147" i="13"/>
  <c r="E147" i="13"/>
  <c r="F146" i="13"/>
  <c r="E146" i="13"/>
  <c r="F145" i="13"/>
  <c r="E145" i="13"/>
  <c r="F144" i="13"/>
  <c r="E144" i="13"/>
  <c r="F143" i="13"/>
  <c r="E143" i="13"/>
  <c r="F142" i="13"/>
  <c r="E142" i="13"/>
  <c r="F141" i="13"/>
  <c r="E141" i="13"/>
  <c r="F140" i="13"/>
  <c r="E140" i="13"/>
  <c r="F139" i="13"/>
  <c r="E139" i="13"/>
  <c r="F138" i="13"/>
  <c r="E138" i="13"/>
  <c r="F137" i="13"/>
  <c r="E137" i="13"/>
  <c r="H300" i="12" l="1"/>
  <c r="F63" i="12"/>
  <c r="E63" i="12"/>
  <c r="H299" i="12"/>
  <c r="F58" i="12"/>
  <c r="E58" i="12"/>
  <c r="H298" i="12"/>
  <c r="F52" i="12"/>
  <c r="E52" i="12"/>
  <c r="H297" i="12"/>
  <c r="F43" i="12"/>
  <c r="E43" i="12"/>
  <c r="H296" i="12"/>
  <c r="F37" i="12"/>
  <c r="E37" i="12"/>
  <c r="H295" i="12"/>
  <c r="F28" i="12"/>
  <c r="E28" i="12"/>
  <c r="H294" i="12"/>
  <c r="F22" i="12"/>
  <c r="E22" i="12"/>
  <c r="H293" i="12"/>
  <c r="F13" i="12"/>
  <c r="E13" i="12"/>
  <c r="H292" i="12"/>
  <c r="F11" i="12"/>
  <c r="E11" i="12"/>
  <c r="H291" i="12"/>
  <c r="F631" i="12"/>
  <c r="E631" i="12"/>
  <c r="H290" i="12"/>
  <c r="F617" i="12"/>
  <c r="E617" i="12"/>
  <c r="L1" i="12"/>
  <c r="I1" i="13"/>
  <c r="H289" i="12"/>
  <c r="F604" i="12"/>
  <c r="E604" i="12"/>
  <c r="H288" i="12"/>
  <c r="F590" i="12"/>
  <c r="E590" i="12"/>
  <c r="H287" i="12"/>
  <c r="F577" i="12"/>
  <c r="E577" i="12"/>
  <c r="H286" i="12"/>
  <c r="F565" i="12"/>
  <c r="E565" i="12"/>
  <c r="H285" i="12"/>
  <c r="F550" i="12"/>
  <c r="E550" i="12"/>
  <c r="H284" i="12"/>
  <c r="F537" i="12"/>
  <c r="E537" i="12"/>
  <c r="H283" i="12"/>
  <c r="F514" i="12"/>
  <c r="E514" i="12"/>
  <c r="H282" i="12"/>
  <c r="F502" i="12"/>
  <c r="E502" i="12"/>
  <c r="H281" i="12"/>
  <c r="F490" i="12"/>
  <c r="E490" i="12"/>
  <c r="H280" i="12"/>
  <c r="F480" i="12"/>
  <c r="E480" i="12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2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E129" i="13" l="1"/>
  <c r="F129" i="13"/>
  <c r="E130" i="13"/>
  <c r="F130" i="13"/>
  <c r="E131" i="13"/>
  <c r="F131" i="13"/>
  <c r="E132" i="13"/>
  <c r="F132" i="13"/>
  <c r="E133" i="13"/>
  <c r="F133" i="13"/>
  <c r="E134" i="13"/>
  <c r="F134" i="13"/>
  <c r="E135" i="13"/>
  <c r="F135" i="13"/>
  <c r="E136" i="13"/>
  <c r="F136" i="13"/>
  <c r="F128" i="13"/>
  <c r="E128" i="13"/>
  <c r="F127" i="13"/>
  <c r="E127" i="13"/>
  <c r="F126" i="13"/>
  <c r="E126" i="13"/>
  <c r="F125" i="13"/>
  <c r="E125" i="13"/>
  <c r="F124" i="13"/>
  <c r="E124" i="13"/>
  <c r="F123" i="13"/>
  <c r="E123" i="13"/>
  <c r="F122" i="13"/>
  <c r="E122" i="13"/>
  <c r="F121" i="13"/>
  <c r="E121" i="13"/>
  <c r="F120" i="13"/>
  <c r="E120" i="13"/>
  <c r="F119" i="13"/>
  <c r="E119" i="13"/>
  <c r="F118" i="13"/>
  <c r="E118" i="13"/>
  <c r="F117" i="13"/>
  <c r="E117" i="13"/>
  <c r="E389" i="12"/>
  <c r="F389" i="12"/>
  <c r="H272" i="12"/>
  <c r="E399" i="12"/>
  <c r="F399" i="12"/>
  <c r="H273" i="12"/>
  <c r="E409" i="12"/>
  <c r="F409" i="12"/>
  <c r="H274" i="12"/>
  <c r="E420" i="12"/>
  <c r="F420" i="12"/>
  <c r="H275" i="12"/>
  <c r="E433" i="12"/>
  <c r="F433" i="12"/>
  <c r="H276" i="12"/>
  <c r="E442" i="12"/>
  <c r="F442" i="12"/>
  <c r="H277" i="12"/>
  <c r="E455" i="12"/>
  <c r="F455" i="12"/>
  <c r="H278" i="12"/>
  <c r="E467" i="12"/>
  <c r="F467" i="12"/>
  <c r="H279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E303" i="12"/>
  <c r="F303" i="12"/>
  <c r="E312" i="12"/>
  <c r="F312" i="12"/>
  <c r="E320" i="12"/>
  <c r="F320" i="12"/>
  <c r="E327" i="12"/>
  <c r="F327" i="12"/>
  <c r="E336" i="12"/>
  <c r="F336" i="12"/>
  <c r="E345" i="12"/>
  <c r="F345" i="12"/>
  <c r="E361" i="12"/>
  <c r="F361" i="12"/>
  <c r="E371" i="12"/>
  <c r="F371" i="12"/>
  <c r="E381" i="12"/>
  <c r="F381" i="12"/>
  <c r="F292" i="12"/>
  <c r="E292" i="12"/>
  <c r="F273" i="12"/>
  <c r="E273" i="12"/>
  <c r="F265" i="12"/>
  <c r="E265" i="12"/>
  <c r="F248" i="12"/>
  <c r="E248" i="12"/>
  <c r="F241" i="12"/>
  <c r="E241" i="12"/>
  <c r="F218" i="12"/>
  <c r="E218" i="12"/>
  <c r="F196" i="12"/>
  <c r="E196" i="12"/>
  <c r="F185" i="12"/>
  <c r="E185" i="12"/>
  <c r="F178" i="12"/>
  <c r="E178" i="12"/>
  <c r="F174" i="12"/>
  <c r="E174" i="12"/>
  <c r="F169" i="12"/>
  <c r="E169" i="12"/>
  <c r="F163" i="12"/>
  <c r="E163" i="12"/>
  <c r="F155" i="12"/>
  <c r="E155" i="12"/>
  <c r="F151" i="12"/>
  <c r="E151" i="12"/>
  <c r="F149" i="12"/>
  <c r="E149" i="12"/>
  <c r="F145" i="12"/>
  <c r="E145" i="12"/>
  <c r="E142" i="12"/>
  <c r="E138" i="12"/>
  <c r="E135" i="12"/>
  <c r="E130" i="12"/>
  <c r="E121" i="12"/>
  <c r="E114" i="12"/>
  <c r="E110" i="12"/>
  <c r="E106" i="12"/>
  <c r="E97" i="12"/>
  <c r="E90" i="12"/>
  <c r="E81" i="12"/>
  <c r="E76" i="12"/>
  <c r="E70" i="12"/>
  <c r="E67" i="12"/>
  <c r="E62" i="12"/>
  <c r="E55" i="12"/>
  <c r="E34" i="12"/>
  <c r="E31" i="12"/>
  <c r="E27" i="12"/>
  <c r="E19" i="12"/>
  <c r="E8" i="12"/>
  <c r="E5" i="12"/>
  <c r="E630" i="12"/>
  <c r="E616" i="12"/>
  <c r="E603" i="12"/>
  <c r="E589" i="12"/>
  <c r="E576" i="12"/>
  <c r="E564" i="12"/>
  <c r="E549" i="12"/>
  <c r="E536" i="12"/>
  <c r="E513" i="12"/>
  <c r="E501" i="12"/>
  <c r="E489" i="12"/>
  <c r="E479" i="12"/>
  <c r="E466" i="12"/>
  <c r="E454" i="12"/>
  <c r="E629" i="12"/>
  <c r="E615" i="12"/>
  <c r="E602" i="12"/>
  <c r="E588" i="12"/>
  <c r="E575" i="12"/>
  <c r="E563" i="12"/>
  <c r="E548" i="12"/>
  <c r="E535" i="12"/>
  <c r="E525" i="12"/>
  <c r="E512" i="12"/>
  <c r="E500" i="12"/>
  <c r="E488" i="12"/>
  <c r="E478" i="12"/>
  <c r="E465" i="12"/>
  <c r="E453" i="12"/>
  <c r="E441" i="12"/>
  <c r="E432" i="12"/>
  <c r="E419" i="12"/>
  <c r="E408" i="12"/>
  <c r="E398" i="12"/>
  <c r="E388" i="12"/>
  <c r="E380" i="12"/>
  <c r="E370" i="12"/>
  <c r="E360" i="12"/>
  <c r="E352" i="12"/>
  <c r="E344" i="12"/>
  <c r="E326" i="12"/>
  <c r="E319" i="12"/>
  <c r="E302" i="12"/>
  <c r="E291" i="12"/>
  <c r="E282" i="12"/>
  <c r="E258" i="12"/>
  <c r="E247" i="12"/>
  <c r="E240" i="12"/>
  <c r="E226" i="12"/>
  <c r="E217" i="12"/>
  <c r="E207" i="12"/>
  <c r="E184" i="12"/>
  <c r="E177" i="12"/>
  <c r="E173" i="12"/>
  <c r="E168" i="12"/>
  <c r="E164" i="12"/>
  <c r="E160" i="12"/>
  <c r="E158" i="12"/>
  <c r="E154" i="12"/>
  <c r="E148" i="12"/>
  <c r="E144" i="12"/>
  <c r="E136" i="12"/>
  <c r="E134" i="12"/>
  <c r="E129" i="12"/>
  <c r="E126" i="12"/>
  <c r="E120" i="12"/>
  <c r="E117" i="12"/>
  <c r="E112" i="12"/>
  <c r="E107" i="12"/>
  <c r="E105" i="12"/>
  <c r="E101" i="12"/>
  <c r="E93" i="12"/>
  <c r="E86" i="12"/>
  <c r="E75" i="12"/>
  <c r="E66" i="12"/>
  <c r="E61" i="12"/>
  <c r="E54" i="12"/>
  <c r="E51" i="12"/>
  <c r="E48" i="12"/>
  <c r="E41" i="12"/>
  <c r="E36" i="12"/>
  <c r="E33" i="12"/>
  <c r="E26" i="12"/>
  <c r="E21" i="12"/>
  <c r="E15" i="12"/>
  <c r="E10" i="12"/>
  <c r="E7" i="12"/>
  <c r="E4" i="12"/>
  <c r="E628" i="12"/>
  <c r="E614" i="12"/>
  <c r="E601" i="12"/>
  <c r="E587" i="12"/>
  <c r="E574" i="12"/>
  <c r="E562" i="12"/>
  <c r="E547" i="12"/>
  <c r="E534" i="12"/>
  <c r="E524" i="12"/>
  <c r="E511" i="12"/>
  <c r="E499" i="12"/>
  <c r="E487" i="12"/>
  <c r="E477" i="12"/>
  <c r="E464" i="12"/>
  <c r="E452" i="12"/>
  <c r="E440" i="12"/>
  <c r="E431" i="12"/>
  <c r="E418" i="12"/>
  <c r="E407" i="12"/>
  <c r="E397" i="12"/>
  <c r="E387" i="12"/>
  <c r="E369" i="12"/>
  <c r="E359" i="12"/>
  <c r="E343" i="12"/>
  <c r="E335" i="12"/>
  <c r="E311" i="12"/>
  <c r="E301" i="12"/>
  <c r="E281" i="12"/>
  <c r="E264" i="12"/>
  <c r="E257" i="12"/>
  <c r="E232" i="12"/>
  <c r="E225" i="12"/>
  <c r="E206" i="12"/>
  <c r="E190" i="12"/>
  <c r="E179" i="12"/>
  <c r="E175" i="12"/>
  <c r="E171" i="12"/>
  <c r="E167" i="12"/>
  <c r="E159" i="12"/>
  <c r="E157" i="12"/>
  <c r="E153" i="12"/>
  <c r="E150" i="12"/>
  <c r="E143" i="12"/>
  <c r="E141" i="12"/>
  <c r="E133" i="12"/>
  <c r="E123" i="12"/>
  <c r="E116" i="12"/>
  <c r="E109" i="12"/>
  <c r="E102" i="12"/>
  <c r="E96" i="12"/>
  <c r="E89" i="12"/>
  <c r="E80" i="12"/>
  <c r="E74" i="12"/>
  <c r="E50" i="12"/>
  <c r="E42" i="12"/>
  <c r="E40" i="12"/>
  <c r="E35" i="12"/>
  <c r="E30" i="12"/>
  <c r="E25" i="12"/>
  <c r="E20" i="12"/>
  <c r="E17" i="12"/>
  <c r="E12" i="12"/>
  <c r="E9" i="12"/>
  <c r="E6" i="12"/>
  <c r="E3" i="12"/>
  <c r="E627" i="12"/>
  <c r="E613" i="12"/>
  <c r="E600" i="12"/>
  <c r="E586" i="12"/>
  <c r="E561" i="12"/>
  <c r="E546" i="12"/>
  <c r="E533" i="12"/>
  <c r="E523" i="12"/>
  <c r="E510" i="12"/>
  <c r="E498" i="12"/>
  <c r="E486" i="12"/>
  <c r="E476" i="12"/>
  <c r="E451" i="12"/>
  <c r="E439" i="12"/>
  <c r="E430" i="12"/>
  <c r="E417" i="12"/>
  <c r="E406" i="12"/>
  <c r="E396" i="12"/>
  <c r="E386" i="12"/>
  <c r="E379" i="12"/>
  <c r="E368" i="12"/>
  <c r="E358" i="12"/>
  <c r="E351" i="12"/>
  <c r="E334" i="12"/>
  <c r="E324" i="12"/>
  <c r="E318" i="12"/>
  <c r="E310" i="12"/>
  <c r="E290" i="12"/>
  <c r="E280" i="12"/>
  <c r="E272" i="12"/>
  <c r="E263" i="12"/>
  <c r="E256" i="12"/>
  <c r="E239" i="12"/>
  <c r="E231" i="12"/>
  <c r="E219" i="12"/>
  <c r="E211" i="12"/>
  <c r="E202" i="12"/>
  <c r="E189" i="12"/>
  <c r="E166" i="12"/>
  <c r="E162" i="12"/>
  <c r="E156" i="12"/>
  <c r="E152" i="12"/>
  <c r="E147" i="12"/>
  <c r="E137" i="12"/>
  <c r="E132" i="12"/>
  <c r="E128" i="12"/>
  <c r="E127" i="12"/>
  <c r="E125" i="12"/>
  <c r="E122" i="12"/>
  <c r="E119" i="12"/>
  <c r="E115" i="12"/>
  <c r="E108" i="12"/>
  <c r="E104" i="12"/>
  <c r="E100" i="12"/>
  <c r="E92" i="12"/>
  <c r="E88" i="12"/>
  <c r="E85" i="12"/>
  <c r="E79" i="12"/>
  <c r="E65" i="12"/>
  <c r="E60" i="12"/>
  <c r="E57" i="12"/>
  <c r="E49" i="12"/>
  <c r="E47" i="12"/>
  <c r="E45" i="12"/>
  <c r="E39" i="12"/>
  <c r="E29" i="12"/>
  <c r="E24" i="12"/>
  <c r="E16" i="12"/>
  <c r="E14" i="12"/>
  <c r="E2" i="12"/>
  <c r="L513" i="11"/>
  <c r="I513" i="11"/>
  <c r="N513" i="11" s="1"/>
  <c r="G513" i="11"/>
  <c r="F513" i="11"/>
  <c r="L512" i="11"/>
  <c r="I512" i="11"/>
  <c r="N512" i="11" s="1"/>
  <c r="G512" i="11"/>
  <c r="F512" i="11"/>
  <c r="L511" i="11"/>
  <c r="I511" i="11"/>
  <c r="N511" i="11" s="1"/>
  <c r="G511" i="11"/>
  <c r="F511" i="11"/>
  <c r="L510" i="11"/>
  <c r="I510" i="11"/>
  <c r="N510" i="11" s="1"/>
  <c r="G510" i="11"/>
  <c r="F510" i="11"/>
  <c r="L509" i="11"/>
  <c r="I509" i="11"/>
  <c r="N509" i="11" s="1"/>
  <c r="G509" i="11"/>
  <c r="F509" i="11"/>
  <c r="F630" i="12"/>
  <c r="F616" i="12"/>
  <c r="F512" i="12"/>
  <c r="F370" i="12"/>
  <c r="F142" i="12"/>
  <c r="F97" i="12"/>
  <c r="F563" i="12"/>
  <c r="F500" i="12"/>
  <c r="F138" i="12"/>
  <c r="J509" i="11" l="1"/>
  <c r="J512" i="11"/>
  <c r="K512" i="11"/>
  <c r="E9" i="15"/>
  <c r="G9" i="15" s="1"/>
  <c r="M509" i="11"/>
  <c r="E10" i="15"/>
  <c r="G10" i="15" s="1"/>
  <c r="K510" i="11"/>
  <c r="E8" i="15"/>
  <c r="G8" i="15" s="1"/>
  <c r="H511" i="11"/>
  <c r="M511" i="11"/>
  <c r="M512" i="11"/>
  <c r="M513" i="11"/>
  <c r="K513" i="11"/>
  <c r="E14" i="15"/>
  <c r="G14" i="15" s="1"/>
  <c r="K509" i="11"/>
  <c r="E11" i="15"/>
  <c r="G11" i="15" s="1"/>
  <c r="E12" i="15"/>
  <c r="G12" i="15" s="1"/>
  <c r="E13" i="15"/>
  <c r="G13" i="15" s="1"/>
  <c r="E6" i="15"/>
  <c r="G6" i="15" s="1"/>
  <c r="E7" i="15"/>
  <c r="G7" i="15" s="1"/>
  <c r="H510" i="11"/>
  <c r="K511" i="11"/>
  <c r="H512" i="11"/>
  <c r="J511" i="11"/>
  <c r="H509" i="11"/>
  <c r="J510" i="11"/>
  <c r="H513" i="11"/>
  <c r="J513" i="11"/>
  <c r="M510" i="11"/>
  <c r="E15" i="15" l="1"/>
  <c r="G15" i="15" s="1"/>
  <c r="F100" i="13"/>
  <c r="E100" i="13"/>
  <c r="F104" i="13"/>
  <c r="E104" i="13"/>
  <c r="F103" i="13"/>
  <c r="E103" i="13"/>
  <c r="F102" i="13"/>
  <c r="E102" i="13"/>
  <c r="F101" i="13"/>
  <c r="E101" i="13"/>
  <c r="F108" i="13"/>
  <c r="E108" i="13"/>
  <c r="F107" i="13"/>
  <c r="E107" i="13"/>
  <c r="F106" i="13"/>
  <c r="E106" i="13"/>
  <c r="F105" i="13"/>
  <c r="E105" i="13"/>
  <c r="F112" i="13"/>
  <c r="E112" i="13"/>
  <c r="F111" i="13"/>
  <c r="E111" i="13"/>
  <c r="F110" i="13"/>
  <c r="E110" i="13"/>
  <c r="F109" i="13"/>
  <c r="E109" i="13"/>
  <c r="F116" i="13"/>
  <c r="E116" i="13"/>
  <c r="F115" i="13"/>
  <c r="E115" i="13"/>
  <c r="F114" i="13"/>
  <c r="E114" i="13"/>
  <c r="F113" i="13"/>
  <c r="E113" i="13"/>
  <c r="F135" i="12"/>
  <c r="F441" i="12"/>
  <c r="F488" i="12"/>
  <c r="F548" i="12"/>
  <c r="F629" i="12"/>
  <c r="F513" i="12"/>
  <c r="F34" i="12"/>
  <c r="F90" i="12"/>
  <c r="F319" i="12"/>
  <c r="F432" i="12"/>
  <c r="F535" i="12"/>
  <c r="F615" i="12"/>
  <c r="F31" i="12"/>
  <c r="F81" i="12"/>
  <c r="F478" i="12"/>
  <c r="F602" i="12"/>
  <c r="F501" i="12"/>
  <c r="F603" i="12"/>
  <c r="F27" i="12"/>
  <c r="F130" i="12"/>
  <c r="F10" i="12"/>
  <c r="F148" i="12"/>
  <c r="F168" i="12"/>
  <c r="F352" i="12"/>
  <c r="F479" i="12"/>
  <c r="F67" i="12"/>
  <c r="F451" i="12"/>
  <c r="F523" i="12"/>
  <c r="F600" i="12"/>
  <c r="F6" i="12"/>
  <c r="F20" i="12"/>
  <c r="F25" i="12"/>
  <c r="F74" i="12"/>
  <c r="F123" i="12"/>
  <c r="F407" i="12"/>
  <c r="F291" i="12"/>
  <c r="F360" i="12"/>
  <c r="F408" i="12"/>
  <c r="F465" i="12"/>
  <c r="F489" i="12"/>
  <c r="F589" i="12"/>
  <c r="F19" i="12"/>
  <c r="F70" i="12"/>
  <c r="F76" i="12"/>
  <c r="F121" i="12"/>
  <c r="F302" i="12"/>
  <c r="F419" i="12"/>
  <c r="F231" i="12"/>
  <c r="F290" i="12"/>
  <c r="F318" i="12"/>
  <c r="F386" i="12"/>
  <c r="F417" i="12"/>
  <c r="F3" i="12"/>
  <c r="F50" i="12"/>
  <c r="F150" i="12"/>
  <c r="F167" i="12"/>
  <c r="F343" i="12"/>
  <c r="F477" i="12"/>
  <c r="F562" i="12"/>
  <c r="F99" i="13" l="1"/>
  <c r="E99" i="13"/>
  <c r="F98" i="13"/>
  <c r="E98" i="13"/>
  <c r="F97" i="13"/>
  <c r="E97" i="13"/>
  <c r="F96" i="13"/>
  <c r="E96" i="13"/>
  <c r="F95" i="13"/>
  <c r="E95" i="13"/>
  <c r="F94" i="13"/>
  <c r="E94" i="13"/>
  <c r="F93" i="13"/>
  <c r="E93" i="13"/>
  <c r="F92" i="13"/>
  <c r="E92" i="13"/>
  <c r="F91" i="13"/>
  <c r="E91" i="13"/>
  <c r="F90" i="13"/>
  <c r="E90" i="13"/>
  <c r="F89" i="13"/>
  <c r="E89" i="13"/>
  <c r="F88" i="13"/>
  <c r="E88" i="13"/>
  <c r="F87" i="13"/>
  <c r="E87" i="13"/>
  <c r="F86" i="13"/>
  <c r="E86" i="13"/>
  <c r="F85" i="13"/>
  <c r="E85" i="13"/>
  <c r="F84" i="13"/>
  <c r="E84" i="13"/>
  <c r="F83" i="13"/>
  <c r="E83" i="13"/>
  <c r="F82" i="13"/>
  <c r="E82" i="13"/>
  <c r="F81" i="13"/>
  <c r="E81" i="13"/>
  <c r="F80" i="13"/>
  <c r="E80" i="13"/>
  <c r="F79" i="13"/>
  <c r="E79" i="13"/>
  <c r="F78" i="13"/>
  <c r="E78" i="13"/>
  <c r="F77" i="13"/>
  <c r="E77" i="13"/>
  <c r="F76" i="13"/>
  <c r="E76" i="13"/>
  <c r="F75" i="13"/>
  <c r="E75" i="13"/>
  <c r="F74" i="13"/>
  <c r="E74" i="13"/>
  <c r="F73" i="13"/>
  <c r="E73" i="13"/>
  <c r="F72" i="13"/>
  <c r="E72" i="13"/>
  <c r="F71" i="13"/>
  <c r="E71" i="13"/>
  <c r="F70" i="13"/>
  <c r="E70" i="13"/>
  <c r="F69" i="13"/>
  <c r="E69" i="13"/>
  <c r="F68" i="13"/>
  <c r="E68" i="13"/>
  <c r="F67" i="13"/>
  <c r="E67" i="13"/>
  <c r="F66" i="13"/>
  <c r="E66" i="13"/>
  <c r="F65" i="13"/>
  <c r="E65" i="13"/>
  <c r="F64" i="13"/>
  <c r="E64" i="13"/>
  <c r="F63" i="13"/>
  <c r="E63" i="13"/>
  <c r="F62" i="13"/>
  <c r="E62" i="13"/>
  <c r="F61" i="13"/>
  <c r="E61" i="13"/>
  <c r="F60" i="13"/>
  <c r="E60" i="13"/>
  <c r="F59" i="13"/>
  <c r="E59" i="13"/>
  <c r="F58" i="13"/>
  <c r="E58" i="13"/>
  <c r="F57" i="13"/>
  <c r="E57" i="13"/>
  <c r="F56" i="13"/>
  <c r="E56" i="13"/>
  <c r="F55" i="13"/>
  <c r="E55" i="13"/>
  <c r="F54" i="13"/>
  <c r="E54" i="13"/>
  <c r="F53" i="13"/>
  <c r="E53" i="13"/>
  <c r="F52" i="13"/>
  <c r="E52" i="13"/>
  <c r="F51" i="13"/>
  <c r="E51" i="13"/>
  <c r="F50" i="13"/>
  <c r="E50" i="13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576" i="12"/>
  <c r="F100" i="12"/>
  <c r="F162" i="12"/>
  <c r="F122" i="12"/>
  <c r="F398" i="12" l="1"/>
  <c r="F466" i="12"/>
  <c r="F226" i="12" l="1"/>
  <c r="F282" i="12"/>
  <c r="F129" i="12"/>
  <c r="F177" i="12"/>
  <c r="F15" i="12"/>
  <c r="F48" i="12"/>
  <c r="F96" i="12"/>
  <c r="F143" i="12"/>
  <c r="F159" i="12"/>
  <c r="F190" i="12"/>
  <c r="F311" i="12"/>
  <c r="F280" i="12" l="1"/>
  <c r="F379" i="12"/>
  <c r="F439" i="12"/>
  <c r="F510" i="12"/>
  <c r="F586" i="12"/>
  <c r="F627" i="12"/>
  <c r="F42" i="12"/>
  <c r="F219" i="12" l="1"/>
  <c r="F137" i="12" l="1"/>
  <c r="F57" i="12" l="1"/>
  <c r="F65" i="12"/>
  <c r="F119" i="12"/>
  <c r="F344" i="12"/>
  <c r="F453" i="12"/>
  <c r="F549" i="12"/>
  <c r="F114" i="12"/>
  <c r="F207" i="12"/>
  <c r="F247" i="12"/>
  <c r="F164" i="12"/>
  <c r="F75" i="12" l="1"/>
  <c r="F105" i="12"/>
  <c r="F136" i="12"/>
  <c r="F41" i="12" l="1"/>
  <c r="F61" i="12"/>
  <c r="F49" i="13"/>
  <c r="E49" i="13"/>
  <c r="F48" i="13"/>
  <c r="E48" i="13"/>
  <c r="F47" i="13"/>
  <c r="E47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F40" i="13"/>
  <c r="E40" i="13"/>
  <c r="F39" i="13"/>
  <c r="E39" i="13"/>
  <c r="F38" i="13"/>
  <c r="E38" i="13"/>
  <c r="F37" i="13"/>
  <c r="E37" i="13"/>
  <c r="F36" i="13"/>
  <c r="E36" i="13"/>
  <c r="F547" i="12" l="1"/>
  <c r="F614" i="12"/>
  <c r="F7" i="12"/>
  <c r="F26" i="12"/>
  <c r="F301" i="12"/>
  <c r="F359" i="12"/>
  <c r="F440" i="12"/>
  <c r="F232" i="12" l="1"/>
  <c r="F157" i="12"/>
  <c r="F116" i="12"/>
  <c r="F40" i="12"/>
  <c r="F156" i="12"/>
  <c r="F189" i="12"/>
  <c r="F406" i="12"/>
  <c r="F498" i="12"/>
  <c r="F561" i="12"/>
  <c r="F613" i="12"/>
  <c r="F17" i="12"/>
  <c r="F110" i="12"/>
  <c r="F24" i="12"/>
  <c r="F45" i="12"/>
  <c r="F104" i="12"/>
  <c r="F132" i="12"/>
  <c r="F536" i="12"/>
  <c r="F8" i="12"/>
  <c r="F184" i="12"/>
  <c r="F240" i="12"/>
  <c r="F326" i="12"/>
  <c r="F588" i="12"/>
  <c r="F35" i="13"/>
  <c r="E35" i="13"/>
  <c r="F34" i="13"/>
  <c r="E34" i="13"/>
  <c r="F33" i="13"/>
  <c r="E33" i="13"/>
  <c r="F32" i="13"/>
  <c r="E32" i="13"/>
  <c r="F54" i="12"/>
  <c r="F101" i="12"/>
  <c r="F117" i="12"/>
  <c r="F126" i="12"/>
  <c r="F144" i="12"/>
  <c r="F160" i="12"/>
  <c r="H2" i="12"/>
  <c r="I1" i="12" l="1"/>
  <c r="F19" i="16"/>
  <c r="F29" i="16"/>
  <c r="F28" i="16"/>
  <c r="F27" i="16"/>
  <c r="F26" i="16"/>
  <c r="F25" i="16"/>
  <c r="F24" i="16"/>
  <c r="F23" i="16"/>
  <c r="F22" i="16"/>
  <c r="F21" i="16"/>
  <c r="F20" i="16"/>
  <c r="F31" i="13"/>
  <c r="E31" i="13"/>
  <c r="F30" i="13"/>
  <c r="E30" i="13"/>
  <c r="F29" i="13"/>
  <c r="E29" i="13"/>
  <c r="F36" i="12" l="1"/>
  <c r="F628" i="12"/>
  <c r="F601" i="12"/>
  <c r="F534" i="12"/>
  <c r="F499" i="12"/>
  <c r="F431" i="12"/>
  <c r="F397" i="12"/>
  <c r="F335" i="12"/>
  <c r="F257" i="12"/>
  <c r="F225" i="12"/>
  <c r="F85" i="12"/>
  <c r="F115" i="12"/>
  <c r="F128" i="12"/>
  <c r="F166" i="12"/>
  <c r="F211" i="12"/>
  <c r="F263" i="12"/>
  <c r="F334" i="12"/>
  <c r="F368" i="12"/>
  <c r="F396" i="12"/>
  <c r="F486" i="12"/>
  <c r="F546" i="12"/>
  <c r="F12" i="12"/>
  <c r="F89" i="12"/>
  <c r="F141" i="12"/>
  <c r="F175" i="12"/>
  <c r="E21" i="13" l="1"/>
  <c r="F21" i="13"/>
  <c r="E22" i="13"/>
  <c r="F22" i="13"/>
  <c r="E23" i="13"/>
  <c r="F23" i="13"/>
  <c r="E24" i="13"/>
  <c r="F24" i="13"/>
  <c r="E25" i="13"/>
  <c r="F25" i="13"/>
  <c r="E26" i="13"/>
  <c r="F26" i="13"/>
  <c r="E27" i="13"/>
  <c r="F27" i="13"/>
  <c r="E28" i="13"/>
  <c r="F28" i="13"/>
  <c r="L6" i="15" l="1"/>
  <c r="F62" i="12"/>
  <c r="F16" i="12"/>
  <c r="F39" i="12"/>
  <c r="F49" i="12"/>
  <c r="F18" i="16" l="1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L10" i="15" l="1"/>
  <c r="L11" i="15"/>
  <c r="N6" i="15"/>
  <c r="L12" i="15"/>
  <c r="N12" i="15" s="1"/>
  <c r="L7" i="15"/>
  <c r="L8" i="15"/>
  <c r="L9" i="15"/>
  <c r="L14" i="15"/>
  <c r="N14" i="15" s="1"/>
  <c r="L13" i="15"/>
  <c r="N13" i="15" s="1"/>
  <c r="L15" i="15" l="1"/>
  <c r="N15" i="15" s="1"/>
  <c r="N8" i="15"/>
  <c r="N10" i="15"/>
  <c r="H14" i="15"/>
  <c r="J14" i="15" s="1"/>
  <c r="H13" i="15"/>
  <c r="J13" i="15" s="1"/>
  <c r="H12" i="15"/>
  <c r="J12" i="15" s="1"/>
  <c r="H11" i="15"/>
  <c r="J11" i="15" s="1"/>
  <c r="H10" i="15"/>
  <c r="J10" i="15" s="1"/>
  <c r="H9" i="15"/>
  <c r="J9" i="15" s="1"/>
  <c r="H8" i="15"/>
  <c r="J8" i="15" s="1"/>
  <c r="H7" i="15"/>
  <c r="J7" i="15" s="1"/>
  <c r="H6" i="15"/>
  <c r="J6" i="15" s="1"/>
  <c r="N11" i="15"/>
  <c r="N9" i="15"/>
  <c r="D14" i="15"/>
  <c r="D13" i="15"/>
  <c r="D9" i="15"/>
  <c r="F9" i="15" s="1"/>
  <c r="H15" i="15" l="1"/>
  <c r="J15" i="15" s="1"/>
  <c r="N7" i="15"/>
  <c r="F508" i="11" l="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B30" i="11"/>
  <c r="D18" i="12" s="1"/>
  <c r="B29" i="11"/>
  <c r="D8" i="12" s="1"/>
  <c r="B28" i="11"/>
  <c r="D7" i="12" s="1"/>
  <c r="B27" i="11"/>
  <c r="D6" i="12" s="1"/>
  <c r="B26" i="11"/>
  <c r="B25" i="11"/>
  <c r="D30" i="12" s="1"/>
  <c r="B24" i="11"/>
  <c r="D25" i="12" s="1"/>
  <c r="B23" i="11"/>
  <c r="D20" i="12" s="1"/>
  <c r="B22" i="11"/>
  <c r="D29" i="12" s="1"/>
  <c r="B21" i="11"/>
  <c r="D33" i="12" s="1"/>
  <c r="B20" i="11"/>
  <c r="D26" i="12" s="1"/>
  <c r="B19" i="11"/>
  <c r="D21" i="12" s="1"/>
  <c r="B18" i="11"/>
  <c r="D4" i="12" s="1"/>
  <c r="B17" i="11"/>
  <c r="D34" i="12" s="1"/>
  <c r="B16" i="11"/>
  <c r="D9" i="12" s="1"/>
  <c r="B15" i="11"/>
  <c r="D22" i="12" s="1"/>
  <c r="B14" i="11"/>
  <c r="D11" i="12" s="1"/>
  <c r="B13" i="11"/>
  <c r="D13" i="12" s="1"/>
  <c r="B12" i="11"/>
  <c r="D10" i="12" s="1"/>
  <c r="B11" i="11"/>
  <c r="D27" i="12" s="1"/>
  <c r="B10" i="11"/>
  <c r="D31" i="12" s="1"/>
  <c r="B9" i="11"/>
  <c r="D24" i="12" s="1"/>
  <c r="B8" i="11"/>
  <c r="D5" i="12" s="1"/>
  <c r="B7" i="11"/>
  <c r="D16" i="12" s="1"/>
  <c r="B6" i="11"/>
  <c r="D14" i="12" s="1"/>
  <c r="B5" i="11"/>
  <c r="D17" i="12" s="1"/>
  <c r="B4" i="11"/>
  <c r="D12" i="12" s="1"/>
  <c r="B3" i="11"/>
  <c r="D3" i="12" s="1"/>
  <c r="F5" i="12"/>
  <c r="F575" i="12"/>
  <c r="F388" i="12"/>
  <c r="F258" i="12"/>
  <c r="F217" i="12"/>
  <c r="F173" i="12"/>
  <c r="F158" i="12"/>
  <c r="F120" i="12"/>
  <c r="F112" i="12"/>
  <c r="F93" i="12"/>
  <c r="F66" i="12"/>
  <c r="F33" i="12"/>
  <c r="F21" i="12"/>
  <c r="F587" i="12"/>
  <c r="F464" i="12"/>
  <c r="F387" i="12"/>
  <c r="F281" i="12"/>
  <c r="F179" i="12"/>
  <c r="F153" i="12"/>
  <c r="F109" i="12"/>
  <c r="F35" i="12"/>
  <c r="F9" i="12"/>
  <c r="F358" i="12"/>
  <c r="F272" i="12"/>
  <c r="F256" i="12"/>
  <c r="F202" i="12"/>
  <c r="F152" i="12"/>
  <c r="F127" i="12"/>
  <c r="F108" i="12"/>
  <c r="F92" i="12"/>
  <c r="F60" i="12"/>
  <c r="F47" i="12"/>
  <c r="F29" i="12"/>
  <c r="F14" i="12"/>
  <c r="F106" i="12"/>
  <c r="F55" i="12"/>
  <c r="F564" i="12"/>
  <c r="F454" i="12"/>
  <c r="F525" i="12"/>
  <c r="F380" i="12"/>
  <c r="F154" i="12"/>
  <c r="F134" i="12"/>
  <c r="F107" i="12"/>
  <c r="F86" i="12"/>
  <c r="F51" i="12"/>
  <c r="F4" i="12"/>
  <c r="F574" i="12"/>
  <c r="F524" i="12"/>
  <c r="F511" i="12"/>
  <c r="F487" i="12"/>
  <c r="F452" i="12"/>
  <c r="F418" i="12"/>
  <c r="F369" i="12"/>
  <c r="F264" i="12"/>
  <c r="F206" i="12"/>
  <c r="F171" i="12"/>
  <c r="F133" i="12"/>
  <c r="F102" i="12"/>
  <c r="F80" i="12"/>
  <c r="F30" i="12"/>
  <c r="F533" i="12"/>
  <c r="F476" i="12"/>
  <c r="F430" i="12"/>
  <c r="F351" i="12"/>
  <c r="F324" i="12"/>
  <c r="F310" i="12"/>
  <c r="F239" i="12"/>
  <c r="F147" i="12"/>
  <c r="F125" i="12"/>
  <c r="F88" i="12"/>
  <c r="F79" i="12"/>
  <c r="F2" i="12"/>
  <c r="D144" i="16" l="1"/>
  <c r="D155" i="16"/>
  <c r="D184" i="16"/>
  <c r="D117" i="16"/>
  <c r="D137" i="16"/>
  <c r="D149" i="16"/>
  <c r="D168" i="16"/>
  <c r="D131" i="16"/>
  <c r="D159" i="16"/>
  <c r="D138" i="16"/>
  <c r="D150" i="16"/>
  <c r="D160" i="16"/>
  <c r="D190" i="16"/>
  <c r="D121" i="16"/>
  <c r="D152" i="16"/>
  <c r="D198" i="16"/>
  <c r="D114" i="16"/>
  <c r="D199" i="16"/>
  <c r="D146" i="16"/>
  <c r="D147" i="16"/>
  <c r="D177" i="16"/>
  <c r="D161" i="16"/>
  <c r="D178" i="16"/>
  <c r="D141" i="16"/>
  <c r="D192" i="16"/>
  <c r="D125" i="16"/>
  <c r="D142" i="16"/>
  <c r="D163" i="16"/>
  <c r="D179" i="16"/>
  <c r="D193" i="16"/>
  <c r="D196" i="16"/>
  <c r="D153" i="16"/>
  <c r="D122" i="16"/>
  <c r="D200" i="16"/>
  <c r="D134" i="16"/>
  <c r="D185" i="16"/>
  <c r="D110" i="16"/>
  <c r="D118" i="16"/>
  <c r="D119" i="16"/>
  <c r="D120" i="16"/>
  <c r="D140" i="16"/>
  <c r="D162" i="16"/>
  <c r="D124" i="16"/>
  <c r="D111" i="16"/>
  <c r="D126" i="16"/>
  <c r="D151" i="16"/>
  <c r="D164" i="16"/>
  <c r="D170" i="16"/>
  <c r="D180" i="16"/>
  <c r="D194" i="16"/>
  <c r="D112" i="16"/>
  <c r="D128" i="16"/>
  <c r="D197" i="16"/>
  <c r="D113" i="16"/>
  <c r="D172" i="16"/>
  <c r="D181" i="16"/>
  <c r="D132" i="16"/>
  <c r="D154" i="16"/>
  <c r="D129" i="16"/>
  <c r="D133" i="16"/>
  <c r="D145" i="16"/>
  <c r="D165" i="16"/>
  <c r="D182" i="16"/>
  <c r="D115" i="16"/>
  <c r="D156" i="16"/>
  <c r="D183" i="16"/>
  <c r="D135" i="16"/>
  <c r="D157" i="16"/>
  <c r="D158" i="16"/>
  <c r="D173" i="16"/>
  <c r="D123" i="16"/>
  <c r="D148" i="16"/>
  <c r="D174" i="16"/>
  <c r="D116" i="16"/>
  <c r="D136" i="16"/>
  <c r="D175" i="16"/>
  <c r="D186" i="16"/>
  <c r="D130" i="16"/>
  <c r="D166" i="16"/>
  <c r="D176" i="16"/>
  <c r="D187" i="16"/>
  <c r="D167" i="16"/>
  <c r="D188" i="16"/>
  <c r="D189" i="16"/>
  <c r="D139" i="16"/>
  <c r="D191" i="16"/>
  <c r="D169" i="16"/>
  <c r="D127" i="16"/>
  <c r="D143" i="16"/>
  <c r="D171" i="16"/>
  <c r="D195" i="16"/>
  <c r="D15" i="16"/>
  <c r="D35" i="16"/>
  <c r="D55" i="16"/>
  <c r="D48" i="16"/>
  <c r="D88" i="16"/>
  <c r="D86" i="16"/>
  <c r="D80" i="16"/>
  <c r="D16" i="16"/>
  <c r="D92" i="16"/>
  <c r="D49" i="16"/>
  <c r="D81" i="16"/>
  <c r="D5" i="16"/>
  <c r="D36" i="16"/>
  <c r="D97" i="16"/>
  <c r="D72" i="16"/>
  <c r="D39" i="16"/>
  <c r="D75" i="16"/>
  <c r="D6" i="16"/>
  <c r="D30" i="16"/>
  <c r="D70" i="16"/>
  <c r="D77" i="16"/>
  <c r="D107" i="16"/>
  <c r="D25" i="16"/>
  <c r="D90" i="16"/>
  <c r="D38" i="16"/>
  <c r="D40" i="16"/>
  <c r="D52" i="16"/>
  <c r="D105" i="16"/>
  <c r="D95" i="16"/>
  <c r="D19" i="16"/>
  <c r="D56" i="16"/>
  <c r="D101" i="16"/>
  <c r="D10" i="16"/>
  <c r="D109" i="16"/>
  <c r="D93" i="16"/>
  <c r="D17" i="16"/>
  <c r="D94" i="16"/>
  <c r="D51" i="16"/>
  <c r="D91" i="16"/>
  <c r="D11" i="16"/>
  <c r="D106" i="16"/>
  <c r="D4" i="16"/>
  <c r="D12" i="16"/>
  <c r="D64" i="16"/>
  <c r="D3" i="16"/>
  <c r="D13" i="16"/>
  <c r="D103" i="16"/>
  <c r="D104" i="16"/>
  <c r="D29" i="16"/>
  <c r="D68" i="16"/>
  <c r="D99" i="16"/>
  <c r="D20" i="16"/>
  <c r="D102" i="16"/>
  <c r="D58" i="16"/>
  <c r="D100" i="16"/>
  <c r="D21" i="16"/>
  <c r="D69" i="16"/>
  <c r="D60" i="16"/>
  <c r="D83" i="16"/>
  <c r="D22" i="16"/>
  <c r="D37" i="16"/>
  <c r="D45" i="16"/>
  <c r="D61" i="16"/>
  <c r="D73" i="16"/>
  <c r="D74" i="16"/>
  <c r="D76" i="16"/>
  <c r="D7" i="16"/>
  <c r="D41" i="16"/>
  <c r="D63" i="16"/>
  <c r="D8" i="16"/>
  <c r="D33" i="16"/>
  <c r="D32" i="16"/>
  <c r="D82" i="16"/>
  <c r="D59" i="16"/>
  <c r="D79" i="16"/>
  <c r="D9" i="16"/>
  <c r="D34" i="16"/>
  <c r="D66" i="16"/>
  <c r="D47" i="16"/>
  <c r="D87" i="16"/>
  <c r="D85" i="16"/>
  <c r="D23" i="16"/>
  <c r="D42" i="16"/>
  <c r="D50" i="16"/>
  <c r="D43" i="16"/>
  <c r="D53" i="16"/>
  <c r="D65" i="16"/>
  <c r="D24" i="16"/>
  <c r="D44" i="16"/>
  <c r="D108" i="16"/>
  <c r="D84" i="16"/>
  <c r="D98" i="16"/>
  <c r="D26" i="16"/>
  <c r="D71" i="16"/>
  <c r="D54" i="16"/>
  <c r="D89" i="16"/>
  <c r="D27" i="16"/>
  <c r="D78" i="16"/>
  <c r="D96" i="16"/>
  <c r="D14" i="16"/>
  <c r="D2" i="12"/>
  <c r="D28" i="16"/>
  <c r="D67" i="16"/>
  <c r="D57" i="16"/>
  <c r="D2" i="16"/>
  <c r="D18" i="16"/>
  <c r="D31" i="16"/>
  <c r="D46" i="16"/>
  <c r="D62" i="16"/>
  <c r="D6" i="15"/>
  <c r="D8" i="15"/>
  <c r="D11" i="15"/>
  <c r="D10" i="15"/>
  <c r="D7" i="15"/>
  <c r="G232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" i="16"/>
  <c r="G1" i="13"/>
  <c r="D15" i="15" l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3" i="11"/>
  <c r="K7" i="15" l="1"/>
  <c r="I4" i="11" l="1"/>
  <c r="N4" i="11" s="1"/>
  <c r="I5" i="11"/>
  <c r="N5" i="11" s="1"/>
  <c r="I6" i="11"/>
  <c r="N6" i="11" s="1"/>
  <c r="I7" i="11"/>
  <c r="N7" i="11" s="1"/>
  <c r="I8" i="11"/>
  <c r="N8" i="11" s="1"/>
  <c r="I9" i="11"/>
  <c r="N9" i="11" s="1"/>
  <c r="I10" i="11"/>
  <c r="N10" i="11" s="1"/>
  <c r="I11" i="11"/>
  <c r="N11" i="11" s="1"/>
  <c r="I12" i="11"/>
  <c r="N12" i="11" s="1"/>
  <c r="I13" i="11"/>
  <c r="N13" i="11" s="1"/>
  <c r="I14" i="11"/>
  <c r="N14" i="11" s="1"/>
  <c r="I15" i="11"/>
  <c r="N15" i="11" s="1"/>
  <c r="I16" i="11"/>
  <c r="N16" i="11" s="1"/>
  <c r="I17" i="11"/>
  <c r="N17" i="11" s="1"/>
  <c r="I18" i="11"/>
  <c r="N18" i="11" s="1"/>
  <c r="I19" i="11"/>
  <c r="N19" i="11" s="1"/>
  <c r="I20" i="11"/>
  <c r="N20" i="11" s="1"/>
  <c r="I21" i="11"/>
  <c r="N21" i="11" s="1"/>
  <c r="I22" i="11"/>
  <c r="N22" i="11" s="1"/>
  <c r="I23" i="11"/>
  <c r="N23" i="11" s="1"/>
  <c r="I24" i="11"/>
  <c r="N24" i="11" s="1"/>
  <c r="I25" i="11"/>
  <c r="N25" i="11" s="1"/>
  <c r="I26" i="11"/>
  <c r="N26" i="11" s="1"/>
  <c r="I27" i="11"/>
  <c r="N27" i="11" s="1"/>
  <c r="I28" i="11"/>
  <c r="N28" i="11" s="1"/>
  <c r="I29" i="11"/>
  <c r="N29" i="11" s="1"/>
  <c r="I30" i="11"/>
  <c r="N30" i="11" s="1"/>
  <c r="I31" i="11"/>
  <c r="N31" i="11" s="1"/>
  <c r="I32" i="11"/>
  <c r="N32" i="11" s="1"/>
  <c r="I33" i="11"/>
  <c r="N33" i="11" s="1"/>
  <c r="I34" i="11"/>
  <c r="N34" i="11" s="1"/>
  <c r="I35" i="11"/>
  <c r="N35" i="11" s="1"/>
  <c r="I36" i="11"/>
  <c r="N36" i="11" s="1"/>
  <c r="I37" i="11"/>
  <c r="N37" i="11" s="1"/>
  <c r="I38" i="11"/>
  <c r="N38" i="11" s="1"/>
  <c r="I39" i="11"/>
  <c r="N39" i="11" s="1"/>
  <c r="I40" i="11"/>
  <c r="N40" i="11" s="1"/>
  <c r="I41" i="11"/>
  <c r="N41" i="11" s="1"/>
  <c r="I42" i="11"/>
  <c r="N42" i="11" s="1"/>
  <c r="I43" i="11"/>
  <c r="N43" i="11" s="1"/>
  <c r="I44" i="11"/>
  <c r="N44" i="11" s="1"/>
  <c r="I45" i="11"/>
  <c r="N45" i="11" s="1"/>
  <c r="I46" i="11"/>
  <c r="N46" i="11" s="1"/>
  <c r="I47" i="11"/>
  <c r="N47" i="11" s="1"/>
  <c r="I48" i="11"/>
  <c r="N48" i="11" s="1"/>
  <c r="I49" i="11"/>
  <c r="N49" i="11" s="1"/>
  <c r="I50" i="11"/>
  <c r="N50" i="11" s="1"/>
  <c r="I51" i="11"/>
  <c r="N51" i="11" s="1"/>
  <c r="I52" i="11"/>
  <c r="N52" i="11" s="1"/>
  <c r="I53" i="11"/>
  <c r="N53" i="11" s="1"/>
  <c r="I54" i="11"/>
  <c r="N54" i="11" s="1"/>
  <c r="I55" i="11"/>
  <c r="N55" i="11" s="1"/>
  <c r="I56" i="11"/>
  <c r="N56" i="11" s="1"/>
  <c r="I57" i="11"/>
  <c r="N57" i="11" s="1"/>
  <c r="I58" i="11"/>
  <c r="N58" i="11" s="1"/>
  <c r="I59" i="11"/>
  <c r="N59" i="11" s="1"/>
  <c r="I60" i="11"/>
  <c r="N60" i="11" s="1"/>
  <c r="I61" i="11"/>
  <c r="N61" i="11" s="1"/>
  <c r="I62" i="11"/>
  <c r="N62" i="11" s="1"/>
  <c r="I63" i="11"/>
  <c r="N63" i="11" s="1"/>
  <c r="I64" i="11"/>
  <c r="N64" i="11" s="1"/>
  <c r="I65" i="11"/>
  <c r="N65" i="11" s="1"/>
  <c r="I66" i="11"/>
  <c r="N66" i="11" s="1"/>
  <c r="I67" i="11"/>
  <c r="N67" i="11" s="1"/>
  <c r="I68" i="11"/>
  <c r="N68" i="11" s="1"/>
  <c r="I69" i="11"/>
  <c r="N69" i="11" s="1"/>
  <c r="I70" i="11"/>
  <c r="N70" i="11" s="1"/>
  <c r="I71" i="11"/>
  <c r="N71" i="11" s="1"/>
  <c r="I72" i="11"/>
  <c r="N72" i="11" s="1"/>
  <c r="I73" i="11"/>
  <c r="N73" i="11" s="1"/>
  <c r="I74" i="11"/>
  <c r="N74" i="11" s="1"/>
  <c r="I75" i="11"/>
  <c r="N75" i="11" s="1"/>
  <c r="I76" i="11"/>
  <c r="N76" i="11" s="1"/>
  <c r="I77" i="11"/>
  <c r="N77" i="11" s="1"/>
  <c r="I78" i="11"/>
  <c r="N78" i="11" s="1"/>
  <c r="I79" i="11"/>
  <c r="N79" i="11" s="1"/>
  <c r="I80" i="11"/>
  <c r="N80" i="11" s="1"/>
  <c r="I81" i="11"/>
  <c r="N81" i="11" s="1"/>
  <c r="I82" i="11"/>
  <c r="N82" i="11" s="1"/>
  <c r="I83" i="11"/>
  <c r="N83" i="11" s="1"/>
  <c r="I84" i="11"/>
  <c r="N84" i="11" s="1"/>
  <c r="I85" i="11"/>
  <c r="N85" i="11" s="1"/>
  <c r="I86" i="11"/>
  <c r="N86" i="11" s="1"/>
  <c r="I87" i="11"/>
  <c r="N87" i="11" s="1"/>
  <c r="I88" i="11"/>
  <c r="N88" i="11" s="1"/>
  <c r="I89" i="11"/>
  <c r="N89" i="11" s="1"/>
  <c r="I90" i="11"/>
  <c r="N90" i="11" s="1"/>
  <c r="I91" i="11"/>
  <c r="N91" i="11" s="1"/>
  <c r="I92" i="11"/>
  <c r="N92" i="11" s="1"/>
  <c r="I93" i="11"/>
  <c r="N93" i="11" s="1"/>
  <c r="I94" i="11"/>
  <c r="N94" i="11" s="1"/>
  <c r="I95" i="11"/>
  <c r="N95" i="11" s="1"/>
  <c r="I96" i="11"/>
  <c r="N96" i="11" s="1"/>
  <c r="I97" i="11"/>
  <c r="N97" i="11" s="1"/>
  <c r="I98" i="11"/>
  <c r="N98" i="11" s="1"/>
  <c r="I99" i="11"/>
  <c r="N99" i="11" s="1"/>
  <c r="I100" i="11"/>
  <c r="N100" i="11" s="1"/>
  <c r="I101" i="11"/>
  <c r="N101" i="11" s="1"/>
  <c r="I102" i="11"/>
  <c r="N102" i="11" s="1"/>
  <c r="I103" i="11"/>
  <c r="N103" i="11" s="1"/>
  <c r="I104" i="11"/>
  <c r="N104" i="11" s="1"/>
  <c r="I105" i="11"/>
  <c r="N105" i="11" s="1"/>
  <c r="I106" i="11"/>
  <c r="N106" i="11" s="1"/>
  <c r="I107" i="11"/>
  <c r="N107" i="11" s="1"/>
  <c r="I108" i="11"/>
  <c r="N108" i="11" s="1"/>
  <c r="I109" i="11"/>
  <c r="N109" i="11" s="1"/>
  <c r="I110" i="11"/>
  <c r="N110" i="11" s="1"/>
  <c r="I111" i="11"/>
  <c r="N111" i="11" s="1"/>
  <c r="I112" i="11"/>
  <c r="N112" i="11" s="1"/>
  <c r="I113" i="11"/>
  <c r="N113" i="11" s="1"/>
  <c r="I114" i="11"/>
  <c r="N114" i="11" s="1"/>
  <c r="I115" i="11"/>
  <c r="N115" i="11" s="1"/>
  <c r="I116" i="11"/>
  <c r="N116" i="11" s="1"/>
  <c r="I117" i="11"/>
  <c r="N117" i="11" s="1"/>
  <c r="I118" i="11"/>
  <c r="N118" i="11" s="1"/>
  <c r="I119" i="11"/>
  <c r="N119" i="11" s="1"/>
  <c r="I120" i="11"/>
  <c r="N120" i="11" s="1"/>
  <c r="I121" i="11"/>
  <c r="N121" i="11" s="1"/>
  <c r="I122" i="11"/>
  <c r="N122" i="11" s="1"/>
  <c r="I123" i="11"/>
  <c r="N123" i="11" s="1"/>
  <c r="I124" i="11"/>
  <c r="N124" i="11" s="1"/>
  <c r="I125" i="11"/>
  <c r="N125" i="11" s="1"/>
  <c r="I126" i="11"/>
  <c r="N126" i="11" s="1"/>
  <c r="I127" i="11"/>
  <c r="N127" i="11" s="1"/>
  <c r="I128" i="11"/>
  <c r="N128" i="11" s="1"/>
  <c r="I129" i="11"/>
  <c r="N129" i="11" s="1"/>
  <c r="I130" i="11"/>
  <c r="N130" i="11" s="1"/>
  <c r="I131" i="11"/>
  <c r="N131" i="11" s="1"/>
  <c r="I132" i="11"/>
  <c r="N132" i="11" s="1"/>
  <c r="I133" i="11"/>
  <c r="N133" i="11" s="1"/>
  <c r="I134" i="11"/>
  <c r="N134" i="11" s="1"/>
  <c r="I135" i="11"/>
  <c r="N135" i="11" s="1"/>
  <c r="I136" i="11"/>
  <c r="N136" i="11" s="1"/>
  <c r="I137" i="11"/>
  <c r="N137" i="11" s="1"/>
  <c r="I138" i="11"/>
  <c r="N138" i="11" s="1"/>
  <c r="I139" i="11"/>
  <c r="N139" i="11" s="1"/>
  <c r="I140" i="11"/>
  <c r="N140" i="11" s="1"/>
  <c r="I141" i="11"/>
  <c r="N141" i="11" s="1"/>
  <c r="I142" i="11"/>
  <c r="N142" i="11" s="1"/>
  <c r="I143" i="11"/>
  <c r="N143" i="11" s="1"/>
  <c r="I144" i="11"/>
  <c r="N144" i="11" s="1"/>
  <c r="I145" i="11"/>
  <c r="N145" i="11" s="1"/>
  <c r="I146" i="11"/>
  <c r="N146" i="11" s="1"/>
  <c r="I147" i="11"/>
  <c r="N147" i="11" s="1"/>
  <c r="I148" i="11"/>
  <c r="N148" i="11" s="1"/>
  <c r="I149" i="11"/>
  <c r="N149" i="11" s="1"/>
  <c r="I150" i="11"/>
  <c r="N150" i="11" s="1"/>
  <c r="I151" i="11"/>
  <c r="N151" i="11" s="1"/>
  <c r="I152" i="11"/>
  <c r="N152" i="11" s="1"/>
  <c r="I153" i="11"/>
  <c r="N153" i="11" s="1"/>
  <c r="I154" i="11"/>
  <c r="N154" i="11" s="1"/>
  <c r="I155" i="11"/>
  <c r="N155" i="11" s="1"/>
  <c r="I156" i="11"/>
  <c r="N156" i="11" s="1"/>
  <c r="I157" i="11"/>
  <c r="N157" i="11" s="1"/>
  <c r="I158" i="11"/>
  <c r="N158" i="11" s="1"/>
  <c r="I159" i="11"/>
  <c r="N159" i="11" s="1"/>
  <c r="I160" i="11"/>
  <c r="N160" i="11" s="1"/>
  <c r="I161" i="11"/>
  <c r="N161" i="11" s="1"/>
  <c r="I162" i="11"/>
  <c r="N162" i="11" s="1"/>
  <c r="I163" i="11"/>
  <c r="N163" i="11" s="1"/>
  <c r="I164" i="11"/>
  <c r="N164" i="11" s="1"/>
  <c r="I165" i="11"/>
  <c r="N165" i="11" s="1"/>
  <c r="I166" i="11"/>
  <c r="N166" i="11" s="1"/>
  <c r="I167" i="11"/>
  <c r="N167" i="11" s="1"/>
  <c r="I168" i="11"/>
  <c r="N168" i="11" s="1"/>
  <c r="I169" i="11"/>
  <c r="N169" i="11" s="1"/>
  <c r="I170" i="11"/>
  <c r="N170" i="11" s="1"/>
  <c r="I171" i="11"/>
  <c r="N171" i="11" s="1"/>
  <c r="I172" i="11"/>
  <c r="N172" i="11" s="1"/>
  <c r="I173" i="11"/>
  <c r="N173" i="11" s="1"/>
  <c r="I174" i="11"/>
  <c r="N174" i="11" s="1"/>
  <c r="I175" i="11"/>
  <c r="N175" i="11" s="1"/>
  <c r="I176" i="11"/>
  <c r="N176" i="11" s="1"/>
  <c r="I177" i="11"/>
  <c r="N177" i="11" s="1"/>
  <c r="I178" i="11"/>
  <c r="N178" i="11" s="1"/>
  <c r="I179" i="11"/>
  <c r="N179" i="11" s="1"/>
  <c r="I180" i="11"/>
  <c r="N180" i="11" s="1"/>
  <c r="I181" i="11"/>
  <c r="N181" i="11" s="1"/>
  <c r="I182" i="11"/>
  <c r="N182" i="11" s="1"/>
  <c r="I183" i="11"/>
  <c r="N183" i="11" s="1"/>
  <c r="I184" i="11"/>
  <c r="N184" i="11" s="1"/>
  <c r="I185" i="11"/>
  <c r="N185" i="11" s="1"/>
  <c r="I186" i="11"/>
  <c r="N186" i="11" s="1"/>
  <c r="I187" i="11"/>
  <c r="N187" i="11" s="1"/>
  <c r="I188" i="11"/>
  <c r="N188" i="11" s="1"/>
  <c r="I189" i="11"/>
  <c r="N189" i="11" s="1"/>
  <c r="I190" i="11"/>
  <c r="N190" i="11" s="1"/>
  <c r="I191" i="11"/>
  <c r="N191" i="11" s="1"/>
  <c r="I192" i="11"/>
  <c r="N192" i="11" s="1"/>
  <c r="I193" i="11"/>
  <c r="N193" i="11" s="1"/>
  <c r="I194" i="11"/>
  <c r="N194" i="11" s="1"/>
  <c r="I195" i="11"/>
  <c r="N195" i="11" s="1"/>
  <c r="I196" i="11"/>
  <c r="N196" i="11" s="1"/>
  <c r="I197" i="11"/>
  <c r="N197" i="11" s="1"/>
  <c r="I198" i="11"/>
  <c r="N198" i="11" s="1"/>
  <c r="I199" i="11"/>
  <c r="N199" i="11" s="1"/>
  <c r="I200" i="11"/>
  <c r="N200" i="11" s="1"/>
  <c r="I201" i="11"/>
  <c r="N201" i="11" s="1"/>
  <c r="I202" i="11"/>
  <c r="N202" i="11" s="1"/>
  <c r="I203" i="11"/>
  <c r="N203" i="11" s="1"/>
  <c r="I204" i="11"/>
  <c r="N204" i="11" s="1"/>
  <c r="I205" i="11"/>
  <c r="N205" i="11" s="1"/>
  <c r="I206" i="11"/>
  <c r="N206" i="11" s="1"/>
  <c r="I207" i="11"/>
  <c r="N207" i="11" s="1"/>
  <c r="I208" i="11"/>
  <c r="N208" i="11" s="1"/>
  <c r="I209" i="11"/>
  <c r="N209" i="11" s="1"/>
  <c r="I210" i="11"/>
  <c r="N210" i="11" s="1"/>
  <c r="I211" i="11"/>
  <c r="N211" i="11" s="1"/>
  <c r="I212" i="11"/>
  <c r="N212" i="11" s="1"/>
  <c r="I213" i="11"/>
  <c r="N213" i="11" s="1"/>
  <c r="I214" i="11"/>
  <c r="N214" i="11" s="1"/>
  <c r="I215" i="11"/>
  <c r="N215" i="11" s="1"/>
  <c r="I216" i="11"/>
  <c r="N216" i="11" s="1"/>
  <c r="I217" i="11"/>
  <c r="N217" i="11" s="1"/>
  <c r="I218" i="11"/>
  <c r="N218" i="11" s="1"/>
  <c r="I219" i="11"/>
  <c r="N219" i="11" s="1"/>
  <c r="I220" i="11"/>
  <c r="N220" i="11" s="1"/>
  <c r="I221" i="11"/>
  <c r="N221" i="11" s="1"/>
  <c r="I222" i="11"/>
  <c r="N222" i="11" s="1"/>
  <c r="I223" i="11"/>
  <c r="N223" i="11" s="1"/>
  <c r="I224" i="11"/>
  <c r="N224" i="11" s="1"/>
  <c r="I225" i="11"/>
  <c r="N225" i="11" s="1"/>
  <c r="I226" i="11"/>
  <c r="N226" i="11" s="1"/>
  <c r="I227" i="11"/>
  <c r="N227" i="11" s="1"/>
  <c r="I228" i="11"/>
  <c r="N228" i="11" s="1"/>
  <c r="I229" i="11"/>
  <c r="N229" i="11" s="1"/>
  <c r="I230" i="11"/>
  <c r="N230" i="11" s="1"/>
  <c r="I231" i="11"/>
  <c r="N231" i="11" s="1"/>
  <c r="I232" i="11"/>
  <c r="N232" i="11" s="1"/>
  <c r="I233" i="11"/>
  <c r="N233" i="11" s="1"/>
  <c r="I234" i="11"/>
  <c r="N234" i="11" s="1"/>
  <c r="I235" i="11"/>
  <c r="N235" i="11" s="1"/>
  <c r="I236" i="11"/>
  <c r="N236" i="11" s="1"/>
  <c r="I237" i="11"/>
  <c r="N237" i="11" s="1"/>
  <c r="I238" i="11"/>
  <c r="N238" i="11" s="1"/>
  <c r="I239" i="11"/>
  <c r="N239" i="11" s="1"/>
  <c r="I240" i="11"/>
  <c r="N240" i="11" s="1"/>
  <c r="I241" i="11"/>
  <c r="N241" i="11" s="1"/>
  <c r="I242" i="11"/>
  <c r="N242" i="11" s="1"/>
  <c r="I243" i="11"/>
  <c r="N243" i="11" s="1"/>
  <c r="I244" i="11"/>
  <c r="N244" i="11" s="1"/>
  <c r="I245" i="11"/>
  <c r="N245" i="11" s="1"/>
  <c r="I246" i="11"/>
  <c r="N246" i="11" s="1"/>
  <c r="I247" i="11"/>
  <c r="N247" i="11" s="1"/>
  <c r="I248" i="11"/>
  <c r="N248" i="11" s="1"/>
  <c r="I249" i="11"/>
  <c r="N249" i="11" s="1"/>
  <c r="I250" i="11"/>
  <c r="N250" i="11" s="1"/>
  <c r="I251" i="11"/>
  <c r="N251" i="11" s="1"/>
  <c r="I252" i="11"/>
  <c r="N252" i="11" s="1"/>
  <c r="I253" i="11"/>
  <c r="N253" i="11" s="1"/>
  <c r="I254" i="11"/>
  <c r="N254" i="11" s="1"/>
  <c r="I255" i="11"/>
  <c r="N255" i="11" s="1"/>
  <c r="I256" i="11"/>
  <c r="N256" i="11" s="1"/>
  <c r="I257" i="11"/>
  <c r="N257" i="11" s="1"/>
  <c r="I258" i="11"/>
  <c r="N258" i="11" s="1"/>
  <c r="I259" i="11"/>
  <c r="N259" i="11" s="1"/>
  <c r="I260" i="11"/>
  <c r="N260" i="11" s="1"/>
  <c r="I261" i="11"/>
  <c r="N261" i="11" s="1"/>
  <c r="I262" i="11"/>
  <c r="N262" i="11" s="1"/>
  <c r="I263" i="11"/>
  <c r="N263" i="11" s="1"/>
  <c r="I264" i="11"/>
  <c r="N264" i="11" s="1"/>
  <c r="I265" i="11"/>
  <c r="N265" i="11" s="1"/>
  <c r="I266" i="11"/>
  <c r="N266" i="11" s="1"/>
  <c r="I267" i="11"/>
  <c r="N267" i="11" s="1"/>
  <c r="I268" i="11"/>
  <c r="N268" i="11" s="1"/>
  <c r="I269" i="11"/>
  <c r="N269" i="11" s="1"/>
  <c r="I270" i="11"/>
  <c r="N270" i="11" s="1"/>
  <c r="I271" i="11"/>
  <c r="N271" i="11" s="1"/>
  <c r="I272" i="11"/>
  <c r="N272" i="11" s="1"/>
  <c r="I273" i="11"/>
  <c r="N273" i="11" s="1"/>
  <c r="I274" i="11"/>
  <c r="N274" i="11" s="1"/>
  <c r="I275" i="11"/>
  <c r="N275" i="11" s="1"/>
  <c r="I276" i="11"/>
  <c r="N276" i="11" s="1"/>
  <c r="I277" i="11"/>
  <c r="N277" i="11" s="1"/>
  <c r="I278" i="11"/>
  <c r="N278" i="11" s="1"/>
  <c r="I279" i="11"/>
  <c r="N279" i="11" s="1"/>
  <c r="I280" i="11"/>
  <c r="N280" i="11" s="1"/>
  <c r="I281" i="11"/>
  <c r="N281" i="11" s="1"/>
  <c r="I282" i="11"/>
  <c r="N282" i="11" s="1"/>
  <c r="I283" i="11"/>
  <c r="N283" i="11" s="1"/>
  <c r="I284" i="11"/>
  <c r="N284" i="11" s="1"/>
  <c r="I285" i="11"/>
  <c r="N285" i="11" s="1"/>
  <c r="I286" i="11"/>
  <c r="N286" i="11" s="1"/>
  <c r="I287" i="11"/>
  <c r="N287" i="11" s="1"/>
  <c r="I288" i="11"/>
  <c r="N288" i="11" s="1"/>
  <c r="I289" i="11"/>
  <c r="N289" i="11" s="1"/>
  <c r="I290" i="11"/>
  <c r="N290" i="11" s="1"/>
  <c r="I291" i="11"/>
  <c r="N291" i="11" s="1"/>
  <c r="I292" i="11"/>
  <c r="N292" i="11" s="1"/>
  <c r="I293" i="11"/>
  <c r="N293" i="11" s="1"/>
  <c r="I294" i="11"/>
  <c r="N294" i="11" s="1"/>
  <c r="I295" i="11"/>
  <c r="N295" i="11" s="1"/>
  <c r="I296" i="11"/>
  <c r="N296" i="11" s="1"/>
  <c r="I297" i="11"/>
  <c r="N297" i="11" s="1"/>
  <c r="I298" i="11"/>
  <c r="N298" i="11" s="1"/>
  <c r="I299" i="11"/>
  <c r="N299" i="11" s="1"/>
  <c r="I300" i="11"/>
  <c r="N300" i="11" s="1"/>
  <c r="I301" i="11"/>
  <c r="N301" i="11" s="1"/>
  <c r="I302" i="11"/>
  <c r="N302" i="11" s="1"/>
  <c r="I303" i="11"/>
  <c r="N303" i="11" s="1"/>
  <c r="I304" i="11"/>
  <c r="N304" i="11" s="1"/>
  <c r="I305" i="11"/>
  <c r="N305" i="11" s="1"/>
  <c r="I306" i="11"/>
  <c r="N306" i="11" s="1"/>
  <c r="I307" i="11"/>
  <c r="N307" i="11" s="1"/>
  <c r="I308" i="11"/>
  <c r="N308" i="11" s="1"/>
  <c r="I309" i="11"/>
  <c r="N309" i="11" s="1"/>
  <c r="I310" i="11"/>
  <c r="N310" i="11" s="1"/>
  <c r="I311" i="11"/>
  <c r="N311" i="11" s="1"/>
  <c r="I312" i="11"/>
  <c r="N312" i="11" s="1"/>
  <c r="I313" i="11"/>
  <c r="N313" i="11" s="1"/>
  <c r="I314" i="11"/>
  <c r="N314" i="11" s="1"/>
  <c r="I315" i="11"/>
  <c r="N315" i="11" s="1"/>
  <c r="I316" i="11"/>
  <c r="N316" i="11" s="1"/>
  <c r="I317" i="11"/>
  <c r="N317" i="11" s="1"/>
  <c r="I318" i="11"/>
  <c r="N318" i="11" s="1"/>
  <c r="I319" i="11"/>
  <c r="N319" i="11" s="1"/>
  <c r="I320" i="11"/>
  <c r="N320" i="11" s="1"/>
  <c r="I321" i="11"/>
  <c r="N321" i="11" s="1"/>
  <c r="I322" i="11"/>
  <c r="N322" i="11" s="1"/>
  <c r="I323" i="11"/>
  <c r="N323" i="11" s="1"/>
  <c r="I324" i="11"/>
  <c r="N324" i="11" s="1"/>
  <c r="I325" i="11"/>
  <c r="N325" i="11" s="1"/>
  <c r="I326" i="11"/>
  <c r="N326" i="11" s="1"/>
  <c r="I327" i="11"/>
  <c r="N327" i="11" s="1"/>
  <c r="I328" i="11"/>
  <c r="N328" i="11" s="1"/>
  <c r="I329" i="11"/>
  <c r="N329" i="11" s="1"/>
  <c r="I330" i="11"/>
  <c r="N330" i="11" s="1"/>
  <c r="I331" i="11"/>
  <c r="N331" i="11" s="1"/>
  <c r="I332" i="11"/>
  <c r="N332" i="11" s="1"/>
  <c r="I333" i="11"/>
  <c r="N333" i="11" s="1"/>
  <c r="I334" i="11"/>
  <c r="N334" i="11" s="1"/>
  <c r="I335" i="11"/>
  <c r="N335" i="11" s="1"/>
  <c r="I336" i="11"/>
  <c r="N336" i="11" s="1"/>
  <c r="I337" i="11"/>
  <c r="N337" i="11" s="1"/>
  <c r="I338" i="11"/>
  <c r="N338" i="11" s="1"/>
  <c r="I339" i="11"/>
  <c r="N339" i="11" s="1"/>
  <c r="I340" i="11"/>
  <c r="N340" i="11" s="1"/>
  <c r="I341" i="11"/>
  <c r="N341" i="11" s="1"/>
  <c r="I342" i="11"/>
  <c r="N342" i="11" s="1"/>
  <c r="I343" i="11"/>
  <c r="N343" i="11" s="1"/>
  <c r="I344" i="11"/>
  <c r="N344" i="11" s="1"/>
  <c r="I345" i="11"/>
  <c r="N345" i="11" s="1"/>
  <c r="I346" i="11"/>
  <c r="N346" i="11" s="1"/>
  <c r="I347" i="11"/>
  <c r="N347" i="11" s="1"/>
  <c r="I348" i="11"/>
  <c r="N348" i="11" s="1"/>
  <c r="I349" i="11"/>
  <c r="N349" i="11" s="1"/>
  <c r="I350" i="11"/>
  <c r="N350" i="11" s="1"/>
  <c r="I351" i="11"/>
  <c r="N351" i="11" s="1"/>
  <c r="I352" i="11"/>
  <c r="N352" i="11" s="1"/>
  <c r="I353" i="11"/>
  <c r="N353" i="11" s="1"/>
  <c r="I354" i="11"/>
  <c r="N354" i="11" s="1"/>
  <c r="I355" i="11"/>
  <c r="N355" i="11" s="1"/>
  <c r="I356" i="11"/>
  <c r="N356" i="11" s="1"/>
  <c r="I357" i="11"/>
  <c r="N357" i="11" s="1"/>
  <c r="I358" i="11"/>
  <c r="N358" i="11" s="1"/>
  <c r="I359" i="11"/>
  <c r="N359" i="11" s="1"/>
  <c r="I360" i="11"/>
  <c r="N360" i="11" s="1"/>
  <c r="I361" i="11"/>
  <c r="N361" i="11" s="1"/>
  <c r="I362" i="11"/>
  <c r="N362" i="11" s="1"/>
  <c r="I363" i="11"/>
  <c r="N363" i="11" s="1"/>
  <c r="I364" i="11"/>
  <c r="N364" i="11" s="1"/>
  <c r="I365" i="11"/>
  <c r="N365" i="11" s="1"/>
  <c r="I366" i="11"/>
  <c r="N366" i="11" s="1"/>
  <c r="I367" i="11"/>
  <c r="N367" i="11" s="1"/>
  <c r="I368" i="11"/>
  <c r="N368" i="11" s="1"/>
  <c r="I369" i="11"/>
  <c r="N369" i="11" s="1"/>
  <c r="I370" i="11"/>
  <c r="N370" i="11" s="1"/>
  <c r="I371" i="11"/>
  <c r="N371" i="11" s="1"/>
  <c r="I372" i="11"/>
  <c r="N372" i="11" s="1"/>
  <c r="I373" i="11"/>
  <c r="N373" i="11" s="1"/>
  <c r="I374" i="11"/>
  <c r="N374" i="11" s="1"/>
  <c r="I375" i="11"/>
  <c r="N375" i="11" s="1"/>
  <c r="I376" i="11"/>
  <c r="N376" i="11" s="1"/>
  <c r="I377" i="11"/>
  <c r="N377" i="11" s="1"/>
  <c r="I378" i="11"/>
  <c r="N378" i="11" s="1"/>
  <c r="I379" i="11"/>
  <c r="N379" i="11" s="1"/>
  <c r="I380" i="11"/>
  <c r="N380" i="11" s="1"/>
  <c r="I381" i="11"/>
  <c r="N381" i="11" s="1"/>
  <c r="I382" i="11"/>
  <c r="N382" i="11" s="1"/>
  <c r="I383" i="11"/>
  <c r="N383" i="11" s="1"/>
  <c r="I384" i="11"/>
  <c r="N384" i="11" s="1"/>
  <c r="I385" i="11"/>
  <c r="N385" i="11" s="1"/>
  <c r="I386" i="11"/>
  <c r="N386" i="11" s="1"/>
  <c r="I387" i="11"/>
  <c r="N387" i="11" s="1"/>
  <c r="I388" i="11"/>
  <c r="N388" i="11" s="1"/>
  <c r="I389" i="11"/>
  <c r="N389" i="11" s="1"/>
  <c r="I390" i="11"/>
  <c r="N390" i="11" s="1"/>
  <c r="I391" i="11"/>
  <c r="N391" i="11" s="1"/>
  <c r="I392" i="11"/>
  <c r="N392" i="11" s="1"/>
  <c r="I393" i="11"/>
  <c r="N393" i="11" s="1"/>
  <c r="I394" i="11"/>
  <c r="N394" i="11" s="1"/>
  <c r="I395" i="11"/>
  <c r="N395" i="11" s="1"/>
  <c r="I396" i="11"/>
  <c r="N396" i="11" s="1"/>
  <c r="I397" i="11"/>
  <c r="N397" i="11" s="1"/>
  <c r="I398" i="11"/>
  <c r="N398" i="11" s="1"/>
  <c r="I399" i="11"/>
  <c r="N399" i="11" s="1"/>
  <c r="I400" i="11"/>
  <c r="N400" i="11" s="1"/>
  <c r="I401" i="11"/>
  <c r="N401" i="11" s="1"/>
  <c r="I402" i="11"/>
  <c r="N402" i="11" s="1"/>
  <c r="I403" i="11"/>
  <c r="N403" i="11" s="1"/>
  <c r="I404" i="11"/>
  <c r="N404" i="11" s="1"/>
  <c r="I405" i="11"/>
  <c r="N405" i="11" s="1"/>
  <c r="I406" i="11"/>
  <c r="N406" i="11" s="1"/>
  <c r="I407" i="11"/>
  <c r="N407" i="11" s="1"/>
  <c r="I408" i="11"/>
  <c r="N408" i="11" s="1"/>
  <c r="I409" i="11"/>
  <c r="N409" i="11" s="1"/>
  <c r="I410" i="11"/>
  <c r="N410" i="11" s="1"/>
  <c r="I411" i="11"/>
  <c r="N411" i="11" s="1"/>
  <c r="I412" i="11"/>
  <c r="N412" i="11" s="1"/>
  <c r="I413" i="11"/>
  <c r="N413" i="11" s="1"/>
  <c r="I414" i="11"/>
  <c r="N414" i="11" s="1"/>
  <c r="I415" i="11"/>
  <c r="N415" i="11" s="1"/>
  <c r="I416" i="11"/>
  <c r="N416" i="11" s="1"/>
  <c r="I417" i="11"/>
  <c r="N417" i="11" s="1"/>
  <c r="I418" i="11"/>
  <c r="N418" i="11" s="1"/>
  <c r="I419" i="11"/>
  <c r="N419" i="11" s="1"/>
  <c r="I420" i="11"/>
  <c r="N420" i="11" s="1"/>
  <c r="I421" i="11"/>
  <c r="N421" i="11" s="1"/>
  <c r="I422" i="11"/>
  <c r="N422" i="11" s="1"/>
  <c r="I423" i="11"/>
  <c r="N423" i="11" s="1"/>
  <c r="I424" i="11"/>
  <c r="N424" i="11" s="1"/>
  <c r="I425" i="11"/>
  <c r="N425" i="11" s="1"/>
  <c r="I426" i="11"/>
  <c r="N426" i="11" s="1"/>
  <c r="I427" i="11"/>
  <c r="N427" i="11" s="1"/>
  <c r="I428" i="11"/>
  <c r="N428" i="11" s="1"/>
  <c r="I429" i="11"/>
  <c r="N429" i="11" s="1"/>
  <c r="I430" i="11"/>
  <c r="N430" i="11" s="1"/>
  <c r="I431" i="11"/>
  <c r="N431" i="11" s="1"/>
  <c r="I432" i="11"/>
  <c r="N432" i="11" s="1"/>
  <c r="I433" i="11"/>
  <c r="N433" i="11" s="1"/>
  <c r="I434" i="11"/>
  <c r="N434" i="11" s="1"/>
  <c r="I435" i="11"/>
  <c r="N435" i="11" s="1"/>
  <c r="I436" i="11"/>
  <c r="N436" i="11" s="1"/>
  <c r="I437" i="11"/>
  <c r="N437" i="11" s="1"/>
  <c r="I438" i="11"/>
  <c r="N438" i="11" s="1"/>
  <c r="I439" i="11"/>
  <c r="N439" i="11" s="1"/>
  <c r="I440" i="11"/>
  <c r="N440" i="11" s="1"/>
  <c r="I441" i="11"/>
  <c r="N441" i="11" s="1"/>
  <c r="I442" i="11"/>
  <c r="N442" i="11" s="1"/>
  <c r="I443" i="11"/>
  <c r="N443" i="11" s="1"/>
  <c r="I444" i="11"/>
  <c r="N444" i="11" s="1"/>
  <c r="I445" i="11"/>
  <c r="N445" i="11" s="1"/>
  <c r="I446" i="11"/>
  <c r="N446" i="11" s="1"/>
  <c r="I447" i="11"/>
  <c r="N447" i="11" s="1"/>
  <c r="I448" i="11"/>
  <c r="N448" i="11" s="1"/>
  <c r="I449" i="11"/>
  <c r="N449" i="11" s="1"/>
  <c r="I450" i="11"/>
  <c r="N450" i="11" s="1"/>
  <c r="I451" i="11"/>
  <c r="N451" i="11" s="1"/>
  <c r="I452" i="11"/>
  <c r="N452" i="11" s="1"/>
  <c r="I453" i="11"/>
  <c r="N453" i="11" s="1"/>
  <c r="I454" i="11"/>
  <c r="N454" i="11" s="1"/>
  <c r="I455" i="11"/>
  <c r="N455" i="11" s="1"/>
  <c r="I456" i="11"/>
  <c r="N456" i="11" s="1"/>
  <c r="I457" i="11"/>
  <c r="N457" i="11" s="1"/>
  <c r="I458" i="11"/>
  <c r="N458" i="11" s="1"/>
  <c r="I459" i="11"/>
  <c r="N459" i="11" s="1"/>
  <c r="I460" i="11"/>
  <c r="N460" i="11" s="1"/>
  <c r="I461" i="11"/>
  <c r="N461" i="11" s="1"/>
  <c r="I462" i="11"/>
  <c r="N462" i="11" s="1"/>
  <c r="I463" i="11"/>
  <c r="N463" i="11" s="1"/>
  <c r="I464" i="11"/>
  <c r="N464" i="11" s="1"/>
  <c r="I465" i="11"/>
  <c r="N465" i="11" s="1"/>
  <c r="I466" i="11"/>
  <c r="N466" i="11" s="1"/>
  <c r="I467" i="11"/>
  <c r="N467" i="11" s="1"/>
  <c r="I468" i="11"/>
  <c r="N468" i="11" s="1"/>
  <c r="I469" i="11"/>
  <c r="N469" i="11" s="1"/>
  <c r="I470" i="11"/>
  <c r="N470" i="11" s="1"/>
  <c r="I471" i="11"/>
  <c r="N471" i="11" s="1"/>
  <c r="I472" i="11"/>
  <c r="N472" i="11" s="1"/>
  <c r="I473" i="11"/>
  <c r="N473" i="11" s="1"/>
  <c r="I474" i="11"/>
  <c r="N474" i="11" s="1"/>
  <c r="I475" i="11"/>
  <c r="N475" i="11" s="1"/>
  <c r="I476" i="11"/>
  <c r="N476" i="11" s="1"/>
  <c r="I477" i="11"/>
  <c r="N477" i="11" s="1"/>
  <c r="I478" i="11"/>
  <c r="N478" i="11" s="1"/>
  <c r="I479" i="11"/>
  <c r="N479" i="11" s="1"/>
  <c r="I480" i="11"/>
  <c r="N480" i="11" s="1"/>
  <c r="I481" i="11"/>
  <c r="N481" i="11" s="1"/>
  <c r="I482" i="11"/>
  <c r="N482" i="11" s="1"/>
  <c r="I483" i="11"/>
  <c r="N483" i="11" s="1"/>
  <c r="I484" i="11"/>
  <c r="N484" i="11" s="1"/>
  <c r="I485" i="11"/>
  <c r="N485" i="11" s="1"/>
  <c r="I486" i="11"/>
  <c r="N486" i="11" s="1"/>
  <c r="I487" i="11"/>
  <c r="N487" i="11" s="1"/>
  <c r="I488" i="11"/>
  <c r="N488" i="11" s="1"/>
  <c r="I489" i="11"/>
  <c r="N489" i="11" s="1"/>
  <c r="I490" i="11"/>
  <c r="N490" i="11" s="1"/>
  <c r="I491" i="11"/>
  <c r="N491" i="11" s="1"/>
  <c r="I492" i="11"/>
  <c r="N492" i="11" s="1"/>
  <c r="I493" i="11"/>
  <c r="N493" i="11" s="1"/>
  <c r="I494" i="11"/>
  <c r="N494" i="11" s="1"/>
  <c r="I495" i="11"/>
  <c r="N495" i="11" s="1"/>
  <c r="I496" i="11"/>
  <c r="N496" i="11" s="1"/>
  <c r="I497" i="11"/>
  <c r="N497" i="11" s="1"/>
  <c r="I498" i="11"/>
  <c r="N498" i="11" s="1"/>
  <c r="I499" i="11"/>
  <c r="N499" i="11" s="1"/>
  <c r="I500" i="11"/>
  <c r="N500" i="11" s="1"/>
  <c r="I501" i="11"/>
  <c r="N501" i="11" s="1"/>
  <c r="I502" i="11"/>
  <c r="N502" i="11" s="1"/>
  <c r="I503" i="11"/>
  <c r="N503" i="11" s="1"/>
  <c r="I504" i="11"/>
  <c r="N504" i="11" s="1"/>
  <c r="I505" i="11"/>
  <c r="N505" i="11" s="1"/>
  <c r="I506" i="11"/>
  <c r="N506" i="11" s="1"/>
  <c r="I507" i="11"/>
  <c r="N507" i="11" s="1"/>
  <c r="I508" i="11"/>
  <c r="N508" i="11" s="1"/>
  <c r="I3" i="11"/>
  <c r="N3" i="11" s="1"/>
  <c r="N1" i="11" l="1"/>
  <c r="K10" i="15"/>
  <c r="K6" i="15"/>
  <c r="K13" i="15"/>
  <c r="K12" i="15"/>
  <c r="K9" i="15"/>
  <c r="K11" i="15"/>
  <c r="K14" i="15"/>
  <c r="K8" i="15"/>
  <c r="K15" i="15" l="1"/>
  <c r="G4" i="11"/>
  <c r="G5" i="11"/>
  <c r="G6" i="11"/>
  <c r="G7" i="11"/>
  <c r="K7" i="11" s="1"/>
  <c r="G8" i="11"/>
  <c r="G9" i="11"/>
  <c r="G10" i="11"/>
  <c r="G11" i="11"/>
  <c r="G12" i="11"/>
  <c r="G13" i="11"/>
  <c r="K13" i="11" s="1"/>
  <c r="G14" i="11"/>
  <c r="K14" i="11" s="1"/>
  <c r="G15" i="11"/>
  <c r="G16" i="11"/>
  <c r="G17" i="11"/>
  <c r="G18" i="11"/>
  <c r="G19" i="11"/>
  <c r="G20" i="11"/>
  <c r="G21" i="11"/>
  <c r="K21" i="11" s="1"/>
  <c r="G22" i="11"/>
  <c r="G23" i="11"/>
  <c r="G24" i="11"/>
  <c r="G25" i="11"/>
  <c r="G26" i="11"/>
  <c r="G27" i="11"/>
  <c r="K27" i="11" s="1"/>
  <c r="G28" i="11"/>
  <c r="K28" i="11" s="1"/>
  <c r="G29" i="11"/>
  <c r="G30" i="11"/>
  <c r="G31" i="11"/>
  <c r="G32" i="11"/>
  <c r="G33" i="11"/>
  <c r="G34" i="11"/>
  <c r="G35" i="11"/>
  <c r="K35" i="11" s="1"/>
  <c r="G36" i="11"/>
  <c r="G37" i="11"/>
  <c r="G38" i="11"/>
  <c r="G39" i="11"/>
  <c r="G40" i="11"/>
  <c r="G41" i="11"/>
  <c r="K41" i="11" s="1"/>
  <c r="G42" i="11"/>
  <c r="K42" i="11" s="1"/>
  <c r="G43" i="11"/>
  <c r="G44" i="11"/>
  <c r="G45" i="11"/>
  <c r="G46" i="11"/>
  <c r="G47" i="11"/>
  <c r="G48" i="11"/>
  <c r="G49" i="11"/>
  <c r="K49" i="11" s="1"/>
  <c r="G50" i="11"/>
  <c r="G51" i="11"/>
  <c r="G52" i="11"/>
  <c r="G53" i="11"/>
  <c r="G54" i="11"/>
  <c r="G55" i="11"/>
  <c r="K55" i="11" s="1"/>
  <c r="G56" i="11"/>
  <c r="K56" i="11" s="1"/>
  <c r="G57" i="11"/>
  <c r="G58" i="11"/>
  <c r="G59" i="11"/>
  <c r="G60" i="11"/>
  <c r="G61" i="11"/>
  <c r="G62" i="11"/>
  <c r="G63" i="11"/>
  <c r="K63" i="11" s="1"/>
  <c r="G64" i="11"/>
  <c r="G65" i="11"/>
  <c r="G66" i="11"/>
  <c r="G67" i="11"/>
  <c r="G68" i="11"/>
  <c r="G69" i="11"/>
  <c r="K69" i="11" s="1"/>
  <c r="G70" i="11"/>
  <c r="K70" i="11" s="1"/>
  <c r="G71" i="11"/>
  <c r="G72" i="11"/>
  <c r="K72" i="11" s="1"/>
  <c r="G73" i="11"/>
  <c r="G74" i="11"/>
  <c r="G75" i="11"/>
  <c r="G76" i="11"/>
  <c r="G77" i="11"/>
  <c r="K77" i="11" s="1"/>
  <c r="G78" i="11"/>
  <c r="G79" i="11"/>
  <c r="G80" i="11"/>
  <c r="G81" i="11"/>
  <c r="G82" i="11"/>
  <c r="G83" i="11"/>
  <c r="K83" i="11" s="1"/>
  <c r="G84" i="11"/>
  <c r="K84" i="11" s="1"/>
  <c r="G85" i="11"/>
  <c r="G86" i="11"/>
  <c r="G87" i="11"/>
  <c r="G88" i="11"/>
  <c r="G89" i="11"/>
  <c r="G90" i="11"/>
  <c r="G91" i="11"/>
  <c r="K91" i="11" s="1"/>
  <c r="G92" i="11"/>
  <c r="G93" i="11"/>
  <c r="G94" i="11"/>
  <c r="G95" i="11"/>
  <c r="G96" i="11"/>
  <c r="G97" i="11"/>
  <c r="K97" i="11" s="1"/>
  <c r="G98" i="11"/>
  <c r="K98" i="11" s="1"/>
  <c r="G99" i="11"/>
  <c r="G100" i="11"/>
  <c r="G101" i="11"/>
  <c r="G102" i="11"/>
  <c r="G103" i="11"/>
  <c r="G104" i="11"/>
  <c r="G105" i="11"/>
  <c r="K105" i="11" s="1"/>
  <c r="G106" i="11"/>
  <c r="G107" i="11"/>
  <c r="G108" i="11"/>
  <c r="G109" i="11"/>
  <c r="G110" i="11"/>
  <c r="G111" i="11"/>
  <c r="K111" i="11" s="1"/>
  <c r="G112" i="11"/>
  <c r="K112" i="11" s="1"/>
  <c r="G113" i="11"/>
  <c r="K113" i="11" s="1"/>
  <c r="G114" i="11"/>
  <c r="K114" i="11" s="1"/>
  <c r="G115" i="11"/>
  <c r="G116" i="11"/>
  <c r="G117" i="11"/>
  <c r="G118" i="11"/>
  <c r="G119" i="11"/>
  <c r="K119" i="11" s="1"/>
  <c r="G120" i="11"/>
  <c r="G121" i="11"/>
  <c r="G122" i="11"/>
  <c r="G123" i="11"/>
  <c r="G124" i="11"/>
  <c r="G125" i="11"/>
  <c r="K125" i="11" s="1"/>
  <c r="G126" i="11"/>
  <c r="K126" i="11" s="1"/>
  <c r="G127" i="11"/>
  <c r="G128" i="11"/>
  <c r="G129" i="11"/>
  <c r="G130" i="11"/>
  <c r="G131" i="11"/>
  <c r="G132" i="11"/>
  <c r="G133" i="11"/>
  <c r="K133" i="11" s="1"/>
  <c r="G134" i="11"/>
  <c r="G135" i="11"/>
  <c r="G136" i="11"/>
  <c r="G137" i="11"/>
  <c r="G138" i="11"/>
  <c r="G139" i="11"/>
  <c r="K139" i="11" s="1"/>
  <c r="G140" i="11"/>
  <c r="K140" i="11" s="1"/>
  <c r="G141" i="11"/>
  <c r="G142" i="11"/>
  <c r="G143" i="11"/>
  <c r="G144" i="11"/>
  <c r="G145" i="11"/>
  <c r="G146" i="11"/>
  <c r="G147" i="11"/>
  <c r="K147" i="11" s="1"/>
  <c r="G148" i="11"/>
  <c r="G149" i="11"/>
  <c r="G150" i="11"/>
  <c r="G151" i="11"/>
  <c r="G152" i="11"/>
  <c r="G153" i="11"/>
  <c r="K153" i="11" s="1"/>
  <c r="G154" i="11"/>
  <c r="K154" i="11" s="1"/>
  <c r="G155" i="11"/>
  <c r="K155" i="11" s="1"/>
  <c r="G156" i="11"/>
  <c r="K156" i="11" s="1"/>
  <c r="G157" i="11"/>
  <c r="G158" i="11"/>
  <c r="G159" i="11"/>
  <c r="G160" i="11"/>
  <c r="G161" i="11"/>
  <c r="K161" i="11" s="1"/>
  <c r="G162" i="11"/>
  <c r="G163" i="11"/>
  <c r="G164" i="11"/>
  <c r="G165" i="11"/>
  <c r="G166" i="11"/>
  <c r="G167" i="11"/>
  <c r="K167" i="11" s="1"/>
  <c r="K168" i="11"/>
  <c r="K175" i="11"/>
  <c r="K181" i="11"/>
  <c r="K182" i="11"/>
  <c r="K189" i="11"/>
  <c r="K195" i="11"/>
  <c r="K196" i="11"/>
  <c r="K197" i="11"/>
  <c r="K203" i="11"/>
  <c r="K209" i="11"/>
  <c r="K210" i="11"/>
  <c r="K217" i="11"/>
  <c r="K223" i="11"/>
  <c r="K224" i="11"/>
  <c r="K231" i="11"/>
  <c r="K237" i="11"/>
  <c r="K238" i="11"/>
  <c r="K245" i="11"/>
  <c r="G248" i="11"/>
  <c r="G249" i="11"/>
  <c r="G250" i="11"/>
  <c r="G251" i="11"/>
  <c r="K251" i="11" s="1"/>
  <c r="G252" i="11"/>
  <c r="K252" i="11" s="1"/>
  <c r="G253" i="11"/>
  <c r="G254" i="11"/>
  <c r="G255" i="11"/>
  <c r="G256" i="11"/>
  <c r="G257" i="11"/>
  <c r="G258" i="11"/>
  <c r="G259" i="11"/>
  <c r="K259" i="11" s="1"/>
  <c r="G260" i="11"/>
  <c r="G261" i="11"/>
  <c r="G262" i="11"/>
  <c r="G263" i="11"/>
  <c r="G264" i="11"/>
  <c r="G265" i="11"/>
  <c r="K265" i="11" s="1"/>
  <c r="G266" i="11"/>
  <c r="K266" i="11" s="1"/>
  <c r="G267" i="11"/>
  <c r="G268" i="11"/>
  <c r="G269" i="11"/>
  <c r="G270" i="11"/>
  <c r="G271" i="11"/>
  <c r="G272" i="11"/>
  <c r="G273" i="11"/>
  <c r="K273" i="11" s="1"/>
  <c r="G274" i="11"/>
  <c r="G275" i="11"/>
  <c r="G276" i="11"/>
  <c r="G277" i="11"/>
  <c r="G278" i="11"/>
  <c r="G279" i="11"/>
  <c r="K279" i="11" s="1"/>
  <c r="G280" i="11"/>
  <c r="K280" i="11" s="1"/>
  <c r="G281" i="11"/>
  <c r="G282" i="11"/>
  <c r="G283" i="11"/>
  <c r="G284" i="11"/>
  <c r="G285" i="11"/>
  <c r="G286" i="11"/>
  <c r="G287" i="11"/>
  <c r="K287" i="11" s="1"/>
  <c r="G288" i="11"/>
  <c r="G289" i="11"/>
  <c r="G290" i="11"/>
  <c r="G291" i="11"/>
  <c r="G292" i="11"/>
  <c r="G293" i="11"/>
  <c r="K293" i="11" s="1"/>
  <c r="G294" i="11"/>
  <c r="K294" i="11" s="1"/>
  <c r="G295" i="11"/>
  <c r="G296" i="11"/>
  <c r="G297" i="11"/>
  <c r="G298" i="11"/>
  <c r="G299" i="11"/>
  <c r="G300" i="11"/>
  <c r="G301" i="11"/>
  <c r="K301" i="11" s="1"/>
  <c r="G302" i="11"/>
  <c r="G303" i="11"/>
  <c r="G304" i="11"/>
  <c r="G305" i="11"/>
  <c r="G306" i="11"/>
  <c r="G307" i="11"/>
  <c r="K307" i="11" s="1"/>
  <c r="G308" i="11"/>
  <c r="K308" i="11" s="1"/>
  <c r="G309" i="11"/>
  <c r="G310" i="11"/>
  <c r="K310" i="11" s="1"/>
  <c r="G311" i="11"/>
  <c r="G312" i="11"/>
  <c r="G313" i="11"/>
  <c r="G314" i="11"/>
  <c r="G315" i="11"/>
  <c r="K315" i="11" s="1"/>
  <c r="G316" i="11"/>
  <c r="G317" i="11"/>
  <c r="G318" i="11"/>
  <c r="G319" i="11"/>
  <c r="G320" i="11"/>
  <c r="G321" i="11"/>
  <c r="K321" i="11" s="1"/>
  <c r="G322" i="11"/>
  <c r="K322" i="11" s="1"/>
  <c r="G323" i="11"/>
  <c r="G324" i="11"/>
  <c r="G325" i="11"/>
  <c r="G326" i="11"/>
  <c r="G327" i="11"/>
  <c r="G328" i="11"/>
  <c r="G329" i="11"/>
  <c r="K329" i="11" s="1"/>
  <c r="G330" i="11"/>
  <c r="G331" i="11"/>
  <c r="G332" i="11"/>
  <c r="G333" i="11"/>
  <c r="G334" i="11"/>
  <c r="G335" i="11"/>
  <c r="K335" i="11" s="1"/>
  <c r="G336" i="11"/>
  <c r="K336" i="11" s="1"/>
  <c r="G337" i="11"/>
  <c r="G338" i="11"/>
  <c r="G339" i="11"/>
  <c r="G340" i="11"/>
  <c r="G341" i="11"/>
  <c r="G342" i="11"/>
  <c r="G343" i="11"/>
  <c r="K343" i="11" s="1"/>
  <c r="G344" i="11"/>
  <c r="G345" i="11"/>
  <c r="G346" i="11"/>
  <c r="G347" i="11"/>
  <c r="G348" i="11"/>
  <c r="G349" i="11"/>
  <c r="K349" i="11" s="1"/>
  <c r="G350" i="11"/>
  <c r="K350" i="11" s="1"/>
  <c r="G351" i="11"/>
  <c r="K351" i="11" s="1"/>
  <c r="G352" i="11"/>
  <c r="K352" i="11" s="1"/>
  <c r="G353" i="11"/>
  <c r="G354" i="11"/>
  <c r="G355" i="11"/>
  <c r="G356" i="11"/>
  <c r="G357" i="11"/>
  <c r="K357" i="11" s="1"/>
  <c r="G358" i="11"/>
  <c r="G359" i="11"/>
  <c r="G360" i="11"/>
  <c r="G361" i="11"/>
  <c r="G362" i="11"/>
  <c r="G363" i="11"/>
  <c r="K363" i="11" s="1"/>
  <c r="G364" i="11"/>
  <c r="K364" i="11" s="1"/>
  <c r="G365" i="11"/>
  <c r="G366" i="11"/>
  <c r="G367" i="11"/>
  <c r="G368" i="11"/>
  <c r="G369" i="11"/>
  <c r="G370" i="11"/>
  <c r="G371" i="11"/>
  <c r="K371" i="11" s="1"/>
  <c r="G372" i="11"/>
  <c r="G373" i="11"/>
  <c r="G374" i="11"/>
  <c r="G375" i="11"/>
  <c r="G376" i="11"/>
  <c r="G377" i="11"/>
  <c r="K377" i="11" s="1"/>
  <c r="G378" i="11"/>
  <c r="K378" i="11" s="1"/>
  <c r="G379" i="11"/>
  <c r="G380" i="11"/>
  <c r="G381" i="11"/>
  <c r="G382" i="11"/>
  <c r="G383" i="11"/>
  <c r="G384" i="11"/>
  <c r="G385" i="11"/>
  <c r="K385" i="11" s="1"/>
  <c r="G386" i="11"/>
  <c r="G387" i="11"/>
  <c r="G388" i="11"/>
  <c r="G389" i="11"/>
  <c r="G390" i="11"/>
  <c r="G391" i="11"/>
  <c r="K391" i="11" s="1"/>
  <c r="G392" i="11"/>
  <c r="K392" i="11" s="1"/>
  <c r="G393" i="11"/>
  <c r="K393" i="11" s="1"/>
  <c r="G394" i="11"/>
  <c r="G395" i="11"/>
  <c r="G396" i="11"/>
  <c r="G397" i="11"/>
  <c r="G398" i="11"/>
  <c r="G399" i="11"/>
  <c r="K399" i="11" s="1"/>
  <c r="G400" i="11"/>
  <c r="G401" i="11"/>
  <c r="G402" i="11"/>
  <c r="G403" i="11"/>
  <c r="G404" i="11"/>
  <c r="G405" i="11"/>
  <c r="K405" i="11" s="1"/>
  <c r="G406" i="11"/>
  <c r="K406" i="11" s="1"/>
  <c r="G407" i="11"/>
  <c r="G408" i="11"/>
  <c r="G409" i="11"/>
  <c r="G410" i="11"/>
  <c r="G411" i="11"/>
  <c r="G412" i="11"/>
  <c r="G413" i="11"/>
  <c r="K413" i="11" s="1"/>
  <c r="G414" i="11"/>
  <c r="G415" i="11"/>
  <c r="G416" i="11"/>
  <c r="G417" i="11"/>
  <c r="G418" i="11"/>
  <c r="G419" i="11"/>
  <c r="K419" i="11" s="1"/>
  <c r="G420" i="11"/>
  <c r="K420" i="11" s="1"/>
  <c r="G421" i="11"/>
  <c r="G422" i="11"/>
  <c r="G423" i="11"/>
  <c r="G424" i="11"/>
  <c r="G425" i="11"/>
  <c r="G426" i="11"/>
  <c r="G427" i="11"/>
  <c r="K427" i="11" s="1"/>
  <c r="G428" i="11"/>
  <c r="G429" i="11"/>
  <c r="G430" i="11"/>
  <c r="G431" i="11"/>
  <c r="G432" i="11"/>
  <c r="G433" i="11"/>
  <c r="K433" i="11" s="1"/>
  <c r="G434" i="11"/>
  <c r="K434" i="11" s="1"/>
  <c r="G435" i="11"/>
  <c r="G436" i="11"/>
  <c r="G437" i="11"/>
  <c r="G438" i="11"/>
  <c r="G439" i="11"/>
  <c r="G440" i="11"/>
  <c r="G441" i="11"/>
  <c r="K441" i="11" s="1"/>
  <c r="G442" i="11"/>
  <c r="G443" i="11"/>
  <c r="G444" i="11"/>
  <c r="G445" i="11"/>
  <c r="G446" i="11"/>
  <c r="G447" i="11"/>
  <c r="K447" i="11" s="1"/>
  <c r="G448" i="11"/>
  <c r="K448" i="11" s="1"/>
  <c r="G449" i="11"/>
  <c r="G450" i="11"/>
  <c r="G451" i="11"/>
  <c r="G452" i="11"/>
  <c r="G453" i="11"/>
  <c r="G454" i="11"/>
  <c r="G455" i="11"/>
  <c r="K455" i="11" s="1"/>
  <c r="G456" i="11"/>
  <c r="G457" i="11"/>
  <c r="G458" i="11"/>
  <c r="G459" i="11"/>
  <c r="G460" i="11"/>
  <c r="G461" i="11"/>
  <c r="K461" i="11" s="1"/>
  <c r="G462" i="11"/>
  <c r="K462" i="11" s="1"/>
  <c r="G463" i="11"/>
  <c r="G464" i="11"/>
  <c r="K464" i="11" s="1"/>
  <c r="G465" i="11"/>
  <c r="G466" i="11"/>
  <c r="G467" i="11"/>
  <c r="G468" i="11"/>
  <c r="G469" i="11"/>
  <c r="K469" i="11" s="1"/>
  <c r="G470" i="11"/>
  <c r="G471" i="11"/>
  <c r="G472" i="11"/>
  <c r="G473" i="11"/>
  <c r="G474" i="11"/>
  <c r="G475" i="11"/>
  <c r="K475" i="11" s="1"/>
  <c r="G476" i="11"/>
  <c r="K476" i="11" s="1"/>
  <c r="G477" i="11"/>
  <c r="G478" i="11"/>
  <c r="G479" i="11"/>
  <c r="G480" i="11"/>
  <c r="G481" i="11"/>
  <c r="G482" i="11"/>
  <c r="G483" i="11"/>
  <c r="K483" i="11" s="1"/>
  <c r="G484" i="11"/>
  <c r="G485" i="11"/>
  <c r="G486" i="11"/>
  <c r="G487" i="11"/>
  <c r="G488" i="11"/>
  <c r="G489" i="11"/>
  <c r="K489" i="11" s="1"/>
  <c r="G490" i="11"/>
  <c r="K490" i="11" s="1"/>
  <c r="G491" i="11"/>
  <c r="G492" i="11"/>
  <c r="G493" i="11"/>
  <c r="G494" i="11"/>
  <c r="G495" i="11"/>
  <c r="G496" i="11"/>
  <c r="G497" i="11"/>
  <c r="K497" i="11" s="1"/>
  <c r="G498" i="11"/>
  <c r="G499" i="11"/>
  <c r="G500" i="11"/>
  <c r="G501" i="11"/>
  <c r="G502" i="11"/>
  <c r="G503" i="11"/>
  <c r="K503" i="11" s="1"/>
  <c r="G504" i="11"/>
  <c r="K504" i="11" s="1"/>
  <c r="G505" i="11"/>
  <c r="K505" i="11" s="1"/>
  <c r="G506" i="11"/>
  <c r="K506" i="11" s="1"/>
  <c r="G507" i="11"/>
  <c r="G508" i="11"/>
  <c r="G3" i="11"/>
  <c r="K3" i="11" l="1"/>
  <c r="G1" i="11"/>
  <c r="K493" i="11"/>
  <c r="K339" i="11"/>
  <c r="K185" i="11"/>
  <c r="K45" i="11"/>
  <c r="K394" i="11"/>
  <c r="K254" i="11"/>
  <c r="K30" i="11"/>
  <c r="K295" i="11"/>
  <c r="K141" i="11"/>
  <c r="K437" i="11"/>
  <c r="K269" i="11"/>
  <c r="K101" i="11"/>
  <c r="K450" i="11"/>
  <c r="K212" i="11"/>
  <c r="K58" i="11"/>
  <c r="K449" i="11"/>
  <c r="K309" i="11"/>
  <c r="K183" i="11"/>
  <c r="K71" i="11"/>
  <c r="K15" i="11"/>
  <c r="K367" i="11"/>
  <c r="K199" i="11"/>
  <c r="K17" i="11"/>
  <c r="K492" i="11"/>
  <c r="K324" i="11"/>
  <c r="K170" i="11"/>
  <c r="K16" i="11"/>
  <c r="K379" i="11"/>
  <c r="K253" i="11"/>
  <c r="K169" i="11"/>
  <c r="K29" i="11"/>
  <c r="K465" i="11"/>
  <c r="K297" i="11"/>
  <c r="K129" i="11"/>
  <c r="K380" i="11"/>
  <c r="K198" i="11"/>
  <c r="K86" i="11"/>
  <c r="K435" i="11"/>
  <c r="K267" i="11"/>
  <c r="K43" i="11"/>
  <c r="K381" i="11"/>
  <c r="K227" i="11"/>
  <c r="K157" i="11"/>
  <c r="K478" i="11"/>
  <c r="K338" i="11"/>
  <c r="K184" i="11"/>
  <c r="K100" i="11"/>
  <c r="K395" i="11"/>
  <c r="K255" i="11"/>
  <c r="K59" i="11"/>
  <c r="K436" i="11"/>
  <c r="K296" i="11"/>
  <c r="K463" i="11"/>
  <c r="K323" i="11"/>
  <c r="K211" i="11"/>
  <c r="K57" i="11"/>
  <c r="K409" i="11"/>
  <c r="K283" i="11"/>
  <c r="K115" i="11"/>
  <c r="K226" i="11"/>
  <c r="K128" i="11"/>
  <c r="K421" i="11"/>
  <c r="K451" i="11"/>
  <c r="K311" i="11"/>
  <c r="K143" i="11"/>
  <c r="K366" i="11"/>
  <c r="K240" i="11"/>
  <c r="K142" i="11"/>
  <c r="K491" i="11"/>
  <c r="K365" i="11"/>
  <c r="K239" i="11"/>
  <c r="K99" i="11"/>
  <c r="K423" i="11"/>
  <c r="K241" i="11"/>
  <c r="K87" i="11"/>
  <c r="K477" i="11"/>
  <c r="K337" i="11"/>
  <c r="K85" i="11"/>
  <c r="K507" i="11"/>
  <c r="K353" i="11"/>
  <c r="K213" i="11"/>
  <c r="K73" i="11"/>
  <c r="K422" i="11"/>
  <c r="K282" i="11"/>
  <c r="K407" i="11"/>
  <c r="K281" i="11"/>
  <c r="K127" i="11"/>
  <c r="K479" i="11"/>
  <c r="K325" i="11"/>
  <c r="K171" i="11"/>
  <c r="K31" i="11"/>
  <c r="K408" i="11"/>
  <c r="K268" i="11"/>
  <c r="K44" i="11"/>
  <c r="K225" i="11"/>
  <c r="K508" i="11"/>
  <c r="K494" i="11"/>
  <c r="K480" i="11"/>
  <c r="K466" i="11"/>
  <c r="K452" i="11"/>
  <c r="K438" i="11"/>
  <c r="K424" i="11"/>
  <c r="K410" i="11"/>
  <c r="K396" i="11"/>
  <c r="K382" i="11"/>
  <c r="K368" i="11"/>
  <c r="K354" i="11"/>
  <c r="K340" i="11"/>
  <c r="K326" i="11"/>
  <c r="K312" i="11"/>
  <c r="K298" i="11"/>
  <c r="K284" i="11"/>
  <c r="K270" i="11"/>
  <c r="K256" i="11"/>
  <c r="K242" i="11"/>
  <c r="K228" i="11"/>
  <c r="K214" i="11"/>
  <c r="K200" i="11"/>
  <c r="K186" i="11"/>
  <c r="K172" i="11"/>
  <c r="K158" i="11"/>
  <c r="K144" i="11"/>
  <c r="K130" i="11"/>
  <c r="K116" i="11"/>
  <c r="K102" i="11"/>
  <c r="K88" i="11"/>
  <c r="K74" i="11"/>
  <c r="K60" i="11"/>
  <c r="K46" i="11"/>
  <c r="K32" i="11"/>
  <c r="K18" i="11"/>
  <c r="K4" i="11"/>
  <c r="K502" i="11"/>
  <c r="K488" i="11"/>
  <c r="K474" i="11"/>
  <c r="K460" i="11"/>
  <c r="K446" i="11"/>
  <c r="K432" i="11"/>
  <c r="K418" i="11"/>
  <c r="K404" i="11"/>
  <c r="K390" i="11"/>
  <c r="K376" i="11"/>
  <c r="K362" i="11"/>
  <c r="K348" i="11"/>
  <c r="K334" i="11"/>
  <c r="K320" i="11"/>
  <c r="K306" i="11"/>
  <c r="K292" i="11"/>
  <c r="K278" i="11"/>
  <c r="K264" i="11"/>
  <c r="K250" i="11"/>
  <c r="K236" i="11"/>
  <c r="K222" i="11"/>
  <c r="K208" i="11"/>
  <c r="K194" i="11"/>
  <c r="K180" i="11"/>
  <c r="K166" i="11"/>
  <c r="K152" i="11"/>
  <c r="K138" i="11"/>
  <c r="K124" i="11"/>
  <c r="K110" i="11"/>
  <c r="K96" i="11"/>
  <c r="K82" i="11"/>
  <c r="K68" i="11"/>
  <c r="K54" i="11"/>
  <c r="K40" i="11"/>
  <c r="K26" i="11"/>
  <c r="K12" i="11"/>
  <c r="K501" i="11"/>
  <c r="K487" i="11"/>
  <c r="K473" i="11"/>
  <c r="K459" i="11"/>
  <c r="K445" i="11"/>
  <c r="K431" i="11"/>
  <c r="K417" i="11"/>
  <c r="K403" i="11"/>
  <c r="K389" i="11"/>
  <c r="K375" i="11"/>
  <c r="K361" i="11"/>
  <c r="K347" i="11"/>
  <c r="K333" i="11"/>
  <c r="K319" i="11"/>
  <c r="K305" i="11"/>
  <c r="K291" i="11"/>
  <c r="K277" i="11"/>
  <c r="K263" i="11"/>
  <c r="K249" i="11"/>
  <c r="K235" i="11"/>
  <c r="K221" i="11"/>
  <c r="K207" i="11"/>
  <c r="K193" i="11"/>
  <c r="K179" i="11"/>
  <c r="K165" i="11"/>
  <c r="K151" i="11"/>
  <c r="K137" i="11"/>
  <c r="K123" i="11"/>
  <c r="K109" i="11"/>
  <c r="K95" i="11"/>
  <c r="K81" i="11"/>
  <c r="K67" i="11"/>
  <c r="K53" i="11"/>
  <c r="K39" i="11"/>
  <c r="K25" i="11"/>
  <c r="K11" i="11"/>
  <c r="K500" i="11"/>
  <c r="K486" i="11"/>
  <c r="K472" i="11"/>
  <c r="K458" i="11"/>
  <c r="K444" i="11"/>
  <c r="K430" i="11"/>
  <c r="K416" i="11"/>
  <c r="K402" i="11"/>
  <c r="K388" i="11"/>
  <c r="K374" i="11"/>
  <c r="K360" i="11"/>
  <c r="K346" i="11"/>
  <c r="K332" i="11"/>
  <c r="K318" i="11"/>
  <c r="K304" i="11"/>
  <c r="K290" i="11"/>
  <c r="K276" i="11"/>
  <c r="K262" i="11"/>
  <c r="K248" i="11"/>
  <c r="K234" i="11"/>
  <c r="K220" i="11"/>
  <c r="K206" i="11"/>
  <c r="K192" i="11"/>
  <c r="K178" i="11"/>
  <c r="K164" i="11"/>
  <c r="K150" i="11"/>
  <c r="K136" i="11"/>
  <c r="K122" i="11"/>
  <c r="K108" i="11"/>
  <c r="K94" i="11"/>
  <c r="K80" i="11"/>
  <c r="K66" i="11"/>
  <c r="K52" i="11"/>
  <c r="K38" i="11"/>
  <c r="K24" i="11"/>
  <c r="K10" i="11"/>
  <c r="K499" i="11"/>
  <c r="K485" i="11"/>
  <c r="K471" i="11"/>
  <c r="K457" i="11"/>
  <c r="K443" i="11"/>
  <c r="K429" i="11"/>
  <c r="K415" i="11"/>
  <c r="K401" i="11"/>
  <c r="K387" i="11"/>
  <c r="K373" i="11"/>
  <c r="K359" i="11"/>
  <c r="K345" i="11"/>
  <c r="K331" i="11"/>
  <c r="K317" i="11"/>
  <c r="K303" i="11"/>
  <c r="K289" i="11"/>
  <c r="K275" i="11"/>
  <c r="K261" i="11"/>
  <c r="K247" i="11"/>
  <c r="K233" i="11"/>
  <c r="K219" i="11"/>
  <c r="K205" i="11"/>
  <c r="K191" i="11"/>
  <c r="K177" i="11"/>
  <c r="K163" i="11"/>
  <c r="K149" i="11"/>
  <c r="K135" i="11"/>
  <c r="K121" i="11"/>
  <c r="K107" i="11"/>
  <c r="K93" i="11"/>
  <c r="K79" i="11"/>
  <c r="K65" i="11"/>
  <c r="K51" i="11"/>
  <c r="K37" i="11"/>
  <c r="K23" i="11"/>
  <c r="K9" i="11"/>
  <c r="K498" i="11"/>
  <c r="K484" i="11"/>
  <c r="K470" i="11"/>
  <c r="K456" i="11"/>
  <c r="K442" i="11"/>
  <c r="K428" i="11"/>
  <c r="K414" i="11"/>
  <c r="K400" i="11"/>
  <c r="K386" i="11"/>
  <c r="K372" i="11"/>
  <c r="K358" i="11"/>
  <c r="K344" i="11"/>
  <c r="K330" i="11"/>
  <c r="K316" i="11"/>
  <c r="K302" i="11"/>
  <c r="K288" i="11"/>
  <c r="K274" i="11"/>
  <c r="K260" i="11"/>
  <c r="K246" i="11"/>
  <c r="K232" i="11"/>
  <c r="K218" i="11"/>
  <c r="K204" i="11"/>
  <c r="K190" i="11"/>
  <c r="K176" i="11"/>
  <c r="K162" i="11"/>
  <c r="K148" i="11"/>
  <c r="K134" i="11"/>
  <c r="K120" i="11"/>
  <c r="K106" i="11"/>
  <c r="K92" i="11"/>
  <c r="K78" i="11"/>
  <c r="K64" i="11"/>
  <c r="K50" i="11"/>
  <c r="K36" i="11"/>
  <c r="K22" i="11"/>
  <c r="K8" i="11"/>
  <c r="K496" i="11"/>
  <c r="K482" i="11"/>
  <c r="K468" i="11"/>
  <c r="K454" i="11"/>
  <c r="K440" i="11"/>
  <c r="K426" i="11"/>
  <c r="K412" i="11"/>
  <c r="K398" i="11"/>
  <c r="K384" i="11"/>
  <c r="K370" i="11"/>
  <c r="K356" i="11"/>
  <c r="K342" i="11"/>
  <c r="K328" i="11"/>
  <c r="K314" i="11"/>
  <c r="K300" i="11"/>
  <c r="K286" i="11"/>
  <c r="K272" i="11"/>
  <c r="K258" i="11"/>
  <c r="K244" i="11"/>
  <c r="K230" i="11"/>
  <c r="K216" i="11"/>
  <c r="K202" i="11"/>
  <c r="K188" i="11"/>
  <c r="K174" i="11"/>
  <c r="K160" i="11"/>
  <c r="K146" i="11"/>
  <c r="K132" i="11"/>
  <c r="K118" i="11"/>
  <c r="K104" i="11"/>
  <c r="K90" i="11"/>
  <c r="K76" i="11"/>
  <c r="K62" i="11"/>
  <c r="K48" i="11"/>
  <c r="K34" i="11"/>
  <c r="K20" i="11"/>
  <c r="K6" i="11"/>
  <c r="K495" i="11"/>
  <c r="K481" i="11"/>
  <c r="K467" i="11"/>
  <c r="K453" i="11"/>
  <c r="K439" i="11"/>
  <c r="K425" i="11"/>
  <c r="K411" i="11"/>
  <c r="K397" i="11"/>
  <c r="K383" i="11"/>
  <c r="K369" i="11"/>
  <c r="K355" i="11"/>
  <c r="K341" i="11"/>
  <c r="K327" i="11"/>
  <c r="K313" i="11"/>
  <c r="K299" i="11"/>
  <c r="K285" i="11"/>
  <c r="K271" i="11"/>
  <c r="K257" i="11"/>
  <c r="K243" i="11"/>
  <c r="K229" i="11"/>
  <c r="K215" i="11"/>
  <c r="K201" i="11"/>
  <c r="K187" i="11"/>
  <c r="K173" i="11"/>
  <c r="K159" i="11"/>
  <c r="K145" i="11"/>
  <c r="K131" i="11"/>
  <c r="K117" i="11"/>
  <c r="K103" i="11"/>
  <c r="K89" i="11"/>
  <c r="K75" i="11"/>
  <c r="K61" i="11"/>
  <c r="K47" i="11"/>
  <c r="K33" i="11"/>
  <c r="K19" i="11"/>
  <c r="K5" i="11"/>
  <c r="M6" i="11"/>
  <c r="M18" i="11"/>
  <c r="M30" i="11"/>
  <c r="M40" i="11"/>
  <c r="M54" i="11"/>
  <c r="M72" i="11"/>
  <c r="M74" i="11"/>
  <c r="M83" i="11"/>
  <c r="M107" i="11"/>
  <c r="M108" i="11"/>
  <c r="M120" i="11"/>
  <c r="M129" i="11"/>
  <c r="M131" i="11"/>
  <c r="M134" i="11"/>
  <c r="M162" i="11"/>
  <c r="M172" i="11"/>
  <c r="M173" i="11"/>
  <c r="M185" i="11"/>
  <c r="M186" i="11"/>
  <c r="M193" i="11"/>
  <c r="M205" i="11"/>
  <c r="M216" i="11"/>
  <c r="M230" i="11"/>
  <c r="M248" i="11"/>
  <c r="M250" i="11"/>
  <c r="M262" i="11"/>
  <c r="M304" i="11"/>
  <c r="M316" i="11"/>
  <c r="M326" i="11"/>
  <c r="M339" i="11"/>
  <c r="M340" i="11"/>
  <c r="M357" i="11"/>
  <c r="M361" i="11"/>
  <c r="M371" i="11"/>
  <c r="M373" i="11"/>
  <c r="M383" i="11"/>
  <c r="M426" i="11"/>
  <c r="M435" i="11"/>
  <c r="M446" i="11"/>
  <c r="M458" i="11"/>
  <c r="M460" i="11"/>
  <c r="M469" i="11"/>
  <c r="M472" i="11"/>
  <c r="M505" i="11"/>
  <c r="M3" i="11"/>
  <c r="J481" i="11" l="1"/>
  <c r="M481" i="11"/>
  <c r="J449" i="11"/>
  <c r="M449" i="11"/>
  <c r="J417" i="11"/>
  <c r="M417" i="11"/>
  <c r="J385" i="11"/>
  <c r="M385" i="11"/>
  <c r="J353" i="11"/>
  <c r="M353" i="11"/>
  <c r="J321" i="11"/>
  <c r="M321" i="11"/>
  <c r="J289" i="11"/>
  <c r="M289" i="11"/>
  <c r="J257" i="11"/>
  <c r="M257" i="11"/>
  <c r="J225" i="11"/>
  <c r="M225" i="11"/>
  <c r="J161" i="11"/>
  <c r="M161" i="11"/>
  <c r="J97" i="11"/>
  <c r="M97" i="11"/>
  <c r="J65" i="11"/>
  <c r="M65" i="11"/>
  <c r="J33" i="11"/>
  <c r="M33" i="11"/>
  <c r="J480" i="11"/>
  <c r="M480" i="11"/>
  <c r="J448" i="11"/>
  <c r="M448" i="11"/>
  <c r="J416" i="11"/>
  <c r="M416" i="11"/>
  <c r="J384" i="11"/>
  <c r="M384" i="11"/>
  <c r="J352" i="11"/>
  <c r="M352" i="11"/>
  <c r="J320" i="11"/>
  <c r="M320" i="11"/>
  <c r="J288" i="11"/>
  <c r="M288" i="11"/>
  <c r="J256" i="11"/>
  <c r="M256" i="11"/>
  <c r="J224" i="11"/>
  <c r="M224" i="11"/>
  <c r="J192" i="11"/>
  <c r="M192" i="11"/>
  <c r="J160" i="11"/>
  <c r="M160" i="11"/>
  <c r="J128" i="11"/>
  <c r="M128" i="11"/>
  <c r="J96" i="11"/>
  <c r="M96" i="11"/>
  <c r="J64" i="11"/>
  <c r="M64" i="11"/>
  <c r="J32" i="11"/>
  <c r="M32" i="11"/>
  <c r="J479" i="11"/>
  <c r="M479" i="11"/>
  <c r="J447" i="11"/>
  <c r="M447" i="11"/>
  <c r="J415" i="11"/>
  <c r="M415" i="11"/>
  <c r="J351" i="11"/>
  <c r="M351" i="11"/>
  <c r="J319" i="11"/>
  <c r="M319" i="11"/>
  <c r="J287" i="11"/>
  <c r="M287" i="11"/>
  <c r="J255" i="11"/>
  <c r="M255" i="11"/>
  <c r="J223" i="11"/>
  <c r="M223" i="11"/>
  <c r="J191" i="11"/>
  <c r="M191" i="11"/>
  <c r="J159" i="11"/>
  <c r="M159" i="11"/>
  <c r="J127" i="11"/>
  <c r="M127" i="11"/>
  <c r="J95" i="11"/>
  <c r="M95" i="11"/>
  <c r="J63" i="11"/>
  <c r="M63" i="11"/>
  <c r="J31" i="11"/>
  <c r="M31" i="11"/>
  <c r="J478" i="11"/>
  <c r="M478" i="11"/>
  <c r="J414" i="11"/>
  <c r="M414" i="11"/>
  <c r="J382" i="11"/>
  <c r="M382" i="11"/>
  <c r="J350" i="11"/>
  <c r="M350" i="11"/>
  <c r="J318" i="11"/>
  <c r="M318" i="11"/>
  <c r="J286" i="11"/>
  <c r="M286" i="11"/>
  <c r="J254" i="11"/>
  <c r="M254" i="11"/>
  <c r="J222" i="11"/>
  <c r="M222" i="11"/>
  <c r="J190" i="11"/>
  <c r="M190" i="11"/>
  <c r="J158" i="11"/>
  <c r="M158" i="11"/>
  <c r="J126" i="11"/>
  <c r="M126" i="11"/>
  <c r="J94" i="11"/>
  <c r="M94" i="11"/>
  <c r="J62" i="11"/>
  <c r="M62" i="11"/>
  <c r="J477" i="11"/>
  <c r="M477" i="11"/>
  <c r="J445" i="11"/>
  <c r="M445" i="11"/>
  <c r="J413" i="11"/>
  <c r="M413" i="11"/>
  <c r="J381" i="11"/>
  <c r="M381" i="11"/>
  <c r="J349" i="11"/>
  <c r="M349" i="11"/>
  <c r="J317" i="11"/>
  <c r="M317" i="11"/>
  <c r="J285" i="11"/>
  <c r="M285" i="11"/>
  <c r="J253" i="11"/>
  <c r="M253" i="11"/>
  <c r="J221" i="11"/>
  <c r="M221" i="11"/>
  <c r="J189" i="11"/>
  <c r="M189" i="11"/>
  <c r="J157" i="11"/>
  <c r="M157" i="11"/>
  <c r="J125" i="11"/>
  <c r="M125" i="11"/>
  <c r="J93" i="11"/>
  <c r="M93" i="11"/>
  <c r="J61" i="11"/>
  <c r="M61" i="11"/>
  <c r="J29" i="11"/>
  <c r="M29" i="11"/>
  <c r="J508" i="11"/>
  <c r="M508" i="11"/>
  <c r="J476" i="11"/>
  <c r="M476" i="11"/>
  <c r="J444" i="11"/>
  <c r="M444" i="11"/>
  <c r="J412" i="11"/>
  <c r="M412" i="11"/>
  <c r="J380" i="11"/>
  <c r="M380" i="11"/>
  <c r="J348" i="11"/>
  <c r="M348" i="11"/>
  <c r="J284" i="11"/>
  <c r="M284" i="11"/>
  <c r="J252" i="11"/>
  <c r="M252" i="11"/>
  <c r="J220" i="11"/>
  <c r="M220" i="11"/>
  <c r="J188" i="11"/>
  <c r="M188" i="11"/>
  <c r="J156" i="11"/>
  <c r="M156" i="11"/>
  <c r="J124" i="11"/>
  <c r="M124" i="11"/>
  <c r="J92" i="11"/>
  <c r="M92" i="11"/>
  <c r="J60" i="11"/>
  <c r="M60" i="11"/>
  <c r="J28" i="11"/>
  <c r="M28" i="11"/>
  <c r="J507" i="11"/>
  <c r="M507" i="11"/>
  <c r="J475" i="11"/>
  <c r="M475" i="11"/>
  <c r="J443" i="11"/>
  <c r="M443" i="11"/>
  <c r="J411" i="11"/>
  <c r="M411" i="11"/>
  <c r="J379" i="11"/>
  <c r="M379" i="11"/>
  <c r="J347" i="11"/>
  <c r="M347" i="11"/>
  <c r="J315" i="11"/>
  <c r="M315" i="11"/>
  <c r="J283" i="11"/>
  <c r="M283" i="11"/>
  <c r="J251" i="11"/>
  <c r="M251" i="11"/>
  <c r="J219" i="11"/>
  <c r="M219" i="11"/>
  <c r="J187" i="11"/>
  <c r="M187" i="11"/>
  <c r="J155" i="11"/>
  <c r="M155" i="11"/>
  <c r="J123" i="11"/>
  <c r="M123" i="11"/>
  <c r="J91" i="11"/>
  <c r="M91" i="11"/>
  <c r="J59" i="11"/>
  <c r="M59" i="11"/>
  <c r="J27" i="11"/>
  <c r="M27" i="11"/>
  <c r="J154" i="11"/>
  <c r="M154" i="11"/>
  <c r="J122" i="11"/>
  <c r="M122" i="11"/>
  <c r="J90" i="11"/>
  <c r="M90" i="11"/>
  <c r="J58" i="11"/>
  <c r="M58" i="11"/>
  <c r="J26" i="11"/>
  <c r="M26" i="11"/>
  <c r="J457" i="11"/>
  <c r="M457" i="11"/>
  <c r="J442" i="11"/>
  <c r="M442" i="11"/>
  <c r="J473" i="11"/>
  <c r="M473" i="11"/>
  <c r="J441" i="11"/>
  <c r="M441" i="11"/>
  <c r="J409" i="11"/>
  <c r="M409" i="11"/>
  <c r="J377" i="11"/>
  <c r="M377" i="11"/>
  <c r="J345" i="11"/>
  <c r="M345" i="11"/>
  <c r="J313" i="11"/>
  <c r="M313" i="11"/>
  <c r="J281" i="11"/>
  <c r="M281" i="11"/>
  <c r="J249" i="11"/>
  <c r="M249" i="11"/>
  <c r="J217" i="11"/>
  <c r="M217" i="11"/>
  <c r="J153" i="11"/>
  <c r="M153" i="11"/>
  <c r="J121" i="11"/>
  <c r="M121" i="11"/>
  <c r="J89" i="11"/>
  <c r="M89" i="11"/>
  <c r="J57" i="11"/>
  <c r="M57" i="11"/>
  <c r="J25" i="11"/>
  <c r="M25" i="11"/>
  <c r="J504" i="11"/>
  <c r="M504" i="11"/>
  <c r="J440" i="11"/>
  <c r="M440" i="11"/>
  <c r="J408" i="11"/>
  <c r="M408" i="11"/>
  <c r="J376" i="11"/>
  <c r="M376" i="11"/>
  <c r="J344" i="11"/>
  <c r="M344" i="11"/>
  <c r="J312" i="11"/>
  <c r="M312" i="11"/>
  <c r="J280" i="11"/>
  <c r="M280" i="11"/>
  <c r="J184" i="11"/>
  <c r="M184" i="11"/>
  <c r="J152" i="11"/>
  <c r="M152" i="11"/>
  <c r="J88" i="11"/>
  <c r="M88" i="11"/>
  <c r="J56" i="11"/>
  <c r="M56" i="11"/>
  <c r="J24" i="11"/>
  <c r="M24" i="11"/>
  <c r="J378" i="11"/>
  <c r="M378" i="11"/>
  <c r="J503" i="11"/>
  <c r="M503" i="11"/>
  <c r="J471" i="11"/>
  <c r="M471" i="11"/>
  <c r="J439" i="11"/>
  <c r="M439" i="11"/>
  <c r="J407" i="11"/>
  <c r="M407" i="11"/>
  <c r="J375" i="11"/>
  <c r="M375" i="11"/>
  <c r="J343" i="11"/>
  <c r="M343" i="11"/>
  <c r="J311" i="11"/>
  <c r="M311" i="11"/>
  <c r="J279" i="11"/>
  <c r="M279" i="11"/>
  <c r="J247" i="11"/>
  <c r="M247" i="11"/>
  <c r="J215" i="11"/>
  <c r="M215" i="11"/>
  <c r="J183" i="11"/>
  <c r="M183" i="11"/>
  <c r="J151" i="11"/>
  <c r="M151" i="11"/>
  <c r="J119" i="11"/>
  <c r="M119" i="11"/>
  <c r="J87" i="11"/>
  <c r="M87" i="11"/>
  <c r="J55" i="11"/>
  <c r="M55" i="11"/>
  <c r="J23" i="11"/>
  <c r="M23" i="11"/>
  <c r="J502" i="11"/>
  <c r="M502" i="11"/>
  <c r="J470" i="11"/>
  <c r="M470" i="11"/>
  <c r="J438" i="11"/>
  <c r="M438" i="11"/>
  <c r="J406" i="11"/>
  <c r="M406" i="11"/>
  <c r="J374" i="11"/>
  <c r="M374" i="11"/>
  <c r="J342" i="11"/>
  <c r="M342" i="11"/>
  <c r="J310" i="11"/>
  <c r="M310" i="11"/>
  <c r="J278" i="11"/>
  <c r="M278" i="11"/>
  <c r="J246" i="11"/>
  <c r="M246" i="11"/>
  <c r="J214" i="11"/>
  <c r="M214" i="11"/>
  <c r="J182" i="11"/>
  <c r="M182" i="11"/>
  <c r="J150" i="11"/>
  <c r="M150" i="11"/>
  <c r="J118" i="11"/>
  <c r="M118" i="11"/>
  <c r="J86" i="11"/>
  <c r="M86" i="11"/>
  <c r="J22" i="11"/>
  <c r="M22" i="11"/>
  <c r="J501" i="11"/>
  <c r="M501" i="11"/>
  <c r="J437" i="11"/>
  <c r="M437" i="11"/>
  <c r="J405" i="11"/>
  <c r="M405" i="11"/>
  <c r="J341" i="11"/>
  <c r="M341" i="11"/>
  <c r="J309" i="11"/>
  <c r="M309" i="11"/>
  <c r="J277" i="11"/>
  <c r="M277" i="11"/>
  <c r="J245" i="11"/>
  <c r="M245" i="11"/>
  <c r="J213" i="11"/>
  <c r="M213" i="11"/>
  <c r="J181" i="11"/>
  <c r="M181" i="11"/>
  <c r="J149" i="11"/>
  <c r="M149" i="11"/>
  <c r="J117" i="11"/>
  <c r="M117" i="11"/>
  <c r="J85" i="11"/>
  <c r="M85" i="11"/>
  <c r="J53" i="11"/>
  <c r="M53" i="11"/>
  <c r="J21" i="11"/>
  <c r="M21" i="11"/>
  <c r="J346" i="11"/>
  <c r="M346" i="11"/>
  <c r="J500" i="11"/>
  <c r="M500" i="11"/>
  <c r="J468" i="11"/>
  <c r="M468" i="11"/>
  <c r="J436" i="11"/>
  <c r="M436" i="11"/>
  <c r="J404" i="11"/>
  <c r="M404" i="11"/>
  <c r="J372" i="11"/>
  <c r="M372" i="11"/>
  <c r="J308" i="11"/>
  <c r="M308" i="11"/>
  <c r="J276" i="11"/>
  <c r="M276" i="11"/>
  <c r="J244" i="11"/>
  <c r="M244" i="11"/>
  <c r="J212" i="11"/>
  <c r="M212" i="11"/>
  <c r="J180" i="11"/>
  <c r="M180" i="11"/>
  <c r="J148" i="11"/>
  <c r="M148" i="11"/>
  <c r="J116" i="11"/>
  <c r="M116" i="11"/>
  <c r="J84" i="11"/>
  <c r="M84" i="11"/>
  <c r="J52" i="11"/>
  <c r="M52" i="11"/>
  <c r="J20" i="11"/>
  <c r="M20" i="11"/>
  <c r="J499" i="11"/>
  <c r="M499" i="11"/>
  <c r="J467" i="11"/>
  <c r="M467" i="11"/>
  <c r="J403" i="11"/>
  <c r="M403" i="11"/>
  <c r="J307" i="11"/>
  <c r="M307" i="11"/>
  <c r="J275" i="11"/>
  <c r="M275" i="11"/>
  <c r="J243" i="11"/>
  <c r="M243" i="11"/>
  <c r="J211" i="11"/>
  <c r="M211" i="11"/>
  <c r="J179" i="11"/>
  <c r="M179" i="11"/>
  <c r="J147" i="11"/>
  <c r="M147" i="11"/>
  <c r="J115" i="11"/>
  <c r="M115" i="11"/>
  <c r="J51" i="11"/>
  <c r="M51" i="11"/>
  <c r="J19" i="11"/>
  <c r="M19" i="11"/>
  <c r="J282" i="11"/>
  <c r="M282" i="11"/>
  <c r="J498" i="11"/>
  <c r="M498" i="11"/>
  <c r="J466" i="11"/>
  <c r="M466" i="11"/>
  <c r="J434" i="11"/>
  <c r="M434" i="11"/>
  <c r="J402" i="11"/>
  <c r="M402" i="11"/>
  <c r="J370" i="11"/>
  <c r="M370" i="11"/>
  <c r="J338" i="11"/>
  <c r="M338" i="11"/>
  <c r="J306" i="11"/>
  <c r="M306" i="11"/>
  <c r="J274" i="11"/>
  <c r="M274" i="11"/>
  <c r="J242" i="11"/>
  <c r="M242" i="11"/>
  <c r="J210" i="11"/>
  <c r="M210" i="11"/>
  <c r="J178" i="11"/>
  <c r="M178" i="11"/>
  <c r="J146" i="11"/>
  <c r="M146" i="11"/>
  <c r="J114" i="11"/>
  <c r="M114" i="11"/>
  <c r="J82" i="11"/>
  <c r="M82" i="11"/>
  <c r="J50" i="11"/>
  <c r="M50" i="11"/>
  <c r="J410" i="11"/>
  <c r="M410" i="11"/>
  <c r="J497" i="11"/>
  <c r="M497" i="11"/>
  <c r="J465" i="11"/>
  <c r="M465" i="11"/>
  <c r="J433" i="11"/>
  <c r="M433" i="11"/>
  <c r="J401" i="11"/>
  <c r="M401" i="11"/>
  <c r="J369" i="11"/>
  <c r="M369" i="11"/>
  <c r="J337" i="11"/>
  <c r="M337" i="11"/>
  <c r="J305" i="11"/>
  <c r="M305" i="11"/>
  <c r="J273" i="11"/>
  <c r="M273" i="11"/>
  <c r="J241" i="11"/>
  <c r="M241" i="11"/>
  <c r="J209" i="11"/>
  <c r="M209" i="11"/>
  <c r="J177" i="11"/>
  <c r="M177" i="11"/>
  <c r="J145" i="11"/>
  <c r="M145" i="11"/>
  <c r="J113" i="11"/>
  <c r="M113" i="11"/>
  <c r="J81" i="11"/>
  <c r="M81" i="11"/>
  <c r="J49" i="11"/>
  <c r="M49" i="11"/>
  <c r="J17" i="11"/>
  <c r="M17" i="11"/>
  <c r="J506" i="11"/>
  <c r="M506" i="11"/>
  <c r="J496" i="11"/>
  <c r="M496" i="11"/>
  <c r="J464" i="11"/>
  <c r="M464" i="11"/>
  <c r="J432" i="11"/>
  <c r="M432" i="11"/>
  <c r="J400" i="11"/>
  <c r="M400" i="11"/>
  <c r="J368" i="11"/>
  <c r="M368" i="11"/>
  <c r="J336" i="11"/>
  <c r="M336" i="11"/>
  <c r="J272" i="11"/>
  <c r="M272" i="11"/>
  <c r="J240" i="11"/>
  <c r="M240" i="11"/>
  <c r="J208" i="11"/>
  <c r="M208" i="11"/>
  <c r="J176" i="11"/>
  <c r="M176" i="11"/>
  <c r="J144" i="11"/>
  <c r="M144" i="11"/>
  <c r="J112" i="11"/>
  <c r="M112" i="11"/>
  <c r="J80" i="11"/>
  <c r="M80" i="11"/>
  <c r="J48" i="11"/>
  <c r="M48" i="11"/>
  <c r="J16" i="11"/>
  <c r="M16" i="11"/>
  <c r="J218" i="11"/>
  <c r="M218" i="11"/>
  <c r="J495" i="11"/>
  <c r="M495" i="11"/>
  <c r="J463" i="11"/>
  <c r="M463" i="11"/>
  <c r="J431" i="11"/>
  <c r="M431" i="11"/>
  <c r="J399" i="11"/>
  <c r="M399" i="11"/>
  <c r="J367" i="11"/>
  <c r="M367" i="11"/>
  <c r="J335" i="11"/>
  <c r="M335" i="11"/>
  <c r="J303" i="11"/>
  <c r="M303" i="11"/>
  <c r="J271" i="11"/>
  <c r="M271" i="11"/>
  <c r="J239" i="11"/>
  <c r="M239" i="11"/>
  <c r="J207" i="11"/>
  <c r="M207" i="11"/>
  <c r="J175" i="11"/>
  <c r="M175" i="11"/>
  <c r="J143" i="11"/>
  <c r="M143" i="11"/>
  <c r="J111" i="11"/>
  <c r="M111" i="11"/>
  <c r="J79" i="11"/>
  <c r="M79" i="11"/>
  <c r="J47" i="11"/>
  <c r="M47" i="11"/>
  <c r="J15" i="11"/>
  <c r="M15" i="11"/>
  <c r="J494" i="11"/>
  <c r="M494" i="11"/>
  <c r="J462" i="11"/>
  <c r="M462" i="11"/>
  <c r="J430" i="11"/>
  <c r="M430" i="11"/>
  <c r="J398" i="11"/>
  <c r="M398" i="11"/>
  <c r="J366" i="11"/>
  <c r="M366" i="11"/>
  <c r="J334" i="11"/>
  <c r="M334" i="11"/>
  <c r="J302" i="11"/>
  <c r="M302" i="11"/>
  <c r="J270" i="11"/>
  <c r="M270" i="11"/>
  <c r="J238" i="11"/>
  <c r="M238" i="11"/>
  <c r="J206" i="11"/>
  <c r="M206" i="11"/>
  <c r="J174" i="11"/>
  <c r="M174" i="11"/>
  <c r="J142" i="11"/>
  <c r="M142" i="11"/>
  <c r="J110" i="11"/>
  <c r="M110" i="11"/>
  <c r="J78" i="11"/>
  <c r="M78" i="11"/>
  <c r="J46" i="11"/>
  <c r="M46" i="11"/>
  <c r="J14" i="11"/>
  <c r="M14" i="11"/>
  <c r="J425" i="11"/>
  <c r="M425" i="11"/>
  <c r="J314" i="11"/>
  <c r="M314" i="11"/>
  <c r="J493" i="11"/>
  <c r="M493" i="11"/>
  <c r="J461" i="11"/>
  <c r="M461" i="11"/>
  <c r="J429" i="11"/>
  <c r="M429" i="11"/>
  <c r="J397" i="11"/>
  <c r="M397" i="11"/>
  <c r="J365" i="11"/>
  <c r="M365" i="11"/>
  <c r="J333" i="11"/>
  <c r="M333" i="11"/>
  <c r="J301" i="11"/>
  <c r="M301" i="11"/>
  <c r="J269" i="11"/>
  <c r="M269" i="11"/>
  <c r="J237" i="11"/>
  <c r="M237" i="11"/>
  <c r="J141" i="11"/>
  <c r="M141" i="11"/>
  <c r="J109" i="11"/>
  <c r="M109" i="11"/>
  <c r="J77" i="11"/>
  <c r="M77" i="11"/>
  <c r="J45" i="11"/>
  <c r="M45" i="11"/>
  <c r="J13" i="11"/>
  <c r="M13" i="11"/>
  <c r="J492" i="11"/>
  <c r="M492" i="11"/>
  <c r="J428" i="11"/>
  <c r="M428" i="11"/>
  <c r="J396" i="11"/>
  <c r="M396" i="11"/>
  <c r="J364" i="11"/>
  <c r="M364" i="11"/>
  <c r="J332" i="11"/>
  <c r="M332" i="11"/>
  <c r="J300" i="11"/>
  <c r="M300" i="11"/>
  <c r="J268" i="11"/>
  <c r="M268" i="11"/>
  <c r="J236" i="11"/>
  <c r="M236" i="11"/>
  <c r="J204" i="11"/>
  <c r="M204" i="11"/>
  <c r="J140" i="11"/>
  <c r="M140" i="11"/>
  <c r="J76" i="11"/>
  <c r="M76" i="11"/>
  <c r="J44" i="11"/>
  <c r="M44" i="11"/>
  <c r="J12" i="11"/>
  <c r="M12" i="11"/>
  <c r="J474" i="11"/>
  <c r="M474" i="11"/>
  <c r="J491" i="11"/>
  <c r="M491" i="11"/>
  <c r="J459" i="11"/>
  <c r="M459" i="11"/>
  <c r="J427" i="11"/>
  <c r="M427" i="11"/>
  <c r="J395" i="11"/>
  <c r="M395" i="11"/>
  <c r="J363" i="11"/>
  <c r="M363" i="11"/>
  <c r="J331" i="11"/>
  <c r="M331" i="11"/>
  <c r="J299" i="11"/>
  <c r="M299" i="11"/>
  <c r="J267" i="11"/>
  <c r="M267" i="11"/>
  <c r="J235" i="11"/>
  <c r="M235" i="11"/>
  <c r="J203" i="11"/>
  <c r="M203" i="11"/>
  <c r="J171" i="11"/>
  <c r="M171" i="11"/>
  <c r="J139" i="11"/>
  <c r="M139" i="11"/>
  <c r="J75" i="11"/>
  <c r="M75" i="11"/>
  <c r="J43" i="11"/>
  <c r="M43" i="11"/>
  <c r="J11" i="11"/>
  <c r="M11" i="11"/>
  <c r="J490" i="11"/>
  <c r="M490" i="11"/>
  <c r="J394" i="11"/>
  <c r="M394" i="11"/>
  <c r="J362" i="11"/>
  <c r="M362" i="11"/>
  <c r="J330" i="11"/>
  <c r="M330" i="11"/>
  <c r="J298" i="11"/>
  <c r="M298" i="11"/>
  <c r="J266" i="11"/>
  <c r="M266" i="11"/>
  <c r="J234" i="11"/>
  <c r="M234" i="11"/>
  <c r="J202" i="11"/>
  <c r="M202" i="11"/>
  <c r="J170" i="11"/>
  <c r="M170" i="11"/>
  <c r="J138" i="11"/>
  <c r="M138" i="11"/>
  <c r="J106" i="11"/>
  <c r="M106" i="11"/>
  <c r="J42" i="11"/>
  <c r="M42" i="11"/>
  <c r="J10" i="11"/>
  <c r="M10" i="11"/>
  <c r="J105" i="11"/>
  <c r="M105" i="11"/>
  <c r="J73" i="11"/>
  <c r="M73" i="11"/>
  <c r="J41" i="11"/>
  <c r="M41" i="11"/>
  <c r="J9" i="11"/>
  <c r="M9" i="11"/>
  <c r="J297" i="11"/>
  <c r="M297" i="11"/>
  <c r="J233" i="11"/>
  <c r="M233" i="11"/>
  <c r="J169" i="11"/>
  <c r="M169" i="11"/>
  <c r="J488" i="11"/>
  <c r="M488" i="11"/>
  <c r="J456" i="11"/>
  <c r="M456" i="11"/>
  <c r="J424" i="11"/>
  <c r="M424" i="11"/>
  <c r="J392" i="11"/>
  <c r="M392" i="11"/>
  <c r="J360" i="11"/>
  <c r="M360" i="11"/>
  <c r="J328" i="11"/>
  <c r="M328" i="11"/>
  <c r="J296" i="11"/>
  <c r="M296" i="11"/>
  <c r="J264" i="11"/>
  <c r="M264" i="11"/>
  <c r="J232" i="11"/>
  <c r="M232" i="11"/>
  <c r="J200" i="11"/>
  <c r="M200" i="11"/>
  <c r="J168" i="11"/>
  <c r="M168" i="11"/>
  <c r="J136" i="11"/>
  <c r="M136" i="11"/>
  <c r="J104" i="11"/>
  <c r="M104" i="11"/>
  <c r="J8" i="11"/>
  <c r="M8" i="11"/>
  <c r="J329" i="11"/>
  <c r="M329" i="11"/>
  <c r="J265" i="11"/>
  <c r="M265" i="11"/>
  <c r="J201" i="11"/>
  <c r="M201" i="11"/>
  <c r="J137" i="11"/>
  <c r="M137" i="11"/>
  <c r="J487" i="11"/>
  <c r="M487" i="11"/>
  <c r="J455" i="11"/>
  <c r="M455" i="11"/>
  <c r="J423" i="11"/>
  <c r="M423" i="11"/>
  <c r="J391" i="11"/>
  <c r="M391" i="11"/>
  <c r="J359" i="11"/>
  <c r="M359" i="11"/>
  <c r="J327" i="11"/>
  <c r="M327" i="11"/>
  <c r="J295" i="11"/>
  <c r="M295" i="11"/>
  <c r="J263" i="11"/>
  <c r="M263" i="11"/>
  <c r="J231" i="11"/>
  <c r="M231" i="11"/>
  <c r="J199" i="11"/>
  <c r="M199" i="11"/>
  <c r="J167" i="11"/>
  <c r="M167" i="11"/>
  <c r="J135" i="11"/>
  <c r="M135" i="11"/>
  <c r="J103" i="11"/>
  <c r="M103" i="11"/>
  <c r="J71" i="11"/>
  <c r="M71" i="11"/>
  <c r="J39" i="11"/>
  <c r="M39" i="11"/>
  <c r="J7" i="11"/>
  <c r="M7" i="11"/>
  <c r="J486" i="11"/>
  <c r="M486" i="11"/>
  <c r="J454" i="11"/>
  <c r="M454" i="11"/>
  <c r="J422" i="11"/>
  <c r="M422" i="11"/>
  <c r="J390" i="11"/>
  <c r="M390" i="11"/>
  <c r="J358" i="11"/>
  <c r="M358" i="11"/>
  <c r="J294" i="11"/>
  <c r="M294" i="11"/>
  <c r="J198" i="11"/>
  <c r="M198" i="11"/>
  <c r="J166" i="11"/>
  <c r="M166" i="11"/>
  <c r="J102" i="11"/>
  <c r="M102" i="11"/>
  <c r="J70" i="11"/>
  <c r="M70" i="11"/>
  <c r="J38" i="11"/>
  <c r="M38" i="11"/>
  <c r="J489" i="11"/>
  <c r="M489" i="11"/>
  <c r="J485" i="11"/>
  <c r="M485" i="11"/>
  <c r="J453" i="11"/>
  <c r="M453" i="11"/>
  <c r="J421" i="11"/>
  <c r="M421" i="11"/>
  <c r="J389" i="11"/>
  <c r="M389" i="11"/>
  <c r="J325" i="11"/>
  <c r="M325" i="11"/>
  <c r="J293" i="11"/>
  <c r="M293" i="11"/>
  <c r="J261" i="11"/>
  <c r="M261" i="11"/>
  <c r="J229" i="11"/>
  <c r="M229" i="11"/>
  <c r="J197" i="11"/>
  <c r="M197" i="11"/>
  <c r="J165" i="11"/>
  <c r="M165" i="11"/>
  <c r="J133" i="11"/>
  <c r="M133" i="11"/>
  <c r="J101" i="11"/>
  <c r="M101" i="11"/>
  <c r="J69" i="11"/>
  <c r="M69" i="11"/>
  <c r="J37" i="11"/>
  <c r="M37" i="11"/>
  <c r="J5" i="11"/>
  <c r="M5" i="11"/>
  <c r="J393" i="11"/>
  <c r="M393" i="11"/>
  <c r="J484" i="11"/>
  <c r="M484" i="11"/>
  <c r="J452" i="11"/>
  <c r="M452" i="11"/>
  <c r="J420" i="11"/>
  <c r="M420" i="11"/>
  <c r="J388" i="11"/>
  <c r="M388" i="11"/>
  <c r="J356" i="11"/>
  <c r="M356" i="11"/>
  <c r="J324" i="11"/>
  <c r="M324" i="11"/>
  <c r="J292" i="11"/>
  <c r="M292" i="11"/>
  <c r="J260" i="11"/>
  <c r="M260" i="11"/>
  <c r="J228" i="11"/>
  <c r="M228" i="11"/>
  <c r="J196" i="11"/>
  <c r="M196" i="11"/>
  <c r="J164" i="11"/>
  <c r="M164" i="11"/>
  <c r="J132" i="11"/>
  <c r="M132" i="11"/>
  <c r="J100" i="11"/>
  <c r="M100" i="11"/>
  <c r="J68" i="11"/>
  <c r="M68" i="11"/>
  <c r="J36" i="11"/>
  <c r="M36" i="11"/>
  <c r="J4" i="11"/>
  <c r="M4" i="11"/>
  <c r="J483" i="11"/>
  <c r="M483" i="11"/>
  <c r="J451" i="11"/>
  <c r="M451" i="11"/>
  <c r="J419" i="11"/>
  <c r="M419" i="11"/>
  <c r="J387" i="11"/>
  <c r="M387" i="11"/>
  <c r="J355" i="11"/>
  <c r="M355" i="11"/>
  <c r="J323" i="11"/>
  <c r="M323" i="11"/>
  <c r="J291" i="11"/>
  <c r="M291" i="11"/>
  <c r="J259" i="11"/>
  <c r="M259" i="11"/>
  <c r="J227" i="11"/>
  <c r="M227" i="11"/>
  <c r="J195" i="11"/>
  <c r="M195" i="11"/>
  <c r="J163" i="11"/>
  <c r="M163" i="11"/>
  <c r="J99" i="11"/>
  <c r="M99" i="11"/>
  <c r="J67" i="11"/>
  <c r="M67" i="11"/>
  <c r="J35" i="11"/>
  <c r="M35" i="11"/>
  <c r="J482" i="11"/>
  <c r="M482" i="11"/>
  <c r="J450" i="11"/>
  <c r="M450" i="11"/>
  <c r="J418" i="11"/>
  <c r="M418" i="11"/>
  <c r="J386" i="11"/>
  <c r="M386" i="11"/>
  <c r="J354" i="11"/>
  <c r="M354" i="11"/>
  <c r="J322" i="11"/>
  <c r="M322" i="11"/>
  <c r="J290" i="11"/>
  <c r="M290" i="11"/>
  <c r="J258" i="11"/>
  <c r="M258" i="11"/>
  <c r="J226" i="11"/>
  <c r="M226" i="11"/>
  <c r="J194" i="11"/>
  <c r="M194" i="11"/>
  <c r="J130" i="11"/>
  <c r="M130" i="11"/>
  <c r="J98" i="11"/>
  <c r="M98" i="11"/>
  <c r="J66" i="11"/>
  <c r="M66" i="11"/>
  <c r="J34" i="11"/>
  <c r="M34" i="11"/>
  <c r="J248" i="11"/>
  <c r="J357" i="11"/>
  <c r="J107" i="11"/>
  <c r="J3" i="11"/>
  <c r="J469" i="11"/>
  <c r="H104" i="11"/>
  <c r="H58" i="11"/>
  <c r="H190" i="11"/>
  <c r="H498" i="11"/>
  <c r="H235" i="11"/>
  <c r="H430" i="11"/>
  <c r="H490" i="11"/>
  <c r="H144" i="11"/>
  <c r="H323" i="11"/>
  <c r="H408" i="11"/>
  <c r="H320" i="11"/>
  <c r="H366" i="11"/>
  <c r="H452" i="11"/>
  <c r="H301" i="11"/>
  <c r="H455" i="11"/>
  <c r="H37" i="11"/>
  <c r="H147" i="11"/>
  <c r="H145" i="11"/>
  <c r="H13" i="11"/>
  <c r="H168" i="11"/>
  <c r="H39" i="11"/>
  <c r="H125" i="11"/>
  <c r="H101" i="11"/>
  <c r="H364" i="11"/>
  <c r="H476" i="11"/>
  <c r="H127" i="11"/>
  <c r="H389" i="11"/>
  <c r="H59" i="11"/>
  <c r="H367" i="11"/>
  <c r="H15" i="11"/>
  <c r="H191" i="11"/>
  <c r="H410" i="11"/>
  <c r="H57" i="11"/>
  <c r="H279" i="11"/>
  <c r="H347" i="11"/>
  <c r="H299" i="11"/>
  <c r="H288" i="11"/>
  <c r="H167" i="11"/>
  <c r="H302" i="11"/>
  <c r="H348" i="11"/>
  <c r="H322" i="11"/>
  <c r="H388" i="11"/>
  <c r="H211" i="11"/>
  <c r="H324" i="11"/>
  <c r="H122" i="11"/>
  <c r="H284" i="11"/>
  <c r="H298" i="11"/>
  <c r="H3" i="11"/>
  <c r="H60" i="11"/>
  <c r="H194" i="11"/>
  <c r="H154" i="11"/>
  <c r="H501" i="11"/>
  <c r="H234" i="11"/>
  <c r="H197" i="11"/>
  <c r="H169" i="11"/>
  <c r="H253" i="11"/>
  <c r="H219" i="11"/>
  <c r="H77" i="11"/>
  <c r="H55" i="11"/>
  <c r="H358" i="11"/>
  <c r="H150" i="11"/>
  <c r="H81" i="11"/>
  <c r="H102" i="11"/>
  <c r="H350" i="11"/>
  <c r="H126" i="11"/>
  <c r="H187" i="11"/>
  <c r="H233" i="11"/>
  <c r="H105" i="11"/>
  <c r="H166" i="11"/>
  <c r="H404" i="11"/>
  <c r="H281" i="11"/>
  <c r="H370" i="11"/>
  <c r="H97" i="11"/>
  <c r="H65" i="11"/>
  <c r="H451" i="11"/>
  <c r="H296" i="11"/>
  <c r="H439" i="11"/>
  <c r="H229" i="11"/>
  <c r="H62" i="11"/>
  <c r="H414" i="11"/>
  <c r="H206" i="11"/>
  <c r="H378" i="11"/>
  <c r="H481" i="11"/>
  <c r="H208" i="11"/>
  <c r="H19" i="11"/>
  <c r="H495" i="11"/>
  <c r="H252" i="11"/>
  <c r="H204" i="11"/>
  <c r="H424" i="11"/>
  <c r="H492" i="11"/>
  <c r="H456" i="11"/>
  <c r="H79" i="11"/>
  <c r="H502" i="11"/>
  <c r="H436" i="11"/>
  <c r="H382" i="11"/>
  <c r="H33" i="11"/>
  <c r="H285" i="11"/>
  <c r="H345" i="11"/>
  <c r="H10" i="11"/>
  <c r="H214" i="11"/>
  <c r="H438" i="11"/>
  <c r="H283" i="11"/>
  <c r="H209" i="11"/>
  <c r="H341" i="11"/>
  <c r="H143" i="11"/>
  <c r="H437" i="11"/>
  <c r="H412" i="11"/>
  <c r="H12" i="11"/>
  <c r="H171" i="11"/>
  <c r="H231" i="11"/>
  <c r="H75" i="11"/>
  <c r="H292" i="11"/>
  <c r="H427" i="11"/>
  <c r="H76" i="11"/>
  <c r="H314" i="11"/>
  <c r="H442" i="11"/>
  <c r="H318" i="11"/>
  <c r="H182" i="11"/>
  <c r="H17" i="11"/>
  <c r="J472" i="11"/>
  <c r="H472" i="11"/>
  <c r="J426" i="11"/>
  <c r="H426" i="11"/>
  <c r="H327" i="11"/>
  <c r="H8" i="11"/>
  <c r="H96" i="11"/>
  <c r="H306" i="11"/>
  <c r="H270" i="11"/>
  <c r="J134" i="11"/>
  <c r="H134" i="11"/>
  <c r="H260" i="11"/>
  <c r="H51" i="11"/>
  <c r="H419" i="11"/>
  <c r="H480" i="11"/>
  <c r="J230" i="11"/>
  <c r="H230" i="11"/>
  <c r="J74" i="11"/>
  <c r="H74" i="11"/>
  <c r="H50" i="11"/>
  <c r="J371" i="11"/>
  <c r="H371" i="11"/>
  <c r="J173" i="11"/>
  <c r="H173" i="11"/>
  <c r="J129" i="11"/>
  <c r="H129" i="11"/>
  <c r="H405" i="11"/>
  <c r="H384" i="11"/>
  <c r="H152" i="11"/>
  <c r="H116" i="11"/>
  <c r="H273" i="11"/>
  <c r="H195" i="11"/>
  <c r="J54" i="11"/>
  <c r="H54" i="11"/>
  <c r="J339" i="11"/>
  <c r="H339" i="11"/>
  <c r="H52" i="11"/>
  <c r="J6" i="11"/>
  <c r="H6" i="11"/>
  <c r="H32" i="11"/>
  <c r="H28" i="11"/>
  <c r="J505" i="11"/>
  <c r="H505" i="11"/>
  <c r="J131" i="11"/>
  <c r="H131" i="11"/>
  <c r="J340" i="11"/>
  <c r="H340" i="11"/>
  <c r="J120" i="11"/>
  <c r="H120" i="11"/>
  <c r="J383" i="11"/>
  <c r="H383" i="11"/>
  <c r="J30" i="11"/>
  <c r="H30" i="11"/>
  <c r="H53" i="11"/>
  <c r="H228" i="11"/>
  <c r="H142" i="11"/>
  <c r="H428" i="11"/>
  <c r="H274" i="11"/>
  <c r="H138" i="11"/>
  <c r="J326" i="11"/>
  <c r="H326" i="11"/>
  <c r="J40" i="11"/>
  <c r="H40" i="11"/>
  <c r="H164" i="11"/>
  <c r="H362" i="11"/>
  <c r="J435" i="11"/>
  <c r="H435" i="11"/>
  <c r="J186" i="11"/>
  <c r="H186" i="11"/>
  <c r="J361" i="11"/>
  <c r="H361" i="11"/>
  <c r="J185" i="11"/>
  <c r="H185" i="11"/>
  <c r="J316" i="11"/>
  <c r="H316" i="11"/>
  <c r="J250" i="11"/>
  <c r="H250" i="11"/>
  <c r="J162" i="11"/>
  <c r="H162" i="11"/>
  <c r="H272" i="11"/>
  <c r="J205" i="11"/>
  <c r="H205" i="11"/>
  <c r="J446" i="11"/>
  <c r="H446" i="11"/>
  <c r="J72" i="11"/>
  <c r="H72" i="11"/>
  <c r="H336" i="11"/>
  <c r="H7" i="11"/>
  <c r="H406" i="11"/>
  <c r="H470" i="11"/>
  <c r="H360" i="11"/>
  <c r="H494" i="11"/>
  <c r="J373" i="11"/>
  <c r="H373" i="11"/>
  <c r="H118" i="11"/>
  <c r="J460" i="11"/>
  <c r="H460" i="11"/>
  <c r="J262" i="11"/>
  <c r="H262" i="11"/>
  <c r="J108" i="11"/>
  <c r="H108" i="11"/>
  <c r="H31" i="11"/>
  <c r="J458" i="11"/>
  <c r="H458" i="11"/>
  <c r="J304" i="11"/>
  <c r="H304" i="11"/>
  <c r="J216" i="11"/>
  <c r="H216" i="11"/>
  <c r="J172" i="11"/>
  <c r="H172" i="11"/>
  <c r="J18" i="11"/>
  <c r="H18" i="11"/>
  <c r="J193" i="11"/>
  <c r="H193" i="11"/>
  <c r="J83" i="11"/>
  <c r="H83" i="11"/>
  <c r="H160" i="11"/>
  <c r="H359" i="11"/>
  <c r="H207" i="11"/>
  <c r="H130" i="11"/>
  <c r="H238" i="11"/>
  <c r="H106" i="11"/>
  <c r="H416" i="11"/>
  <c r="H453" i="11"/>
  <c r="H36" i="11"/>
  <c r="H256" i="11"/>
  <c r="H407" i="11"/>
  <c r="H387" i="11"/>
  <c r="H80" i="11"/>
  <c r="H276" i="11"/>
  <c r="H212" i="11"/>
  <c r="H148" i="11"/>
  <c r="H478" i="11"/>
  <c r="H16" i="11"/>
  <c r="H344" i="11"/>
  <c r="H368" i="11"/>
  <c r="H258" i="11"/>
  <c r="H474" i="11"/>
  <c r="H297" i="11"/>
  <c r="H170" i="11"/>
  <c r="H313" i="11"/>
  <c r="H67" i="11"/>
  <c r="H244" i="11"/>
  <c r="H136" i="11"/>
  <c r="H444" i="11"/>
  <c r="H115" i="11"/>
  <c r="H114" i="11"/>
  <c r="H379" i="11"/>
  <c r="H158" i="11"/>
  <c r="H466" i="11"/>
  <c r="H176" i="11"/>
  <c r="H484" i="11"/>
  <c r="H93" i="11"/>
  <c r="H401" i="11"/>
  <c r="H95" i="11"/>
  <c r="H403" i="11"/>
  <c r="H464" i="11"/>
  <c r="H5" i="11"/>
  <c r="H363" i="11"/>
  <c r="H47" i="11"/>
  <c r="H201" i="11"/>
  <c r="H355" i="11"/>
  <c r="H107" i="11"/>
  <c r="H261" i="11"/>
  <c r="H415" i="11"/>
  <c r="H109" i="11"/>
  <c r="H263" i="11"/>
  <c r="H417" i="11"/>
  <c r="H265" i="11"/>
  <c r="H68" i="11"/>
  <c r="H222" i="11"/>
  <c r="H376" i="11"/>
  <c r="H84" i="11"/>
  <c r="H325" i="11"/>
  <c r="H463" i="11"/>
  <c r="H391" i="11"/>
  <c r="H237" i="11"/>
  <c r="H269" i="11"/>
  <c r="H45" i="11"/>
  <c r="H224" i="11"/>
  <c r="H85" i="11"/>
  <c r="H409" i="11"/>
  <c r="H198" i="11"/>
  <c r="H399" i="11"/>
  <c r="H132" i="11"/>
  <c r="H286" i="11"/>
  <c r="H440" i="11"/>
  <c r="H56" i="11"/>
  <c r="H24" i="11"/>
  <c r="H178" i="11"/>
  <c r="H332" i="11"/>
  <c r="H486" i="11"/>
  <c r="H73" i="11"/>
  <c r="H337" i="11"/>
  <c r="H128" i="11"/>
  <c r="H43" i="11"/>
  <c r="H380" i="11"/>
  <c r="H61" i="11"/>
  <c r="H215" i="11"/>
  <c r="H369" i="11"/>
  <c r="H121" i="11"/>
  <c r="H275" i="11"/>
  <c r="H429" i="11"/>
  <c r="H21" i="11"/>
  <c r="H123" i="11"/>
  <c r="H277" i="11"/>
  <c r="H431" i="11"/>
  <c r="H420" i="11"/>
  <c r="H82" i="11"/>
  <c r="H236" i="11"/>
  <c r="H390" i="11"/>
  <c r="H70" i="11"/>
  <c r="H161" i="11"/>
  <c r="H46" i="11"/>
  <c r="H200" i="11"/>
  <c r="H354" i="11"/>
  <c r="H508" i="11"/>
  <c r="H479" i="11"/>
  <c r="H155" i="11"/>
  <c r="H146" i="11"/>
  <c r="H300" i="11"/>
  <c r="H454" i="11"/>
  <c r="H14" i="11"/>
  <c r="H133" i="11"/>
  <c r="H140" i="11"/>
  <c r="H38" i="11"/>
  <c r="H192" i="11"/>
  <c r="H346" i="11"/>
  <c r="H500" i="11"/>
  <c r="H461" i="11"/>
  <c r="H111" i="11"/>
  <c r="H280" i="11"/>
  <c r="H213" i="11"/>
  <c r="H477" i="11"/>
  <c r="H99" i="11"/>
  <c r="H240" i="11"/>
  <c r="H226" i="11"/>
  <c r="H157" i="11"/>
  <c r="H267" i="11"/>
  <c r="H71" i="11"/>
  <c r="H450" i="11"/>
  <c r="H493" i="11"/>
  <c r="H433" i="11"/>
  <c r="H398" i="11"/>
  <c r="H469" i="11"/>
  <c r="H64" i="11"/>
  <c r="H218" i="11"/>
  <c r="H372" i="11"/>
  <c r="H135" i="11"/>
  <c r="H289" i="11"/>
  <c r="H443" i="11"/>
  <c r="H181" i="11"/>
  <c r="H137" i="11"/>
  <c r="H291" i="11"/>
  <c r="H445" i="11"/>
  <c r="H497" i="11"/>
  <c r="H112" i="11"/>
  <c r="H321" i="11"/>
  <c r="H196" i="11"/>
  <c r="H357" i="11"/>
  <c r="H475" i="11"/>
  <c r="H89" i="11"/>
  <c r="H243" i="11"/>
  <c r="H397" i="11"/>
  <c r="H210" i="11"/>
  <c r="H329" i="11"/>
  <c r="H78" i="11"/>
  <c r="H232" i="11"/>
  <c r="H386" i="11"/>
  <c r="H149" i="11"/>
  <c r="H303" i="11"/>
  <c r="H457" i="11"/>
  <c r="H151" i="11"/>
  <c r="H305" i="11"/>
  <c r="H459" i="11"/>
  <c r="H110" i="11"/>
  <c r="H264" i="11"/>
  <c r="H418" i="11"/>
  <c r="H307" i="11"/>
  <c r="H189" i="11"/>
  <c r="H44" i="11"/>
  <c r="H352" i="11"/>
  <c r="H315" i="11"/>
  <c r="H20" i="11"/>
  <c r="H174" i="11"/>
  <c r="H328" i="11"/>
  <c r="H482" i="11"/>
  <c r="H251" i="11"/>
  <c r="H448" i="11"/>
  <c r="H377" i="11"/>
  <c r="H66" i="11"/>
  <c r="H220" i="11"/>
  <c r="H374" i="11"/>
  <c r="H27" i="11"/>
  <c r="H343" i="11"/>
  <c r="H308" i="11"/>
  <c r="H507" i="11"/>
  <c r="H241" i="11"/>
  <c r="H365" i="11"/>
  <c r="H100" i="11"/>
  <c r="H381" i="11"/>
  <c r="H309" i="11"/>
  <c r="H254" i="11"/>
  <c r="H119" i="11"/>
  <c r="H41" i="11"/>
  <c r="H103" i="11"/>
  <c r="H257" i="11"/>
  <c r="H411" i="11"/>
  <c r="H287" i="11"/>
  <c r="H489" i="11"/>
  <c r="H92" i="11"/>
  <c r="H246" i="11"/>
  <c r="H400" i="11"/>
  <c r="H98" i="11"/>
  <c r="H9" i="11"/>
  <c r="H163" i="11"/>
  <c r="H317" i="11"/>
  <c r="H471" i="11"/>
  <c r="H413" i="11"/>
  <c r="H63" i="11"/>
  <c r="H11" i="11"/>
  <c r="H165" i="11"/>
  <c r="H319" i="11"/>
  <c r="H473" i="11"/>
  <c r="H124" i="11"/>
  <c r="H278" i="11"/>
  <c r="H432" i="11"/>
  <c r="H462" i="11"/>
  <c r="H349" i="11"/>
  <c r="H88" i="11"/>
  <c r="H242" i="11"/>
  <c r="H396" i="11"/>
  <c r="H268" i="11"/>
  <c r="H255" i="11"/>
  <c r="H199" i="11"/>
  <c r="H392" i="11"/>
  <c r="H159" i="11"/>
  <c r="H467" i="11"/>
  <c r="H221" i="11"/>
  <c r="H375" i="11"/>
  <c r="H26" i="11"/>
  <c r="H180" i="11"/>
  <c r="H334" i="11"/>
  <c r="H488" i="11"/>
  <c r="H441" i="11"/>
  <c r="H90" i="11"/>
  <c r="H290" i="11"/>
  <c r="H4" i="11"/>
  <c r="H312" i="11"/>
  <c r="H225" i="11"/>
  <c r="H506" i="11"/>
  <c r="H351" i="11"/>
  <c r="H69" i="11"/>
  <c r="H311" i="11"/>
  <c r="H86" i="11"/>
  <c r="H465" i="11"/>
  <c r="H203" i="11"/>
  <c r="H22" i="11"/>
  <c r="H330" i="11"/>
  <c r="H247" i="11"/>
  <c r="H249" i="11"/>
  <c r="H468" i="11"/>
  <c r="H91" i="11"/>
  <c r="H293" i="11"/>
  <c r="H217" i="11"/>
  <c r="H266" i="11"/>
  <c r="H153" i="11"/>
  <c r="H353" i="11"/>
  <c r="H87" i="11"/>
  <c r="H239" i="11"/>
  <c r="H227" i="11"/>
  <c r="H183" i="11"/>
  <c r="H393" i="11"/>
  <c r="H42" i="11"/>
  <c r="H34" i="11"/>
  <c r="H188" i="11"/>
  <c r="H342" i="11"/>
  <c r="H496" i="11"/>
  <c r="H139" i="11"/>
  <c r="H503" i="11"/>
  <c r="H385" i="11"/>
  <c r="H282" i="11"/>
  <c r="H423" i="11"/>
  <c r="H491" i="11"/>
  <c r="H421" i="11"/>
  <c r="H184" i="11"/>
  <c r="H449" i="11"/>
  <c r="H141" i="11"/>
  <c r="H394" i="11"/>
  <c r="H335" i="11"/>
  <c r="H499" i="11"/>
  <c r="H245" i="11"/>
  <c r="H117" i="11"/>
  <c r="H271" i="11"/>
  <c r="H425" i="11"/>
  <c r="H447" i="11"/>
  <c r="H175" i="11"/>
  <c r="H23" i="11"/>
  <c r="H177" i="11"/>
  <c r="H331" i="11"/>
  <c r="H485" i="11"/>
  <c r="H223" i="11"/>
  <c r="H25" i="11"/>
  <c r="H179" i="11"/>
  <c r="H333" i="11"/>
  <c r="H487" i="11"/>
  <c r="H504" i="11"/>
  <c r="H113" i="11"/>
  <c r="H395" i="11"/>
  <c r="H156" i="11"/>
  <c r="H49" i="11"/>
  <c r="H48" i="11"/>
  <c r="H202" i="11"/>
  <c r="H356" i="11"/>
  <c r="H483" i="11"/>
  <c r="H294" i="11"/>
  <c r="H94" i="11"/>
  <c r="H248" i="11"/>
  <c r="H402" i="11"/>
  <c r="H259" i="11"/>
  <c r="H422" i="11"/>
  <c r="H310" i="11"/>
  <c r="H338" i="11"/>
  <c r="H29" i="11"/>
  <c r="H295" i="11"/>
  <c r="H35" i="11"/>
  <c r="H434" i="11"/>
  <c r="I7" i="15" l="1"/>
  <c r="M9" i="15"/>
  <c r="I9" i="15"/>
  <c r="M6" i="15"/>
  <c r="F6" i="15"/>
  <c r="I6" i="15"/>
  <c r="F7" i="15"/>
  <c r="M7" i="15"/>
  <c r="M14" i="15"/>
  <c r="I14" i="15"/>
  <c r="F14" i="15"/>
  <c r="I13" i="15"/>
  <c r="M13" i="15"/>
  <c r="F13" i="15"/>
  <c r="F10" i="15"/>
  <c r="M10" i="15"/>
  <c r="I10" i="15"/>
  <c r="I11" i="15"/>
  <c r="M11" i="15"/>
  <c r="F11" i="15"/>
  <c r="M12" i="15"/>
  <c r="F12" i="15"/>
  <c r="I12" i="15"/>
  <c r="I8" i="15"/>
  <c r="M8" i="15"/>
  <c r="F8" i="15"/>
  <c r="M1" i="11"/>
  <c r="L1" i="11"/>
  <c r="I1" i="11"/>
  <c r="F15" i="15" l="1"/>
  <c r="M15" i="15"/>
  <c r="I15" i="15"/>
  <c r="K1" i="11"/>
  <c r="F1" i="11"/>
  <c r="H1" i="11" l="1"/>
  <c r="J1" i="1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434" i="1"/>
  <c r="Z435" i="1"/>
  <c r="Z436" i="1"/>
  <c r="Z437" i="1"/>
  <c r="Z439" i="1"/>
  <c r="Z2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29C11B-A318-4C0A-9179-2CF7F9A9943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0372177-1367-45D6-89BE-8BF02DBC600F}" name="WorksheetConnection_P25010-BW.xlsx!P25010A3" type="102" refreshedVersion="8" minRefreshableVersion="5">
    <extLst>
      <ext xmlns:x15="http://schemas.microsoft.com/office/spreadsheetml/2010/11/main" uri="{DE250136-89BD-433C-8126-D09CA5730AF9}">
        <x15:connection id="P25010A3">
          <x15:rangePr sourceName="_xlcn.WorksheetConnection_P25010BW.xlsxP25010A31"/>
        </x15:connection>
      </ext>
    </extLst>
  </connection>
</connections>
</file>

<file path=xl/sharedStrings.xml><?xml version="1.0" encoding="utf-8"?>
<sst xmlns="http://schemas.openxmlformats.org/spreadsheetml/2006/main" count="18016" uniqueCount="2616">
  <si>
    <t>SR.NO</t>
  </si>
  <si>
    <t>ELEMENT ID</t>
  </si>
  <si>
    <t>VILLA</t>
  </si>
  <si>
    <t>WIDTH</t>
  </si>
  <si>
    <t>HEIGHT</t>
  </si>
  <si>
    <t>CASTING DATE</t>
  </si>
  <si>
    <t>TYPE</t>
  </si>
  <si>
    <t>FOOTING SIZE</t>
  </si>
  <si>
    <t>DWG ISSUE DATE</t>
  </si>
  <si>
    <t>REV</t>
  </si>
  <si>
    <t>REV DATE</t>
  </si>
  <si>
    <t>VOL</t>
  </si>
  <si>
    <t>WT</t>
  </si>
  <si>
    <t>PLANNED DATE</t>
  </si>
  <si>
    <t>BAY</t>
  </si>
  <si>
    <t>PALLET</t>
  </si>
  <si>
    <t>REMARK</t>
  </si>
  <si>
    <t>A3-M1-21-A03-C2-P01</t>
  </si>
  <si>
    <t>P</t>
  </si>
  <si>
    <t>-</t>
  </si>
  <si>
    <t>A3-M1-21-A03-C2-P02</t>
  </si>
  <si>
    <t>A3-M1-21-A03-C2-P03</t>
  </si>
  <si>
    <t>A3-M1-15-A02-C1-P01A</t>
  </si>
  <si>
    <t>A3-M1-15-A02-C2-P01</t>
  </si>
  <si>
    <t>A3-M1-15-A02-C2-P02</t>
  </si>
  <si>
    <t>A3-M1-16-A03-C1-P01</t>
  </si>
  <si>
    <t>A3-M1-16-A03-C1-P02</t>
  </si>
  <si>
    <t>A3-M1-21-A03-C1-P01</t>
  </si>
  <si>
    <t>A3-M1-21-A03-C1-P02</t>
  </si>
  <si>
    <t>A3-M1-16-A03-C2-P01</t>
  </si>
  <si>
    <t>A3-M1-16-A03-C2-P02</t>
  </si>
  <si>
    <t>A3-M1-16-A03-C2-P03</t>
  </si>
  <si>
    <t>A3-M1-22-A02-C1-P01</t>
  </si>
  <si>
    <t>A3-M1-22-A02-C1-P02</t>
  </si>
  <si>
    <t>A3-M1-22-A02-C2-P01</t>
  </si>
  <si>
    <t>A3-M1-22-A02-C2-P03</t>
  </si>
  <si>
    <t>A3-M1-15-A02-C2-P02A</t>
  </si>
  <si>
    <t>A3-M1-22-A02-C2-P02</t>
  </si>
  <si>
    <t>ZONE</t>
  </si>
  <si>
    <t>DIST.NO</t>
  </si>
  <si>
    <t>002</t>
  </si>
  <si>
    <t>A3-M1-15-A02-C1-P01</t>
  </si>
  <si>
    <t>001/004</t>
  </si>
  <si>
    <t>A3-M1-15-A02-C1-01</t>
  </si>
  <si>
    <t>THK</t>
  </si>
  <si>
    <t>250*1400*1200</t>
  </si>
  <si>
    <t>EFC</t>
  </si>
  <si>
    <t>003</t>
  </si>
  <si>
    <t>A3-M1-15-A02-C1-02</t>
  </si>
  <si>
    <t>250*1100*1200</t>
  </si>
  <si>
    <t>A3-M1-15-A02-C1-03</t>
  </si>
  <si>
    <t>200*1150*1200</t>
  </si>
  <si>
    <t>A3-M1-16-A03-C1-03</t>
  </si>
  <si>
    <t>250*1500*1200</t>
  </si>
  <si>
    <t>A3-M1-16-A03-C1-04</t>
  </si>
  <si>
    <t>A3-M1-16-A03-C1-05</t>
  </si>
  <si>
    <t>A3-M1-16-A03-C1-06</t>
  </si>
  <si>
    <t>A3-M1-21-A03-C1-01</t>
  </si>
  <si>
    <t>A3-M1-21-A03-C1-02</t>
  </si>
  <si>
    <t>A3-M1-21-A03-C1-03</t>
  </si>
  <si>
    <t>250*1150*1200</t>
  </si>
  <si>
    <t>A3-M1-22-A02-C1-03</t>
  </si>
  <si>
    <t>A3</t>
  </si>
  <si>
    <t>ZA3-M1-15-B1-C3-01</t>
  </si>
  <si>
    <t>ZA3-M1-15-B1-C3-02</t>
  </si>
  <si>
    <t>ZA3-M1-15-B1-C3-04</t>
  </si>
  <si>
    <t>ZA3-M1-15-B1-C4-02</t>
  </si>
  <si>
    <t>ZA3-M1-15-B1-C4-03</t>
  </si>
  <si>
    <t>ZA3-M1-15-B1-C4-04</t>
  </si>
  <si>
    <t>ZA3-M1-15-B3-C1-01</t>
  </si>
  <si>
    <t>ZA3-M1-15-B3-C1-02</t>
  </si>
  <si>
    <t>ZA3-M1-15-B3-C1-05</t>
  </si>
  <si>
    <t>ZA3-M1-16-B1-C3-01</t>
  </si>
  <si>
    <t>ZA3-M1-16-B1-C3-02</t>
  </si>
  <si>
    <t>ZA3-M1-16-B1-C4-01</t>
  </si>
  <si>
    <t>ZA3-M1-16-B1-C4-02</t>
  </si>
  <si>
    <t>ZA3-M1-16-B1-C4-03</t>
  </si>
  <si>
    <t>ZA3-M1-21-B1-C3-01</t>
  </si>
  <si>
    <t>ZA3-M1-21-B1-C3-02</t>
  </si>
  <si>
    <t>ZA3-M1-21-B1-C4-01</t>
  </si>
  <si>
    <t>ZA3-M1-21-B1-C4-02</t>
  </si>
  <si>
    <t>ZA3-M1-21-B1-C4-03</t>
  </si>
  <si>
    <t>ZA3-M1-21-B2-C1-01</t>
  </si>
  <si>
    <t>ZA3-M1-21-B2-C1-02</t>
  </si>
  <si>
    <t>ZA3-M1-21-B2-C1-06</t>
  </si>
  <si>
    <t>ZA3-M1-21-B2-C4-01</t>
  </si>
  <si>
    <t>ZA3-M1-22-B1-C1-01</t>
  </si>
  <si>
    <t>ZA3-M1-22-B1-C1-02</t>
  </si>
  <si>
    <t>ZA3-M1-22-B1-C1-05</t>
  </si>
  <si>
    <t>ZA3-M1-22-B1-C3-01</t>
  </si>
  <si>
    <t>ZA3-M1-22-B1-C3-02</t>
  </si>
  <si>
    <t>ZA3-M1-22-B1-C3-04</t>
  </si>
  <si>
    <t>ZA3-M1-22-B1-C4-01</t>
  </si>
  <si>
    <t>ZA3-M1-22-B1-C4-02</t>
  </si>
  <si>
    <t>ZA3-M1-22-B1-C4-03</t>
  </si>
  <si>
    <t>ZA3-M1-22-B4-C1-01</t>
  </si>
  <si>
    <t>ZA3-M1-22-B4-C1-02</t>
  </si>
  <si>
    <t>ZA3-M1-22-B4-C1-04</t>
  </si>
  <si>
    <t>ZA3-M1-22-B5-C1-01</t>
  </si>
  <si>
    <t>ZA3-M1-22-B5-C1-02</t>
  </si>
  <si>
    <t>ZA3-M1-22-B5-C1-04</t>
  </si>
  <si>
    <t>ZA3-M1-22-B5-C5-01</t>
  </si>
  <si>
    <t>A3-M1-22-A02-C1-04</t>
  </si>
  <si>
    <t>A3-M1-22-A02-C1-05</t>
  </si>
  <si>
    <t>A3-M1-22-A02-C1-06</t>
  </si>
  <si>
    <t>006</t>
  </si>
  <si>
    <t>250*1000*1400</t>
  </si>
  <si>
    <t>ZA3-M1-15-B3-C1-03</t>
  </si>
  <si>
    <t>ZA3-M1-15-B3-C1-04</t>
  </si>
  <si>
    <t>ZA3-M1-15-B1-C4-01</t>
  </si>
  <si>
    <t>250*1000*1000</t>
  </si>
  <si>
    <t>ZA3-M1-21-B2-C1-02A</t>
  </si>
  <si>
    <t>ZA3-M1-21-B2-C1-03</t>
  </si>
  <si>
    <t>ZA3-M1-21-B2-C1-03A</t>
  </si>
  <si>
    <t>ZA3-M1-21-B2-C1-04</t>
  </si>
  <si>
    <t>ZA3-M1-21-B2-C1-04A</t>
  </si>
  <si>
    <t>ZA3-M1-21-B2-C1-05</t>
  </si>
  <si>
    <t>ZA3-M1-21-B2-C1-05A</t>
  </si>
  <si>
    <t>ZA3-M1-21-B2-C4-02</t>
  </si>
  <si>
    <t>ZA3-M1-22-B1-C1-03</t>
  </si>
  <si>
    <t>ZA3-M1-22-B1-C1-04</t>
  </si>
  <si>
    <t>ZA3-M1-22-B1-C4-04</t>
  </si>
  <si>
    <t>ZA3-M1-22-B4-C4-01</t>
  </si>
  <si>
    <t>ZA3-M1-22-B4-C1-02A</t>
  </si>
  <si>
    <t>ZA3-M1-22-B4-C1-03</t>
  </si>
  <si>
    <t>ZA3-M1-22-B4-C1-03A</t>
  </si>
  <si>
    <t>ZA3-M1-22-B4-C1-04A</t>
  </si>
  <si>
    <t>250*1000*1200</t>
  </si>
  <si>
    <t>ZA3-M1-22-B5-C1-01A</t>
  </si>
  <si>
    <t>ZA3-M1-22-B5-C1-02A</t>
  </si>
  <si>
    <t>ZA3-M1-22-B5-C1-03</t>
  </si>
  <si>
    <t>ZA3-M1-22-B5-C1-03A</t>
  </si>
  <si>
    <t>250*1000*1600</t>
  </si>
  <si>
    <t>X267</t>
  </si>
  <si>
    <t>X266</t>
  </si>
  <si>
    <t>X265</t>
  </si>
  <si>
    <t>X264</t>
  </si>
  <si>
    <t>X263</t>
  </si>
  <si>
    <t>X289</t>
  </si>
  <si>
    <t>X290</t>
  </si>
  <si>
    <t>X291</t>
  </si>
  <si>
    <t>X294</t>
  </si>
  <si>
    <t>X292</t>
  </si>
  <si>
    <t>X293</t>
  </si>
  <si>
    <t>X261</t>
  </si>
  <si>
    <t>X260</t>
  </si>
  <si>
    <t>X258</t>
  </si>
  <si>
    <t>X256</t>
  </si>
  <si>
    <t>X259</t>
  </si>
  <si>
    <t>X257</t>
  </si>
  <si>
    <t>X255</t>
  </si>
  <si>
    <t>X254</t>
  </si>
  <si>
    <t>X302</t>
  </si>
  <si>
    <t>X295</t>
  </si>
  <si>
    <t>X300</t>
  </si>
  <si>
    <t>X298</t>
  </si>
  <si>
    <t>X296</t>
  </si>
  <si>
    <t>X299</t>
  </si>
  <si>
    <t>X301</t>
  </si>
  <si>
    <t>X297</t>
  </si>
  <si>
    <t>A3-M1-15-A02-C1-05</t>
  </si>
  <si>
    <t>A3-M1-16-A03-C1-01</t>
  </si>
  <si>
    <t>A3-M1-21-A03-C1-05</t>
  </si>
  <si>
    <t>A3-M1-22-A02-C1-01</t>
  </si>
  <si>
    <t>250*1300*1200</t>
  </si>
  <si>
    <t>007</t>
  </si>
  <si>
    <t>COL LOCATION</t>
  </si>
  <si>
    <t>RLC</t>
  </si>
  <si>
    <t>BC</t>
  </si>
  <si>
    <t>LLC</t>
  </si>
  <si>
    <t>250*1600*1300</t>
  </si>
  <si>
    <t>T1</t>
  </si>
  <si>
    <t>T2</t>
  </si>
  <si>
    <t>34A</t>
  </si>
  <si>
    <t>34B</t>
  </si>
  <si>
    <t>38A</t>
  </si>
  <si>
    <t>38B</t>
  </si>
  <si>
    <t>09B</t>
  </si>
  <si>
    <t>18B</t>
  </si>
  <si>
    <t>19A</t>
  </si>
  <si>
    <t>33A</t>
  </si>
  <si>
    <t>33B</t>
  </si>
  <si>
    <t>33C</t>
  </si>
  <si>
    <t>34C</t>
  </si>
  <si>
    <t>34D</t>
  </si>
  <si>
    <t>37A</t>
  </si>
  <si>
    <t>19B</t>
  </si>
  <si>
    <t>A3-M1-15-A02-C1-04</t>
  </si>
  <si>
    <t>009</t>
  </si>
  <si>
    <t>A3-M1-16-A03-C1-02</t>
  </si>
  <si>
    <t>250*1800*1300</t>
  </si>
  <si>
    <t>A3-M1-21-A03-C1-04</t>
  </si>
  <si>
    <t>A3-M1-22-A02-C1-02</t>
  </si>
  <si>
    <t>09A</t>
  </si>
  <si>
    <t>29B</t>
  </si>
  <si>
    <t>28A</t>
  </si>
  <si>
    <t>28B</t>
  </si>
  <si>
    <t>30A</t>
  </si>
  <si>
    <t>28C</t>
  </si>
  <si>
    <t>28D</t>
  </si>
  <si>
    <t>ZC1-M2-001-B4-C1-01</t>
  </si>
  <si>
    <t>C1</t>
  </si>
  <si>
    <t>0011</t>
  </si>
  <si>
    <t>ZC1-M2-001-B4-C1-01A</t>
  </si>
  <si>
    <t>ZC1-M2-001-B4-C1-02</t>
  </si>
  <si>
    <t>ZC1-M2-002-B4-C1-02A</t>
  </si>
  <si>
    <t>ZC1-M2-001-B5-C1-02</t>
  </si>
  <si>
    <t>ZC1-M2-001-B5-C1-02A</t>
  </si>
  <si>
    <t>ZC1-M2-001-B5-C1-03</t>
  </si>
  <si>
    <t>ZC1-M2-001-B5-C1-03A</t>
  </si>
  <si>
    <t>ZC1-M2-001-B5-C1-04</t>
  </si>
  <si>
    <t>ZC1-M2-001-B5-C1-04A</t>
  </si>
  <si>
    <t>ZC1-M2-002-B5-C1-02</t>
  </si>
  <si>
    <t>ZC1-M2-002-B5-C1-02A</t>
  </si>
  <si>
    <t>ZC1-M2-002-B5-C1-03</t>
  </si>
  <si>
    <t>ZC1-M2-002-B5-C1-03A</t>
  </si>
  <si>
    <t>ZC1-M2-002-B5-C1-04</t>
  </si>
  <si>
    <t>ZC1-M2-002-B5-C1-04A</t>
  </si>
  <si>
    <t>ZC1-M2-003-B5-C1-02</t>
  </si>
  <si>
    <t>ZC1-M2-003-B5-C1-02A</t>
  </si>
  <si>
    <t>ZC1-M2-003-B5-C1-04</t>
  </si>
  <si>
    <t>ZC1-M2-003-B5-C1-04A</t>
  </si>
  <si>
    <t>ZC1-M2-003-B5-C1-05</t>
  </si>
  <si>
    <t>ZC1-M2-003-B5-C1-05A</t>
  </si>
  <si>
    <t>ZC1-M2-003-B5-C1-06</t>
  </si>
  <si>
    <t>ZC1-M2-003-B5-C1-06A</t>
  </si>
  <si>
    <t>06A</t>
  </si>
  <si>
    <t>ZC1-M2-001-B4-C5-01</t>
  </si>
  <si>
    <t>ZC1-M2-001-B5-C1-06</t>
  </si>
  <si>
    <t>ZC1-M2-001-B5-C1-07</t>
  </si>
  <si>
    <t>ZC1-M2-001-B5-C4-01</t>
  </si>
  <si>
    <t>ZC1-M2-002-B5-C1-06</t>
  </si>
  <si>
    <t>ZC1-M2-002-B5-C4-01</t>
  </si>
  <si>
    <t>ZC1-M2-003-B5-C1-01</t>
  </si>
  <si>
    <t>ZC1-M2-003-B5-C1-07</t>
  </si>
  <si>
    <t>ZC1-M2-003-B5-C1-07A</t>
  </si>
  <si>
    <t>ZC1-M2-003-B5-C4-01</t>
  </si>
  <si>
    <t>ZC1-M2-001-B5-C1-01</t>
  </si>
  <si>
    <t>ZC1-M2-001-B5-C1-01A</t>
  </si>
  <si>
    <t>ZC1-M2-001-B5-C1-05</t>
  </si>
  <si>
    <t>ZC1-M2-001-B5-C1-05A</t>
  </si>
  <si>
    <t>ZC1-M2-002-B5-C1-01</t>
  </si>
  <si>
    <t>ZC1-M2-002-B5-C1-01A</t>
  </si>
  <si>
    <t>ZC1-M2-002-B5-C1-05</t>
  </si>
  <si>
    <t>ZC1-M2-002-B5-C1-05A</t>
  </si>
  <si>
    <t>ZC1-M2-003-B5-C1-03</t>
  </si>
  <si>
    <t>ZC1-M2-003-B5-C1-03A</t>
  </si>
  <si>
    <t>06B</t>
  </si>
  <si>
    <t>37B</t>
  </si>
  <si>
    <t>ZC1-M2-001-B1-C3-02</t>
  </si>
  <si>
    <t>ZC1-M2-001-B1-C3-03</t>
  </si>
  <si>
    <t>ZC1-M2-003-B3-C1-01</t>
  </si>
  <si>
    <t>ZC1-M2-003-B3-C1-02</t>
  </si>
  <si>
    <t>ZC1-M2-003-B3-C1-05</t>
  </si>
  <si>
    <t>ZC1-M2-036-B3-C1-02</t>
  </si>
  <si>
    <t>ZC1-M2-001-B1-C3-04</t>
  </si>
  <si>
    <t>ZC1-M2-002-B1-C3-03</t>
  </si>
  <si>
    <t>ZC1-M2-002-B1-C3-05</t>
  </si>
  <si>
    <t>ZC1-M2-003-B1-C3-03</t>
  </si>
  <si>
    <t>ZC1-M2-003-B1-C3-05</t>
  </si>
  <si>
    <t>ZC1-M2-002-B1-C3-04</t>
  </si>
  <si>
    <t>ZC1-M2-003-B1-C3-04</t>
  </si>
  <si>
    <t>ZC1-M2-003-B3-C1-03</t>
  </si>
  <si>
    <t>ZC1-M2-003-B3-C1-04</t>
  </si>
  <si>
    <t>ZC1-M2-036-B3-C1-03</t>
  </si>
  <si>
    <t>ZC1-M2-036-B3-C1-04</t>
  </si>
  <si>
    <t>ZC1-M2-001-B4-C1-01B</t>
  </si>
  <si>
    <t>ZC1-M2-001-B4-C1-05</t>
  </si>
  <si>
    <t>ZC1-M2-003-B5-C1-08</t>
  </si>
  <si>
    <t>ZC1-M2-003-B5-C4-02</t>
  </si>
  <si>
    <t>ZC1-M2-037-B4-C1-01</t>
  </si>
  <si>
    <t>ZC1-M2-037-B4-C1-05</t>
  </si>
  <si>
    <t>ZC1-M2-038-B4-C1-01</t>
  </si>
  <si>
    <t>ZC1-M2-038-B4-C1-02</t>
  </si>
  <si>
    <t>ZC1-M2-038-B4-C1-05</t>
  </si>
  <si>
    <t>ZC1-M2-002-B4-C1-01C</t>
  </si>
  <si>
    <t>ZC1-M2-001-B4-C1-03</t>
  </si>
  <si>
    <t>ZC1-M2-001-B4-C1-04</t>
  </si>
  <si>
    <t>ZC1-M2-002-B4-C1-02</t>
  </si>
  <si>
    <t>ZC1-M2-002-B4-C1-03</t>
  </si>
  <si>
    <t>ZC1-M2-002-B4-C1-04</t>
  </si>
  <si>
    <t>ZC1-M2-037-B4-C1-02</t>
  </si>
  <si>
    <t>ZC1-M2-037-B4-C1-03</t>
  </si>
  <si>
    <t>ZC1-M2-037-B4-C1-04</t>
  </si>
  <si>
    <t>ZC1-M2-002-B5-C4-05</t>
  </si>
  <si>
    <t>250*1300*1600</t>
  </si>
  <si>
    <t>ZC1-M2-038-B4-C1-03</t>
  </si>
  <si>
    <t>ZC1-M2-038-B4-C1-04</t>
  </si>
  <si>
    <t>corbel @ Trowel side</t>
  </si>
  <si>
    <t>ZC1-M2-002-B4-C1-02B</t>
  </si>
  <si>
    <t>Y164</t>
  </si>
  <si>
    <t>Y172</t>
  </si>
  <si>
    <t>0011/0018</t>
  </si>
  <si>
    <t>Y455</t>
  </si>
  <si>
    <t>Y452</t>
  </si>
  <si>
    <t>C1-M2-001-A04-C1-01</t>
  </si>
  <si>
    <t>250*1500*2000</t>
  </si>
  <si>
    <t>C1-M2-001-A04-C1-02</t>
  </si>
  <si>
    <t>C1-M2-001-A05-C2-02</t>
  </si>
  <si>
    <t>250*1500*1900</t>
  </si>
  <si>
    <t>C1-M2-001-A05-C2-03</t>
  </si>
  <si>
    <t>250*1500*1800</t>
  </si>
  <si>
    <t>C1-M2-038-A04-P1-01</t>
  </si>
  <si>
    <t>C1-M2-038-A04-P1-02</t>
  </si>
  <si>
    <t>C1-M2-038-A03-P2-01</t>
  </si>
  <si>
    <t>C1-M2-038-A03-P2-02</t>
  </si>
  <si>
    <t>C1-M2-038-A03-P2-03</t>
  </si>
  <si>
    <t>C1-M2-038-A04-C1-02</t>
  </si>
  <si>
    <t>C1-M2-038-A04-C1-03</t>
  </si>
  <si>
    <t>C1-M2-038-A03-C2-01</t>
  </si>
  <si>
    <t>C1-M2-038-A03-C2-02</t>
  </si>
  <si>
    <t>C1-M2-038-A05-C2-01</t>
  </si>
  <si>
    <t>C1-M2-001-A05-P2-01</t>
  </si>
  <si>
    <t>C1-M2-001-A05-P2-02</t>
  </si>
  <si>
    <t>C1-M2-001-A05-P2-03</t>
  </si>
  <si>
    <t>C1-M2-001-A04-P1-01</t>
  </si>
  <si>
    <t>C1-M2-001-A04-P1-02</t>
  </si>
  <si>
    <t>C1-M2-001-A05-C2-04</t>
  </si>
  <si>
    <t>C1-M2-038-A04-C1-01</t>
  </si>
  <si>
    <t>250*1300*1650</t>
  </si>
  <si>
    <t>250*1300*1800</t>
  </si>
  <si>
    <t>250*1300*1750</t>
  </si>
  <si>
    <t>Y447</t>
  </si>
  <si>
    <t>Y453</t>
  </si>
  <si>
    <t>Y451</t>
  </si>
  <si>
    <t>Y445</t>
  </si>
  <si>
    <t>Y444</t>
  </si>
  <si>
    <t>Y439</t>
  </si>
  <si>
    <t>Y437</t>
  </si>
  <si>
    <t>Y436</t>
  </si>
  <si>
    <t>Y435</t>
  </si>
  <si>
    <t>Y456</t>
  </si>
  <si>
    <t>Y449</t>
  </si>
  <si>
    <t>Y441</t>
  </si>
  <si>
    <t>Y440</t>
  </si>
  <si>
    <t>Y434</t>
  </si>
  <si>
    <t>Y454</t>
  </si>
  <si>
    <t>Y450</t>
  </si>
  <si>
    <t>Y446</t>
  </si>
  <si>
    <t>Y442</t>
  </si>
  <si>
    <t>Y438</t>
  </si>
  <si>
    <t>Y159</t>
  </si>
  <si>
    <t>Y169</t>
  </si>
  <si>
    <t>Y161</t>
  </si>
  <si>
    <t>Y167</t>
  </si>
  <si>
    <t>Y175</t>
  </si>
  <si>
    <t>Y177</t>
  </si>
  <si>
    <t>Y160</t>
  </si>
  <si>
    <t>Y168</t>
  </si>
  <si>
    <t>Y180</t>
  </si>
  <si>
    <t>Y433</t>
  </si>
  <si>
    <t>Y157</t>
  </si>
  <si>
    <t>SA-RECESS</t>
  </si>
  <si>
    <t>SB-RECESS</t>
  </si>
  <si>
    <t>Column1</t>
  </si>
  <si>
    <t>Column2</t>
  </si>
  <si>
    <t>CFC</t>
  </si>
  <si>
    <t>CFPC</t>
  </si>
  <si>
    <t>Y443</t>
  </si>
  <si>
    <t>ZC1-M2-002-B4-C1-01</t>
  </si>
  <si>
    <t>ZC1-M2-002-B4-C4-01</t>
  </si>
  <si>
    <t>ZC1-M2-036-B3-C1-01</t>
  </si>
  <si>
    <t>ZC1-M2-036-B3-C1-05</t>
  </si>
  <si>
    <t>ZC6-M2-46-TBC3-001</t>
  </si>
  <si>
    <t>ZC6-M2-46-TBC3-002</t>
  </si>
  <si>
    <t>ZC6-M2-46-TBC6-001</t>
  </si>
  <si>
    <t>ZC6-M2-46-TBC6-002</t>
  </si>
  <si>
    <t>ZC6-M2-46-TBC6-009</t>
  </si>
  <si>
    <t>ZC6-M2-46-TBC7-001</t>
  </si>
  <si>
    <t>ZC6-M2-46-TBC7-002</t>
  </si>
  <si>
    <t>ZC6-M2-47-TBC3-001</t>
  </si>
  <si>
    <t>ZC6-M2-47-TBC3-002</t>
  </si>
  <si>
    <t>ZC6-M2-47-TBC3-003</t>
  </si>
  <si>
    <t>ZC6-M2-47-TBC3-004</t>
  </si>
  <si>
    <t>ZC6-M2-47-TBC5-002</t>
  </si>
  <si>
    <t>ZC6-M2-47-TBC5-006</t>
  </si>
  <si>
    <t>ZC6-M2-47-TBC7-001</t>
  </si>
  <si>
    <t>C6</t>
  </si>
  <si>
    <t>001</t>
  </si>
  <si>
    <t>ZC6-M2-46-TBC6-003</t>
  </si>
  <si>
    <t>ZC6-M2-46-TBC6-004</t>
  </si>
  <si>
    <t>ZC6-M2-46-TBC6-005</t>
  </si>
  <si>
    <t>ZC6-M2-46-TBC6-006</t>
  </si>
  <si>
    <t>ZC6-M2-46-TBC6-007</t>
  </si>
  <si>
    <t>ZC6-M2-46-TBC6-008</t>
  </si>
  <si>
    <t>ZC6-M2-46-TBC7-003</t>
  </si>
  <si>
    <t>ZC6-M2-46-TBC7-004</t>
  </si>
  <si>
    <t>ZC6-M2-46-TBC7-005</t>
  </si>
  <si>
    <t>ZC6-M2-46-TBC7-006</t>
  </si>
  <si>
    <t>DCFC</t>
  </si>
  <si>
    <t>ZC6-M2-47-TBC5-003</t>
  </si>
  <si>
    <t>ZC6-M2-47-TBC5-007</t>
  </si>
  <si>
    <t>ZC6-M2-47-TBC7-002</t>
  </si>
  <si>
    <t>ZC6-M2-47-TBC7-003</t>
  </si>
  <si>
    <t>ZC6-M2-47-TBC7-004</t>
  </si>
  <si>
    <t>ZC6-M2-47-TBC7-005</t>
  </si>
  <si>
    <t>ZC6-M2-47-TBC7-006</t>
  </si>
  <si>
    <t>ZC6-M2-47-TBC7-007</t>
  </si>
  <si>
    <t>ZC6-M2-47-TBC7-008</t>
  </si>
  <si>
    <t>ZC6-M2-47-TBC7-009</t>
  </si>
  <si>
    <t>ZC6-M2-47-TBC7-010</t>
  </si>
  <si>
    <t>ZC6-M2-47-TBC7-011</t>
  </si>
  <si>
    <t>ZC6-M2-47-TBC7-012</t>
  </si>
  <si>
    <t>Y448</t>
  </si>
  <si>
    <t>ZC6-M2-41-TBC1-005</t>
  </si>
  <si>
    <t>ZC6-M2-41-TBC1-003</t>
  </si>
  <si>
    <t>ZC6-M2-41-TBC1-006</t>
  </si>
  <si>
    <t>ZC6-M2-41-TBC1-004</t>
  </si>
  <si>
    <t>ZC6-M2-41-TBC1-002</t>
  </si>
  <si>
    <t>ZC6-M2-41-TBC1-007</t>
  </si>
  <si>
    <t>ZC6-M2-41-TBC1-001</t>
  </si>
  <si>
    <t>ZC6-M2-42-TBC1-001</t>
  </si>
  <si>
    <t>ZC6-M2-42-TBC1-002</t>
  </si>
  <si>
    <t>ZC6-M2-42-TBC1-003</t>
  </si>
  <si>
    <t>ZC6-M2-42-TBC1-004</t>
  </si>
  <si>
    <t>ZC6-M2-42-TBC1-005</t>
  </si>
  <si>
    <t>ZC6-M2-42-TBC1-006</t>
  </si>
  <si>
    <t>ZC6-M2-42-TBC1-007</t>
  </si>
  <si>
    <t>ZC6-M2-42-TBC1-008</t>
  </si>
  <si>
    <t>ZC6-M2-46-TBC1-007</t>
  </si>
  <si>
    <t>ZC6-M2-47-TBC1-001</t>
  </si>
  <si>
    <t>ZC6-M2-47-TBC1-007</t>
  </si>
  <si>
    <t>ZC6-M2-47-TBC1-003</t>
  </si>
  <si>
    <t>ZC6-M2-47-TBC1-005</t>
  </si>
  <si>
    <t>ZC6-M2-47-TBC1-006</t>
  </si>
  <si>
    <t>ZC6-M2-47-TBC1-004</t>
  </si>
  <si>
    <t>ZC6-M2-47-TBC1-002</t>
  </si>
  <si>
    <t>ZC6-M2-47-TBC5-001</t>
  </si>
  <si>
    <t>ZC6-M2-47-TBC5-004</t>
  </si>
  <si>
    <t>ZC6-M2-47-TBC5-005</t>
  </si>
  <si>
    <t>ZC6-M2-47-TBC5-008</t>
  </si>
  <si>
    <t>05A</t>
  </si>
  <si>
    <t>05B</t>
  </si>
  <si>
    <t>08B</t>
  </si>
  <si>
    <t>11A</t>
  </si>
  <si>
    <t>11B</t>
  </si>
  <si>
    <t>18AB</t>
  </si>
  <si>
    <t>T4</t>
  </si>
  <si>
    <t>T5</t>
  </si>
  <si>
    <t>T7</t>
  </si>
  <si>
    <t>T9</t>
  </si>
  <si>
    <t>T10</t>
  </si>
  <si>
    <t>ZC6-M2-41-TAC2-P01</t>
  </si>
  <si>
    <t>ZC6-M2-41-TAC3-P01</t>
  </si>
  <si>
    <t>ZC6-M2-41-TAC3-P02</t>
  </si>
  <si>
    <t>ZC6-M2-41-TAC10-P01</t>
  </si>
  <si>
    <t>ZC6-M2-41-TAC10-P02</t>
  </si>
  <si>
    <t>ZC6-M2-42-TAC3-P01</t>
  </si>
  <si>
    <t>ZC6-M2-42-TAC3-P02</t>
  </si>
  <si>
    <t>ZC6-M2-42-TAC3-P03</t>
  </si>
  <si>
    <t>ZC6-M2-42-TAC7-P01</t>
  </si>
  <si>
    <t>ZC6-M2-42-TAC7-P02</t>
  </si>
  <si>
    <t>ZC6-M2-42-TAC11-P01</t>
  </si>
  <si>
    <t>ZC6-M2-46-TAC6-P01</t>
  </si>
  <si>
    <t>ZC6-M2-46-TAC6-P02</t>
  </si>
  <si>
    <t>ZC6-M2-46-TAC6-P03</t>
  </si>
  <si>
    <t>ZC6-M2-46-TAC10-P01</t>
  </si>
  <si>
    <t>ZC6-M2-46-TAC10-P02</t>
  </si>
  <si>
    <t>ZC6-M2-46-TBC1-001</t>
  </si>
  <si>
    <t>ZC6-M2-46-TBC1-002</t>
  </si>
  <si>
    <t>ZC6-M2-46-TBC1-003</t>
  </si>
  <si>
    <t>ZC6-M2-46-TBC1-004</t>
  </si>
  <si>
    <t>ZC6-M2-46-TBC1-005</t>
  </si>
  <si>
    <t>ZC6-M2-46-TBC1-006</t>
  </si>
  <si>
    <t>ZC6-M2-47-TAC1-P01</t>
  </si>
  <si>
    <t>ZC6-M2-47-TAC1-P02</t>
  </si>
  <si>
    <t>ZC6-M2-47-TAC1-P03</t>
  </si>
  <si>
    <t>ZC6-M2-47-TAC9-P01</t>
  </si>
  <si>
    <t>ZC6-M2-47-TAC9-P02</t>
  </si>
  <si>
    <t>30B</t>
  </si>
  <si>
    <t>Y515</t>
  </si>
  <si>
    <t>Y508</t>
  </si>
  <si>
    <t>Y509</t>
  </si>
  <si>
    <t>Y510</t>
  </si>
  <si>
    <t>Y511</t>
  </si>
  <si>
    <t>Y512</t>
  </si>
  <si>
    <t>Y513</t>
  </si>
  <si>
    <t>Y514</t>
  </si>
  <si>
    <t>Y516</t>
  </si>
  <si>
    <t>Y523</t>
  </si>
  <si>
    <t>Y517</t>
  </si>
  <si>
    <t>Y480</t>
  </si>
  <si>
    <t>Y518</t>
  </si>
  <si>
    <t>Y519</t>
  </si>
  <si>
    <t>Y520</t>
  </si>
  <si>
    <t>Y521</t>
  </si>
  <si>
    <t>Y522</t>
  </si>
  <si>
    <t>Y475</t>
  </si>
  <si>
    <t>Y477</t>
  </si>
  <si>
    <t>Y474</t>
  </si>
  <si>
    <t>Y476</t>
  </si>
  <si>
    <t>Y478</t>
  </si>
  <si>
    <t>Y473</t>
  </si>
  <si>
    <t>Y479</t>
  </si>
  <si>
    <t>Y488</t>
  </si>
  <si>
    <t>Y487</t>
  </si>
  <si>
    <t>Y486</t>
  </si>
  <si>
    <t>Y485</t>
  </si>
  <si>
    <t>Y484</t>
  </si>
  <si>
    <t>Y483</t>
  </si>
  <si>
    <t>Y482</t>
  </si>
  <si>
    <t>Y481</t>
  </si>
  <si>
    <t>Y489</t>
  </si>
  <si>
    <t>MEP BALANCE</t>
  </si>
  <si>
    <t>WIR</t>
  </si>
  <si>
    <t>5A</t>
  </si>
  <si>
    <t>5B</t>
  </si>
  <si>
    <t>8A</t>
  </si>
  <si>
    <t>8B</t>
  </si>
  <si>
    <t>ZC6-M2-47-TAC9-C01</t>
  </si>
  <si>
    <t>ZC6-M2-47-TAC9-C02</t>
  </si>
  <si>
    <t>ZC6-M2-47-TAC5-C01</t>
  </si>
  <si>
    <t>ZC6-M2-47-TAC2-C01</t>
  </si>
  <si>
    <t>ZC6-M2-47-TAC2-C02</t>
  </si>
  <si>
    <t>ZC6-M2-41-TAC3-C01</t>
  </si>
  <si>
    <t>ZC6-M2-41-TAC3-C02</t>
  </si>
  <si>
    <t>ZC6-M2-41-TAC2-C01</t>
  </si>
  <si>
    <t>ZC6-M2-41-TAC6-C01</t>
  </si>
  <si>
    <t>ZC6-M2-41-TAC9-C01</t>
  </si>
  <si>
    <t>ZC6-M2-42-TAC6-C01</t>
  </si>
  <si>
    <t>ZC6-M2-42-TAC7-C01</t>
  </si>
  <si>
    <t>ZC6-M2-42-TAC7-C02</t>
  </si>
  <si>
    <t>ZC6-M2-42-TAC3-C01</t>
  </si>
  <si>
    <t>ZC6-M2-42-TAC3-C02</t>
  </si>
  <si>
    <t>ZC6-M2-42-TAC3-C03</t>
  </si>
  <si>
    <t>ZC6-M2-46-TAC11-C01</t>
  </si>
  <si>
    <t>ZC6-M2-46-TAC6-C01</t>
  </si>
  <si>
    <t>ZC6-M2-46-TAC6-C02</t>
  </si>
  <si>
    <t>ZC6-M2-46-TAC10-C01</t>
  </si>
  <si>
    <t>ZC6-M2-46-TAC10-C02</t>
  </si>
  <si>
    <t>ZC6-M2-46-TAC10-C03</t>
  </si>
  <si>
    <t>004</t>
  </si>
  <si>
    <t>250*1650*1300</t>
  </si>
  <si>
    <t>ZC6-M2-41-TAC10S-C01</t>
  </si>
  <si>
    <t>ZC6-M2-42-TAC6S-C01</t>
  </si>
  <si>
    <t>250*1700*1200</t>
  </si>
  <si>
    <t>250*1750*1300</t>
  </si>
  <si>
    <t>ZC6-M2-46-TAC9S-C01</t>
  </si>
  <si>
    <t>250*1600*1500/1050</t>
  </si>
  <si>
    <t>ZC6-M2-47-TAC9S-C01</t>
  </si>
  <si>
    <t>ZC2-M2-04-TBC1-001</t>
  </si>
  <si>
    <t>ZC2-M2-04-TBC1-002</t>
  </si>
  <si>
    <t>ZC2-M2-04-TBC1-003</t>
  </si>
  <si>
    <t>ZC2-M2-04-TBC1-005</t>
  </si>
  <si>
    <t>ZC2-M2-04-TBC7-004</t>
  </si>
  <si>
    <t>ZC2-M2-05-TBC5-001</t>
  </si>
  <si>
    <t>ZC2-M2-05-TBC5-002</t>
  </si>
  <si>
    <t>ZC2-M2-05-TBC5-004</t>
  </si>
  <si>
    <t>ZC2-M2-06-TBC5-001</t>
  </si>
  <si>
    <t>ZC2-M2-06-TBC5-002</t>
  </si>
  <si>
    <t>ZC2-M2-06-TBC5-004</t>
  </si>
  <si>
    <t>ZC2-M2-33-TBC5-001</t>
  </si>
  <si>
    <t>ZC2-M2-33-TBC5-002</t>
  </si>
  <si>
    <t>ZC2-M2-33-TBC5-004</t>
  </si>
  <si>
    <t>ZC2-M2-34-TBC5-001</t>
  </si>
  <si>
    <t>ZC2-M2-34-TBC5-002</t>
  </si>
  <si>
    <t>ZC2-M2-34-TBC5-004</t>
  </si>
  <si>
    <t>ZC2-M2-35-TBC1-001</t>
  </si>
  <si>
    <t>ZC2-M2-35-TBC1-002</t>
  </si>
  <si>
    <t>ZC2-M2-35-TBC1-003</t>
  </si>
  <si>
    <t>ZC2-M2-35-TBC1-005</t>
  </si>
  <si>
    <t>C2</t>
  </si>
  <si>
    <t>ZC2-M2-04-TBC1-007</t>
  </si>
  <si>
    <t>ZC2-M2-05-TBC1-001</t>
  </si>
  <si>
    <t>ZC2-M2-05-TBC1-007</t>
  </si>
  <si>
    <t>ZC2-M2-06-TBC1-001</t>
  </si>
  <si>
    <t>ZC2-M2-06-TBC1-007</t>
  </si>
  <si>
    <t>ZC2-M2-04-TBC1-004</t>
  </si>
  <si>
    <t>ZC2-M2-04-TBC1-006</t>
  </si>
  <si>
    <t>ZC2-M2-05-TBC1-002</t>
  </si>
  <si>
    <t>ZC2-M2-05-TBC1-004</t>
  </si>
  <si>
    <t>ZC2-M2-05-TBC1-006</t>
  </si>
  <si>
    <t>ZC2-M2-06-TBC1-004</t>
  </si>
  <si>
    <t>ZC2-M2-06-TBC1-002</t>
  </si>
  <si>
    <t>ZC2-M2-06-TBC1-006</t>
  </si>
  <si>
    <t>ZC2-M2-05-TBC1-003</t>
  </si>
  <si>
    <t>ZC2-M2-05-TBC1-005</t>
  </si>
  <si>
    <t>ZC2-M2-06-TBC1-003</t>
  </si>
  <si>
    <t>ZC2-M2-06-TBC1-005</t>
  </si>
  <si>
    <t>ZC2-M2-04-TBC7-005</t>
  </si>
  <si>
    <t>ZC2-M2-04-TBC7-006</t>
  </si>
  <si>
    <t>ZC2-M2-05-TBC5-003</t>
  </si>
  <si>
    <t>ZC2-M2-06-TBC5-003</t>
  </si>
  <si>
    <t>ZC2-M2-33-TBC5-003</t>
  </si>
  <si>
    <t>ZC2-M2-34-TBC5-003</t>
  </si>
  <si>
    <t>ZC2-M2-35-TBC1-007</t>
  </si>
  <si>
    <t>ZC2-M2-34-TBC1-001</t>
  </si>
  <si>
    <t>ZC2-M2-34-TBC1-007</t>
  </si>
  <si>
    <t>ZC2-M2-33-TBC1-001</t>
  </si>
  <si>
    <t>ZC2-M2-33-TBC1-007</t>
  </si>
  <si>
    <t>ZC2-M2-35-TBC1-004</t>
  </si>
  <si>
    <t>ZC2-M2-35-TBC1-006</t>
  </si>
  <si>
    <t>ZC2-M2-34-TBC1-002</t>
  </si>
  <si>
    <t>ZC2-M2-34-TBC1-004</t>
  </si>
  <si>
    <t>ZC2-M2-34-TBC1-006</t>
  </si>
  <si>
    <t>ZC2-M2-33-TBC1-002</t>
  </si>
  <si>
    <t>ZC2-M2-33-TBC1-004</t>
  </si>
  <si>
    <t>ZC2-M2-33-TBC1-006</t>
  </si>
  <si>
    <t>ZC2-M2-34-TBC1-003</t>
  </si>
  <si>
    <t>ZC2-M2-34-TBC1-005</t>
  </si>
  <si>
    <t>ZC2-M2-33-TBC1-003</t>
  </si>
  <si>
    <t>ZC2-M2-33-TBC1-005</t>
  </si>
  <si>
    <t>BW</t>
  </si>
  <si>
    <t>ZC2-M2-04-TBC3-001</t>
  </si>
  <si>
    <t>ZC2-M2-04-TBC3-002</t>
  </si>
  <si>
    <t>ZC2-M2-04-TBC3-003</t>
  </si>
  <si>
    <t>ZC2-M2-04-TBC7-001</t>
  </si>
  <si>
    <t>ZC2-M2-04-TBC7-002</t>
  </si>
  <si>
    <t>ZC2-M2-04-TBC7-003</t>
  </si>
  <si>
    <t>ZC2-M2-05-TBC3-001</t>
  </si>
  <si>
    <t>ZC2-M2-05-TBC3-003</t>
  </si>
  <si>
    <t>ZC2-M2-05-TBC3-004</t>
  </si>
  <si>
    <t>ZC2-M2-05-TBC7-001</t>
  </si>
  <si>
    <t>ZC2-M2-06-TBC3-001</t>
  </si>
  <si>
    <t>ZC2-M2-06-TBC3-002</t>
  </si>
  <si>
    <t>ZC2-M2-06-TBC3-003</t>
  </si>
  <si>
    <t>ZC2-M2-06-TBC3-004</t>
  </si>
  <si>
    <t>ZC2-M2-06-TBC7-001</t>
  </si>
  <si>
    <t>ZC7-M2-39-TBC3-001</t>
  </si>
  <si>
    <t>ZC7-M2-39-TBC3-002</t>
  </si>
  <si>
    <t>ZC7-M2-39-TBC3-005</t>
  </si>
  <si>
    <t>ZC7-M2-48-TBC7-001</t>
  </si>
  <si>
    <t>ZC7-M2-48-TBC7-05</t>
  </si>
  <si>
    <t>ZC7-M2-48-TBC7-006</t>
  </si>
  <si>
    <t>ZC7-M2-48-TBC7-007</t>
  </si>
  <si>
    <t>ZC7-M2-49-TBC3-005</t>
  </si>
  <si>
    <t>ZC7-M2-49-TBC3-006</t>
  </si>
  <si>
    <t>ZC7-M2-49-TBC3-009</t>
  </si>
  <si>
    <t>ZC7-M2-49-TBC7-001</t>
  </si>
  <si>
    <t>ZC7-M2-49-TBC7-002</t>
  </si>
  <si>
    <t>ZC7-M2-49-TBC7-003</t>
  </si>
  <si>
    <t>ZC7-M2-49-TBC8-001</t>
  </si>
  <si>
    <t>Column3</t>
  </si>
  <si>
    <t>C7</t>
  </si>
  <si>
    <t>ZC2-M2-04-TBC3-004</t>
  </si>
  <si>
    <t>ZC2-M2-05-TBC3-002</t>
  </si>
  <si>
    <t>ZC2-M2-05-TBC7-002</t>
  </si>
  <si>
    <t>ZC2-M2-05-TBC7-003</t>
  </si>
  <si>
    <t>ZC2-M2-05-TBC7-004</t>
  </si>
  <si>
    <t>ZC2-M2-05-TBC7-005</t>
  </si>
  <si>
    <t>ZC2-M2-05-TBC7-006</t>
  </si>
  <si>
    <t>ZC2-M2-06-TBC7-002</t>
  </si>
  <si>
    <t>ZC2-M2-06-TBC7-003</t>
  </si>
  <si>
    <t>ZC2-M2-06-TBC7-004</t>
  </si>
  <si>
    <t>ZC2-M2-06-TBC7-005</t>
  </si>
  <si>
    <t>ZC2-M2-06-TBC7-006</t>
  </si>
  <si>
    <t>ZC2-M2-33-TAC1-P01</t>
  </si>
  <si>
    <t>ZC2-M2-33-TAC1-P02</t>
  </si>
  <si>
    <t>ZC2-M2-33-TAC2-C01</t>
  </si>
  <si>
    <t>ZC2-M2-33-TAC2-C02</t>
  </si>
  <si>
    <t>ZC2-M2-33-TAC3-P01</t>
  </si>
  <si>
    <t>ZC2-M2-33-TAC9-C01</t>
  </si>
  <si>
    <t>ZC2-M2-33-TAC9-P01</t>
  </si>
  <si>
    <t>ZC2-M2-33-TAC9S-C01</t>
  </si>
  <si>
    <t>ZC2-M2-33-TAC10-C01</t>
  </si>
  <si>
    <t>ZC2-M2-33-TAC10-P01</t>
  </si>
  <si>
    <t>ZC2-M2-06-TAC3-C01</t>
  </si>
  <si>
    <t>ZC2-M2-06-TAC3-C02</t>
  </si>
  <si>
    <t>ZC2-M2-06-TAC4-C01</t>
  </si>
  <si>
    <t>ZC2-M2-06-TAC4-P01</t>
  </si>
  <si>
    <t>ZC2-M2-06-TAC4-P02</t>
  </si>
  <si>
    <t>ZC2-M2-06-TAC7-C01</t>
  </si>
  <si>
    <t>ZC2-M2-06-TAC7-P01</t>
  </si>
  <si>
    <t>ZC2-M2-06-TAC7-P02</t>
  </si>
  <si>
    <t>ZC2-M2-06-TAC9-C01</t>
  </si>
  <si>
    <t>ZC2-M2-06-TAC9-P01</t>
  </si>
  <si>
    <t>ZC2-M2-06-TAC10S-C01</t>
  </si>
  <si>
    <t>ZC7-M2-39-TBC3-003</t>
  </si>
  <si>
    <t>ZC7-M2-39-TBC3-004</t>
  </si>
  <si>
    <t>ZC7-M2-48-TBC7-002</t>
  </si>
  <si>
    <t>ZC7-M2-48-TBC7-003</t>
  </si>
  <si>
    <t>ZC7-M2-48-TBC7-004</t>
  </si>
  <si>
    <t>ZC7-M2-48-TBC7-009</t>
  </si>
  <si>
    <t>ZC7-M2-48-TBC7-010</t>
  </si>
  <si>
    <t>ZC7-M2-48-TBC7-011</t>
  </si>
  <si>
    <t>ZC7-M2-48-TBC7-012</t>
  </si>
  <si>
    <t>ZC7-M2-48-TBC7-008</t>
  </si>
  <si>
    <t>ZC7-M2-49-TBC3-007</t>
  </si>
  <si>
    <t>ZC7-M2-49-TBC3-008</t>
  </si>
  <si>
    <t>ZC7-M2-49-TBC7-004</t>
  </si>
  <si>
    <t>ZC7-M2-49-TBC8-002</t>
  </si>
  <si>
    <t>250*1300*1310</t>
  </si>
  <si>
    <t>CUT IN FOOTING</t>
  </si>
  <si>
    <t>250*1800*500</t>
  </si>
  <si>
    <t>ZC7-M2-48-TBC3-001</t>
  </si>
  <si>
    <t>ZC7-M2-48-TBC3-002</t>
  </si>
  <si>
    <t>ZC7-M2-49-TBC3-002</t>
  </si>
  <si>
    <t>ZC7-M2-49-TBC3-003</t>
  </si>
  <si>
    <t>ZC7-M2-49-TBC3-004</t>
  </si>
  <si>
    <t>ZC7-M2-49-TBC6-001</t>
  </si>
  <si>
    <t>ZC7-M2-49-TBC6-003</t>
  </si>
  <si>
    <t>ZC7-M2-49-TBC8-003</t>
  </si>
  <si>
    <t>ZC7-M2-49-TBC8-004</t>
  </si>
  <si>
    <t>250*1600*1000</t>
  </si>
  <si>
    <t>ZC7-M2-49-TBC6-002</t>
  </si>
  <si>
    <t>ZC7-M2-49-TBC6-004</t>
  </si>
  <si>
    <t>250*1200*1200</t>
  </si>
  <si>
    <t>ZC7-M2-39-TBC1-001</t>
  </si>
  <si>
    <t>ZC7-M2-39-TBC1-005</t>
  </si>
  <si>
    <t>ZC7-M2-40-TBC1-001</t>
  </si>
  <si>
    <t>ZC7-M2-40-TBC1-006</t>
  </si>
  <si>
    <t>ZC7-M2-48-TBC1-001</t>
  </si>
  <si>
    <t>ZC7-M2-48-TBC1-002</t>
  </si>
  <si>
    <t>ZC7-M2-48-TBC1-004</t>
  </si>
  <si>
    <t>ZC7-M2-48-TBC1-005</t>
  </si>
  <si>
    <t>ZC7-M2-48-TBC1-006</t>
  </si>
  <si>
    <t>ZC7-M2-48-TBC2-001</t>
  </si>
  <si>
    <t>ZC7-M2-48-TBC3-003</t>
  </si>
  <si>
    <t>ZC7-M2-48-TBC3-004</t>
  </si>
  <si>
    <t>ZC7-M2-49-TBC1-002</t>
  </si>
  <si>
    <t>ZC7-M2-49-TBC1-005</t>
  </si>
  <si>
    <t>ZC7-M2-49-TBC1-006</t>
  </si>
  <si>
    <t>ZC7-M2-49-TBC3-001</t>
  </si>
  <si>
    <t>T3</t>
  </si>
  <si>
    <t>T6</t>
  </si>
  <si>
    <t>T8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</si>
  <si>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</si>
  <si>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</si>
  <si>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</si>
  <si>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</si>
  <si>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</si>
  <si>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</si>
  <si>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</si>
  <si>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</si>
  <si>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</si>
  <si>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</si>
  <si>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</si>
  <si>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Y181</t>
  </si>
  <si>
    <t>Y187</t>
  </si>
  <si>
    <t>Y182</t>
  </si>
  <si>
    <t>Y184</t>
  </si>
  <si>
    <t>Y186</t>
  </si>
  <si>
    <t>Y183</t>
  </si>
  <si>
    <t>Y185</t>
  </si>
  <si>
    <t>Y189</t>
  </si>
  <si>
    <t>Y195</t>
  </si>
  <si>
    <t>Y197</t>
  </si>
  <si>
    <t>Y203</t>
  </si>
  <si>
    <t>Y192</t>
  </si>
  <si>
    <t>Y190</t>
  </si>
  <si>
    <t>Y194</t>
  </si>
  <si>
    <t>Y198</t>
  </si>
  <si>
    <t>Y200</t>
  </si>
  <si>
    <t>Y202</t>
  </si>
  <si>
    <t>Y191</t>
  </si>
  <si>
    <t>Y193</t>
  </si>
  <si>
    <t>Y199</t>
  </si>
  <si>
    <t>Y201</t>
  </si>
  <si>
    <t>Y409</t>
  </si>
  <si>
    <t>Y204</t>
  </si>
  <si>
    <t>250*1400*1000</t>
  </si>
  <si>
    <t>ZC8-M2-50-TBC6-001</t>
  </si>
  <si>
    <t>ZC8-M2-50-TBC6-002</t>
  </si>
  <si>
    <t>ZC8-M2-50-TBC6-004</t>
  </si>
  <si>
    <t>ZC8-M2-55-TBC3-004</t>
  </si>
  <si>
    <t>ZC8-M2-55-TBC3-005</t>
  </si>
  <si>
    <t>ZC8-M2-55-TBC4-001</t>
  </si>
  <si>
    <t>ZC8-M2-55-TBC4-001A</t>
  </si>
  <si>
    <t>ZC8-M2-55-TBC4-002</t>
  </si>
  <si>
    <t>ZC8-M2-55-TBC7-001</t>
  </si>
  <si>
    <t>ZC8-M2-55-TBC7-002</t>
  </si>
  <si>
    <t>ZC8-M2-55-TBC8-001</t>
  </si>
  <si>
    <t>ZC8-M2-55-TBC8-003</t>
  </si>
  <si>
    <t>ZC8-M2-55-TBC8-004</t>
  </si>
  <si>
    <t>ZC8-M2-55-TBC8-005</t>
  </si>
  <si>
    <t>ZC8-M2-55-TBC8-007</t>
  </si>
  <si>
    <t>ZC8-M2-55-TBC8-009</t>
  </si>
  <si>
    <t>C8</t>
  </si>
  <si>
    <t>ZC8-M2-50-TBC1-001</t>
  </si>
  <si>
    <t>ZC8-M2-50-TBC1-002</t>
  </si>
  <si>
    <t>ZC8-M2-50-TBC1-003</t>
  </si>
  <si>
    <t>ZC8-M2-50-TBC1-004</t>
  </si>
  <si>
    <t>ZC8-M2-50-TBC2-001</t>
  </si>
  <si>
    <t>ZC8-M2-51-TBC1-001</t>
  </si>
  <si>
    <t>ZC8-M2-51-TBC1-002</t>
  </si>
  <si>
    <t>ZC8-M2-51-TBC1-003</t>
  </si>
  <si>
    <t>ZC8-M2-51-TBC1-005</t>
  </si>
  <si>
    <t>ZC8-M2-55-TBC1-001</t>
  </si>
  <si>
    <t>ZC8-M2-55-TBC1-002</t>
  </si>
  <si>
    <t>ZC8-M2-55-TBC1-003</t>
  </si>
  <si>
    <t>ZC8-M2-55-TBC1-004</t>
  </si>
  <si>
    <t>ZC8-M2-55-TBC1-005</t>
  </si>
  <si>
    <t>ZC8-M2-55-TBC5-001</t>
  </si>
  <si>
    <t>ZC8-M2-55-TBC5-002</t>
  </si>
  <si>
    <t>ZC8-M2-55-TBC5-003</t>
  </si>
  <si>
    <t>ZC8-M2-55-TBC5-004</t>
  </si>
  <si>
    <t>ZC8-M2-55-TBC5-008</t>
  </si>
  <si>
    <t>005</t>
  </si>
  <si>
    <t>ZC8-M2-50-TBC1-005</t>
  </si>
  <si>
    <t>ZC8-M2-51-TBC1-004</t>
  </si>
  <si>
    <t>ZC8-M2-55-TBC1-006</t>
  </si>
  <si>
    <t>ZC8-M2-55-TBC5-009</t>
  </si>
  <si>
    <t>ZC8-M2-55-TBC5-010</t>
  </si>
  <si>
    <t>ZC8-M2-55-TBC5-005</t>
  </si>
  <si>
    <t>ZC8-M2-55-TBC5-007</t>
  </si>
  <si>
    <t>ZC8-M2-55-TBC5-006</t>
  </si>
  <si>
    <t>ZC8-M2-50-TBC6-003</t>
  </si>
  <si>
    <t>250*1200*1000</t>
  </si>
  <si>
    <t>ZC8-M2-55-TBC7-003</t>
  </si>
  <si>
    <t>ZC8-M2-55-TBC8-002</t>
  </si>
  <si>
    <t>ZC8-M2-55-TBC8-006</t>
  </si>
  <si>
    <t>ZC8-M2-55-TBC8-008</t>
  </si>
  <si>
    <t>ZC7-M2-39-TBC1-002</t>
  </si>
  <si>
    <t>ZC7-M2-39-TBC1-003</t>
  </si>
  <si>
    <t>ZC7-M2-39-TBC1-004</t>
  </si>
  <si>
    <t>ZC7-M2-39-TBC2-002</t>
  </si>
  <si>
    <t>ZC7-M2-40-TBC1-002</t>
  </si>
  <si>
    <t>ZC7-M2-40-TBC1-003</t>
  </si>
  <si>
    <t>ZC7-M2-40-TBC1-004</t>
  </si>
  <si>
    <t>ZC7-M2-40-TBC1-005</t>
  </si>
  <si>
    <t>ZC7-M2-40-TBC2-001</t>
  </si>
  <si>
    <t>ZC7-M2-49-TBC1-001</t>
  </si>
  <si>
    <t>ZC7-M2-49-TBC1-004</t>
  </si>
  <si>
    <t>ZC7-M2-39-TAC4-C01</t>
  </si>
  <si>
    <t>ZC7-M2-39-TAC4-C02</t>
  </si>
  <si>
    <t>ZC7-M2-39-TAC4-C03</t>
  </si>
  <si>
    <t>ZC7-M2-39-TAC4-P01</t>
  </si>
  <si>
    <t>ZC7-M2-39-TAC4-P02</t>
  </si>
  <si>
    <t>ZC7-M2-39-TAC4-P03</t>
  </si>
  <si>
    <t>ZC7-M2-39-TAC8-C01</t>
  </si>
  <si>
    <t>ZC7-M2-39-TAC11-C02</t>
  </si>
  <si>
    <t>ZC7-M2-39-TAC11-P01</t>
  </si>
  <si>
    <t>ZC7-M2-39-TAC11-P02</t>
  </si>
  <si>
    <t>ZC7-M2-39-TAC11S-C01</t>
  </si>
  <si>
    <t>ZC7-M2-39-TBC2-001</t>
  </si>
  <si>
    <t>ZC7-M2-40-TAC2-C01</t>
  </si>
  <si>
    <t>ZC7-M2-40-TAC2-C02</t>
  </si>
  <si>
    <t>ZC7-M2-40-TAC2-P01</t>
  </si>
  <si>
    <t>ZC7-M2-40-TAC2-P02</t>
  </si>
  <si>
    <t>ZC7-M2-40-TAC2-P03</t>
  </si>
  <si>
    <t>ZC7-M2-40-TAC3-C01</t>
  </si>
  <si>
    <t>ZC7-M2-40-TAC6-C01</t>
  </si>
  <si>
    <t>ZC7-M2-40-TAC9-C01</t>
  </si>
  <si>
    <t>ZC7-M2-40-TAC9-P01</t>
  </si>
  <si>
    <t>ZC7-M2-40-TAC9-P02</t>
  </si>
  <si>
    <t>ZC7-M2-40-TAC9S-C01</t>
  </si>
  <si>
    <t>ZC7-M2-48-TAC1-C02</t>
  </si>
  <si>
    <t>ZC7-M2-48-TAC1-P01</t>
  </si>
  <si>
    <t>ZC7-M2-48-TAC1-P03</t>
  </si>
  <si>
    <t>ZC7-M2-48-TAC2-C01</t>
  </si>
  <si>
    <t>ZC7-M2-48-TAC5-C01</t>
  </si>
  <si>
    <t>ZC7-M2-48-TAC9-C02</t>
  </si>
  <si>
    <t>ZC7-M2-48-TAC9-P01</t>
  </si>
  <si>
    <t>ZC7-M2-48-TAC9-P02</t>
  </si>
  <si>
    <t>ZC7-M2-48-TAC9S-C01</t>
  </si>
  <si>
    <t>ZC7-M2-48-TBC1-003</t>
  </si>
  <si>
    <t>ZC7-M2-49-TAC2-P01</t>
  </si>
  <si>
    <t>ZC7-M2-49-TAC2-P02</t>
  </si>
  <si>
    <t>ZC7-M2-49-TAC2-P03</t>
  </si>
  <si>
    <t>ZC7-M2-49-TAC3-C01</t>
  </si>
  <si>
    <t>ZC7-M2-49-TAC3-C02</t>
  </si>
  <si>
    <t>ZC7-M2-49-TAC6-C01</t>
  </si>
  <si>
    <t>ZC7-M2-49-TAC11-P01</t>
  </si>
  <si>
    <t>ZC7-M2-49-TAC11-P02</t>
  </si>
  <si>
    <t>ZC7-M2-49-TAC11-C01</t>
  </si>
  <si>
    <t>ZC7-M2-49-TAC11S-C01</t>
  </si>
  <si>
    <t>ZC7-M2-49-TBC1-003</t>
  </si>
  <si>
    <t>ZC7-M2-49-TBC2-001</t>
  </si>
  <si>
    <t>250*1800*1500</t>
  </si>
  <si>
    <t>250*1900*1500</t>
  </si>
  <si>
    <t>250*2000*1500</t>
  </si>
  <si>
    <t>p</t>
  </si>
  <si>
    <t>Y428</t>
  </si>
  <si>
    <t>Y427</t>
  </si>
  <si>
    <t>Y426</t>
  </si>
  <si>
    <t>Y188</t>
  </si>
  <si>
    <t>Y196</t>
  </si>
  <si>
    <t>Y417</t>
  </si>
  <si>
    <t>Y425</t>
  </si>
  <si>
    <t>Y418</t>
  </si>
  <si>
    <t>Y416</t>
  </si>
  <si>
    <t>Y410</t>
  </si>
  <si>
    <t>Y431</t>
  </si>
  <si>
    <t>Y429</t>
  </si>
  <si>
    <t>Y423</t>
  </si>
  <si>
    <t>Y421</t>
  </si>
  <si>
    <t>Y419</t>
  </si>
  <si>
    <t>Y415</t>
  </si>
  <si>
    <t>Y413</t>
  </si>
  <si>
    <t>Y411</t>
  </si>
  <si>
    <t>Y430</t>
  </si>
  <si>
    <t>Y422</t>
  </si>
  <si>
    <t>Y420</t>
  </si>
  <si>
    <t>Y414</t>
  </si>
  <si>
    <t>Y412</t>
  </si>
  <si>
    <t>Y432</t>
  </si>
  <si>
    <t>Y424</t>
  </si>
  <si>
    <t>ZC7-M2-48-TAC1-P02</t>
  </si>
  <si>
    <t>ZC8-M2-50-TAC3-P01</t>
  </si>
  <si>
    <t>ZC8-M2-50-TAC3-P02</t>
  </si>
  <si>
    <t>ZC8-M2-50-TAC3-P03</t>
  </si>
  <si>
    <t>ZC8-M2-50-TAC7-P01</t>
  </si>
  <si>
    <t>ZC8-M2-50-TAC11-P01</t>
  </si>
  <si>
    <t>ZC8-M2-50-TAC11-P02</t>
  </si>
  <si>
    <t>ZC8-M2-50-TAC12-P01</t>
  </si>
  <si>
    <t>ZC8-M2-50-TAC12-P01A</t>
  </si>
  <si>
    <t>ZC8-M2-50-TAC12-P02</t>
  </si>
  <si>
    <t>ZC8-M2-50-TAC12-P03</t>
  </si>
  <si>
    <t>ZC8-M2-51-TAC6-P01</t>
  </si>
  <si>
    <t>ZC8-M2-51-TAC6-P02</t>
  </si>
  <si>
    <t>ZC8-M2-51-TAC6-P03</t>
  </si>
  <si>
    <t>ZC8-M2-51-TAC9-P01</t>
  </si>
  <si>
    <t>ZC8-M2-51-TAC9-P02</t>
  </si>
  <si>
    <t>ZC8-M2-55-TAC6-P01</t>
  </si>
  <si>
    <t>ZC8-M2-55-TAC6-P02</t>
  </si>
  <si>
    <t>ZC8-M2-55-TAC9-P01</t>
  </si>
  <si>
    <t>ZC8-M2-55-TAC9-P02</t>
  </si>
  <si>
    <t>ZC8-M2-55-TAC9-P03</t>
  </si>
  <si>
    <t>ZC8-M2-55-TAC10-P01</t>
  </si>
  <si>
    <t>ZC8-M2-55-TAC10-P02</t>
  </si>
  <si>
    <t>ZC8-M2-55-TAC10-P03</t>
  </si>
  <si>
    <t>ZC8-M2-55-TAC10-P04</t>
  </si>
  <si>
    <t>ZC8-M2-55-TAC10-P05</t>
  </si>
  <si>
    <t>ZC8-M2-55-TAC10-P06</t>
  </si>
  <si>
    <t>ZC8-M2-51-TAC6-C01</t>
  </si>
  <si>
    <t>ZC8-M2-51-TAC6-C02</t>
  </si>
  <si>
    <t>ZC8-M2-51-TAC6-C03</t>
  </si>
  <si>
    <t>ZC8-M2-51-TAC6-C04</t>
  </si>
  <si>
    <t>ZC8-M2-51-TAC9S-C01</t>
  </si>
  <si>
    <t>ZC8-M2-55-TAC9-C01</t>
  </si>
  <si>
    <t>ZC8-M2-55-TAC9-C02</t>
  </si>
  <si>
    <t>ZC8-M2-55-TAC9-C04</t>
  </si>
  <si>
    <t>ZC8-M2-55-TAC9S-C01</t>
  </si>
  <si>
    <t>ZC8-M2-55-TAC10-C01</t>
  </si>
  <si>
    <t>ZC8-M2-50-TAC7-P02</t>
  </si>
  <si>
    <t>Y472</t>
  </si>
  <si>
    <t>Y524</t>
  </si>
  <si>
    <t>Y457</t>
  </si>
  <si>
    <t>Y539</t>
  </si>
  <si>
    <t>Y464</t>
  </si>
  <si>
    <t>Y525</t>
  </si>
  <si>
    <t>Y526</t>
  </si>
  <si>
    <t>Y540</t>
  </si>
  <si>
    <t>Y544</t>
  </si>
  <si>
    <t>Y542</t>
  </si>
  <si>
    <t>Y541</t>
  </si>
  <si>
    <t>Y552</t>
  </si>
  <si>
    <t>Y584</t>
  </si>
  <si>
    <t>tag reprint</t>
  </si>
  <si>
    <t>Column4</t>
  </si>
  <si>
    <t>ZC8-M2-50-TAC3-C01</t>
  </si>
  <si>
    <t>ZC8-M2-50-TAC3-C01A</t>
  </si>
  <si>
    <t>ZC8-M2-50-TAC4-C01</t>
  </si>
  <si>
    <t>ZC8-M2-50-TAC7-C01</t>
  </si>
  <si>
    <t>ZC8-M2-50-TAC7-C02</t>
  </si>
  <si>
    <t>ZC8-M2-50-TAC7-C03</t>
  </si>
  <si>
    <t>ZC8-M2-50-TAC11S-C01</t>
  </si>
  <si>
    <t>ZC8-M2-50-TAC11-C02</t>
  </si>
  <si>
    <t>ZC8-M2-50-TAC11-C03</t>
  </si>
  <si>
    <t>ZC8-M2-50-TAC12-C01</t>
  </si>
  <si>
    <t>ZC8-M2-50-TAC12-C02</t>
  </si>
  <si>
    <t>ZC8-M2-50-TAC12-C03</t>
  </si>
  <si>
    <t>ZC8-M2-51-TAC9-C01</t>
  </si>
  <si>
    <t>ZC8-M2-55-TAC5S-C01</t>
  </si>
  <si>
    <t>ZC8-M2-55-TAC6-C01</t>
  </si>
  <si>
    <t>ZC8-M2-55-TAC10-C01A</t>
  </si>
  <si>
    <t>ZC8-M2-55-TAC10-C02</t>
  </si>
  <si>
    <t>ZC8-M2-55-TAC10-C02A</t>
  </si>
  <si>
    <t>ZC8-M2-55-TAC10-C03</t>
  </si>
  <si>
    <t>C9</t>
  </si>
  <si>
    <t>'005</t>
  </si>
  <si>
    <t>250*1500*1850</t>
  </si>
  <si>
    <t>"005</t>
  </si>
  <si>
    <t>250*2150*1500</t>
  </si>
  <si>
    <t>250*1350*1200</t>
  </si>
  <si>
    <t>ZC9-M2-52-TAC2-P03</t>
  </si>
  <si>
    <t>ZC9-M2-52-TAC3-P01</t>
  </si>
  <si>
    <t>ZC9-M2-52-TAC3-P02</t>
  </si>
  <si>
    <t>ZC9-M2-52-TAC9-P04</t>
  </si>
  <si>
    <t>ZC9-M2-52-TAC9-P05</t>
  </si>
  <si>
    <t>ZC9-M2-52-TBC1-001</t>
  </si>
  <si>
    <t>ZC9-M2-52-TBC1-002</t>
  </si>
  <si>
    <t>ZC9-M2-52-TBC1-003</t>
  </si>
  <si>
    <t>ZC9-M2-52-TBC1-005</t>
  </si>
  <si>
    <t>ZC9-M2-52-TBC5-001</t>
  </si>
  <si>
    <t>ZC9-M2-52-TBC5-002</t>
  </si>
  <si>
    <t>ZC9-M2-52-TBC5-004</t>
  </si>
  <si>
    <t>ZC9-M2-53-TAC3-P10</t>
  </si>
  <si>
    <t>ZC9-M2-53-TAC3-P11</t>
  </si>
  <si>
    <t>ZC9-M2-53-TAC3-P12</t>
  </si>
  <si>
    <t>ZC9-M2-53-TAC7-P01</t>
  </si>
  <si>
    <t>ZC9-M2-53-TAC7-P07</t>
  </si>
  <si>
    <t>ZC9-M2-53-TAC7-P08</t>
  </si>
  <si>
    <t>ZC9-M2-53-TAC7-P09</t>
  </si>
  <si>
    <t>ZC9-M2-53-TAC11-P03</t>
  </si>
  <si>
    <t>ZC9-M2-53-TBC1-003</t>
  </si>
  <si>
    <t>ZC9-M2-53-TBC1-004</t>
  </si>
  <si>
    <t>ZC9-M2-53-TBC1-007</t>
  </si>
  <si>
    <t>ZC9-M2-54-TAC5-P04</t>
  </si>
  <si>
    <t>ZC9-M2-54-TAC5-P08</t>
  </si>
  <si>
    <t>ZC9-M2-54-TAC5-P09</t>
  </si>
  <si>
    <t>ZC9-M2-54-TAC5-P10</t>
  </si>
  <si>
    <t>ZC9-M2-54-TAC5-P11</t>
  </si>
  <si>
    <t>ZC9-M2-54-TAC6-P05</t>
  </si>
  <si>
    <t>ZC9-M2-54-TAC9-P02</t>
  </si>
  <si>
    <t>ZC9-M2-54-TAC9-P03</t>
  </si>
  <si>
    <t>ZC9-M2-54-TAC10-P01</t>
  </si>
  <si>
    <t>ZC9-M2-54-TBC1-001</t>
  </si>
  <si>
    <t>ZC9-M2-54-TBC3-001</t>
  </si>
  <si>
    <t>ZC9-M2-54-TBC3-002</t>
  </si>
  <si>
    <t>ZC9-M2-54-TBC4-001</t>
  </si>
  <si>
    <t>ZC9-M2-54-TBC4-002</t>
  </si>
  <si>
    <t>ZC9-M2-54-TBC4-003</t>
  </si>
  <si>
    <t>ZC9-M2-54-TBC5-001</t>
  </si>
  <si>
    <t>ZC9-M2-54-TBC5-002</t>
  </si>
  <si>
    <t>ZC9-M2-54-TBC7-001</t>
  </si>
  <si>
    <t>ZC9-M2-54-TBC7-003</t>
  </si>
  <si>
    <t>ZC9-M2-54-TBC8-001</t>
  </si>
  <si>
    <t>ZC9-M2-54-TBC8-009</t>
  </si>
  <si>
    <t>ZC9-M2-52-TAC2-C02</t>
  </si>
  <si>
    <t>ZC9-M2-52-TAC2-C03</t>
  </si>
  <si>
    <t>ZC9-M2-52-TAC6-C04</t>
  </si>
  <si>
    <t>ZC9-M2-52-TAC7-C01</t>
  </si>
  <si>
    <t>ZC9-M2-52-TAC9-C06</t>
  </si>
  <si>
    <t>ZC9-M2-53-TAC3-C01</t>
  </si>
  <si>
    <t>ZC9-M2-53-TAC3-C02</t>
  </si>
  <si>
    <t>ZC9-M2-53-TAC7-C01</t>
  </si>
  <si>
    <t>ZC9-M2-53-TAC7-C02</t>
  </si>
  <si>
    <t>ZC9-M2-53-TAC7-C03</t>
  </si>
  <si>
    <t>ZC9-M2-53-TAC7-C04</t>
  </si>
  <si>
    <t>ZC9-M2-53-TAC7S-C01</t>
  </si>
  <si>
    <t>ZC9-M2-54-TAC1-C12</t>
  </si>
  <si>
    <t>ZC9-M2-54-TAC5-C08</t>
  </si>
  <si>
    <t>ZC9-M2-54-TAC5-C09</t>
  </si>
  <si>
    <t>ZC9-M2-54-TAC5-C10</t>
  </si>
  <si>
    <t>ZC9-M2-54-TAC5S-C11</t>
  </si>
  <si>
    <t>ZC9-M2-54-TAC6-C05</t>
  </si>
  <si>
    <t>ZC9-M2-54-TAC6-C06</t>
  </si>
  <si>
    <t>ZC9-M2-54-TAC7-C07</t>
  </si>
  <si>
    <t>ZC9-M2-54-TAC9-C03</t>
  </si>
  <si>
    <t>ZC9-M2-54-TAC9-C04</t>
  </si>
  <si>
    <t>ZC9-M2-54-TAC9S-C02</t>
  </si>
  <si>
    <t>ZC9-M2-54-TAC10-C01</t>
  </si>
  <si>
    <t>ZC9-M2-53-TBC1-001</t>
  </si>
  <si>
    <t>ZC9-M2-52-TBC1-004</t>
  </si>
  <si>
    <t>ZC9-M2-53-TBC1-002</t>
  </si>
  <si>
    <t>ZC9-M2-52-TBC5-003</t>
  </si>
  <si>
    <t>ZC9-M2-53-TAC7-P02</t>
  </si>
  <si>
    <t>ZC9-M2-53-TAC11-P04</t>
  </si>
  <si>
    <t>ZC9-M2-53-TAC11-P05</t>
  </si>
  <si>
    <t>ZC9-M2-53-TAC11-P06</t>
  </si>
  <si>
    <t>ZC9-M2-53-TBC1-005</t>
  </si>
  <si>
    <t>ZC9-M2-53-TBC1-006</t>
  </si>
  <si>
    <t>ZC9-M2-54-TAC6-P06</t>
  </si>
  <si>
    <t>ZC9-M2-54-TBC1-008</t>
  </si>
  <si>
    <t>ZC9-M2-54-TBC5-003</t>
  </si>
  <si>
    <t>ZC9-M2-54-TBC5-005</t>
  </si>
  <si>
    <t>ZC9-M2-54-TBC7-002</t>
  </si>
  <si>
    <t>ZC9-M2-54-TBC8-002</t>
  </si>
  <si>
    <t>ZC9-M2-54-TBC8-003</t>
  </si>
  <si>
    <t>ZC9-M2-54-TBC8-004</t>
  </si>
  <si>
    <t>ZC9-M2-54-TBC8-005</t>
  </si>
  <si>
    <t>ZC9-M2-54-TBC8-006</t>
  </si>
  <si>
    <t>ZC9-M2-54-TBC8-007</t>
  </si>
  <si>
    <t>ZC9-M2-54-TBC8-008</t>
  </si>
  <si>
    <t>ZC9-M2-54-TBC8-010</t>
  </si>
  <si>
    <t>ZC9-M2-52-TAC9S-C05</t>
  </si>
  <si>
    <t>250*1950*1300</t>
  </si>
  <si>
    <t>ZC9-M2-53-TAC11-C02</t>
  </si>
  <si>
    <t>ZC9-M2-53-TAC11-C03</t>
  </si>
  <si>
    <t>ZC9-M2-53-TAC11-C04</t>
  </si>
  <si>
    <t>ZC9-M2-53-TAC11-C05</t>
  </si>
  <si>
    <t>ZC9-M2-53-TAC11-C06</t>
  </si>
  <si>
    <t>ZC9-M2-54-TAC5-P07</t>
  </si>
  <si>
    <t>ZC4-M2-09-TBC1-001</t>
  </si>
  <si>
    <t>ZC4-M2-09-TBC1-002</t>
  </si>
  <si>
    <t>ZC4-M2-09-TBC1-003</t>
  </si>
  <si>
    <t>ZC4-M2-09-TBC6-001</t>
  </si>
  <si>
    <t>ZC4-M2-09-TBC6-002</t>
  </si>
  <si>
    <t>ZC4-M2-09-TBC6-004</t>
  </si>
  <si>
    <t>ZC4-M2-10-TBC6-001</t>
  </si>
  <si>
    <t>ZC4-M2-10-TBC6-002</t>
  </si>
  <si>
    <t>ZC4-M2-10-TBC6-004</t>
  </si>
  <si>
    <t>ZC4-M2-11-TAC3-P01</t>
  </si>
  <si>
    <t>ZC4-M2-11-TAC3-P02</t>
  </si>
  <si>
    <t>ZC4-M2-11-TAC4-P01</t>
  </si>
  <si>
    <t>ZC4-M2-11-TAC4-P02</t>
  </si>
  <si>
    <t>ZC4-M2-11-TAC4-P03</t>
  </si>
  <si>
    <t>ZC4-M2-11-TAC4-P04</t>
  </si>
  <si>
    <t>ZC4-M2-11-TAC6-P01</t>
  </si>
  <si>
    <t>ZC4-M2-11-TAC6-P02</t>
  </si>
  <si>
    <t>ZC4-M2-11-TBC1-001</t>
  </si>
  <si>
    <t>ZC4-M2-11-TBC1-002</t>
  </si>
  <si>
    <t>ZC4-M2-11-TBC1-003</t>
  </si>
  <si>
    <t>ZC4-M2-11-TBC1-006</t>
  </si>
  <si>
    <t>ZC4-M2-28-TAC1-P01</t>
  </si>
  <si>
    <t>ZC4-M2-28-TAC1-P02</t>
  </si>
  <si>
    <t>ZC4-M2-28-TAC1-P03</t>
  </si>
  <si>
    <t>ZC4-M2-28-TAC9-P01</t>
  </si>
  <si>
    <t>ZC4-M2-28-TAC9-P02</t>
  </si>
  <si>
    <t>ZC4-M2-28-TAC9-P03</t>
  </si>
  <si>
    <t>ZC4-M2-28-TBC1-001</t>
  </si>
  <si>
    <t>ZC4-M2-28-TBC1-002</t>
  </si>
  <si>
    <t>ZC4-M2-28-TBC1-003</t>
  </si>
  <si>
    <t>ZC4-M2-28-TBC8-001</t>
  </si>
  <si>
    <t>ZC4-M2-28-TBC8-001A</t>
  </si>
  <si>
    <t>ZC4-M2-28-TBC8-006</t>
  </si>
  <si>
    <t>ZC4-M2-29-TBC1-002</t>
  </si>
  <si>
    <t>ZC4-M2-29-TBC3-001</t>
  </si>
  <si>
    <t>ZC4-M2-29-TBC6-001</t>
  </si>
  <si>
    <t>ZC4-M2-29-TBC6-002</t>
  </si>
  <si>
    <t>ZC4-M2-29-TBC6-004</t>
  </si>
  <si>
    <t>ZC4-M2-29-TBC7-001</t>
  </si>
  <si>
    <t>ZC4-M2-29-TBC7-009</t>
  </si>
  <si>
    <t>ZC4-M2-30-TBC3-001</t>
  </si>
  <si>
    <t>ZC4-M2-30-TBC6-001</t>
  </si>
  <si>
    <t>ZC4-M2-30-TBC6-002</t>
  </si>
  <si>
    <t>ZC4-M2-30-TBC6-004</t>
  </si>
  <si>
    <t>ZC4-M2-30-TBC7-001</t>
  </si>
  <si>
    <t>ZC4-M2-30-TBC7-009</t>
  </si>
  <si>
    <t>ZC4-M2-11-TAC3-C01</t>
  </si>
  <si>
    <t>ZC4-M2-11-TAC3-C02</t>
  </si>
  <si>
    <t>ZC4-M2-11-TAC4-C01</t>
  </si>
  <si>
    <t>ZC4-M2-11-TAC4-C02</t>
  </si>
  <si>
    <t>ZC4-M2-11-TAC4-C03</t>
  </si>
  <si>
    <t>ZC4-M2-11-TAC4-C04</t>
  </si>
  <si>
    <t>ZC4-M2-11-TAC5-C01</t>
  </si>
  <si>
    <t>ZC4-M2-11-TAC6S-C01</t>
  </si>
  <si>
    <t>ZC4-M2-11-TAC7-C01</t>
  </si>
  <si>
    <t>ZC4-M2-28-TAC1-C01</t>
  </si>
  <si>
    <t>ZC4-M2-28-TAC1-C02</t>
  </si>
  <si>
    <t>ZC4-M2-28-TAC5-C01</t>
  </si>
  <si>
    <t>ZC4-M2-28-TAC9-C01</t>
  </si>
  <si>
    <t>ZC4-M2-28-TAC9-C02</t>
  </si>
  <si>
    <t>ZC4-M2-28-TAC9S-C01</t>
  </si>
  <si>
    <t>C4</t>
  </si>
  <si>
    <t>ZC4-M2-09-TBC1-007</t>
  </si>
  <si>
    <t>ZC4-M2-10-TBC1-001</t>
  </si>
  <si>
    <t>ZC4-M2-10-TBC1-007</t>
  </si>
  <si>
    <t>ZC4-M2-09-TBC1-004</t>
  </si>
  <si>
    <t>ZC4-M2-09-TBC1-006</t>
  </si>
  <si>
    <t>ZC4-M2-10-TBC1-002</t>
  </si>
  <si>
    <t>ZC4-M2-10-TBC1-004</t>
  </si>
  <si>
    <t>ZC4-M2-10-TBC1-006</t>
  </si>
  <si>
    <t>250*1400*1001</t>
  </si>
  <si>
    <t>ZC4-M2-09-TBC1-005</t>
  </si>
  <si>
    <t>ZC4-M2-10-TBC1-003</t>
  </si>
  <si>
    <t>ZC4-M2-10-TBC1-005</t>
  </si>
  <si>
    <t>ZC4-M2-11-TBC1-004</t>
  </si>
  <si>
    <t>ZC4-M2-11-TBC1-005</t>
  </si>
  <si>
    <t>Zone</t>
  </si>
  <si>
    <t>Element ID</t>
  </si>
  <si>
    <t>Product</t>
  </si>
  <si>
    <t>Issued Qty</t>
  </si>
  <si>
    <t>Cast Qty</t>
  </si>
  <si>
    <t>Remain to Cast</t>
  </si>
  <si>
    <t>Deliver Qty</t>
  </si>
  <si>
    <t>Remain to Deliver</t>
  </si>
  <si>
    <t>Factory stock</t>
  </si>
  <si>
    <t>Install</t>
  </si>
  <si>
    <t>Remain to Install</t>
  </si>
  <si>
    <t>Date</t>
  </si>
  <si>
    <t>Qty</t>
  </si>
  <si>
    <t>Del.Qty</t>
  </si>
  <si>
    <t>Del. Note No.</t>
  </si>
  <si>
    <t>Remain to Cast Qty</t>
  </si>
  <si>
    <t>Remain to Deliver Qty</t>
  </si>
  <si>
    <t>%Cast</t>
  </si>
  <si>
    <t>%Del</t>
  </si>
  <si>
    <t>Remarks</t>
  </si>
  <si>
    <t>Element Check</t>
  </si>
  <si>
    <t>CF</t>
  </si>
  <si>
    <t>Ins.Qty</t>
  </si>
  <si>
    <t>Data date as of</t>
  </si>
  <si>
    <t>250*1200*1100</t>
  </si>
  <si>
    <t>AMR-V18-T1C16-001</t>
  </si>
  <si>
    <t>AMR-V17-T1C10-001</t>
  </si>
  <si>
    <t>AMR-V18-T1C10-002</t>
  </si>
  <si>
    <t>AMR-V17-T1C11-003</t>
  </si>
  <si>
    <t>AMR-V18-T3C3-001</t>
  </si>
  <si>
    <t>AMR-V18-T3C3-002</t>
  </si>
  <si>
    <t>AMR-V18-T3C3-003</t>
  </si>
  <si>
    <t>AMR-V17-T2C1-001</t>
  </si>
  <si>
    <t>AMR-V18-T3C6-001</t>
  </si>
  <si>
    <t>AMR-V18-T1C3-001</t>
  </si>
  <si>
    <t>AMR-V17-T3C6-002</t>
  </si>
  <si>
    <t>AMR-V17-T1C10-002</t>
  </si>
  <si>
    <t>AMR-V17-T3C6-001</t>
  </si>
  <si>
    <t>AMR-V17-T1C11-002</t>
  </si>
  <si>
    <t>AZ1-V19-T2C1-001</t>
  </si>
  <si>
    <t>AMR-V17-T1C11-001</t>
  </si>
  <si>
    <t>AMR-V17-T1C10-003</t>
  </si>
  <si>
    <t>AZ1-V19-T1C15S-002</t>
  </si>
  <si>
    <t>AMR-V18-T1C10-007</t>
  </si>
  <si>
    <t>AMR-V18-T1C10-003</t>
  </si>
  <si>
    <t>AMR-V17-T3C6-003</t>
  </si>
  <si>
    <t>AZ1-V19-T3C5-001</t>
  </si>
  <si>
    <t>AMR-V17-T1C12-001</t>
  </si>
  <si>
    <t>AMR-V18-T1C10-008</t>
  </si>
  <si>
    <t>AMR-V18-T1C10-004</t>
  </si>
  <si>
    <t>AMR-V17-T1C16-001</t>
  </si>
  <si>
    <t>AZ1-V20-T3C5-002</t>
  </si>
  <si>
    <t>AMR-V18-T1C10-006</t>
  </si>
  <si>
    <t>AMR-V18-T1C10-009</t>
  </si>
  <si>
    <t>AMR-V17-T1C13-001</t>
  </si>
  <si>
    <t>AZ1-V20-T3C5-001</t>
  </si>
  <si>
    <t>AMR-V18-T1C10-005</t>
  </si>
  <si>
    <t>AMR-V18-T1C10-001</t>
  </si>
  <si>
    <t>AZ1-V19-T1C2-001</t>
  </si>
  <si>
    <t>AZ1-V27-T1C6-006</t>
  </si>
  <si>
    <t>AZ1-V23-T3C4-001</t>
  </si>
  <si>
    <t>AZ1-V23-T3C4-002</t>
  </si>
  <si>
    <t>AZ1-V20-T1C6-005</t>
  </si>
  <si>
    <t>AZ1-V24-T1C1-001</t>
  </si>
  <si>
    <t>AZ1-V19-T1C15S-003</t>
  </si>
  <si>
    <t>QUANTITY</t>
  </si>
  <si>
    <t>EF</t>
  </si>
  <si>
    <t>250*1500*1150</t>
  </si>
  <si>
    <t>250*1500*1300</t>
  </si>
  <si>
    <t>250*1500*1550</t>
  </si>
  <si>
    <t>250*1600*1250</t>
  </si>
  <si>
    <t>250*2000*1150</t>
  </si>
  <si>
    <t>DEF</t>
  </si>
  <si>
    <t>250*1000*1250</t>
  </si>
  <si>
    <t>250*1000*1300</t>
  </si>
  <si>
    <t>AZ1-V19-T1C10-001</t>
  </si>
  <si>
    <t>AZ1-V19-T1C10-002</t>
  </si>
  <si>
    <t>AZ1-V19-T1C10-003</t>
  </si>
  <si>
    <t>AZ1-V19-T1C11-001</t>
  </si>
  <si>
    <t>AZ1-V19-T1C12S-001</t>
  </si>
  <si>
    <t>250*2000*1450</t>
  </si>
  <si>
    <t>AZ1-V19-T1C15S-001</t>
  </si>
  <si>
    <t>250*2000*1700</t>
  </si>
  <si>
    <t>AZ1-V19-T1C17-001</t>
  </si>
  <si>
    <t>250*2000*1250</t>
  </si>
  <si>
    <t>AZ1-V19-T1C18-001</t>
  </si>
  <si>
    <t>AZ1-V19-T1C18-002</t>
  </si>
  <si>
    <t>AZ1-V19-T1C18-003</t>
  </si>
  <si>
    <t>250*1000*1100</t>
  </si>
  <si>
    <t>AZ1-V34-T1C2-001</t>
  </si>
  <si>
    <t>001/'003</t>
  </si>
  <si>
    <t>AZ1-V25-T2C1-001</t>
  </si>
  <si>
    <t>AZ1-V31-T2C1-001</t>
  </si>
  <si>
    <t>250*1000*950</t>
  </si>
  <si>
    <t>AZ1-V20-T1C6-001</t>
  </si>
  <si>
    <t>AZ1-V20-T1C6-003</t>
  </si>
  <si>
    <t>AZ1-V21-T1C6-003</t>
  </si>
  <si>
    <t>AZ1-V20-T1C6-002</t>
  </si>
  <si>
    <t>AZ1-V21-T1C6-002</t>
  </si>
  <si>
    <t>AZ1-V21-T1C1-001</t>
  </si>
  <si>
    <t>AZ1-V21-T1C6-001</t>
  </si>
  <si>
    <t>AZ1-V21-T2C1-001</t>
  </si>
  <si>
    <t>AZ1-V21-T3C4-001</t>
  </si>
  <si>
    <t>250*1000*900</t>
  </si>
  <si>
    <t>AZ1-V21-T3C4-002</t>
  </si>
  <si>
    <t>AZ1-V22-T1C6-001</t>
  </si>
  <si>
    <t>AZ1-V22-T1C6-003</t>
  </si>
  <si>
    <t>AZ1-V23-T1C6-003</t>
  </si>
  <si>
    <t>AZ1-V22-T1C6-002</t>
  </si>
  <si>
    <t>AZ1-V23-T1C6-002</t>
  </si>
  <si>
    <t>AZ1-V22-T1C6-005</t>
  </si>
  <si>
    <t>AZ1-V23-T1C6-005</t>
  </si>
  <si>
    <t>AZ1-V22-T1C6-004</t>
  </si>
  <si>
    <t>AZ1-V23-T1C6-004</t>
  </si>
  <si>
    <t>AZ1-V21-T1C6-005</t>
  </si>
  <si>
    <t>AZ1-V20-T1C6-004</t>
  </si>
  <si>
    <t>AZ1-V21-T1C6-004</t>
  </si>
  <si>
    <t>AZ1-V22-T1C6-006</t>
  </si>
  <si>
    <t>AZ1-V20-T1C6-006</t>
  </si>
  <si>
    <t>AZ1-V22-T3C4-001</t>
  </si>
  <si>
    <t>AZ1-V22-T3C4-002</t>
  </si>
  <si>
    <t>AZ1-V23-T1C6-001</t>
  </si>
  <si>
    <t>AZ1-V23-T1C6-006</t>
  </si>
  <si>
    <t>AZ1-V21-T1C6-006</t>
  </si>
  <si>
    <t>AZ1-V23-T2C1-001</t>
  </si>
  <si>
    <t>AZ1-V27-T2C1-001</t>
  </si>
  <si>
    <t>AZ1-V33-T2C1-001</t>
  </si>
  <si>
    <t>AZ1-V24-T1C6-001</t>
  </si>
  <si>
    <t>AZ1-V24-T1C6-003</t>
  </si>
  <si>
    <t>AZ1-V25-T1C6-003</t>
  </si>
  <si>
    <t>AZ1-V24-T1C6-002</t>
  </si>
  <si>
    <t>AZ1-V25-T1C6-002</t>
  </si>
  <si>
    <t>AZ1-V24-T1C6-005</t>
  </si>
  <si>
    <t>AZ1-V25-T1C6-005</t>
  </si>
  <si>
    <t>AZ1-V24-T1C6-004</t>
  </si>
  <si>
    <t>AZ1-V25-T1C6-004</t>
  </si>
  <si>
    <t>AZ1-V24-T1C6-006</t>
  </si>
  <si>
    <t>AZ1-V26-T3C4-001</t>
  </si>
  <si>
    <t>AZ1-V24-T3C4-001</t>
  </si>
  <si>
    <t>AZ1-V24-T3C4-002</t>
  </si>
  <si>
    <t>AZ1-V26-T3C4-002</t>
  </si>
  <si>
    <t>AZ1-V25-T1C1-001</t>
  </si>
  <si>
    <t>AZ1-V25-T1C6-001</t>
  </si>
  <si>
    <t>AZ1-V25-T1C6-006</t>
  </si>
  <si>
    <t>AZ1-V25-T3C4-001</t>
  </si>
  <si>
    <t>AZ1-V25-T3C4-002</t>
  </si>
  <si>
    <t>AZ1-V26-T1C6-005</t>
  </si>
  <si>
    <t>AZ1-V27-T1C6-005</t>
  </si>
  <si>
    <t>AZ1-V26-T1C6-004</t>
  </si>
  <si>
    <t>AZ1-V27-T1C6-004</t>
  </si>
  <si>
    <t>AZ1-V26-T1C6-006</t>
  </si>
  <si>
    <t>AZ1-V27-T1C2-001</t>
  </si>
  <si>
    <t>AZ1-V27-T3C5-001</t>
  </si>
  <si>
    <t>AZ1-V27-T3C5-002</t>
  </si>
  <si>
    <t>AZ1-V28-T1C6-001</t>
  </si>
  <si>
    <t>AZ1-V28-T1C6-003</t>
  </si>
  <si>
    <t>AZ1-V29-T1C6-003</t>
  </si>
  <si>
    <t>AZ1-V28-T1C6-002</t>
  </si>
  <si>
    <t>AZ1-V29-T1C6-002</t>
  </si>
  <si>
    <t>AZ1-V28-T3C5-001</t>
  </si>
  <si>
    <t>AZ1-V28-T3C5-002</t>
  </si>
  <si>
    <t>AZ1-V29-T1C2-001</t>
  </si>
  <si>
    <t>AZ1-V29-T1C6-001</t>
  </si>
  <si>
    <t>AZ1-V29-T2C1-001</t>
  </si>
  <si>
    <t>AZ1-V29-T3C5-001</t>
  </si>
  <si>
    <t>AZ1-V29-T3C5-002</t>
  </si>
  <si>
    <t>AZ1-V30-T1C6-001</t>
  </si>
  <si>
    <t>AZ1-V26-T1C6-001</t>
  </si>
  <si>
    <t>AZ1-V30-T1C6-003</t>
  </si>
  <si>
    <t>AZ1-V31-T1C6-003</t>
  </si>
  <si>
    <t>AZ1-V30-T1C6-002</t>
  </si>
  <si>
    <t>AZ1-V31-T1C6-002</t>
  </si>
  <si>
    <t>AZ1-V26-T1C6-003</t>
  </si>
  <si>
    <t>AZ1-V27-T1C6-003</t>
  </si>
  <si>
    <t>AZ1-V26-T1C6-002</t>
  </si>
  <si>
    <t>AZ1-V27-T1C6-002</t>
  </si>
  <si>
    <t>AZ1-V30-T1C6-005</t>
  </si>
  <si>
    <t>AZ1-V31-T1C6-005</t>
  </si>
  <si>
    <t>AZ1-V30-T1C6-004</t>
  </si>
  <si>
    <t>AZ1-V31-T1C6-004</t>
  </si>
  <si>
    <t>AZ1-V28-T1C6-005</t>
  </si>
  <si>
    <t>AZ1-V29-T1C6-005</t>
  </si>
  <si>
    <t>AZ1-V28-T1C6-004</t>
  </si>
  <si>
    <t>AZ1-V29-T1C6-004</t>
  </si>
  <si>
    <t>AZ1-V30-T1C6-006</t>
  </si>
  <si>
    <t>AZ1-V28-T1C6-006</t>
  </si>
  <si>
    <t>AZ1-V30-T3C5-001</t>
  </si>
  <si>
    <t>AZ1-V30-T3C5-002</t>
  </si>
  <si>
    <t>AZ1-V31-T1C6-001</t>
  </si>
  <si>
    <t>AZ1-V27-T1C6-001</t>
  </si>
  <si>
    <t>AZ1-V31-T1C6-006</t>
  </si>
  <si>
    <t>AZ1-V29-T1C6-006</t>
  </si>
  <si>
    <t>AZ1-V31-T3C5-001</t>
  </si>
  <si>
    <t>AZ1-V31-T3C5-002</t>
  </si>
  <si>
    <t>AZ1-V32-T1C2-001</t>
  </si>
  <si>
    <t>AZ1-V32-T1C6-005</t>
  </si>
  <si>
    <t>AZ1-V33-T1C6-005</t>
  </si>
  <si>
    <t>AZ1-V32-T1C6-004</t>
  </si>
  <si>
    <t>AZ1-V33-T1C6-004</t>
  </si>
  <si>
    <t>AZ1-V32-T1C6-003</t>
  </si>
  <si>
    <t>AZ1-V33-T1C6-003</t>
  </si>
  <si>
    <t>AZ1-V32-T1C6-002</t>
  </si>
  <si>
    <t>AZ1-V33-T1C6-002</t>
  </si>
  <si>
    <t>AZ1-V32-T1C6-006</t>
  </si>
  <si>
    <t>AZ1-V33-T1C6-001</t>
  </si>
  <si>
    <t>AZ1-V32-T3C5-001</t>
  </si>
  <si>
    <t>AZ1-V32-T3C5-002</t>
  </si>
  <si>
    <t>AZ1-V33-T1C6-006</t>
  </si>
  <si>
    <t>AZ1-V32-T1C6-001</t>
  </si>
  <si>
    <t>AZ1-V33-T3C5-001</t>
  </si>
  <si>
    <t>AZ1-V33-T3C5-002</t>
  </si>
  <si>
    <t>AZ1-V34-T1C13-001</t>
  </si>
  <si>
    <t>AZ1-V34-T1C13-002</t>
  </si>
  <si>
    <t>AZ1-V34-T1C13-003</t>
  </si>
  <si>
    <t>AZ1-V34-T1C13-004</t>
  </si>
  <si>
    <t>AZ1-V34-T1C13-005</t>
  </si>
  <si>
    <t>AZ1-V34-T1C13-006</t>
  </si>
  <si>
    <t>AZ1-V34-T3C5-001</t>
  </si>
  <si>
    <t>AZ1-V34-T3C5-002</t>
  </si>
  <si>
    <t>AZ2-V35-T1C13-001</t>
  </si>
  <si>
    <t>AZ2-V35-T1C13-002</t>
  </si>
  <si>
    <t>AZ2-V35-T1C14-001</t>
  </si>
  <si>
    <t>250*1600*1450</t>
  </si>
  <si>
    <t>AZ2-V35-T1C14-002</t>
  </si>
  <si>
    <t>AZ2-V35-T1C14-003</t>
  </si>
  <si>
    <t>AZ2-V35-T1C14-004</t>
  </si>
  <si>
    <t>AZ2-V35-T2C1-001</t>
  </si>
  <si>
    <t>AZ2-V35-T3C5-001</t>
  </si>
  <si>
    <t>AZ2-V35-T3C5-002</t>
  </si>
  <si>
    <t>AZ2-V36-T1C2-001</t>
  </si>
  <si>
    <t>AZ2-V36-T1C6-001</t>
  </si>
  <si>
    <t>AZ2-V37-T1C6-006</t>
  </si>
  <si>
    <t>AZ2-V36-T1C6-002</t>
  </si>
  <si>
    <t>AZ2-V36-T1C6-003</t>
  </si>
  <si>
    <t>AZ2-V36-T1C6-004</t>
  </si>
  <si>
    <t>AZ2-V36-T1C6-005</t>
  </si>
  <si>
    <t>AZ2-V37-T1C6-002</t>
  </si>
  <si>
    <t>AZ2-V37-T1C6-003</t>
  </si>
  <si>
    <t>AZ2-V37-T1C6-004</t>
  </si>
  <si>
    <t>AZ2-V37-T1C6-005</t>
  </si>
  <si>
    <t>AZ2-V36-T1C6-006</t>
  </si>
  <si>
    <t>AZ2-V37-T1C6-001</t>
  </si>
  <si>
    <t>AZ2-V36-T3C5-001</t>
  </si>
  <si>
    <t>AZ2-V36-T3C5-002</t>
  </si>
  <si>
    <t>AZ2-V37-T2C1-001</t>
  </si>
  <si>
    <t>AZ2-V37-T3C5-001</t>
  </si>
  <si>
    <t>AZ2-V37-T3C5-002</t>
  </si>
  <si>
    <t>AZ2-V38-T1C2-001</t>
  </si>
  <si>
    <t>AZ2-V38-T1C6-001</t>
  </si>
  <si>
    <t>AZ2-V39-T1C6-006</t>
  </si>
  <si>
    <t>AZ2-V38-T1C6-002</t>
  </si>
  <si>
    <t>AZ2-V38-T1C6-003</t>
  </si>
  <si>
    <t>AZ2-V38-T1C6-004</t>
  </si>
  <si>
    <t>AZ2-V38-T1C6-005</t>
  </si>
  <si>
    <t>AZ2-V39-T1C6-002</t>
  </si>
  <si>
    <t>AZ2-V39-T1C6-003</t>
  </si>
  <si>
    <t>AZ2-V39-T1C6-004</t>
  </si>
  <si>
    <t>AZ2-V39-T1C6-005</t>
  </si>
  <si>
    <t>AZ2-V38-T1C6-006</t>
  </si>
  <si>
    <t>AZ2-V39-T1C6-001</t>
  </si>
  <si>
    <t>AZ2-V38-T3C4-001</t>
  </si>
  <si>
    <t>AZ2-V38-T3C4-002</t>
  </si>
  <si>
    <t>AZ2-V39-T2C1-001</t>
  </si>
  <si>
    <t>AZ2-V39-T3C4-001</t>
  </si>
  <si>
    <t>AZ2-V39-T3C4-002</t>
  </si>
  <si>
    <t>AZ2-V40-T1C1-001</t>
  </si>
  <si>
    <t>AZ2-V40-T1C6-001</t>
  </si>
  <si>
    <t>AZ2-V41-T1C6-006</t>
  </si>
  <si>
    <t>AZ2-V40-T1C6-002</t>
  </si>
  <si>
    <t>AZ2-V40-T1C6-003</t>
  </si>
  <si>
    <t>AZ2-V40-T1C6-004</t>
  </si>
  <si>
    <t>AZ2-V40-T1C6-005</t>
  </si>
  <si>
    <t>AZ2-V41-T1C6-002</t>
  </si>
  <si>
    <t>AZ2-V41-T1C6-003</t>
  </si>
  <si>
    <t>AZ2-V41-T1C6-004</t>
  </si>
  <si>
    <t>AZ2-V41-T1C6-005</t>
  </si>
  <si>
    <t>AZ2-V40-T1C6-006</t>
  </si>
  <si>
    <t>AZ2-V41-T1C6-001</t>
  </si>
  <si>
    <t>AZ2-V40-T3C4-001</t>
  </si>
  <si>
    <t>AZ2-V40-T3C4-002</t>
  </si>
  <si>
    <t>AZ2-V41-T2C1-001</t>
  </si>
  <si>
    <t>AZ2-V41-T3C4-001</t>
  </si>
  <si>
    <t>AZ2-V41-T3C4-002</t>
  </si>
  <si>
    <t>AZ2-V42-T1C1-001</t>
  </si>
  <si>
    <t>AZ2-V42-T1C10-001</t>
  </si>
  <si>
    <t>AZ2-V42-T1C13-001</t>
  </si>
  <si>
    <t>AZ2-V42-T1C13-002</t>
  </si>
  <si>
    <t>AZ2-V42-T1C13-003</t>
  </si>
  <si>
    <t>AZ2-V42-T1C13-004</t>
  </si>
  <si>
    <t>AZ2-V42-T1C13-005</t>
  </si>
  <si>
    <t>AZ2-V42-T3C1-001</t>
  </si>
  <si>
    <t>AZ2-V42-T3C1-002</t>
  </si>
  <si>
    <t>AZ2-V42-T3C1-003</t>
  </si>
  <si>
    <t>AZ3-V43-T1C3-001</t>
  </si>
  <si>
    <t>AZ3-V43-T1C10-001</t>
  </si>
  <si>
    <t>AZ3-V43-T1C10-002</t>
  </si>
  <si>
    <t>AZ3-V43-T1C11-001</t>
  </si>
  <si>
    <t>AZ3-V43-T1C11-002</t>
  </si>
  <si>
    <t>AZ3-V43-T1C14-001</t>
  </si>
  <si>
    <t>AZ3-V43-T1C14-002</t>
  </si>
  <si>
    <t>AZ3-V43-T1C14-003</t>
  </si>
  <si>
    <t>AZ3-V43-T1C14-004</t>
  </si>
  <si>
    <t>AZ3-V43-T1C14-005</t>
  </si>
  <si>
    <t>AZ3-V43-T1C15-001</t>
  </si>
  <si>
    <t>250*1600*1700</t>
  </si>
  <si>
    <t>AZ3-V43-T1C15-002</t>
  </si>
  <si>
    <t>AZ3-V43-T2C1-001</t>
  </si>
  <si>
    <t>AZ3-V45-T2C1-001</t>
  </si>
  <si>
    <t>AZ3-V47-T2C1-001</t>
  </si>
  <si>
    <t>AZ3-V43-T3C3-001</t>
  </si>
  <si>
    <t>AZ3-V43-T3C3-002</t>
  </si>
  <si>
    <t>AZ3-V44-T1C6-001</t>
  </si>
  <si>
    <t>AZ3-V46-T1C6-001</t>
  </si>
  <si>
    <t>AZ3-V44-T1C6-002</t>
  </si>
  <si>
    <t>AZ3-V44-T1C6-003</t>
  </si>
  <si>
    <t>AZ3-V45-T1C6-002</t>
  </si>
  <si>
    <t>AZ3-V45-T1C6-003</t>
  </si>
  <si>
    <t>AZ3-V46-T1C6-002</t>
  </si>
  <si>
    <t>AZ3-V46-T1C6-003</t>
  </si>
  <si>
    <t>AZ3-V47-T1C6-002</t>
  </si>
  <si>
    <t>AZ3-V47-T1C6-003</t>
  </si>
  <si>
    <t>AZ3-V44-T1C6-004</t>
  </si>
  <si>
    <t>AZ3-V44-T1C6-006</t>
  </si>
  <si>
    <t>AZ3-V46-T1C6-006</t>
  </si>
  <si>
    <t>AZ3-V44-T3C3-001</t>
  </si>
  <si>
    <t>AZ3-V44-T3C3-002</t>
  </si>
  <si>
    <t>AZ3-V44-T3C3-003</t>
  </si>
  <si>
    <t>AZ3-V45-T1C3-001</t>
  </si>
  <si>
    <t>AZ3-V45-T1C6-001</t>
  </si>
  <si>
    <t>AZ3-V47-T1C6-001</t>
  </si>
  <si>
    <t>AZ3-V45-T1C6-006</t>
  </si>
  <si>
    <t>AZ3-V47-T1C6-006</t>
  </si>
  <si>
    <t>AZ3-V45-T3C6-001</t>
  </si>
  <si>
    <t>250*1000*1130</t>
  </si>
  <si>
    <t>AZ3-V45-T3C6-002</t>
  </si>
  <si>
    <t>AZ3-V46-T3C6-001</t>
  </si>
  <si>
    <t>AZ3-V46-T3C6-002</t>
  </si>
  <si>
    <t>AZ3-V47-T1C2-001</t>
  </si>
  <si>
    <t>AZ3-V47-T3C6-001</t>
  </si>
  <si>
    <t>AZ3-V47-T3C6-002</t>
  </si>
  <si>
    <t>AZ3-V47-T3C6-003</t>
  </si>
  <si>
    <t>AZ3-V48-T1C13-001</t>
  </si>
  <si>
    <t>AZ3-V48-T1C13-002</t>
  </si>
  <si>
    <t>AZ3-V48-T1C13-003</t>
  </si>
  <si>
    <t>AZ3-V48-T1C14-001</t>
  </si>
  <si>
    <t>AZ3-V48-T1C14-002</t>
  </si>
  <si>
    <t>AZ3-V48-T1C14-003</t>
  </si>
  <si>
    <t>AZ3-V48-T3C6-001</t>
  </si>
  <si>
    <t>AZ3-V48-T3C6-002</t>
  </si>
  <si>
    <t>AZ3-V48-T3C6-003</t>
  </si>
  <si>
    <t>AZ3-V49-T1C2-001</t>
  </si>
  <si>
    <t>AZ3-V49-T1C13-001</t>
  </si>
  <si>
    <t>AZ3-V49-T1C13-002</t>
  </si>
  <si>
    <t>AZ3-V49-T1C13-003</t>
  </si>
  <si>
    <t>AZ3-V49-T1C14-001</t>
  </si>
  <si>
    <t>AZ3-V49-T1C14-002</t>
  </si>
  <si>
    <t>AZ3-V49-T1C14-003</t>
  </si>
  <si>
    <t>AZ3-V49-T2C1-001</t>
  </si>
  <si>
    <t>AZ3-V51-T2C1-001</t>
  </si>
  <si>
    <t>AZ3-V53-T2C1-001</t>
  </si>
  <si>
    <t>AZ3-V49-T3C5-001</t>
  </si>
  <si>
    <t>AZ3-V49-T3C5-002</t>
  </si>
  <si>
    <t>AZ3-V50-T1C6-001</t>
  </si>
  <si>
    <t>AZ3-V50-T1C6-002</t>
  </si>
  <si>
    <t>AZ3-V50-T1C6-003</t>
  </si>
  <si>
    <t>AZ3-V51-T1C6-002</t>
  </si>
  <si>
    <t>AZ3-V51-T1C6-003</t>
  </si>
  <si>
    <t>AZ3-V50-T1C6-004</t>
  </si>
  <si>
    <t>AZ3-V50-T1C6-005</t>
  </si>
  <si>
    <t>AZ3-V51-T1C6-004</t>
  </si>
  <si>
    <t>AZ3-V51-T1C6-005</t>
  </si>
  <si>
    <t>AZ3-V52-T1C6-004</t>
  </si>
  <si>
    <t>AZ3-V52-T1C6-005</t>
  </si>
  <si>
    <t>AZ3-V53-T1C6-004</t>
  </si>
  <si>
    <t>AZ3-V53-T1C6-005</t>
  </si>
  <si>
    <t>AZ3-V50-T1C6-006</t>
  </si>
  <si>
    <t>AZ3-V52-T1C6-006</t>
  </si>
  <si>
    <t>AZ3-V50-T3C5-001</t>
  </si>
  <si>
    <t>AZ3-V50-T3C5-002</t>
  </si>
  <si>
    <t>AZ3-V51-T1C2-001</t>
  </si>
  <si>
    <t>AZ3-V51-T1C6-001</t>
  </si>
  <si>
    <t>AZ3-V51-T1C6-006</t>
  </si>
  <si>
    <t>AZ3-V53-T1C6-006</t>
  </si>
  <si>
    <t>AZ3-V51-T3C5-001</t>
  </si>
  <si>
    <t>AZ3-V51-T3C5-002</t>
  </si>
  <si>
    <t>AZ3-V52-T1C6-001</t>
  </si>
  <si>
    <t>AZ3-V52-T1C6-002</t>
  </si>
  <si>
    <t>AZ3-V52-T1C6-003</t>
  </si>
  <si>
    <t>AZ3-V53-T1C6-002</t>
  </si>
  <si>
    <t>AZ3-V53-T1C6-003</t>
  </si>
  <si>
    <t>AZ3-V52-T3C5-001</t>
  </si>
  <si>
    <t>AZ3-V52-T3C5-002</t>
  </si>
  <si>
    <t>AZ3-V53-T1C2-001</t>
  </si>
  <si>
    <t>AZ3-V53-T1C6-001</t>
  </si>
  <si>
    <t>AZ3-V53-T3C5-001</t>
  </si>
  <si>
    <t>AZ3-V53-T3C5-002</t>
  </si>
  <si>
    <t>AZ3-V54-T1C13-001</t>
  </si>
  <si>
    <t>AZ3-V54-T1C13-002</t>
  </si>
  <si>
    <t>AZ3-V54-T1C13-003</t>
  </si>
  <si>
    <t>AZ3-V54-T1C13-004</t>
  </si>
  <si>
    <t>AZ3-V54-T1C14-001</t>
  </si>
  <si>
    <t>AZ3-V54-T3C5-001</t>
  </si>
  <si>
    <t>AZ3-V54-T3C5-002</t>
  </si>
  <si>
    <t>AZ3-V54-T3C5-003</t>
  </si>
  <si>
    <t>AZ5-V56-T1C6-001</t>
  </si>
  <si>
    <t>AZ5-V56-T1C6-002</t>
  </si>
  <si>
    <t>AZ5-V56-T1C6-003</t>
  </si>
  <si>
    <t>AZ5-V56-T1C6-004</t>
  </si>
  <si>
    <t>AZ5-V56-T1C6-005</t>
  </si>
  <si>
    <t>AZ5-V57-T1C6-002</t>
  </si>
  <si>
    <t>AZ5-V57-T1C6-003</t>
  </si>
  <si>
    <t>AZ5-V57-T1C6-004</t>
  </si>
  <si>
    <t>AZ5-V57-T1C6-005</t>
  </si>
  <si>
    <t>AZ5-V56-T1C6-006</t>
  </si>
  <si>
    <t>AZ5-V57-T1C6-001</t>
  </si>
  <si>
    <t>AZ5-V57-T1C6-006</t>
  </si>
  <si>
    <t>AZ5-V58-T1C6-001</t>
  </si>
  <si>
    <t>AZ5-V58-T1C6-002</t>
  </si>
  <si>
    <t>AZ5-V58-T1C6-003</t>
  </si>
  <si>
    <t>AZ5-V58-T1C6-004</t>
  </si>
  <si>
    <t>AZ5-V58-T1C6-005</t>
  </si>
  <si>
    <t>AZ5-V59-T1C6-002</t>
  </si>
  <si>
    <t>AZ5-V59-T1C6-003</t>
  </si>
  <si>
    <t>AZ5-V59-T1C6-004</t>
  </si>
  <si>
    <t>AZ5-V59-T1C6-005</t>
  </si>
  <si>
    <t>AZ5-V58-T1C6-006</t>
  </si>
  <si>
    <t>AZ5-V59-T1C6-001</t>
  </si>
  <si>
    <t>AZ5-V59-T1C6-006</t>
  </si>
  <si>
    <t>AZ5-V61-T1C13-001</t>
  </si>
  <si>
    <t>AZ5-V61-T1C13-002</t>
  </si>
  <si>
    <t>AZ5-V61-T1C13-003</t>
  </si>
  <si>
    <t>AZ5-V61-T1C13-004</t>
  </si>
  <si>
    <t>AZ5-V61-T1C14-001</t>
  </si>
  <si>
    <t>AZ5-V61-T1C14-002</t>
  </si>
  <si>
    <t>AZ5-V61-T2C1-001</t>
  </si>
  <si>
    <t>AZ5-V62-T1C6-001</t>
  </si>
  <si>
    <t>AZ5-V66-T1C6-001</t>
  </si>
  <si>
    <t>AZ5-V62-T1C6-002</t>
  </si>
  <si>
    <t>AZ5-V62-T1C6-003</t>
  </si>
  <si>
    <t>AZ5-V63-T1C6-002</t>
  </si>
  <si>
    <t>AZ5-V63-T1C6-003</t>
  </si>
  <si>
    <t>AZ5-V66-T1C6-002</t>
  </si>
  <si>
    <t>AZ5-V66-T1C6-003</t>
  </si>
  <si>
    <t>AZ5-V67-T1C6-002</t>
  </si>
  <si>
    <t>AZ5-V67-T1C6-003</t>
  </si>
  <si>
    <t>AZ5-V62-T1C6-004</t>
  </si>
  <si>
    <t>AZ5-V62-T1C6-005</t>
  </si>
  <si>
    <t>AZ5-V63-T1C6-004</t>
  </si>
  <si>
    <t>AZ5-V63-T1C6-005</t>
  </si>
  <si>
    <t>AZ5-V64-T1C6-004</t>
  </si>
  <si>
    <t>AZ5-V64-T1C6-005</t>
  </si>
  <si>
    <t>AZ5-V65-T1C6-004</t>
  </si>
  <si>
    <t>AZ5-V65-T1C6-005</t>
  </si>
  <si>
    <t>AZ5-V66-T1C6-004</t>
  </si>
  <si>
    <t>AZ5-V66-T1C6-005</t>
  </si>
  <si>
    <t>AZ5-V67-T1C6-004</t>
  </si>
  <si>
    <t>AZ5-V67-T1C6-005</t>
  </si>
  <si>
    <t>AZ5-V62-T1C6-006</t>
  </si>
  <si>
    <t>AZ5-V64-T1C6-006</t>
  </si>
  <si>
    <t>AZ5-V66-T1C6-006</t>
  </si>
  <si>
    <t>AZ5-V63-T1C6-001</t>
  </si>
  <si>
    <t>AZ5-V67-T1C6-001</t>
  </si>
  <si>
    <t>AZ5-V63-T1C6-006</t>
  </si>
  <si>
    <t>AZ5-V65-T1C6-006</t>
  </si>
  <si>
    <t>AZ5-V67-T1C6-006</t>
  </si>
  <si>
    <t>AZ5-V63-T2C1-001</t>
  </si>
  <si>
    <t>AZ5-V65-T2C1-001</t>
  </si>
  <si>
    <t>AZ5-V67-T2C1-001</t>
  </si>
  <si>
    <t>AZ5-V69-T2C1-001</t>
  </si>
  <si>
    <t>AZ5-V64-T1C6-001</t>
  </si>
  <si>
    <t>AZ5-V64-T1C6-002</t>
  </si>
  <si>
    <t>AZ5-V64-T1C6-003</t>
  </si>
  <si>
    <t>AZ5-V65-T1C6-002</t>
  </si>
  <si>
    <t>AZ5-V65-T1C6-003</t>
  </si>
  <si>
    <t>AZ5-V65-T1C6-001</t>
  </si>
  <si>
    <t>AZ5-V68-T1C6-001</t>
  </si>
  <si>
    <t>AZ5-V68-T1C6-002</t>
  </si>
  <si>
    <t>AZ5-V68-T1C6-003</t>
  </si>
  <si>
    <t>AZ5-V69-T1C6-002</t>
  </si>
  <si>
    <t>AZ5-V69-T1C6-003</t>
  </si>
  <si>
    <t>AZ5-V68-T1C6-004</t>
  </si>
  <si>
    <t>AZ5-V68-T1C6-005</t>
  </si>
  <si>
    <t>AZ5-V69-T1C6-004</t>
  </si>
  <si>
    <t>AZ5-V69-T1C6-005</t>
  </si>
  <si>
    <t>AZ5-V68-T1C6-006</t>
  </si>
  <si>
    <t>AZ5-V69-T1C6-001</t>
  </si>
  <si>
    <t>AZ5-V69-T1C6-006</t>
  </si>
  <si>
    <t>AZ5-V70-T1C13-001</t>
  </si>
  <si>
    <t>AZ5-V70-T1C13-002</t>
  </si>
  <si>
    <t>AZ5-V70-T1C13-003</t>
  </si>
  <si>
    <t>AZ5-V70-T1C13-004</t>
  </si>
  <si>
    <t>AZ5-V70-T1C13-005</t>
  </si>
  <si>
    <t>AZ5-V70-T1C14-001</t>
  </si>
  <si>
    <t>AZ5-V55-T1C2-001</t>
  </si>
  <si>
    <t>AZ5-V55-T1C11-001</t>
  </si>
  <si>
    <t>AZ5-V55-T1C11-002</t>
  </si>
  <si>
    <t>AZ5-V55-T1C14-001</t>
  </si>
  <si>
    <t>AZ5-V55-T1C14-002</t>
  </si>
  <si>
    <t>AZ5-V55-T1C14-003</t>
  </si>
  <si>
    <t>AZ5-V55-T1C14-004</t>
  </si>
  <si>
    <t>AZ5-V55-T1C14-005</t>
  </si>
  <si>
    <t>AZ5-V55-T1C14-006</t>
  </si>
  <si>
    <t>AZ5-V55-T1C14-007</t>
  </si>
  <si>
    <t>AZ5-V55-T1C14-008</t>
  </si>
  <si>
    <t>AZ5-V55-T2C1-001</t>
  </si>
  <si>
    <t>AZ5-V55-T3C5-002</t>
  </si>
  <si>
    <t>AZ5-V56-T3C5-001</t>
  </si>
  <si>
    <t>AZ5-V56-T3C5-002</t>
  </si>
  <si>
    <t>AZ5-V57-T1C2-001</t>
  </si>
  <si>
    <t>AZ5-V57-T2C1-001</t>
  </si>
  <si>
    <t>AZ5-V57-T3C5-001</t>
  </si>
  <si>
    <t>AZ5-V57-T3C5-002</t>
  </si>
  <si>
    <t>AZ5-V58-T3C5-001</t>
  </si>
  <si>
    <t>AZ5-V58-T3C5-002</t>
  </si>
  <si>
    <t>AZ5-V59-T1C2-001</t>
  </si>
  <si>
    <t>AZ5-V59-T2C1-001</t>
  </si>
  <si>
    <t>AZ5-V59-T3C5-001</t>
  </si>
  <si>
    <t>AZ5-V59-T3C5-002</t>
  </si>
  <si>
    <t>AZ5-V60-T3C5-001</t>
  </si>
  <si>
    <t>AZ5-V60-T3C5-002</t>
  </si>
  <si>
    <t>AZ5-V60-T1C13-001</t>
  </si>
  <si>
    <t>AZ5-V60-T1C13-002</t>
  </si>
  <si>
    <t>AZ5-V60-T1C13-003</t>
  </si>
  <si>
    <t>AZ5-V60-T1C13-004</t>
  </si>
  <si>
    <t>AZ5-V60-T1C13-005</t>
  </si>
  <si>
    <t>AZ5-V60-T1C14-001</t>
  </si>
  <si>
    <t>AZ5-V61-T3C5-001</t>
  </si>
  <si>
    <t>AZ5-V61-T3C5-002</t>
  </si>
  <si>
    <t>AZ5-V62-T1C2-001</t>
  </si>
  <si>
    <t>AZ5-V62-T3C5-001</t>
  </si>
  <si>
    <t>AZ5-V62-T3C5-002</t>
  </si>
  <si>
    <t>AZ5-V63-T3C5-001</t>
  </si>
  <si>
    <t>AZ5-V63-T3C5-002</t>
  </si>
  <si>
    <t>AZ5-V64-T1C2-001</t>
  </si>
  <si>
    <t>AZ5-V64-T3C5-001</t>
  </si>
  <si>
    <t>AZ5-V64-T3C5-002</t>
  </si>
  <si>
    <t>AZ5-V65-T3C5-001</t>
  </si>
  <si>
    <t>AZ5-V65-T3C5-002</t>
  </si>
  <si>
    <t>AZ5-V66-T1C2-001</t>
  </si>
  <si>
    <t>AZ5-V66-T3C5-001</t>
  </si>
  <si>
    <t>AZ5-V66-T3C5-002</t>
  </si>
  <si>
    <t>AZ5-V67-T3C5-001</t>
  </si>
  <si>
    <t>AZ5-V67-T3C5-002</t>
  </si>
  <si>
    <t>AZ5-V68-T1C2-001</t>
  </si>
  <si>
    <t>AZ5-V68-T3C5-001</t>
  </si>
  <si>
    <t>AZ5-V68-T3C5-002</t>
  </si>
  <si>
    <t>AZ5-V69-T3C5-001</t>
  </si>
  <si>
    <t>AZ5-V69-T3C5-002</t>
  </si>
  <si>
    <t>AZ5-V70-T1C2-001</t>
  </si>
  <si>
    <t>AZ5-V70-T3C5-001</t>
  </si>
  <si>
    <t>AZ5-V70-T3C5-002</t>
  </si>
  <si>
    <t>Villa No.</t>
  </si>
  <si>
    <t>Mock up</t>
  </si>
  <si>
    <t>Zone-1</t>
  </si>
  <si>
    <t>Zone-2</t>
  </si>
  <si>
    <t>Zone-3</t>
  </si>
  <si>
    <t>Zone-5</t>
  </si>
  <si>
    <t>Zone-6</t>
  </si>
  <si>
    <t>Zone-4</t>
  </si>
  <si>
    <t>Zone-7</t>
  </si>
  <si>
    <t>Zone-8</t>
  </si>
  <si>
    <t>SPBM-02070</t>
  </si>
  <si>
    <t>SPBM-02071</t>
  </si>
  <si>
    <t>SPBM-02172</t>
  </si>
  <si>
    <t>SPBM-02173</t>
  </si>
  <si>
    <t>SPBM-02339</t>
  </si>
  <si>
    <t>SPBM-02340</t>
  </si>
  <si>
    <t>SPBM-02564</t>
  </si>
  <si>
    <t>Villa No</t>
  </si>
  <si>
    <t>SPBM-02777</t>
  </si>
  <si>
    <t>SPBM-02779</t>
  </si>
  <si>
    <t>SPBM-02814</t>
  </si>
  <si>
    <t>SPBM-02825</t>
  </si>
  <si>
    <t>AZ3-V46-T1C6-005</t>
  </si>
  <si>
    <t>AZ3-V45-T1C6-005</t>
  </si>
  <si>
    <t>AZ3-V45-T1C6-004</t>
  </si>
  <si>
    <t>AZ3-V44-T1C6-005</t>
  </si>
  <si>
    <t>AZ3-V47-T1C6-004</t>
  </si>
  <si>
    <t>MOCKUP</t>
  </si>
  <si>
    <t>V17</t>
  </si>
  <si>
    <t>V18</t>
  </si>
  <si>
    <t>AZ1</t>
  </si>
  <si>
    <t>V19</t>
  </si>
  <si>
    <t>V34</t>
  </si>
  <si>
    <t>V25</t>
  </si>
  <si>
    <t>V31</t>
  </si>
  <si>
    <t>V20</t>
  </si>
  <si>
    <t>V21</t>
  </si>
  <si>
    <t>V22</t>
  </si>
  <si>
    <t>V23</t>
  </si>
  <si>
    <t>V27</t>
  </si>
  <si>
    <t>V33</t>
  </si>
  <si>
    <t>V24</t>
  </si>
  <si>
    <t>V26</t>
  </si>
  <si>
    <t>V28</t>
  </si>
  <si>
    <t>V29</t>
  </si>
  <si>
    <t>V30</t>
  </si>
  <si>
    <t>V32</t>
  </si>
  <si>
    <t>AZ2</t>
  </si>
  <si>
    <t>V35</t>
  </si>
  <si>
    <t>V36</t>
  </si>
  <si>
    <t>V37</t>
  </si>
  <si>
    <t>V38</t>
  </si>
  <si>
    <t>V39</t>
  </si>
  <si>
    <t>V40</t>
  </si>
  <si>
    <t>V41</t>
  </si>
  <si>
    <t>cf</t>
  </si>
  <si>
    <t>V42</t>
  </si>
  <si>
    <t>AZ3</t>
  </si>
  <si>
    <t>V43</t>
  </si>
  <si>
    <t>V45</t>
  </si>
  <si>
    <t>V47</t>
  </si>
  <si>
    <t>V44</t>
  </si>
  <si>
    <t>V46</t>
  </si>
  <si>
    <t>AZ3-V46-T1C6-004</t>
  </si>
  <si>
    <t>AZ3-V47-T1C6-005</t>
  </si>
  <si>
    <t>V48</t>
  </si>
  <si>
    <t>V49</t>
  </si>
  <si>
    <t>V51</t>
  </si>
  <si>
    <t>V53</t>
  </si>
  <si>
    <t>V50</t>
  </si>
  <si>
    <t>V52</t>
  </si>
  <si>
    <t>V54</t>
  </si>
  <si>
    <t>AZ5</t>
  </si>
  <si>
    <t>V56</t>
  </si>
  <si>
    <t>V57</t>
  </si>
  <si>
    <t>V58</t>
  </si>
  <si>
    <t>V59</t>
  </si>
  <si>
    <t>V61</t>
  </si>
  <si>
    <t>V62</t>
  </si>
  <si>
    <t>V66</t>
  </si>
  <si>
    <t>V63</t>
  </si>
  <si>
    <t>V67</t>
  </si>
  <si>
    <t>V64</t>
  </si>
  <si>
    <t>V65</t>
  </si>
  <si>
    <t>V69</t>
  </si>
  <si>
    <t>V68</t>
  </si>
  <si>
    <t>V70</t>
  </si>
  <si>
    <t>V55</t>
  </si>
  <si>
    <t>V60</t>
  </si>
  <si>
    <t>AZ4-V03-T3C4-002</t>
  </si>
  <si>
    <t>V03</t>
  </si>
  <si>
    <t>AZ4-V03-T3C5-001</t>
  </si>
  <si>
    <t>AZ4-V04-T1C2-001</t>
  </si>
  <si>
    <t>V04</t>
  </si>
  <si>
    <t>AZ4-V04-T3C6-001</t>
  </si>
  <si>
    <t>AZ4-V04-T3C6-002</t>
  </si>
  <si>
    <t>AZ4-V04-T3C6S-001</t>
  </si>
  <si>
    <t>AZ4-V05-T3C3-001</t>
  </si>
  <si>
    <t>V05</t>
  </si>
  <si>
    <t>AZ4-V05-T3C3-002</t>
  </si>
  <si>
    <t>AZ4-V05-T3C3-003</t>
  </si>
  <si>
    <t>AZ4-V06-T1C3-001</t>
  </si>
  <si>
    <t>V06</t>
  </si>
  <si>
    <t>AZ4-V06-T3C3-001</t>
  </si>
  <si>
    <t>AZ4-V06-T3C3S-001</t>
  </si>
  <si>
    <t>AZ4-V06-T3C3S-002</t>
  </si>
  <si>
    <t>AZ4-V06-T3C3S-003</t>
  </si>
  <si>
    <t>AZ4-V07-T3C3S-001</t>
  </si>
  <si>
    <t>V07</t>
  </si>
  <si>
    <t>AZ4-V07-T3C3S-002</t>
  </si>
  <si>
    <t>AZ4-V07-T3C3S-004</t>
  </si>
  <si>
    <t>AZ4-V07-T3C3S-005</t>
  </si>
  <si>
    <t>AZ4-V08-T1C3S-001</t>
  </si>
  <si>
    <t>V08</t>
  </si>
  <si>
    <t>AZ4-V08-T3C3-001</t>
  </si>
  <si>
    <t>AZ4-V08-T3C3-002</t>
  </si>
  <si>
    <t>AZ4-V08-T3C3-003</t>
  </si>
  <si>
    <t>AZ4-V08-T3C3-005</t>
  </si>
  <si>
    <t>AZ4-V09-T1C2-001</t>
  </si>
  <si>
    <t>V09</t>
  </si>
  <si>
    <t>AZ4-V09-T3C6-001</t>
  </si>
  <si>
    <t>AZ4-V09-T3C6-002</t>
  </si>
  <si>
    <t>AZ4-V10-T3C4-001</t>
  </si>
  <si>
    <t>V10</t>
  </si>
  <si>
    <t>AZ4-V10-T3C5-001</t>
  </si>
  <si>
    <t>AZ4-V11-T3C6-001</t>
  </si>
  <si>
    <t>V11</t>
  </si>
  <si>
    <t>AZ4-V11-T3C6-002</t>
  </si>
  <si>
    <t>AZ4-V12-T1C2-001</t>
  </si>
  <si>
    <t>V12</t>
  </si>
  <si>
    <t>AZ4-V12-T3C4-001</t>
  </si>
  <si>
    <t>AZ4-V12-T3C5-001</t>
  </si>
  <si>
    <t>AZ4-V13-T3C6-001</t>
  </si>
  <si>
    <t>V13</t>
  </si>
  <si>
    <t>AZ4-V13-T3C6-002</t>
  </si>
  <si>
    <t>AZ4-V14-T1C2-001</t>
  </si>
  <si>
    <t>V14</t>
  </si>
  <si>
    <t>AZ4-V14-T3C4-001</t>
  </si>
  <si>
    <t>AZ4-V14-T3C5-001</t>
  </si>
  <si>
    <t>AZ4-V15-T3C5-001</t>
  </si>
  <si>
    <t>V15</t>
  </si>
  <si>
    <t>AZ4-V15-T3C5-002</t>
  </si>
  <si>
    <t>AZ4-V16-T1C2-001</t>
  </si>
  <si>
    <t>V16</t>
  </si>
  <si>
    <t>AZ4-V16-T1C13-001</t>
  </si>
  <si>
    <t>AZ4-V16-T1C13-002</t>
  </si>
  <si>
    <t>AZ4-V16-T1C13-005</t>
  </si>
  <si>
    <t>AZ4-V16-T1C14-001</t>
  </si>
  <si>
    <t>AZ4-V16-T3C4-001</t>
  </si>
  <si>
    <t>AZ4-V16-T3C4-002</t>
  </si>
  <si>
    <t>AZ4-V04-T1C6-001</t>
  </si>
  <si>
    <t>AZ4-V04-T1C6-002</t>
  </si>
  <si>
    <t>AZ4-V04-T1C6-004</t>
  </si>
  <si>
    <t>AZ4-V04-T1C6-006</t>
  </si>
  <si>
    <t>AZ4-V04-T2C1-001</t>
  </si>
  <si>
    <t>AZ4-V05-T1C6-001</t>
  </si>
  <si>
    <t>AZ4-V05-T1C6-006</t>
  </si>
  <si>
    <t>AZ4-V06-T1C6-001</t>
  </si>
  <si>
    <t>AZ4-V06-T1C6-006</t>
  </si>
  <si>
    <t>AZ4-V06-T2C1-001</t>
  </si>
  <si>
    <t>AZ4-V07-T1C6-001</t>
  </si>
  <si>
    <t>AZ4-V07-T1C6-006</t>
  </si>
  <si>
    <t>AZ4-V08-T1C6-001</t>
  </si>
  <si>
    <t>AZ4-V08-T1C6-002</t>
  </si>
  <si>
    <t>AZ4-V08-T2C1-001</t>
  </si>
  <si>
    <t>AZ4-V09-T1C6-001</t>
  </si>
  <si>
    <t>AZ4-V10-T1C6-001</t>
  </si>
  <si>
    <t>AZ4-V10-T1C6-002</t>
  </si>
  <si>
    <t>AZ4-V11-T1C6-001</t>
  </si>
  <si>
    <t>AZ4-V12-T1C6-001</t>
  </si>
  <si>
    <t>AZ4-V12-T1C6-002</t>
  </si>
  <si>
    <t>AZ4-V13-T1C6-001</t>
  </si>
  <si>
    <t>AZ4-V14-T1C6-001</t>
  </si>
  <si>
    <t>AZ4-V14-T1C6-002</t>
  </si>
  <si>
    <t>AZ4-V15-T1C6-001</t>
  </si>
  <si>
    <t>AZ4-V16-T2C1-001</t>
  </si>
  <si>
    <t>AZ6-PV17-T1C1-001</t>
  </si>
  <si>
    <t>AZ6-PV17-T1C10-001</t>
  </si>
  <si>
    <t>AZ6-PV17-T1C13-001</t>
  </si>
  <si>
    <t>AZ6-PV17-T1C13-002</t>
  </si>
  <si>
    <t>AZ6-PV17-T3C1-001</t>
  </si>
  <si>
    <t>AZ6-PV17-T3C1-002</t>
  </si>
  <si>
    <t>AZ6-PV17-T3C4-001</t>
  </si>
  <si>
    <t>AZ6-PV18-T3C4-001</t>
  </si>
  <si>
    <t>AZ6-PV18-T3C4-002</t>
  </si>
  <si>
    <t>AZ6-PV19-T1C1-001</t>
  </si>
  <si>
    <t>AZ6-PV19-T3C4-001</t>
  </si>
  <si>
    <t>AZ6-PV19-T3C4-002</t>
  </si>
  <si>
    <t>AZ6-PV20-T1C6-001</t>
  </si>
  <si>
    <t>AZ6-PV20-T1C6-002</t>
  </si>
  <si>
    <t>AZ6-PV20-T3C4-001</t>
  </si>
  <si>
    <t>AZ6-PV20-T3C4-002</t>
  </si>
  <si>
    <t>AZ6-PV21-T1C1-001</t>
  </si>
  <si>
    <t>AZ6-PV21-T1C6-001</t>
  </si>
  <si>
    <t>AZ6-PV21-T3C4-001</t>
  </si>
  <si>
    <t>AZ6-PV22-T3C4-001</t>
  </si>
  <si>
    <t>AZ6-PV22-T3C4-002</t>
  </si>
  <si>
    <t>AZ6-PV23-T3C4-001</t>
  </si>
  <si>
    <t>AZ6-PV24-T1C13-001</t>
  </si>
  <si>
    <t>AZ6-PV24-T1C13-002</t>
  </si>
  <si>
    <t>AZ6-PV24-T1C13-006</t>
  </si>
  <si>
    <t>AZ6-PV24-T3C4-001</t>
  </si>
  <si>
    <t>AZ6-PV24-T3C4-002</t>
  </si>
  <si>
    <t>AZ6-PV25-T1C1-001</t>
  </si>
  <si>
    <t>AZ6-PV25-T1C13-001</t>
  </si>
  <si>
    <t>AZ6-PV25-T1C13-006</t>
  </si>
  <si>
    <t>AZ6-PV25-T3C4-001</t>
  </si>
  <si>
    <t>AZ6-PV25-T3C4-002</t>
  </si>
  <si>
    <t>AZ6-PV26-T1C6-001</t>
  </si>
  <si>
    <t>AZ6-PV26-T1C6-002</t>
  </si>
  <si>
    <t>AZ6-PV26-T3C4-001</t>
  </si>
  <si>
    <t>AZ6-PV26-T3C4-002</t>
  </si>
  <si>
    <t>AZ6-PV27-T1C1-001</t>
  </si>
  <si>
    <t>AZ6-PV27-T1C6-001</t>
  </si>
  <si>
    <t>AZ6-PV27-T3C4-001</t>
  </si>
  <si>
    <t>AZ6-PV27-T3C4-002</t>
  </si>
  <si>
    <t>AZ6-PV28-T1C6-001</t>
  </si>
  <si>
    <t>AZ6-PV28-T1C6-002</t>
  </si>
  <si>
    <t>AZ6-PV28-T3C4-001</t>
  </si>
  <si>
    <t>AZ6-PV28-T3C4-002</t>
  </si>
  <si>
    <t>AZ6-PV29-T1C6-001</t>
  </si>
  <si>
    <t>AZ6-PV29-T3C4-001</t>
  </si>
  <si>
    <t>AZ6-PV29-T3C4-002</t>
  </si>
  <si>
    <t>AZ6-PV30-T1C1-001</t>
  </si>
  <si>
    <t>AZ6-PV30-T3C4-001</t>
  </si>
  <si>
    <t>AZ6-PV30-T3C4-002</t>
  </si>
  <si>
    <t>AZ6-PV31-T3C4-001</t>
  </si>
  <si>
    <t>AZ6-PV31-T3C4-002</t>
  </si>
  <si>
    <t>AZ6-PV32-T1C1-001</t>
  </si>
  <si>
    <t>AZ6-PV32-T1C6-001</t>
  </si>
  <si>
    <t>AZ6-PV32-T1C6-002</t>
  </si>
  <si>
    <t>AZ6-PV32-T3C4-001</t>
  </si>
  <si>
    <t>AZ6-PV32-T3C4-002</t>
  </si>
  <si>
    <t>AZ6-PV33-T1C6-001</t>
  </si>
  <si>
    <t>AZ6-PV33-T3C4-001</t>
  </si>
  <si>
    <t>AZ6-PV33-T3C4-002</t>
  </si>
  <si>
    <t>AZ6-PV34-T1C1-001</t>
  </si>
  <si>
    <t>AZ6-PV34-T1C6-001</t>
  </si>
  <si>
    <t>AZ6-PV34-T1C6-002</t>
  </si>
  <si>
    <t>AZ6-PV34-T3C4-001</t>
  </si>
  <si>
    <t>AZ6-PV34-T3C4-002</t>
  </si>
  <si>
    <t>AZ6-PV35-T1C2-001</t>
  </si>
  <si>
    <t>AZ6-PV35-T1C6-001</t>
  </si>
  <si>
    <t>AZ6-PV35-T3C4-001</t>
  </si>
  <si>
    <t>AZ6-PV35-T3C4-002</t>
  </si>
  <si>
    <t>AZ6-PV36-T1C13-001</t>
  </si>
  <si>
    <t>AZ6-PV36-T1C14-001</t>
  </si>
  <si>
    <t>AZ6-PV36-T1C14-002</t>
  </si>
  <si>
    <t>AZ6-PV36-T1C14-005</t>
  </si>
  <si>
    <t>AZ6-PV36-T2C1-001</t>
  </si>
  <si>
    <t>AZ6-PV36-T3C2-001</t>
  </si>
  <si>
    <t>AZ6-PV36-T3C2-002</t>
  </si>
  <si>
    <t>AZ6-PV36-T3C5-001</t>
  </si>
  <si>
    <t>Ere Qty</t>
  </si>
  <si>
    <t>Remain to Erec Qty</t>
  </si>
  <si>
    <t>P25034-Amara BW Progress Status (Element pc wise)-BW</t>
  </si>
  <si>
    <t>ENGG</t>
  </si>
  <si>
    <t>Estd Reqd.Qty</t>
  </si>
  <si>
    <t>SPBM-04183</t>
  </si>
  <si>
    <t>SPBM-04172</t>
  </si>
  <si>
    <t>SPBM-04188</t>
  </si>
  <si>
    <t>SPBM-04215</t>
  </si>
  <si>
    <t>SPBM-04230</t>
  </si>
  <si>
    <t>SPBM-04266</t>
  </si>
  <si>
    <t>SPBM-04290</t>
  </si>
  <si>
    <t>SPBM-04303</t>
  </si>
  <si>
    <t>SPBM-04304</t>
  </si>
  <si>
    <t>Total</t>
  </si>
  <si>
    <t>SPBM-04337</t>
  </si>
  <si>
    <t>AZ4-V07-T1C6-004</t>
  </si>
  <si>
    <t>AZ4-V05-T1C6-005</t>
  </si>
  <si>
    <t>AZ4-V07-T1C6-005</t>
  </si>
  <si>
    <t>AZ4-V09-T1C6-004</t>
  </si>
  <si>
    <t>AZ4-V13-T1C6-002</t>
  </si>
  <si>
    <t>AZ4-V09-T1C6-006</t>
  </si>
  <si>
    <t>AZ4-V09-T1C6-005</t>
  </si>
  <si>
    <t>AZ4-V04-T1C6-005</t>
  </si>
  <si>
    <t>AZ4-V04-T1C6-003</t>
  </si>
  <si>
    <t>AZ4-V05-T1C6-002</t>
  </si>
  <si>
    <t>AZ4-V05-T1C6-003</t>
  </si>
  <si>
    <t>AZ4-V08-T1C6-006</t>
  </si>
  <si>
    <t>AZ4-V14-T1C6-005</t>
  </si>
  <si>
    <t>AZ4-V13-T1C6-003</t>
  </si>
  <si>
    <t>AZ4-V13-T1C6-004</t>
  </si>
  <si>
    <t>AZ4-V08-T1C6-003</t>
  </si>
  <si>
    <t>AZ4-V06-T1C6-002</t>
  </si>
  <si>
    <t>AZ4-V06-T1C6-003</t>
  </si>
  <si>
    <t>AZ4-V11-T1C6-006</t>
  </si>
  <si>
    <t>AZ4-V10-T1C6-003</t>
  </si>
  <si>
    <t>AZ4-V13-T1C6-006</t>
  </si>
  <si>
    <t>AZ4-V12-T1C6-003</t>
  </si>
  <si>
    <t>AZ4-V12-T1C6-006</t>
  </si>
  <si>
    <t>AZ4-V05-T3C3-004</t>
  </si>
  <si>
    <t>AZ4-V07-T3C3S-003</t>
  </si>
  <si>
    <t>AZ4-V08-T3C3-004</t>
  </si>
  <si>
    <t>AZ4-V16-T1C13-003</t>
  </si>
  <si>
    <t>AZ4-V16-T1C13-004</t>
  </si>
  <si>
    <t>AZ4-V14-T2C1-001</t>
  </si>
  <si>
    <t>AZ4-V12-T2C1-001</t>
  </si>
  <si>
    <t>AZ4-V10-T2C1-001</t>
  </si>
  <si>
    <t>AZ4-V05-T1C6-004</t>
  </si>
  <si>
    <t>AZ4-V08-T1C6-004</t>
  </si>
  <si>
    <t>AZ4-V08-T1C6-005</t>
  </si>
  <si>
    <t>AZ4-V09-T1C6-002</t>
  </si>
  <si>
    <t>AZ4-V09-T1C6-003</t>
  </si>
  <si>
    <t>AZ4-V06-T1C6-004</t>
  </si>
  <si>
    <t>AZ4-V06-T1C6-005</t>
  </si>
  <si>
    <t>AZ4-V07-T1C6-002</t>
  </si>
  <si>
    <t>AZ4-V07-T1C6-003</t>
  </si>
  <si>
    <t>AZ4-V10-T1C6-004</t>
  </si>
  <si>
    <t>AZ4-V10-T1C6-005</t>
  </si>
  <si>
    <t>AZ4-V11-T1C6-002</t>
  </si>
  <si>
    <t>AZ4-V11-T1C6-003</t>
  </si>
  <si>
    <t>AZ4-V11-T1C6-004</t>
  </si>
  <si>
    <t>AZ4-V11-T1C6-005</t>
  </si>
  <si>
    <t>AZ4-V10-T1C6-006</t>
  </si>
  <si>
    <t>AZ4-V12-T1C6-004</t>
  </si>
  <si>
    <t>AZ4-V12-T1C6-005</t>
  </si>
  <si>
    <t>AZ4-V13-T1C6-005</t>
  </si>
  <si>
    <t>AZ4-V15-T1C6-006</t>
  </si>
  <si>
    <t>AZ4-V14-T1C6-003</t>
  </si>
  <si>
    <t>AZ4-V14-T1C6-004</t>
  </si>
  <si>
    <t>AZ4-V15-T1C6-002</t>
  </si>
  <si>
    <t>AZ4-V15-T1C6-003</t>
  </si>
  <si>
    <t>AZ4-V15-T1C6-004</t>
  </si>
  <si>
    <t>AZ4-V15-T1C6-005</t>
  </si>
  <si>
    <t>AZ4-V14-T1C6-006</t>
  </si>
  <si>
    <t>AZ6</t>
  </si>
  <si>
    <t>AZ4</t>
  </si>
  <si>
    <t>1000*900*250</t>
  </si>
  <si>
    <t>1000*950*250</t>
  </si>
  <si>
    <t>SEF</t>
  </si>
  <si>
    <t>1000*1100*250</t>
  </si>
  <si>
    <t>1000*1250*250</t>
  </si>
  <si>
    <t>1200*1300*250</t>
  </si>
  <si>
    <t>STEP</t>
  </si>
  <si>
    <t>1500*1300*250</t>
  </si>
  <si>
    <t>1000*1300*250</t>
  </si>
  <si>
    <t>1600*1500*250</t>
  </si>
  <si>
    <t>1200*1350*250</t>
  </si>
  <si>
    <t>1600*1250*250</t>
  </si>
  <si>
    <t>1600*1450*250</t>
  </si>
  <si>
    <t>2000*1250*250</t>
  </si>
  <si>
    <t>1200*1000*250</t>
  </si>
  <si>
    <t>SPBM-04696</t>
  </si>
  <si>
    <t>SPBM-04703</t>
  </si>
  <si>
    <t>SPBM-04702</t>
  </si>
  <si>
    <t>SPBM-04714</t>
  </si>
  <si>
    <t>SPBM-04718</t>
  </si>
  <si>
    <t>SPBM-04744</t>
  </si>
  <si>
    <t>SPBM-04785</t>
  </si>
  <si>
    <t>AZ6-PV34-T2C1-001</t>
  </si>
  <si>
    <t>2000-1250*250</t>
  </si>
  <si>
    <t>1000*1200*250</t>
  </si>
  <si>
    <t>PV17</t>
  </si>
  <si>
    <t>1000*1000*250</t>
  </si>
  <si>
    <t>1500*1150*250</t>
  </si>
  <si>
    <t>AZ6-PV17-T1C13-003</t>
  </si>
  <si>
    <t>AZ6-PV17-T1C13-004</t>
  </si>
  <si>
    <t>AZ6-PV17-T1C13-005</t>
  </si>
  <si>
    <t>1200*1100*250</t>
  </si>
  <si>
    <t>PV18</t>
  </si>
  <si>
    <t>PV19</t>
  </si>
  <si>
    <t>PV20</t>
  </si>
  <si>
    <t>AZ6-PV21-T1C6-006</t>
  </si>
  <si>
    <t>PV21</t>
  </si>
  <si>
    <t>AZ6-PV18-T1C6-001</t>
  </si>
  <si>
    <t>AZ6-PV19-T1C6-006</t>
  </si>
  <si>
    <t>AZ6-PV20-T1C6-003</t>
  </si>
  <si>
    <t>AZ6-PV20-T1C6-004</t>
  </si>
  <si>
    <t>AZ6-PV20-T1C6-005</t>
  </si>
  <si>
    <t>AZ6-PV21-T1C6-002</t>
  </si>
  <si>
    <t>AZ6-PV21-T1C6-003</t>
  </si>
  <si>
    <t>AZ6-PV21-T1C6-004</t>
  </si>
  <si>
    <t>AZ6-PV21-T1C6-005</t>
  </si>
  <si>
    <t>AZ6-PV18-T1C6-002</t>
  </si>
  <si>
    <t>AZ6-PV18-T1C6-003</t>
  </si>
  <si>
    <t>AZ6-PV18-T1C6-004</t>
  </si>
  <si>
    <t>AZ6-PV18-T1C6-005</t>
  </si>
  <si>
    <t>AZ6-PV19-T1C6-002</t>
  </si>
  <si>
    <t>AZ6-PV19-T1C6-003</t>
  </si>
  <si>
    <t>AZ6-PV19-T1C6-004</t>
  </si>
  <si>
    <t>AZ6-PV19-T1C6-005</t>
  </si>
  <si>
    <t>AZ6-PV23-T1C1-001</t>
  </si>
  <si>
    <t>PV23</t>
  </si>
  <si>
    <t>AZ6-PV20-T1C6-006</t>
  </si>
  <si>
    <t>AZ6-PV19-T1C6-001</t>
  </si>
  <si>
    <t>AZ6-PV18-T1C6-006</t>
  </si>
  <si>
    <t>PV22</t>
  </si>
  <si>
    <t>PV24</t>
  </si>
  <si>
    <t>AZ6-PV24-T1C13-003</t>
  </si>
  <si>
    <t>AZ6-PV24-T1C13-004</t>
  </si>
  <si>
    <t>AZ6-PV24-T1C13-005</t>
  </si>
  <si>
    <t>PV25</t>
  </si>
  <si>
    <t>AZ6-PV25-T1C13-002</t>
  </si>
  <si>
    <t>AZ6-PV25-T1C13-003</t>
  </si>
  <si>
    <t>AZ6-PV25-T1C13-004</t>
  </si>
  <si>
    <t>AZ6-PV25-T1C13-005</t>
  </si>
  <si>
    <t>PV26</t>
  </si>
  <si>
    <t>AZ6-PV27-T1C6-006</t>
  </si>
  <si>
    <t>AZ6-PV22-T1C6-001</t>
  </si>
  <si>
    <t>AZ6-PV23-T1C6-006</t>
  </si>
  <si>
    <t>AZ6-PV26-T1C6-003</t>
  </si>
  <si>
    <t>AZ6-PV26-T1C6-004</t>
  </si>
  <si>
    <t>AZ6-PV26-T1C6-005</t>
  </si>
  <si>
    <t>AZ6-PV27-T1C6-002</t>
  </si>
  <si>
    <t>PV27</t>
  </si>
  <si>
    <t>AZ6-PV27-T1C6-003</t>
  </si>
  <si>
    <t>AZ6-PV27-T1C6-004</t>
  </si>
  <si>
    <t>AZ6-PV27-T1C6-005</t>
  </si>
  <si>
    <t>AZ6-PV22-T1C6-002</t>
  </si>
  <si>
    <t>AZ6-PV22-T1C6-003</t>
  </si>
  <si>
    <t>AZ6-PV22-T1C6-004</t>
  </si>
  <si>
    <t>AZ6-PV22-T1C6-005</t>
  </si>
  <si>
    <t>AZ6-PV23-T1C6-002</t>
  </si>
  <si>
    <t>AZ6-PV23-T1C6-003</t>
  </si>
  <si>
    <t>AZ6-PV23-T1C6-004</t>
  </si>
  <si>
    <t>AZ6-PV23-T1C6-005</t>
  </si>
  <si>
    <t>AZ6-PV26-T1C6-006</t>
  </si>
  <si>
    <t>AZ6-PV23-T1C6-001</t>
  </si>
  <si>
    <t>AZ6-PV22-T1C6-006</t>
  </si>
  <si>
    <t>AZ6-PV23-T3C4-002</t>
  </si>
  <si>
    <t>AZ6-PV21-T3C4-002</t>
  </si>
  <si>
    <t>PV28</t>
  </si>
  <si>
    <t>AZ6-PV29-T1C6-006</t>
  </si>
  <si>
    <t>PV29</t>
  </si>
  <si>
    <t>AZ6-PV28-T1C6-003</t>
  </si>
  <si>
    <t>AZ6-PV28-T1C6-004</t>
  </si>
  <si>
    <t>AZ6-PV28-T1C6-005</t>
  </si>
  <si>
    <t>AZ6-PV29-T1C6-002</t>
  </si>
  <si>
    <t>AZ6-PV29-T1C6-003</t>
  </si>
  <si>
    <t>AZ6-PV29-T1C6-004</t>
  </si>
  <si>
    <t>AZ6-PV29-T1C6-005</t>
  </si>
  <si>
    <t>AZ6-PV28-T1C6-006</t>
  </si>
  <si>
    <t>PV30</t>
  </si>
  <si>
    <t>PV31</t>
  </si>
  <si>
    <t>PV32</t>
  </si>
  <si>
    <t>AZ6-PV33-T1C6-006</t>
  </si>
  <si>
    <t>PV33</t>
  </si>
  <si>
    <t>AZ6-PV30-T1C6-001</t>
  </si>
  <si>
    <t>AZ6-PV31-T1C6-006</t>
  </si>
  <si>
    <t>AZ6-PV32-T1C6-003</t>
  </si>
  <si>
    <t>AZ6-PV32-T1C6-004</t>
  </si>
  <si>
    <t>AZ6-PV32-T1C6-005</t>
  </si>
  <si>
    <t>AZ6-PV33-T1C6-002</t>
  </si>
  <si>
    <t>AZ6-PV33-T1C6-003</t>
  </si>
  <si>
    <t>AZ6-PV33-T1C6-004</t>
  </si>
  <si>
    <t>AZ6-PV33-T1C6-005</t>
  </si>
  <si>
    <t>AZ6-PV30-T1C6-002</t>
  </si>
  <si>
    <t>AZ6-PV30-T1C6-003</t>
  </si>
  <si>
    <t>AZ6-PV30-T1C6-004</t>
  </si>
  <si>
    <t>AZ6-PV30-T1C6-005</t>
  </si>
  <si>
    <t>AZ6-PV31-T1C6-002</t>
  </si>
  <si>
    <t>AZ6-PV31-T1C6-003</t>
  </si>
  <si>
    <t>AZ6-PV31-T1C6-004</t>
  </si>
  <si>
    <t>AZ6-PV31-T1C6-005</t>
  </si>
  <si>
    <t>AZ6-PV32-T1C6-006</t>
  </si>
  <si>
    <t>AZ6-PV31-T1C6-001</t>
  </si>
  <si>
    <t>AZ6-PV30-T1C6-006</t>
  </si>
  <si>
    <t>PV34</t>
  </si>
  <si>
    <t>AZ6-PV35-T1C6-006</t>
  </si>
  <si>
    <t>PV35</t>
  </si>
  <si>
    <t>AZ6-PV34-T1C6-003</t>
  </si>
  <si>
    <t>AZ6-PV34-T1C6-004</t>
  </si>
  <si>
    <t>AZ6-PV34-T1C6-005</t>
  </si>
  <si>
    <t>AZ6-PV35-T1C6-002</t>
  </si>
  <si>
    <t>AZ6-PV35-T1C6-003</t>
  </si>
  <si>
    <t>AZ6-PV35-T1C6-004</t>
  </si>
  <si>
    <t>AZ6-PV35-T1C6-005</t>
  </si>
  <si>
    <t>AZ6-PV34-T1C6-006</t>
  </si>
  <si>
    <t>PV36</t>
  </si>
  <si>
    <t>AZ6-PV36-T1C14-003</t>
  </si>
  <si>
    <t>AZ6-PV36-T1C14-004</t>
  </si>
  <si>
    <t>AZ6-PV32-T2C1-001</t>
  </si>
  <si>
    <t>AZ6-PV30-T2C1-001</t>
  </si>
  <si>
    <t>AZ6-PV28-T2C1-001</t>
  </si>
  <si>
    <t>AZ6-PV26-T2C1-001</t>
  </si>
  <si>
    <t>AZ6-PV24-T2C1-001</t>
  </si>
  <si>
    <t>AZ6-PV22-T2C1-001</t>
  </si>
  <si>
    <t>AZ6-PV20-T2C1-001</t>
  </si>
  <si>
    <t>AZ6-PV18-T2C1-001</t>
  </si>
  <si>
    <t>1200*1250*250</t>
  </si>
  <si>
    <t>SPBM-04933</t>
  </si>
  <si>
    <t>SPBM-04949</t>
  </si>
  <si>
    <t>SPBM-05088</t>
  </si>
  <si>
    <t>SPBM-05091</t>
  </si>
  <si>
    <t>SPBM-05121</t>
  </si>
  <si>
    <t>SPBM-05177</t>
  </si>
  <si>
    <t>SPBM-05172</t>
  </si>
  <si>
    <t>SPBM-05189</t>
  </si>
  <si>
    <t>SPBM-05193</t>
  </si>
  <si>
    <t>SPBM-05196</t>
  </si>
  <si>
    <t>SPBM-05248</t>
  </si>
  <si>
    <t>SPBM-05284</t>
  </si>
  <si>
    <t>SPBM-05301</t>
  </si>
  <si>
    <t>SPBM-05360</t>
  </si>
  <si>
    <t>SPBM-05333</t>
  </si>
  <si>
    <t>SPBM-05384</t>
  </si>
  <si>
    <t>SPBM-05434</t>
  </si>
  <si>
    <t>m3/pc</t>
  </si>
  <si>
    <t>AZ7-PV01-T2C1-001</t>
  </si>
  <si>
    <t>AZ7-PV01-T1C13-001</t>
  </si>
  <si>
    <t>AZ7</t>
  </si>
  <si>
    <t>AZ7-PV01-T1C13-002</t>
  </si>
  <si>
    <t>AZ7-PV01-T1C14-001</t>
  </si>
  <si>
    <t>AZ7-PV01-T1C14-002</t>
  </si>
  <si>
    <t>AZ7-PV01-T1C14-003</t>
  </si>
  <si>
    <t>AZ7-PV01-T1C15-001</t>
  </si>
  <si>
    <t>AZ7-PV01-T1C3-001</t>
  </si>
  <si>
    <t>AZ7-PV03-T2C1-001</t>
  </si>
  <si>
    <t>AZ7-PV05-T2C1-001</t>
  </si>
  <si>
    <t>AZ7-PV07-T2C1-001</t>
  </si>
  <si>
    <t>AZ7-PV09-T2C1-001</t>
  </si>
  <si>
    <t>AZ7-PV011-T2C1-001</t>
  </si>
  <si>
    <t>AZ7-PV013-T2C1-001</t>
  </si>
  <si>
    <t>AZ7-PV015-T2C1-001</t>
  </si>
  <si>
    <t>AZ7-PV01-T3C6-001</t>
  </si>
  <si>
    <t>AZ7-PV01-T3C6-002</t>
  </si>
  <si>
    <t>AZ7-PV02-T1C6-001</t>
  </si>
  <si>
    <t>AZ7-PV03-T1C6-006</t>
  </si>
  <si>
    <t>AZ7-PV02-T1C6-002</t>
  </si>
  <si>
    <t>AZ7-PV02-T1C6-003</t>
  </si>
  <si>
    <t>AZ7-PV02-T1C6-004</t>
  </si>
  <si>
    <t>AZ7-PV02-T1C6-005</t>
  </si>
  <si>
    <t>AZ7-PV03-T1C6-002</t>
  </si>
  <si>
    <t>AZ7-PV03-T1C6-003</t>
  </si>
  <si>
    <t>AZ7-PV03-T1C6-004</t>
  </si>
  <si>
    <t>AZ7-PV03-T1C6-005</t>
  </si>
  <si>
    <t>AZ7-PV02-T1C6-006</t>
  </si>
  <si>
    <t>AZ7-PV03-T1C6-001</t>
  </si>
  <si>
    <t>AZ7-PV02-T3C6-001</t>
  </si>
  <si>
    <t>AZ7-PV02-T3C6-002</t>
  </si>
  <si>
    <t>AZ7-PV03-T1C2-001</t>
  </si>
  <si>
    <t>AZ7-PV03-T3C5-001</t>
  </si>
  <si>
    <t>AZ7-PV03-T3C5-002</t>
  </si>
  <si>
    <t>AZ7-PV04-T1C6-001</t>
  </si>
  <si>
    <t>AZ7-PV05-T1C6-006</t>
  </si>
  <si>
    <t>AZ7-PV04-T1C6-002</t>
  </si>
  <si>
    <t>AZ7-PV04-T1C6-003</t>
  </si>
  <si>
    <t>AZ7-PV04-T1C6-004</t>
  </si>
  <si>
    <t>AZ7-PV04-T1C6-005</t>
  </si>
  <si>
    <t>AZ7-PV05-T1C6-002</t>
  </si>
  <si>
    <t>AZ7-PV05-T1C6-003</t>
  </si>
  <si>
    <t>AZ7-PV05-T1C6-004</t>
  </si>
  <si>
    <t>AZ7-PV05-T1C6-005</t>
  </si>
  <si>
    <t>AZ7-PV04-T1C6-006</t>
  </si>
  <si>
    <t>AZ7-PV05-T1C6-001</t>
  </si>
  <si>
    <t>AZ7-PV04-T3C5-001</t>
  </si>
  <si>
    <t>AZ7-PV04-T3C5-002</t>
  </si>
  <si>
    <t>AZ7-PV05-T3C4-001</t>
  </si>
  <si>
    <t>AZ7-PV05-T3C4-002</t>
  </si>
  <si>
    <t>AZ7-PV06-T1C1-001</t>
  </si>
  <si>
    <t>AZ7-PV06-T1C6-001</t>
  </si>
  <si>
    <t>AZ7-PV07-T1C6-006</t>
  </si>
  <si>
    <t>AZ7-PV06-T1C6-002</t>
  </si>
  <si>
    <t>AZ7-PV06-T1C6-003</t>
  </si>
  <si>
    <t>AZ7-PV06-T1C6-004</t>
  </si>
  <si>
    <t>AZ7-PV06-T1C6-005</t>
  </si>
  <si>
    <t>AZ7-PV07-T1C6-002</t>
  </si>
  <si>
    <t>AZ7-PV07-T1C6-003</t>
  </si>
  <si>
    <t>AZ7-PV07-T1C6-004</t>
  </si>
  <si>
    <t>AZ7-PV07-T1C6-005</t>
  </si>
  <si>
    <t>AZ7-PV06-T1C6-006</t>
  </si>
  <si>
    <t>AZ7-PV07-T1C6-001</t>
  </si>
  <si>
    <t>AZ7-PV06-T3C4-001</t>
  </si>
  <si>
    <t>AZ7-PV06-T3C4-002</t>
  </si>
  <si>
    <t>AZ7-PV07-T1C1-001</t>
  </si>
  <si>
    <t>AZ7-PV07-T3C4-001</t>
  </si>
  <si>
    <t>AZ7-PV07-T3C4-002</t>
  </si>
  <si>
    <t>AZ7-PV08-T1C6-001</t>
  </si>
  <si>
    <t>AZ7-PV09-T1C6-006</t>
  </si>
  <si>
    <t>AZ7-PV08-T1C6-002</t>
  </si>
  <si>
    <t>AZ7-PV08-T1C6-003</t>
  </si>
  <si>
    <t>AZ7-PV08-T1C6-004</t>
  </si>
  <si>
    <t>AZ7-PV08-T1C6-005</t>
  </si>
  <si>
    <t>AZ7-PV09-T1C6-002</t>
  </si>
  <si>
    <t>AZ7-PV09-T1C6-003</t>
  </si>
  <si>
    <t>AZ7-PV09-T1C6-004</t>
  </si>
  <si>
    <t>AZ7-PV09-T1C6-005</t>
  </si>
  <si>
    <t>AZ7-PV08-T1C6-006</t>
  </si>
  <si>
    <t>AZ7-PV09-T1C6-001</t>
  </si>
  <si>
    <t>AZ7-PV08-T3C4-001</t>
  </si>
  <si>
    <t>AZ7-PV08-T3C4-002</t>
  </si>
  <si>
    <t>AZ7-PV09-T1C1-001</t>
  </si>
  <si>
    <t>AZ7-PV09-T3C1-001</t>
  </si>
  <si>
    <t>AZ7-PV09-T3C1-002</t>
  </si>
  <si>
    <t>AZ7-PV09-T3C1-003</t>
  </si>
  <si>
    <t>AZ7-PV10-T1C13-001</t>
  </si>
  <si>
    <t>AZ7-PV10-T1C13-002</t>
  </si>
  <si>
    <t>AZ7-PV10-T1C13-003</t>
  </si>
  <si>
    <t>AZ7-PV10-T1C13-004</t>
  </si>
  <si>
    <t>AZ7-PV10-T1C13-005</t>
  </si>
  <si>
    <t>AZ7-PV10-T1C13-006</t>
  </si>
  <si>
    <t>AZ7-PV10-T3C1-001</t>
  </si>
  <si>
    <t>AZ7-PV10-T3C1-002</t>
  </si>
  <si>
    <t>AZ7-PV10-T3C1-003</t>
  </si>
  <si>
    <t>AZ7-PV11-T1C1-001</t>
  </si>
  <si>
    <t>AZ7-PV11-T1C13-001</t>
  </si>
  <si>
    <t>AZ7-PV11-T1C13-002</t>
  </si>
  <si>
    <t>AZ7-PV11-T1C13-003</t>
  </si>
  <si>
    <t>AZ7-PV11-T1C13-004</t>
  </si>
  <si>
    <t>AZ7-PV11-T1C13-005</t>
  </si>
  <si>
    <t>AZ7-PV11-T1C13-006</t>
  </si>
  <si>
    <t>AZ7-PV11-T3C4-001</t>
  </si>
  <si>
    <t>AZ7-PV11-T3C4-002</t>
  </si>
  <si>
    <t>AZ7-PV11-T3C4-003</t>
  </si>
  <si>
    <t>AZ7-PV11-T3C4-004</t>
  </si>
  <si>
    <t>AZ7-PV12-T1C6-001</t>
  </si>
  <si>
    <t>AZ7-PV13-T1C6-006</t>
  </si>
  <si>
    <t>AZ7-PV12-T1C6-002</t>
  </si>
  <si>
    <t>AZ7-PV12-T1C6-003</t>
  </si>
  <si>
    <t>AZ7-PV12-T1C6-004</t>
  </si>
  <si>
    <t>AZ7-PV12-T1C6-005</t>
  </si>
  <si>
    <t>AZ7-PV13-T1C6-002</t>
  </si>
  <si>
    <t>AZ7-PV13-T1C6-003</t>
  </si>
  <si>
    <t>AZ7-PV13-T1C6-004</t>
  </si>
  <si>
    <t>AZ7-PV13-T1C6-005</t>
  </si>
  <si>
    <t>AZ7-PV12-T1C6-006</t>
  </si>
  <si>
    <t>AZ7-PV13-T1C6-001</t>
  </si>
  <si>
    <t>AZ7-PV12-T3C4-001</t>
  </si>
  <si>
    <t>AZ7-PV12-T3C4-002</t>
  </si>
  <si>
    <t>AZ7-PV13-T1C1-001</t>
  </si>
  <si>
    <t>AZ7-PV13-T3C4-001</t>
  </si>
  <si>
    <t>AZ7-PV13-T3C4-002</t>
  </si>
  <si>
    <t>AZ7-PV14-T1C6-001</t>
  </si>
  <si>
    <t>AZ7-PV15-T1C6-006</t>
  </si>
  <si>
    <t>AZ7-PV14-T1C6-002</t>
  </si>
  <si>
    <t>AZ7-PV14-T1C6-003</t>
  </si>
  <si>
    <t>AZ7-PV14-T1C6-004</t>
  </si>
  <si>
    <t>AZ7-PV14-T1C6-005</t>
  </si>
  <si>
    <t>AZ7-PV15-T1C6-002</t>
  </si>
  <si>
    <t>AZ7-PV15-T1C6-003</t>
  </si>
  <si>
    <t>AZ7-PV15-T1C6-004</t>
  </si>
  <si>
    <t>AZ7-PV15-T1C6-005</t>
  </si>
  <si>
    <t>AZ7-PV14-T1C6-006</t>
  </si>
  <si>
    <t>AZ7-PV15-T1C6-001</t>
  </si>
  <si>
    <t>AZ7-PV14-T3C4-001</t>
  </si>
  <si>
    <t>AZ7-PV14-T3C4-002</t>
  </si>
  <si>
    <t>AZ7-PV15-T1C1-001</t>
  </si>
  <si>
    <t>AZ7-PV15-T3C4-001</t>
  </si>
  <si>
    <t>AZ7-PV15-T3C4-002</t>
  </si>
  <si>
    <t>AZ7-PV16-T1C13-001</t>
  </si>
  <si>
    <t>AZ7-PV16-T1C13-002</t>
  </si>
  <si>
    <t>AZ7-PV16-T1C13-003</t>
  </si>
  <si>
    <t>AZ7-PV16-T1C13-004</t>
  </si>
  <si>
    <t>AZ7-PV16-T1C13-005</t>
  </si>
  <si>
    <t>AZ7-PV16-T1C13-006</t>
  </si>
  <si>
    <t>AZ7-PV16-T3C4-001</t>
  </si>
  <si>
    <t>AZ7-PV16-T3C4-002</t>
  </si>
  <si>
    <t>AZ8-PV37-T1C13-001</t>
  </si>
  <si>
    <t>AZ8</t>
  </si>
  <si>
    <t>AZ8-PV37-T1C13-002</t>
  </si>
  <si>
    <t>AZ8-PV37-T1C13-003</t>
  </si>
  <si>
    <t>AZ8-PV37-T1C13-004</t>
  </si>
  <si>
    <t>AZ8-PV37-T1C13-005</t>
  </si>
  <si>
    <t>AZ8-PV37-T1C13-006</t>
  </si>
  <si>
    <t>AZ8-PV37-T2C1-001</t>
  </si>
  <si>
    <t>AZ8-PV39-T2C1-001</t>
  </si>
  <si>
    <t>AZ8-PV41-T2C1-001</t>
  </si>
  <si>
    <t>AZ8-PV37-T3C4-001</t>
  </si>
  <si>
    <t>AZ8-PV37-T3C4-002</t>
  </si>
  <si>
    <t>AZ8-PV38-T1C1-001</t>
  </si>
  <si>
    <t>AZ8-PV38-T1C6-001</t>
  </si>
  <si>
    <t>AZ8-PV39-T1C6-006</t>
  </si>
  <si>
    <t>AZ8-PV38-T1C6-002</t>
  </si>
  <si>
    <t>AZ8-PV38-T1C6-003</t>
  </si>
  <si>
    <t>AZ8-PV38-T1C6-004</t>
  </si>
  <si>
    <t>AZ8-PV38-T1C6-005</t>
  </si>
  <si>
    <t>AZ8-PV39-T1C6-002</t>
  </si>
  <si>
    <t>AZ8-PV39-T1C6-003</t>
  </si>
  <si>
    <t>AZ8-PV39-T1C6-004</t>
  </si>
  <si>
    <t>AZ8-PV39-T1C6-005</t>
  </si>
  <si>
    <t>AZ8-PV38-T1C6-006</t>
  </si>
  <si>
    <t>AZ8-PV39-T1C6-001</t>
  </si>
  <si>
    <t>AZ8-PV38-T3C4-001</t>
  </si>
  <si>
    <t>AZ8-PV38-T3C5-002</t>
  </si>
  <si>
    <t>AZ8-PV39-T3C4-001</t>
  </si>
  <si>
    <t>AZ8-PV39-T3C4-002</t>
  </si>
  <si>
    <t>AZ8-PV40-T1C1-001</t>
  </si>
  <si>
    <t>AZ8-PV40-T1C6-001</t>
  </si>
  <si>
    <t>AZ8-PV41-T1C6-006</t>
  </si>
  <si>
    <t>AZ8-PV40-T1C6-002</t>
  </si>
  <si>
    <t>AZ8-PV40-T1C6-003</t>
  </si>
  <si>
    <t>AZ8-PV40-T1C6-004</t>
  </si>
  <si>
    <t>AZ8-PV40-T1C6-005</t>
  </si>
  <si>
    <t>AZ8-PV41-T1C6-002</t>
  </si>
  <si>
    <t>AZ8-PV41-T1C6-003</t>
  </si>
  <si>
    <t>AZ8-PV41-T1C6-004</t>
  </si>
  <si>
    <t>AZ8-PV41-T1C6-005</t>
  </si>
  <si>
    <t>AZ8-PV40-T1C6-006</t>
  </si>
  <si>
    <t>AZ8-PV41-T1C6-001</t>
  </si>
  <si>
    <t>AZ8-PV40-T3C5-001</t>
  </si>
  <si>
    <t>AZ8-PV40-T3C5-002</t>
  </si>
  <si>
    <t>AZ8-PV41-T3C5-001</t>
  </si>
  <si>
    <t>AZ8-PV41-T3C5-002</t>
  </si>
  <si>
    <t>AZ8-PV42-T1C2-001</t>
  </si>
  <si>
    <t>AZ8-PV42-T1C6-001</t>
  </si>
  <si>
    <t>AZ8-PV43-T1C6-006</t>
  </si>
  <si>
    <t>AZ8-PV42-T1C6-002</t>
  </si>
  <si>
    <t>AZ8-PV42-T1C6-003</t>
  </si>
  <si>
    <t>AZ8-PV42-T1C6-004</t>
  </si>
  <si>
    <t>AZ8-PV42-T1C6-005</t>
  </si>
  <si>
    <t>AZ8-PV43-T1C6-002</t>
  </si>
  <si>
    <t>AZ8-PV43-T1C6-003</t>
  </si>
  <si>
    <t>AZ8-PV43-T1C6-004</t>
  </si>
  <si>
    <t>AZ8-PV43-T1C6-005</t>
  </si>
  <si>
    <t>AZ8-PV42-T1C6-006</t>
  </si>
  <si>
    <t>AZ8-PV43-T1C6-001</t>
  </si>
  <si>
    <t>AZ8-PV42-T3C5-001</t>
  </si>
  <si>
    <t>AZ8-PV42-T3C5-002</t>
  </si>
  <si>
    <t>AZ8-PV43-T2C3-001</t>
  </si>
  <si>
    <t>AZ8-PV43-T3C4-001</t>
  </si>
  <si>
    <t>AZ8-PV43-T3C4-002</t>
  </si>
  <si>
    <t>AZ8-PV44-T1C1-001</t>
  </si>
  <si>
    <t>AZ8-PV44-T1C1-002</t>
  </si>
  <si>
    <t>AZ8-PV44-T1C1-003</t>
  </si>
  <si>
    <t>AZ8-PV44-T1C1-004</t>
  </si>
  <si>
    <t>AZ8-PV44-T1C1-005</t>
  </si>
  <si>
    <t>AZ8-PV44-T1C1-006</t>
  </si>
  <si>
    <t>AZ8-PV44-T1C1-007</t>
  </si>
  <si>
    <t>AZ8-PV44-T1C1-008</t>
  </si>
  <si>
    <t>AZ8-PV44-T1C10-001</t>
  </si>
  <si>
    <t>AZ8-PV44-T1C10-002</t>
  </si>
  <si>
    <t>AZ8-PV44-T3C4-001</t>
  </si>
  <si>
    <t>PV01</t>
  </si>
  <si>
    <t>PV03</t>
  </si>
  <si>
    <t>PV05</t>
  </si>
  <si>
    <t>PV07</t>
  </si>
  <si>
    <t>PV09</t>
  </si>
  <si>
    <t>PV011</t>
  </si>
  <si>
    <t>PV013</t>
  </si>
  <si>
    <t>PV015</t>
  </si>
  <si>
    <t>PV02</t>
  </si>
  <si>
    <t>PV04</t>
  </si>
  <si>
    <t>PV06</t>
  </si>
  <si>
    <t>PV08</t>
  </si>
  <si>
    <t>PV10</t>
  </si>
  <si>
    <t>PV11</t>
  </si>
  <si>
    <t>PV12</t>
  </si>
  <si>
    <t>PV13</t>
  </si>
  <si>
    <t>PV14</t>
  </si>
  <si>
    <t>PV15</t>
  </si>
  <si>
    <t>PV16</t>
  </si>
  <si>
    <t>Planning check</t>
  </si>
  <si>
    <t>1000*900*25</t>
  </si>
  <si>
    <t>1600*1700*250</t>
  </si>
  <si>
    <t>AZ4-V01-T1C19-001</t>
  </si>
  <si>
    <t>V01</t>
  </si>
  <si>
    <t>3060*1300*300</t>
  </si>
  <si>
    <t>01</t>
  </si>
  <si>
    <t>New element add</t>
  </si>
  <si>
    <t>AZ4-V01-T1C19-002</t>
  </si>
  <si>
    <t>AZ4-V01-T1C19-003</t>
  </si>
  <si>
    <t>AZ4-V01-T1C19-004</t>
  </si>
  <si>
    <t>AZ4-V01-T1C19-005</t>
  </si>
  <si>
    <t>AZ4-V01-T1C19-006</t>
  </si>
  <si>
    <t>2060*1300*300</t>
  </si>
  <si>
    <t>AZ4-V01-T1C19-007</t>
  </si>
  <si>
    <t>2681*1300*300</t>
  </si>
  <si>
    <t>AZ4-V02-T1C19-001</t>
  </si>
  <si>
    <t>1289*1300*300</t>
  </si>
  <si>
    <t>1400*1000*250</t>
  </si>
  <si>
    <t>SPBM-05838</t>
  </si>
  <si>
    <t>AZ8-PV45-T2C3-001</t>
  </si>
  <si>
    <t>AZ8-PV45-T1C19-001</t>
  </si>
  <si>
    <t>AZ8-PV45-T1C2-001</t>
  </si>
  <si>
    <t>AZ8-PV45-T1C2-002</t>
  </si>
  <si>
    <t>AZ8-PV45-T1C19-002</t>
  </si>
  <si>
    <t>AZ8-PV45-T1C19-003</t>
  </si>
  <si>
    <t>AZ8-PV45-T1C2-003</t>
  </si>
  <si>
    <t>AZ8-PV45-T1C19-004</t>
  </si>
  <si>
    <t>AZ8-PV46-T1C2-001</t>
  </si>
  <si>
    <t>AZ8-PV44-T1C7-001</t>
  </si>
  <si>
    <t>PV44</t>
  </si>
  <si>
    <t>2000*1400*250</t>
  </si>
  <si>
    <t>AZ8-PV44-T1C7-002</t>
  </si>
  <si>
    <t>AZ8-PV44-T1C7-003</t>
  </si>
  <si>
    <t>AZ8-PV44-T1C7-004</t>
  </si>
  <si>
    <t>AZ8-PV44-T1C7-005</t>
  </si>
  <si>
    <t>AZ8-PV44-T1C7-006</t>
  </si>
  <si>
    <t>PV45</t>
  </si>
  <si>
    <t>AZ8-PV45-T1C3-001</t>
  </si>
  <si>
    <t>AZ8-PV45-T1C3-002</t>
  </si>
  <si>
    <t>AZ8-PV45-T1C3-003</t>
  </si>
  <si>
    <t>AZ8-PV45-T1C3-004</t>
  </si>
  <si>
    <t>AZ8-PV45-T1C7-001</t>
  </si>
  <si>
    <t>AZ8-PV45-T1C7-002</t>
  </si>
  <si>
    <t>AZ8-PV45-T1C7-003</t>
  </si>
  <si>
    <t>AZ8-PV45-T1C7-004</t>
  </si>
  <si>
    <t>AZ8-PV45-T1C7-005</t>
  </si>
  <si>
    <t>AZ8-PV45-T1C7-006</t>
  </si>
  <si>
    <t>AZ8-PV45-T1C11-001</t>
  </si>
  <si>
    <t>AZ8-PV45-T1C11-002</t>
  </si>
  <si>
    <t>3477*1300*300</t>
  </si>
  <si>
    <t>AZ8-PV45-T1C19-005</t>
  </si>
  <si>
    <t>AZ8-PV45-T1C19-006</t>
  </si>
  <si>
    <t>AZ8-PV45-T1C19-007</t>
  </si>
  <si>
    <t>AZ8-PV45-T1C19-008</t>
  </si>
  <si>
    <t>AZ8-PV45-T1C19-009</t>
  </si>
  <si>
    <t>AZ8-PV45-T3C2-002</t>
  </si>
  <si>
    <t>AZ8-PV45-T3C3-001</t>
  </si>
  <si>
    <t>PV46</t>
  </si>
  <si>
    <t>AZ8-PV46-T3C5-001</t>
  </si>
  <si>
    <t>AZ8-PV46-T3C5-002</t>
  </si>
  <si>
    <t>2000*950*250</t>
  </si>
  <si>
    <t>AZ4-V01-T1C19-008</t>
  </si>
  <si>
    <t>4038*1300*300</t>
  </si>
  <si>
    <t>AZ4-V01-T1C19-009</t>
  </si>
  <si>
    <t>4035*1300*300</t>
  </si>
  <si>
    <t>AZ4-V02-T1C6-002</t>
  </si>
  <si>
    <t>V02</t>
  </si>
  <si>
    <t>AZ4-V03-T1C6-002</t>
  </si>
  <si>
    <t>AZ4-V02-T1C6-003</t>
  </si>
  <si>
    <t>AZ4-V03-T1C6-003</t>
  </si>
  <si>
    <t>AZ4-V02-T1C6-004</t>
  </si>
  <si>
    <t>AZ4-V03-T1C6-004</t>
  </si>
  <si>
    <t>AZ4-V02-T1C6-005</t>
  </si>
  <si>
    <t>AZ4-V03-T1C6-005</t>
  </si>
  <si>
    <t>AZ4-V02-T1C6-006</t>
  </si>
  <si>
    <t>AZ4-V02-T1C7-001</t>
  </si>
  <si>
    <t>AZ4-V02-T2C1-001</t>
  </si>
  <si>
    <t>SCF</t>
  </si>
  <si>
    <t>AZ4-V02-T3C2-001</t>
  </si>
  <si>
    <t>AZ4-V02-T3C2-002</t>
  </si>
  <si>
    <t>AZ4-V02-T3C3-001</t>
  </si>
  <si>
    <t>AZ4-V03-T1C6-006</t>
  </si>
  <si>
    <t>AZ4-V03-T1C7-001</t>
  </si>
  <si>
    <t>AZ4-V03-T3C4-001</t>
  </si>
  <si>
    <t>SPBM-05877</t>
  </si>
  <si>
    <t>SPBM-05935</t>
  </si>
  <si>
    <t>SPBM-05981</t>
  </si>
  <si>
    <t>SPBM-06147</t>
  </si>
  <si>
    <t>SPBM-06222</t>
  </si>
  <si>
    <t>SPBM-06226</t>
  </si>
  <si>
    <t>SPBM-06247</t>
  </si>
  <si>
    <t>SPBM-06258</t>
  </si>
  <si>
    <t>SPBM-06290</t>
  </si>
  <si>
    <t>SPBM-06434</t>
  </si>
  <si>
    <t>SPBM-06456</t>
  </si>
  <si>
    <t>SPBM-06490</t>
  </si>
  <si>
    <t>SPBM-06475</t>
  </si>
  <si>
    <t>RECAST</t>
  </si>
  <si>
    <t>SPBM-06783</t>
  </si>
  <si>
    <t>SPBM-06811</t>
  </si>
  <si>
    <t>SPBM-06802</t>
  </si>
  <si>
    <t>SPBM-06845</t>
  </si>
  <si>
    <t>SPBM-06835</t>
  </si>
  <si>
    <t>SPBM-06846</t>
  </si>
  <si>
    <t>SPBM-06819</t>
  </si>
  <si>
    <t>SPBM-06860</t>
  </si>
  <si>
    <t>SPBM-06865</t>
  </si>
  <si>
    <t>SPBM-06908</t>
  </si>
  <si>
    <t>SPBM-06905</t>
  </si>
  <si>
    <t>SPBM-06936</t>
  </si>
  <si>
    <t>SPBM-06951</t>
  </si>
  <si>
    <t>SPBM-07158</t>
  </si>
  <si>
    <t>SPBM-07153</t>
  </si>
  <si>
    <t>SPBM-07182</t>
  </si>
  <si>
    <t>SPBM-07167</t>
  </si>
  <si>
    <t>%Erect</t>
  </si>
  <si>
    <t>SPBM-07624</t>
  </si>
  <si>
    <t>SPBM-07778</t>
  </si>
  <si>
    <t>SPBM-07757</t>
  </si>
  <si>
    <t>SPBM-07750</t>
  </si>
  <si>
    <t>SPBM-07796</t>
  </si>
  <si>
    <t>SPBM-08089</t>
  </si>
  <si>
    <t>SPBM-08073</t>
  </si>
  <si>
    <t>SPBM-08074</t>
  </si>
  <si>
    <t>SPBM-08079</t>
  </si>
  <si>
    <t>SPBM-08072</t>
  </si>
  <si>
    <t>SPBM-08063</t>
  </si>
  <si>
    <t>SPBM-08061</t>
  </si>
  <si>
    <t>PV37</t>
  </si>
  <si>
    <t>PV39</t>
  </si>
  <si>
    <t>PV41</t>
  </si>
  <si>
    <t>PV38</t>
  </si>
  <si>
    <t>PV40</t>
  </si>
  <si>
    <t>PV42</t>
  </si>
  <si>
    <t>PV43</t>
  </si>
  <si>
    <t>SPBM-07609</t>
  </si>
  <si>
    <t>SPBM-08096</t>
  </si>
  <si>
    <t>SPBM-08099 A</t>
  </si>
  <si>
    <t>SPBM-08182</t>
  </si>
  <si>
    <t>SPBM-08160</t>
  </si>
  <si>
    <t>SPBM-08140</t>
  </si>
  <si>
    <t>SPBM-08196</t>
  </si>
  <si>
    <t>SPBM-08271</t>
  </si>
  <si>
    <t>SPBM-08260</t>
  </si>
  <si>
    <t>SPBM-08262</t>
  </si>
  <si>
    <t>Delivery note to be checked</t>
  </si>
  <si>
    <t>SPBM-08291</t>
  </si>
  <si>
    <t>SPBM-08289</t>
  </si>
  <si>
    <t>SPBM-08285</t>
  </si>
  <si>
    <t>SPBM-08281</t>
  </si>
  <si>
    <t>SPBM-08282</t>
  </si>
  <si>
    <t>SPBM-08275</t>
  </si>
  <si>
    <t>SPBM-08325</t>
  </si>
  <si>
    <t>SPBM-08318</t>
  </si>
  <si>
    <t>SPBM-08309</t>
  </si>
  <si>
    <t>SPBM-08308</t>
  </si>
  <si>
    <t>SPBM-08313</t>
  </si>
  <si>
    <t>SPBM-08304</t>
  </si>
  <si>
    <t>RECAST NCR#168</t>
  </si>
  <si>
    <t>SPBM-08364</t>
  </si>
  <si>
    <t>SPBM-08361</t>
  </si>
  <si>
    <t>SPBM-08357</t>
  </si>
  <si>
    <t>SPBM-08352</t>
  </si>
  <si>
    <t>SPBM-08354</t>
  </si>
  <si>
    <t>SPBM-08353</t>
  </si>
  <si>
    <t>SPBM-08346</t>
  </si>
  <si>
    <t>SPBM-08409</t>
  </si>
  <si>
    <t>SPBM-08398</t>
  </si>
  <si>
    <t>SPBM-08396</t>
  </si>
  <si>
    <t>SPBM-08376</t>
  </si>
  <si>
    <t>RECAST NCR#170</t>
  </si>
  <si>
    <t>SPBM-08459</t>
  </si>
  <si>
    <t>SPBM-08458</t>
  </si>
  <si>
    <t>SPBM-08435</t>
  </si>
  <si>
    <t>SPBM-08504</t>
  </si>
  <si>
    <t>SPBM-08512</t>
  </si>
  <si>
    <t>SPBM-08517</t>
  </si>
  <si>
    <t>SPBM-08561</t>
  </si>
  <si>
    <t>SPBM-08559</t>
  </si>
  <si>
    <t>SPBM-08547</t>
  </si>
  <si>
    <t>SPBM-08520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</si>
</sst>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;@"/>
    <numFmt numFmtId="166" formatCode="[$-409]dd\-mmm\-yy;@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1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6"/>
      <color theme="1"/>
      <name val="Calibri"/>
      <family val="2"/>
    </font>
    <font>
      <sz val="11"/>
      <color rgb="FF000000"/>
      <name val="Aptos Narrow"/>
      <family val="2"/>
    </font>
    <font>
      <sz val="10"/>
      <color indexed="8"/>
      <name val="Arial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1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FF0000"/>
      </top>
      <bottom style="thin">
        <color theme="0" tint="-0.34998626667073579"/>
      </bottom>
      <diagonal/>
    </border>
    <border>
      <left style="thin">
        <color rgb="FFFF0000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rgb="FFFF0000"/>
      </left>
      <right style="thin">
        <color theme="0" tint="-0.34998626667073579"/>
      </right>
      <top style="thin">
        <color rgb="FFFF0000"/>
      </top>
      <bottom style="thin">
        <color theme="0" tint="-0.34998626667073579"/>
      </bottom>
      <diagonal/>
    </border>
    <border>
      <left style="thin">
        <color rgb="FFFF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0000"/>
      </left>
      <right style="thin">
        <color theme="0" tint="-0.34998626667073579"/>
      </right>
      <top style="thin">
        <color theme="0" tint="-0.34998626667073579"/>
      </top>
      <bottom style="thin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rgb="FFFF0000"/>
      </bottom>
      <diagonal/>
    </border>
    <border>
      <left style="thin">
        <color theme="0" tint="-0.24994659260841701"/>
      </left>
      <right style="thin">
        <color rgb="FFFF0000"/>
      </right>
      <top style="thin">
        <color theme="0" tint="-0.2499465926084170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theme="2" tint="-9.9765007477034817E-2"/>
      </left>
      <right style="thin">
        <color theme="2" tint="-9.9765007477034817E-2"/>
      </right>
      <top style="thin">
        <color theme="2" tint="-9.9795525986510814E-2"/>
      </top>
      <bottom style="thin">
        <color theme="2" tint="-9.9765007477034817E-2"/>
      </bottom>
      <diagonal/>
    </border>
    <border>
      <left style="thin">
        <color theme="2" tint="-9.9765007477034817E-2"/>
      </left>
      <right style="thin">
        <color theme="2" tint="-9.9765007477034817E-2"/>
      </right>
      <top style="thin">
        <color theme="2" tint="-9.9765007477034817E-2"/>
      </top>
      <bottom style="thin">
        <color theme="2" tint="-9.9765007477034817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18" fillId="0" borderId="0">
      <alignment vertical="top"/>
    </xf>
    <xf numFmtId="0" fontId="19" fillId="0" borderId="0"/>
    <xf numFmtId="0" fontId="7" fillId="0" borderId="0"/>
  </cellStyleXfs>
  <cellXfs count="24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5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7" xfId="0" applyNumberFormat="1" applyBorder="1" applyAlignment="1">
      <alignment vertical="center"/>
    </xf>
    <xf numFmtId="15" fontId="5" fillId="0" borderId="1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5" fontId="0" fillId="0" borderId="19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5" fontId="0" fillId="0" borderId="24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5" fontId="5" fillId="2" borderId="9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quotePrefix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quotePrefix="1" applyFont="1" applyFill="1" applyBorder="1" applyAlignment="1">
      <alignment horizontal="center" vertical="center"/>
    </xf>
    <xf numFmtId="15" fontId="5" fillId="2" borderId="14" xfId="0" applyNumberFormat="1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/>
    </xf>
    <xf numFmtId="15" fontId="5" fillId="2" borderId="17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/>
    <xf numFmtId="15" fontId="5" fillId="2" borderId="24" xfId="0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quotePrefix="1" applyFont="1" applyFill="1" applyBorder="1" applyAlignment="1">
      <alignment horizontal="center" vertical="center"/>
    </xf>
    <xf numFmtId="1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5" fontId="5" fillId="6" borderId="1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5" fontId="0" fillId="2" borderId="17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quotePrefix="1" applyFill="1" applyBorder="1" applyAlignment="1">
      <alignment horizontal="center" vertical="center"/>
    </xf>
    <xf numFmtId="15" fontId="0" fillId="2" borderId="9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15" fontId="0" fillId="2" borderId="24" xfId="0" applyNumberFormat="1" applyFill="1" applyBorder="1" applyAlignment="1">
      <alignment vertical="center"/>
    </xf>
    <xf numFmtId="0" fontId="0" fillId="2" borderId="2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15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3" xfId="0" quotePrefix="1" applyFill="1" applyBorder="1" applyAlignment="1">
      <alignment horizontal="center" vertical="center"/>
    </xf>
    <xf numFmtId="15" fontId="0" fillId="2" borderId="23" xfId="0" applyNumberForma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15" fontId="5" fillId="8" borderId="1" xfId="0" applyNumberFormat="1" applyFont="1" applyFill="1" applyBorder="1" applyAlignment="1">
      <alignment horizontal="center" vertical="center"/>
    </xf>
    <xf numFmtId="15" fontId="5" fillId="8" borderId="9" xfId="0" applyNumberFormat="1" applyFont="1" applyFill="1" applyBorder="1" applyAlignment="1">
      <alignment horizontal="center" vertical="center"/>
    </xf>
    <xf numFmtId="15" fontId="5" fillId="6" borderId="9" xfId="0" applyNumberFormat="1" applyFont="1" applyFill="1" applyBorder="1" applyAlignment="1">
      <alignment horizontal="center" vertical="center"/>
    </xf>
    <xf numFmtId="15" fontId="5" fillId="0" borderId="0" xfId="0" applyNumberFormat="1" applyFont="1"/>
    <xf numFmtId="0" fontId="1" fillId="0" borderId="8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12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center"/>
    </xf>
    <xf numFmtId="15" fontId="0" fillId="0" borderId="0" xfId="0" applyNumberFormat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7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5" fontId="0" fillId="10" borderId="27" xfId="0" applyNumberFormat="1" applyFill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10" borderId="26" xfId="0" applyFill="1" applyBorder="1" applyAlignment="1">
      <alignment horizontal="center"/>
    </xf>
    <xf numFmtId="165" fontId="0" fillId="10" borderId="0" xfId="0" applyNumberFormat="1" applyFill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9" fontId="0" fillId="2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16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9" borderId="26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top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9" borderId="26" xfId="0" applyFont="1" applyFill="1" applyBorder="1" applyAlignment="1">
      <alignment vertical="center" wrapText="1"/>
    </xf>
    <xf numFmtId="0" fontId="0" fillId="15" borderId="0" xfId="0" applyFill="1" applyAlignment="1">
      <alignment horizontal="center" vertical="center"/>
    </xf>
    <xf numFmtId="15" fontId="0" fillId="0" borderId="0" xfId="0" applyNumberFormat="1"/>
    <xf numFmtId="15" fontId="0" fillId="10" borderId="0" xfId="0" applyNumberFormat="1" applyFill="1" applyAlignment="1">
      <alignment horizontal="center"/>
    </xf>
    <xf numFmtId="15" fontId="0" fillId="0" borderId="27" xfId="0" applyNumberFormat="1" applyBorder="1" applyAlignment="1">
      <alignment horizontal="center"/>
    </xf>
    <xf numFmtId="0" fontId="12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top"/>
    </xf>
    <xf numFmtId="0" fontId="0" fillId="0" borderId="30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0" xfId="0" applyFill="1" applyBorder="1" applyAlignment="1">
      <alignment horizontal="center" vertical="top"/>
    </xf>
    <xf numFmtId="0" fontId="0" fillId="0" borderId="29" xfId="0" applyBorder="1" applyAlignment="1">
      <alignment horizontal="center"/>
    </xf>
    <xf numFmtId="0" fontId="13" fillId="0" borderId="28" xfId="0" applyFont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1" fillId="9" borderId="35" xfId="0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vertical="center"/>
    </xf>
    <xf numFmtId="9" fontId="13" fillId="0" borderId="34" xfId="1" applyFont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 wrapText="1"/>
    </xf>
    <xf numFmtId="9" fontId="12" fillId="0" borderId="34" xfId="1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9" fontId="13" fillId="0" borderId="43" xfId="1" applyFont="1" applyBorder="1" applyAlignment="1">
      <alignment horizontal="center" vertical="center"/>
    </xf>
    <xf numFmtId="9" fontId="12" fillId="0" borderId="43" xfId="1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5" fillId="13" borderId="47" xfId="0" applyFont="1" applyFill="1" applyBorder="1" applyAlignment="1">
      <alignment horizontal="center" vertical="center"/>
    </xf>
    <xf numFmtId="0" fontId="15" fillId="13" borderId="48" xfId="0" applyFont="1" applyFill="1" applyBorder="1" applyAlignment="1">
      <alignment horizontal="center" vertical="center"/>
    </xf>
    <xf numFmtId="0" fontId="15" fillId="13" borderId="49" xfId="0" applyFont="1" applyFill="1" applyBorder="1" applyAlignment="1">
      <alignment horizontal="center" vertical="center"/>
    </xf>
    <xf numFmtId="9" fontId="15" fillId="13" borderId="50" xfId="1" applyFont="1" applyFill="1" applyBorder="1" applyAlignment="1">
      <alignment horizontal="center" vertical="center"/>
    </xf>
    <xf numFmtId="0" fontId="15" fillId="13" borderId="51" xfId="0" applyFont="1" applyFill="1" applyBorder="1" applyAlignment="1">
      <alignment horizontal="center" vertical="center"/>
    </xf>
    <xf numFmtId="9" fontId="14" fillId="13" borderId="47" xfId="1" applyFont="1" applyFill="1" applyBorder="1" applyAlignment="1">
      <alignment horizontal="center" vertical="center"/>
    </xf>
    <xf numFmtId="9" fontId="14" fillId="13" borderId="50" xfId="1" applyFont="1" applyFill="1" applyBorder="1" applyAlignment="1">
      <alignment horizontal="center" vertical="center"/>
    </xf>
    <xf numFmtId="0" fontId="4" fillId="13" borderId="52" xfId="0" applyFont="1" applyFill="1" applyBorder="1" applyAlignment="1">
      <alignment horizontal="center" vertical="center"/>
    </xf>
    <xf numFmtId="0" fontId="11" fillId="9" borderId="35" xfId="0" applyFont="1" applyFill="1" applyBorder="1" applyAlignment="1">
      <alignment horizontal="center" vertical="center"/>
    </xf>
    <xf numFmtId="0" fontId="11" fillId="9" borderId="53" xfId="0" applyFont="1" applyFill="1" applyBorder="1" applyAlignment="1">
      <alignment horizontal="center" vertical="center"/>
    </xf>
    <xf numFmtId="0" fontId="11" fillId="15" borderId="54" xfId="0" applyFont="1" applyFill="1" applyBorder="1" applyAlignment="1">
      <alignment horizontal="center" vertical="center" wrapText="1"/>
    </xf>
    <xf numFmtId="0" fontId="8" fillId="9" borderId="37" xfId="0" applyFont="1" applyFill="1" applyBorder="1" applyAlignment="1">
      <alignment horizontal="center" vertical="center"/>
    </xf>
    <xf numFmtId="0" fontId="10" fillId="12" borderId="45" xfId="0" applyFont="1" applyFill="1" applyBorder="1" applyAlignment="1">
      <alignment vertical="center"/>
    </xf>
    <xf numFmtId="0" fontId="10" fillId="12" borderId="46" xfId="0" applyFont="1" applyFill="1" applyBorder="1" applyAlignment="1">
      <alignment vertical="center"/>
    </xf>
    <xf numFmtId="0" fontId="10" fillId="12" borderId="52" xfId="0" applyFont="1" applyFill="1" applyBorder="1" applyAlignment="1">
      <alignment vertical="center"/>
    </xf>
    <xf numFmtId="0" fontId="0" fillId="0" borderId="55" xfId="0" applyBorder="1" applyAlignment="1">
      <alignment horizontal="center"/>
    </xf>
    <xf numFmtId="0" fontId="0" fillId="0" borderId="55" xfId="0" applyBorder="1" applyAlignment="1">
      <alignment horizontal="center" vertical="top"/>
    </xf>
    <xf numFmtId="0" fontId="0" fillId="0" borderId="56" xfId="0" applyBorder="1" applyAlignment="1">
      <alignment horizontal="center"/>
    </xf>
    <xf numFmtId="0" fontId="0" fillId="0" borderId="56" xfId="0" applyBorder="1" applyAlignment="1">
      <alignment horizontal="center" vertical="top"/>
    </xf>
    <xf numFmtId="0" fontId="0" fillId="0" borderId="57" xfId="0" applyBorder="1" applyAlignment="1">
      <alignment horizontal="center" vertical="top"/>
    </xf>
    <xf numFmtId="0" fontId="0" fillId="0" borderId="57" xfId="0" applyBorder="1" applyAlignment="1">
      <alignment horizontal="center"/>
    </xf>
    <xf numFmtId="0" fontId="23" fillId="0" borderId="0" xfId="0" applyFont="1" applyAlignment="1">
      <alignment horizontal="center"/>
    </xf>
    <xf numFmtId="0" fontId="23" fillId="14" borderId="0" xfId="0" applyFont="1" applyFill="1" applyAlignment="1">
      <alignment horizontal="center"/>
    </xf>
    <xf numFmtId="0" fontId="23" fillId="0" borderId="0" xfId="0" applyFont="1"/>
    <xf numFmtId="0" fontId="0" fillId="17" borderId="26" xfId="0" applyFill="1" applyBorder="1" applyAlignment="1">
      <alignment horizontal="center"/>
    </xf>
    <xf numFmtId="0" fontId="24" fillId="0" borderId="58" xfId="0" applyFont="1" applyBorder="1" applyAlignment="1">
      <alignment horizontal="center"/>
    </xf>
    <xf numFmtId="15" fontId="16" fillId="10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</cellXfs>
  <cellStyles count="5">
    <cellStyle name="Normal" xfId="0" builtinId="0"/>
    <cellStyle name="Normal 2" xfId="2" xr:uid="{BDA5B536-B515-443D-B2B9-0A8395AD0F8E}"/>
    <cellStyle name="Normal 3" xfId="4" xr:uid="{11824746-0728-44EE-AFF1-57E4B68307FF}"/>
    <cellStyle name="Normal 38" xfId="3" xr:uid="{2A67C584-EF57-4DA5-8B0D-FDF87C787CFE}"/>
    <cellStyle name="Percent" xfId="1" builtinId="5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\-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7" formatCode="\-\-"/>
    </dxf>
    <dxf>
      <numFmt numFmtId="167" formatCode="\-\-"/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  <dxf>
      <numFmt numFmtId="168" formatCode="dd\-mmm\-yy"/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8" formatCode="dd\-mmm\-yy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dd\-mmm\-yy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8" formatCode="dd\-mmm\-yy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  <vertical/>
        <horizontal/>
      </border>
    </dxf>
    <dxf>
      <numFmt numFmtId="168" formatCode="dd\-mmm\-yy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374886.jpg@C6951DD9.A469283B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53341</xdr:rowOff>
    </xdr:from>
    <xdr:to>
      <xdr:col>2</xdr:col>
      <xdr:colOff>732693</xdr:colOff>
      <xdr:row>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E5A64-429F-4A6F-A2ED-C618AC386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1"/>
          <a:ext cx="1400908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B3929-ABB4-470A-97EC-814A4DC27A88}" name="P25010A3" displayName="P25010A3" ref="B1:AB827" totalsRowShown="0" headerRowDxfId="447">
  <autoFilter ref="B1:AB827" xr:uid="{195B3929-ABB4-470A-97EC-814A4DC27A88}"/>
  <tableColumns count="27">
    <tableColumn id="1" xr3:uid="{D4E07FF5-7F30-4A30-BC7B-D62804C22DB0}" name="SR.NO" dataDxfId="446"/>
    <tableColumn id="2" xr3:uid="{6320493C-272D-4CFB-B766-4625D9784BF3}" name="ELEMENT ID" dataDxfId="445"/>
    <tableColumn id="3" xr3:uid="{A09CAF17-1CAC-4B99-8B45-10CD924C4501}" name="ZONE" dataDxfId="444"/>
    <tableColumn id="4" xr3:uid="{10AAEDB7-CF91-4634-93EF-1FD00104C835}" name="VILLA" dataDxfId="443"/>
    <tableColumn id="5" xr3:uid="{BB9539B7-B8CD-42D2-9D47-21B800A68ECF}" name="WIDTH" dataDxfId="442"/>
    <tableColumn id="6" xr3:uid="{6DACD1D6-B86D-4EFF-A385-F67F1EE9830E}" name="HEIGHT" dataDxfId="441"/>
    <tableColumn id="7" xr3:uid="{6FBB75FB-0C68-4ACD-8238-AF9839DA85A5}" name="THK" dataDxfId="440"/>
    <tableColumn id="8" xr3:uid="{61240629-9765-48D0-B6EC-0A9427C58BD0}" name="TYPE" dataDxfId="439"/>
    <tableColumn id="9" xr3:uid="{F7C98B1B-CB10-4C7C-84BC-641491F8F6F7}" name="FOOTING SIZE" dataDxfId="438"/>
    <tableColumn id="10" xr3:uid="{752D774A-74B2-41CD-A8B2-6C087A3FC3B6}" name="COL LOCATION" dataDxfId="437"/>
    <tableColumn id="11" xr3:uid="{C003338D-5C97-435A-84D8-59610874458E}" name="DIST.NO" dataDxfId="436"/>
    <tableColumn id="12" xr3:uid="{2D52F86C-8B5A-4E2B-B980-D7C0C2039F49}" name="DWG ISSUE DATE" dataDxfId="435"/>
    <tableColumn id="13" xr3:uid="{C46E6D8D-3E84-4379-A9D0-813027629E86}" name="REV" dataDxfId="434"/>
    <tableColumn id="14" xr3:uid="{087116A3-BE6A-47D6-AC88-4C2F2859C3C0}" name="REV DATE" dataDxfId="433"/>
    <tableColumn id="15" xr3:uid="{95906F5E-D536-47D5-968D-52378F7F1FDF}" name="VOL" dataDxfId="432"/>
    <tableColumn id="16" xr3:uid="{F0C5916F-6D5B-4ECF-BDF0-1CF48B3F22D7}" name="WT" dataDxfId="431"/>
    <tableColumn id="17" xr3:uid="{B8C7B473-ADE5-4EC3-87C6-994C71FE64B5}" name="SA-RECESS" dataDxfId="430"/>
    <tableColumn id="18" xr3:uid="{BF24E547-B1F6-4B49-9D53-78FFFEFFB4B1}" name="SB-RECESS" dataDxfId="429"/>
    <tableColumn id="19" xr3:uid="{27B3F406-8734-4C16-93FB-CD349087415D}" name="PLANNED DATE" dataDxfId="428"/>
    <tableColumn id="20" xr3:uid="{260587A5-9556-4903-AC9A-3F65502D6206}" name="CASTING DATE" dataDxfId="427"/>
    <tableColumn id="21" xr3:uid="{E9F59D98-9BF4-42BF-A057-5C70E601602F}" name="BAY" dataDxfId="426"/>
    <tableColumn id="22" xr3:uid="{B4F44A1C-A173-4E37-A9F4-453F764D42A9}" name="PALLET" dataDxfId="425"/>
    <tableColumn id="23" xr3:uid="{E583DCFD-B6F8-4EE8-A266-8808C002367E}" name="REMARK" dataDxfId="424"/>
    <tableColumn id="24" xr3:uid="{CE4FCD26-4613-490C-9FE6-F0FEE0AD73E6}" name="Column1" dataDxfId="423"/>
    <tableColumn id="25" xr3:uid="{CA008A8D-7AB8-4C51-8ABB-815116403893}" name="Column2" dataDxfId="422"/>
    <tableColumn id="26" xr3:uid="{D378490A-B52D-49D3-A9EC-9FBC41A57D6D}" name="Column3"/>
    <tableColumn id="27" xr3:uid="{7AC5D637-5A3F-4208-878B-75BB6F3D2991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1B64-0233-4CEB-BE79-28B5E5AE05D3}">
  <sheetPr>
    <pageSetUpPr fitToPage="1"/>
  </sheetPr>
  <dimension ref="A2:P15"/>
  <sheetViews>
    <sheetView zoomScale="115" zoomScaleNormal="115" workbookViewId="0">
      <pane xSplit="4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S6" sqref="S6"/>
    </sheetView>
  </sheetViews>
  <sheetFormatPr defaultRowHeight="15" x14ac:dyDescent="0.25"/>
  <cols>
    <col min="1" max="1" width="9.7109375" customWidth="1"/>
    <col min="2" max="2" width="11.7109375" customWidth="1"/>
    <col min="3" max="3" width="10.5703125" customWidth="1"/>
    <col min="4" max="4" width="10.7109375" customWidth="1"/>
    <col min="5" max="5" width="11.5703125" customWidth="1"/>
    <col min="6" max="6" width="10.7109375" hidden="1" customWidth="1"/>
    <col min="8" max="8" width="10.7109375" customWidth="1"/>
    <col min="9" max="9" width="10.7109375" hidden="1" customWidth="1"/>
    <col min="10" max="10" width="8.85546875" customWidth="1"/>
    <col min="11" max="11" width="10.7109375" hidden="1" customWidth="1"/>
    <col min="12" max="12" width="10.7109375" customWidth="1"/>
    <col min="13" max="13" width="10.7109375" hidden="1" customWidth="1"/>
    <col min="14" max="14" width="8.85546875" customWidth="1"/>
    <col min="15" max="15" width="14.28515625" customWidth="1"/>
    <col min="16" max="16" width="0" hidden="1" customWidth="1"/>
  </cols>
  <sheetData>
    <row r="2" spans="1:16" ht="21.6" customHeight="1" x14ac:dyDescent="0.25">
      <c r="M2" s="236" t="s">
        <v>1163</v>
      </c>
      <c r="N2" s="235">
        <v>46149</v>
      </c>
      <c r="O2" s="235"/>
    </row>
    <row r="3" spans="1:16" ht="15" customHeight="1" thickBot="1" x14ac:dyDescent="0.3">
      <c r="M3" s="236"/>
      <c r="N3" s="235"/>
      <c r="O3" s="235"/>
    </row>
    <row r="4" spans="1:16" ht="24" thickBot="1" x14ac:dyDescent="0.3">
      <c r="A4" s="221" t="s">
        <v>1946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6" ht="60" customHeight="1" x14ac:dyDescent="0.25">
      <c r="A5" s="189" t="s">
        <v>1142</v>
      </c>
      <c r="B5" s="217" t="s">
        <v>1140</v>
      </c>
      <c r="C5" s="191" t="s">
        <v>1948</v>
      </c>
      <c r="D5" s="218" t="s">
        <v>1143</v>
      </c>
      <c r="E5" s="189" t="s">
        <v>1144</v>
      </c>
      <c r="F5" s="191" t="s">
        <v>1155</v>
      </c>
      <c r="G5" s="192" t="s">
        <v>1157</v>
      </c>
      <c r="H5" s="194" t="s">
        <v>1146</v>
      </c>
      <c r="I5" s="191" t="s">
        <v>1156</v>
      </c>
      <c r="J5" s="192" t="s">
        <v>1158</v>
      </c>
      <c r="K5" s="219" t="s">
        <v>1148</v>
      </c>
      <c r="L5" s="189" t="s">
        <v>1944</v>
      </c>
      <c r="M5" s="191" t="s">
        <v>1945</v>
      </c>
      <c r="N5" s="192" t="s">
        <v>2550</v>
      </c>
      <c r="O5" s="220" t="s">
        <v>1159</v>
      </c>
      <c r="P5" s="197" t="s">
        <v>1947</v>
      </c>
    </row>
    <row r="6" spans="1:16" ht="22.15" customHeight="1" x14ac:dyDescent="0.25">
      <c r="A6" s="198" t="s">
        <v>602</v>
      </c>
      <c r="B6" s="144" t="s">
        <v>1718</v>
      </c>
      <c r="C6" s="140">
        <v>28</v>
      </c>
      <c r="D6" s="188">
        <f>SUMIFS('Element wise-detail Summary'!$F:$F,'Element wise-detail Summary'!$D:$D,'Detail Summary'!$A6,'Element wise-detail Summary'!$C:$C,'Detail Summary'!$B6)</f>
        <v>28</v>
      </c>
      <c r="E6" s="190">
        <f>SUMIFS(Cast!$C:$C,Cast!$E:$E,$B6)</f>
        <v>28</v>
      </c>
      <c r="F6" s="140">
        <f t="shared" ref="F6:F14" si="0">D6-E6</f>
        <v>0</v>
      </c>
      <c r="G6" s="193">
        <f>E6/C6</f>
        <v>1</v>
      </c>
      <c r="H6" s="190">
        <f>SUMIFS(Del!$C:$C,Del!$E:$E,'Detail Summary'!$B6)</f>
        <v>28</v>
      </c>
      <c r="I6" s="140">
        <f t="shared" ref="I6:I14" si="1">D6-H6</f>
        <v>0</v>
      </c>
      <c r="J6" s="195">
        <f>H6/C6</f>
        <v>1</v>
      </c>
      <c r="K6" s="196">
        <f t="shared" ref="K6:K14" si="2">E6-H6</f>
        <v>0</v>
      </c>
      <c r="L6" s="190">
        <f>SUMIFS(Ere!$C:$C,Ere!$E:$E,'Detail Summary'!$B6)</f>
        <v>28</v>
      </c>
      <c r="M6" s="140">
        <f>D6-L6</f>
        <v>0</v>
      </c>
      <c r="N6" s="195">
        <f t="shared" ref="N6:N14" si="3">L6/C6</f>
        <v>1</v>
      </c>
      <c r="O6" s="199"/>
      <c r="P6" s="162">
        <v>1</v>
      </c>
    </row>
    <row r="7" spans="1:16" ht="22.15" customHeight="1" x14ac:dyDescent="0.25">
      <c r="A7" s="198" t="s">
        <v>602</v>
      </c>
      <c r="B7" s="144" t="s">
        <v>1693</v>
      </c>
      <c r="C7" s="140">
        <v>149</v>
      </c>
      <c r="D7" s="188">
        <f>SUMIFS('Element wise-detail Summary'!$F:$F,'Element wise-detail Summary'!$D:$D,'Detail Summary'!$A7,'Element wise-detail Summary'!$C:$C,'Detail Summary'!$B7)</f>
        <v>149</v>
      </c>
      <c r="E7" s="190">
        <f>SUMIFS(Cast!$C:$C,Cast!$E:$E,$B7)</f>
        <v>148</v>
      </c>
      <c r="F7" s="140">
        <f t="shared" si="0"/>
        <v>1</v>
      </c>
      <c r="G7" s="193">
        <f t="shared" ref="G7:G14" si="4">E7/C7</f>
        <v>0.99328859060402686</v>
      </c>
      <c r="H7" s="190">
        <f>SUMIFS(Del!$C:$C,Del!$E:$E,'Detail Summary'!$B7)</f>
        <v>145</v>
      </c>
      <c r="I7" s="140">
        <f t="shared" si="1"/>
        <v>4</v>
      </c>
      <c r="J7" s="195">
        <f t="shared" ref="J7:J14" si="5">H7/C7</f>
        <v>0.97315436241610742</v>
      </c>
      <c r="K7" s="196">
        <f t="shared" si="2"/>
        <v>3</v>
      </c>
      <c r="L7" s="190">
        <f>SUMIFS(Ere!$C:$C,Ere!$E:$E,'Detail Summary'!$B7)</f>
        <v>142</v>
      </c>
      <c r="M7" s="140">
        <f t="shared" ref="M7:M8" si="6">D7-L7</f>
        <v>7</v>
      </c>
      <c r="N7" s="195">
        <f t="shared" si="3"/>
        <v>0.95302013422818788</v>
      </c>
      <c r="O7" s="200"/>
      <c r="P7" s="162">
        <v>1</v>
      </c>
    </row>
    <row r="8" spans="1:16" ht="22.15" customHeight="1" x14ac:dyDescent="0.25">
      <c r="A8" s="198" t="s">
        <v>602</v>
      </c>
      <c r="B8" s="144" t="s">
        <v>1694</v>
      </c>
      <c r="C8" s="140">
        <v>73</v>
      </c>
      <c r="D8" s="188">
        <f>SUMIFS('Element wise-detail Summary'!$F:$F,'Element wise-detail Summary'!$D:$D,'Detail Summary'!$A8,'Element wise-detail Summary'!$C:$C,'Detail Summary'!$B8)</f>
        <v>73</v>
      </c>
      <c r="E8" s="190">
        <f>SUMIFS(Cast!$C:$C,Cast!$E:$E,$B8)</f>
        <v>73</v>
      </c>
      <c r="F8" s="140">
        <f t="shared" si="0"/>
        <v>0</v>
      </c>
      <c r="G8" s="193">
        <f t="shared" si="4"/>
        <v>1</v>
      </c>
      <c r="H8" s="190">
        <f>SUMIFS(Del!$C:$C,Del!$E:$E,'Detail Summary'!$B8)</f>
        <v>73</v>
      </c>
      <c r="I8" s="140">
        <f t="shared" si="1"/>
        <v>0</v>
      </c>
      <c r="J8" s="195">
        <f t="shared" si="5"/>
        <v>1</v>
      </c>
      <c r="K8" s="196">
        <f t="shared" si="2"/>
        <v>0</v>
      </c>
      <c r="L8" s="190">
        <f>SUMIFS(Ere!$C:$C,Ere!$E:$E,'Detail Summary'!$B8)</f>
        <v>72</v>
      </c>
      <c r="M8" s="140">
        <f t="shared" si="6"/>
        <v>1</v>
      </c>
      <c r="N8" s="195">
        <f t="shared" si="3"/>
        <v>0.98630136986301364</v>
      </c>
      <c r="O8" s="200"/>
      <c r="P8" s="162">
        <v>1</v>
      </c>
    </row>
    <row r="9" spans="1:16" ht="22.15" customHeight="1" x14ac:dyDescent="0.25">
      <c r="A9" s="198" t="s">
        <v>602</v>
      </c>
      <c r="B9" s="144" t="s">
        <v>1698</v>
      </c>
      <c r="C9" s="140">
        <v>158</v>
      </c>
      <c r="D9" s="188">
        <f>SUMIFS('Element wise-detail Summary'!$F:$F,'Element wise-detail Summary'!$D:$D,'Detail Summary'!$A9,'Element wise-detail Summary'!$C:$C,'Detail Summary'!$B9)</f>
        <v>158</v>
      </c>
      <c r="E9" s="190">
        <f>SUMIFS(Cast!$C:$C,Cast!$E:$E,$B9)</f>
        <v>158</v>
      </c>
      <c r="F9" s="140">
        <f t="shared" si="0"/>
        <v>0</v>
      </c>
      <c r="G9" s="193">
        <f t="shared" si="4"/>
        <v>1</v>
      </c>
      <c r="H9" s="190">
        <f>SUMIFS(Del!$C:$C,Del!$E:$E,'Detail Summary'!$B9)</f>
        <v>146</v>
      </c>
      <c r="I9" s="140">
        <f>D9-H9</f>
        <v>12</v>
      </c>
      <c r="J9" s="195">
        <f t="shared" si="5"/>
        <v>0.92405063291139244</v>
      </c>
      <c r="K9" s="196">
        <f>E9-H9</f>
        <v>12</v>
      </c>
      <c r="L9" s="190">
        <f>SUMIFS(Ere!$C:$C,Ere!$E:$E,'Detail Summary'!$B9)</f>
        <v>149</v>
      </c>
      <c r="M9" s="140">
        <f>D9-L9</f>
        <v>9</v>
      </c>
      <c r="N9" s="195">
        <f t="shared" si="3"/>
        <v>0.94303797468354433</v>
      </c>
      <c r="O9" s="200"/>
      <c r="P9" s="163">
        <v>0.6</v>
      </c>
    </row>
    <row r="10" spans="1:16" ht="22.15" customHeight="1" x14ac:dyDescent="0.25">
      <c r="A10" s="198" t="s">
        <v>602</v>
      </c>
      <c r="B10" s="145" t="s">
        <v>1695</v>
      </c>
      <c r="C10" s="140">
        <v>116</v>
      </c>
      <c r="D10" s="188">
        <f>SUMIFS('Element wise-detail Summary'!$F:$F,'Element wise-detail Summary'!$D:$D,'Detail Summary'!$A10,'Element wise-detail Summary'!$C:$C,'Detail Summary'!$B10)</f>
        <v>116</v>
      </c>
      <c r="E10" s="190">
        <f>SUMIFS(Cast!$C:$C,Cast!$E:$E,$B10)</f>
        <v>116</v>
      </c>
      <c r="F10" s="140">
        <f>D10-E10</f>
        <v>0</v>
      </c>
      <c r="G10" s="193">
        <f t="shared" si="4"/>
        <v>1</v>
      </c>
      <c r="H10" s="190">
        <f>SUMIFS(Del!$C:$C,Del!$E:$E,'Detail Summary'!$B10)</f>
        <v>22</v>
      </c>
      <c r="I10" s="140">
        <f>D10-H10</f>
        <v>94</v>
      </c>
      <c r="J10" s="195">
        <f t="shared" si="5"/>
        <v>0.18965517241379309</v>
      </c>
      <c r="K10" s="196">
        <f>E10-H10</f>
        <v>94</v>
      </c>
      <c r="L10" s="190">
        <f>SUMIFS(Ere!$C:$C,Ere!$E:$E,'Detail Summary'!$B10)</f>
        <v>22</v>
      </c>
      <c r="M10" s="140">
        <f>D10-L10</f>
        <v>94</v>
      </c>
      <c r="N10" s="195">
        <f t="shared" si="3"/>
        <v>0.18965517241379309</v>
      </c>
      <c r="O10" s="200"/>
      <c r="P10" s="162">
        <v>1</v>
      </c>
    </row>
    <row r="11" spans="1:16" ht="22.15" customHeight="1" x14ac:dyDescent="0.25">
      <c r="A11" s="198" t="s">
        <v>602</v>
      </c>
      <c r="B11" s="144" t="s">
        <v>1696</v>
      </c>
      <c r="C11" s="140">
        <v>147</v>
      </c>
      <c r="D11" s="188">
        <f>SUMIFS('Element wise-detail Summary'!$F:$F,'Element wise-detail Summary'!$D:$D,'Detail Summary'!$A11,'Element wise-detail Summary'!$C:$C,'Detail Summary'!$B11)</f>
        <v>147</v>
      </c>
      <c r="E11" s="190">
        <f>SUMIFS(Cast!$C:$C,Cast!$E:$E,$B11)</f>
        <v>147</v>
      </c>
      <c r="F11" s="140">
        <f t="shared" si="0"/>
        <v>0</v>
      </c>
      <c r="G11" s="193">
        <f t="shared" si="4"/>
        <v>1</v>
      </c>
      <c r="H11" s="190">
        <f>SUMIFS(Del!$C:$C,Del!$E:$E,'Detail Summary'!$B11)</f>
        <v>56</v>
      </c>
      <c r="I11" s="140">
        <f t="shared" si="1"/>
        <v>91</v>
      </c>
      <c r="J11" s="195">
        <f t="shared" si="5"/>
        <v>0.38095238095238093</v>
      </c>
      <c r="K11" s="196">
        <f t="shared" si="2"/>
        <v>91</v>
      </c>
      <c r="L11" s="190">
        <f>SUMIFS(Ere!$C:$C,Ere!$E:$E,'Detail Summary'!$B11)</f>
        <v>53</v>
      </c>
      <c r="M11" s="140">
        <f t="shared" ref="M11:M14" si="7">D11-L11</f>
        <v>94</v>
      </c>
      <c r="N11" s="195">
        <f t="shared" si="3"/>
        <v>0.36054421768707484</v>
      </c>
      <c r="O11" s="200"/>
      <c r="P11" s="162">
        <v>1</v>
      </c>
    </row>
    <row r="12" spans="1:16" ht="22.15" customHeight="1" x14ac:dyDescent="0.25">
      <c r="A12" s="198" t="s">
        <v>602</v>
      </c>
      <c r="B12" s="144" t="s">
        <v>1697</v>
      </c>
      <c r="C12" s="140">
        <v>182</v>
      </c>
      <c r="D12" s="188">
        <f>SUMIFS('Element wise-detail Summary'!$F:$F,'Element wise-detail Summary'!$D:$D,'Detail Summary'!$A12,'Element wise-detail Summary'!$C:$C,'Detail Summary'!$B12)</f>
        <v>182</v>
      </c>
      <c r="E12" s="190">
        <f>SUMIFS(Cast!$C:$C,Cast!$E:$E,$B12)</f>
        <v>182</v>
      </c>
      <c r="F12" s="140">
        <f t="shared" si="0"/>
        <v>0</v>
      </c>
      <c r="G12" s="193">
        <f t="shared" si="4"/>
        <v>1</v>
      </c>
      <c r="H12" s="190">
        <f>SUMIFS(Del!$C:$C,Del!$E:$E,'Detail Summary'!$B12)</f>
        <v>144</v>
      </c>
      <c r="I12" s="140">
        <f t="shared" si="1"/>
        <v>38</v>
      </c>
      <c r="J12" s="195">
        <f t="shared" si="5"/>
        <v>0.79120879120879117</v>
      </c>
      <c r="K12" s="196">
        <f t="shared" si="2"/>
        <v>38</v>
      </c>
      <c r="L12" s="190">
        <f>SUMIFS(Ere!$C:$C,Ere!$E:$E,'Detail Summary'!$B12)</f>
        <v>115</v>
      </c>
      <c r="M12" s="140">
        <f t="shared" si="7"/>
        <v>67</v>
      </c>
      <c r="N12" s="195">
        <f t="shared" si="3"/>
        <v>0.63186813186813184</v>
      </c>
      <c r="O12" s="200"/>
      <c r="P12" s="162">
        <v>1</v>
      </c>
    </row>
    <row r="13" spans="1:16" ht="22.15" customHeight="1" x14ac:dyDescent="0.25">
      <c r="A13" s="198" t="s">
        <v>602</v>
      </c>
      <c r="B13" s="144" t="s">
        <v>1699</v>
      </c>
      <c r="C13" s="140">
        <v>148</v>
      </c>
      <c r="D13" s="188">
        <f>SUMIFS('Element wise-detail Summary'!$F:$F,'Element wise-detail Summary'!$D:$D,'Detail Summary'!$A13,'Element wise-detail Summary'!$C:$C,'Detail Summary'!$B13)</f>
        <v>148</v>
      </c>
      <c r="E13" s="190">
        <f>SUMIFS(Cast!$C:$C,Cast!$E:$E,$B13)</f>
        <v>148</v>
      </c>
      <c r="F13" s="140">
        <f t="shared" si="0"/>
        <v>0</v>
      </c>
      <c r="G13" s="193">
        <f t="shared" si="4"/>
        <v>1</v>
      </c>
      <c r="H13" s="190">
        <f>SUMIFS(Del!$C:$C,Del!$E:$E,'Detail Summary'!$B13)</f>
        <v>21</v>
      </c>
      <c r="I13" s="140">
        <f t="shared" si="1"/>
        <v>127</v>
      </c>
      <c r="J13" s="195">
        <f t="shared" si="5"/>
        <v>0.14189189189189189</v>
      </c>
      <c r="K13" s="196">
        <f t="shared" si="2"/>
        <v>127</v>
      </c>
      <c r="L13" s="190">
        <f>SUMIFS(Ere!$C:$C,Ere!$E:$E,'Detail Summary'!$B13)</f>
        <v>0</v>
      </c>
      <c r="M13" s="140">
        <f t="shared" si="7"/>
        <v>148</v>
      </c>
      <c r="N13" s="195">
        <f t="shared" si="3"/>
        <v>0</v>
      </c>
      <c r="O13" s="200"/>
      <c r="P13" s="162">
        <v>1</v>
      </c>
    </row>
    <row r="14" spans="1:16" ht="22.15" customHeight="1" thickBot="1" x14ac:dyDescent="0.3">
      <c r="A14" s="201" t="s">
        <v>602</v>
      </c>
      <c r="B14" s="202" t="s">
        <v>1700</v>
      </c>
      <c r="C14" s="203">
        <v>110</v>
      </c>
      <c r="D14" s="204">
        <f>SUMIFS('Element wise-detail Summary'!$F:$F,'Element wise-detail Summary'!$D:$D,'Detail Summary'!$A14,'Element wise-detail Summary'!$C:$C,'Detail Summary'!$B14)</f>
        <v>110</v>
      </c>
      <c r="E14" s="205">
        <f>SUMIFS(Cast!$C:$C,Cast!$E:$E,$B14)</f>
        <v>110</v>
      </c>
      <c r="F14" s="203">
        <f t="shared" si="0"/>
        <v>0</v>
      </c>
      <c r="G14" s="206">
        <f t="shared" si="4"/>
        <v>1</v>
      </c>
      <c r="H14" s="205">
        <f>SUMIFS(Del!$C:$C,Del!$E:$E,'Detail Summary'!$B14)</f>
        <v>0</v>
      </c>
      <c r="I14" s="203">
        <f t="shared" si="1"/>
        <v>110</v>
      </c>
      <c r="J14" s="207">
        <f t="shared" si="5"/>
        <v>0</v>
      </c>
      <c r="K14" s="208">
        <f t="shared" si="2"/>
        <v>110</v>
      </c>
      <c r="L14" s="205">
        <f>SUMIFS(Ere!$C:$C,Ere!$E:$E,'Detail Summary'!$B14)</f>
        <v>0</v>
      </c>
      <c r="M14" s="203">
        <f t="shared" si="7"/>
        <v>110</v>
      </c>
      <c r="N14" s="207">
        <f t="shared" si="3"/>
        <v>0</v>
      </c>
      <c r="O14" s="200"/>
      <c r="P14" s="163">
        <v>0.6</v>
      </c>
    </row>
    <row r="15" spans="1:16" ht="22.15" customHeight="1" thickBot="1" x14ac:dyDescent="0.3">
      <c r="A15" s="237" t="s">
        <v>1958</v>
      </c>
      <c r="B15" s="238"/>
      <c r="C15" s="209">
        <f>SUM(C6:C14)</f>
        <v>1111</v>
      </c>
      <c r="D15" s="210">
        <f>SUM(D6:D14)</f>
        <v>1111</v>
      </c>
      <c r="E15" s="211">
        <f>SUM(E6:E14)</f>
        <v>1110</v>
      </c>
      <c r="F15" s="209">
        <f>SUM(F6:F14)</f>
        <v>1</v>
      </c>
      <c r="G15" s="212">
        <f>E15/C15</f>
        <v>0.99909990999099907</v>
      </c>
      <c r="H15" s="213">
        <f>SUM(H6:H14)</f>
        <v>635</v>
      </c>
      <c r="I15" s="209">
        <f t="shared" ref="I15:M15" si="8">SUM(I6:I14)</f>
        <v>476</v>
      </c>
      <c r="J15" s="214">
        <f>H15/C15</f>
        <v>0.57155715571557153</v>
      </c>
      <c r="K15" s="210">
        <f t="shared" si="8"/>
        <v>475</v>
      </c>
      <c r="L15" s="211">
        <f t="shared" si="8"/>
        <v>581</v>
      </c>
      <c r="M15" s="209">
        <f t="shared" si="8"/>
        <v>530</v>
      </c>
      <c r="N15" s="215">
        <f>L15/C15</f>
        <v>0.52295229522952291</v>
      </c>
      <c r="O15" s="216"/>
    </row>
  </sheetData>
  <mergeCells count="3">
    <mergeCell ref="N2:O3"/>
    <mergeCell ref="M2:M3"/>
    <mergeCell ref="A15:B15"/>
  </mergeCells>
  <conditionalFormatting sqref="A6:A14 C6:N15">
    <cfRule type="cellIs" dxfId="419" priority="6" operator="equal">
      <formula>0</formula>
    </cfRule>
  </conditionalFormatting>
  <conditionalFormatting sqref="A15:B15">
    <cfRule type="cellIs" dxfId="418" priority="5" operator="equal">
      <formula>0</formula>
    </cfRule>
  </conditionalFormatting>
  <conditionalFormatting sqref="G6:G14">
    <cfRule type="cellIs" dxfId="417" priority="2" operator="equal">
      <formula>1</formula>
    </cfRule>
  </conditionalFormatting>
  <conditionalFormatting sqref="J6:J14">
    <cfRule type="cellIs" dxfId="416" priority="1" operator="equal">
      <formula>1</formula>
    </cfRule>
  </conditionalFormatting>
  <conditionalFormatting sqref="N6:N14">
    <cfRule type="cellIs" dxfId="415" priority="3" operator="equal">
      <formula>1</formula>
    </cfRule>
  </conditionalFormatting>
  <printOptions horizontalCentered="1"/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9BBD-BCE9-4516-BEC1-4C64969E214D}">
  <sheetPr codeName="Sheet1">
    <pageSetUpPr fitToPage="1"/>
  </sheetPr>
  <dimension ref="A1:AB895"/>
  <sheetViews>
    <sheetView zoomScale="85" zoomScaleNormal="85" zoomScaleSheetLayoutView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2" sqref="C2:C827"/>
    </sheetView>
  </sheetViews>
  <sheetFormatPr defaultRowHeight="15" x14ac:dyDescent="0.25"/>
  <cols>
    <col min="1" max="1" width="9.140625" style="2"/>
    <col min="2" max="2" width="11.42578125" style="3" bestFit="1" customWidth="1"/>
    <col min="3" max="3" width="25.85546875" style="4" bestFit="1" customWidth="1"/>
    <col min="4" max="4" width="21.85546875" style="3" customWidth="1"/>
    <col min="5" max="5" width="7.140625" style="3" customWidth="1"/>
    <col min="6" max="6" width="13.7109375" style="3" customWidth="1"/>
    <col min="7" max="7" width="14.5703125" style="3" customWidth="1"/>
    <col min="8" max="8" width="8.7109375" style="3" customWidth="1"/>
    <col min="9" max="9" width="18.42578125" customWidth="1"/>
    <col min="10" max="10" width="20.7109375" style="3" bestFit="1" customWidth="1"/>
    <col min="11" max="11" width="8.5703125" style="3" customWidth="1"/>
    <col min="12" max="12" width="14.28515625" style="3" customWidth="1"/>
    <col min="13" max="13" width="9.7109375" style="3" customWidth="1"/>
    <col min="14" max="14" width="9.140625" style="3" customWidth="1"/>
    <col min="15" max="15" width="16.42578125" style="3" customWidth="1"/>
    <col min="16" max="16" width="11.85546875" style="3" customWidth="1"/>
    <col min="17" max="17" width="9" style="3" customWidth="1"/>
    <col min="18" max="19" width="13.42578125" style="3" customWidth="1"/>
    <col min="20" max="20" width="17" style="127" customWidth="1"/>
    <col min="21" max="21" width="16.42578125" style="3" customWidth="1"/>
    <col min="22" max="22" width="9.42578125" customWidth="1"/>
    <col min="23" max="23" width="12.7109375" bestFit="1" customWidth="1"/>
    <col min="24" max="24" width="19.42578125" bestFit="1" customWidth="1"/>
    <col min="25" max="25" width="11.28515625" customWidth="1"/>
    <col min="26" max="26" width="21.85546875" bestFit="1" customWidth="1"/>
    <col min="27" max="27" width="11.28515625" customWidth="1"/>
  </cols>
  <sheetData>
    <row r="1" spans="2:28" s="1" customFormat="1" ht="45" x14ac:dyDescent="0.25">
      <c r="B1" s="18" t="s">
        <v>0</v>
      </c>
      <c r="C1" s="19" t="s">
        <v>1</v>
      </c>
      <c r="D1" s="20" t="s">
        <v>38</v>
      </c>
      <c r="E1" s="20" t="s">
        <v>2</v>
      </c>
      <c r="F1" s="20" t="s">
        <v>3</v>
      </c>
      <c r="G1" s="20" t="s">
        <v>4</v>
      </c>
      <c r="H1" s="20" t="s">
        <v>44</v>
      </c>
      <c r="I1" s="20" t="s">
        <v>6</v>
      </c>
      <c r="J1" s="21" t="s">
        <v>7</v>
      </c>
      <c r="K1" s="21" t="s">
        <v>166</v>
      </c>
      <c r="L1" s="21" t="s">
        <v>39</v>
      </c>
      <c r="M1" s="21" t="s">
        <v>8</v>
      </c>
      <c r="N1" s="20" t="s">
        <v>9</v>
      </c>
      <c r="O1" s="21" t="s">
        <v>10</v>
      </c>
      <c r="P1" s="20" t="s">
        <v>11</v>
      </c>
      <c r="Q1" s="20" t="s">
        <v>12</v>
      </c>
      <c r="R1" s="20" t="s">
        <v>352</v>
      </c>
      <c r="S1" s="20" t="s">
        <v>353</v>
      </c>
      <c r="T1" s="94" t="s">
        <v>13</v>
      </c>
      <c r="U1" s="22" t="s">
        <v>5</v>
      </c>
      <c r="V1" s="20" t="s">
        <v>14</v>
      </c>
      <c r="W1" s="20" t="s">
        <v>15</v>
      </c>
      <c r="X1" s="23" t="s">
        <v>16</v>
      </c>
      <c r="Y1" s="20" t="s">
        <v>354</v>
      </c>
      <c r="Z1" s="20" t="s">
        <v>355</v>
      </c>
      <c r="AA1" s="1" t="s">
        <v>632</v>
      </c>
      <c r="AB1" s="128" t="s">
        <v>939</v>
      </c>
    </row>
    <row r="2" spans="2:28" s="2" customFormat="1" ht="24.95" customHeight="1" x14ac:dyDescent="0.25">
      <c r="B2" s="61">
        <v>1</v>
      </c>
      <c r="C2" s="63" t="s">
        <v>74</v>
      </c>
      <c r="D2" s="63" t="s">
        <v>62</v>
      </c>
      <c r="E2" s="63" t="s">
        <v>133</v>
      </c>
      <c r="F2" s="63">
        <v>3930</v>
      </c>
      <c r="G2" s="63">
        <v>2950</v>
      </c>
      <c r="H2" s="63">
        <v>120</v>
      </c>
      <c r="I2" s="63" t="s">
        <v>356</v>
      </c>
      <c r="J2" s="63" t="s">
        <v>106</v>
      </c>
      <c r="K2" s="63"/>
      <c r="L2" s="64" t="s">
        <v>105</v>
      </c>
      <c r="M2" s="58">
        <v>45789</v>
      </c>
      <c r="N2" s="63">
        <v>0</v>
      </c>
      <c r="O2" s="58"/>
      <c r="P2" s="65">
        <v>1.468</v>
      </c>
      <c r="Q2" s="65">
        <f>+P2*2.5</f>
        <v>3.67</v>
      </c>
      <c r="R2" s="65"/>
      <c r="S2" s="65"/>
      <c r="T2" s="58">
        <v>45792</v>
      </c>
      <c r="U2" s="58">
        <v>45792</v>
      </c>
      <c r="V2" s="63">
        <v>21</v>
      </c>
      <c r="W2" s="63" t="s">
        <v>174</v>
      </c>
      <c r="X2" s="66"/>
      <c r="Y2" s="67"/>
      <c r="Z2" s="68"/>
      <c r="AA2" s="68" t="s">
        <v>504</v>
      </c>
    </row>
    <row r="3" spans="2:28" s="2" customFormat="1" ht="24.95" customHeight="1" x14ac:dyDescent="0.25">
      <c r="B3" s="61">
        <v>2</v>
      </c>
      <c r="C3" s="63" t="s">
        <v>54</v>
      </c>
      <c r="D3" s="63" t="s">
        <v>62</v>
      </c>
      <c r="E3" s="63" t="s">
        <v>133</v>
      </c>
      <c r="F3" s="63">
        <v>400</v>
      </c>
      <c r="G3" s="63">
        <v>3160</v>
      </c>
      <c r="H3" s="63">
        <v>300</v>
      </c>
      <c r="I3" s="63" t="s">
        <v>46</v>
      </c>
      <c r="J3" s="63" t="s">
        <v>45</v>
      </c>
      <c r="K3" s="63" t="s">
        <v>168</v>
      </c>
      <c r="L3" s="64" t="s">
        <v>47</v>
      </c>
      <c r="M3" s="58">
        <v>45787</v>
      </c>
      <c r="N3" s="63">
        <v>0</v>
      </c>
      <c r="O3" s="58"/>
      <c r="P3" s="65">
        <v>0.76100000000000001</v>
      </c>
      <c r="Q3" s="65">
        <f t="shared" ref="Q3:Q66" si="0">+P3*2.5</f>
        <v>1.9025000000000001</v>
      </c>
      <c r="R3" s="65"/>
      <c r="S3" s="65"/>
      <c r="T3" s="58">
        <v>45794</v>
      </c>
      <c r="U3" s="58">
        <v>45794</v>
      </c>
      <c r="V3" s="63">
        <v>21</v>
      </c>
      <c r="W3" s="63" t="s">
        <v>177</v>
      </c>
      <c r="X3" s="66"/>
      <c r="Y3" s="63"/>
      <c r="Z3" s="68"/>
      <c r="AA3" s="68" t="s">
        <v>504</v>
      </c>
    </row>
    <row r="4" spans="2:28" s="2" customFormat="1" ht="24.95" customHeight="1" x14ac:dyDescent="0.25">
      <c r="B4" s="61">
        <v>3</v>
      </c>
      <c r="C4" s="63" t="s">
        <v>55</v>
      </c>
      <c r="D4" s="63" t="s">
        <v>62</v>
      </c>
      <c r="E4" s="63" t="s">
        <v>133</v>
      </c>
      <c r="F4" s="63">
        <v>400</v>
      </c>
      <c r="G4" s="63">
        <v>3160</v>
      </c>
      <c r="H4" s="63">
        <v>300</v>
      </c>
      <c r="I4" s="63" t="s">
        <v>46</v>
      </c>
      <c r="J4" s="63" t="s">
        <v>45</v>
      </c>
      <c r="K4" s="63" t="s">
        <v>168</v>
      </c>
      <c r="L4" s="64" t="s">
        <v>47</v>
      </c>
      <c r="M4" s="58">
        <v>45787</v>
      </c>
      <c r="N4" s="63">
        <v>0</v>
      </c>
      <c r="O4" s="58"/>
      <c r="P4" s="65">
        <v>0.76100000000000001</v>
      </c>
      <c r="Q4" s="65">
        <f t="shared" si="0"/>
        <v>1.9025000000000001</v>
      </c>
      <c r="R4" s="65"/>
      <c r="S4" s="65"/>
      <c r="T4" s="58">
        <v>45794</v>
      </c>
      <c r="U4" s="58">
        <v>45794</v>
      </c>
      <c r="V4" s="63">
        <v>21</v>
      </c>
      <c r="W4" s="63" t="s">
        <v>193</v>
      </c>
      <c r="X4" s="66"/>
      <c r="Y4" s="63"/>
      <c r="Z4" s="68"/>
      <c r="AA4" s="68" t="s">
        <v>504</v>
      </c>
    </row>
    <row r="5" spans="2:28" s="2" customFormat="1" ht="24.95" customHeight="1" x14ac:dyDescent="0.25">
      <c r="B5" s="61">
        <v>4</v>
      </c>
      <c r="C5" s="63" t="s">
        <v>56</v>
      </c>
      <c r="D5" s="63" t="s">
        <v>62</v>
      </c>
      <c r="E5" s="63" t="s">
        <v>133</v>
      </c>
      <c r="F5" s="63">
        <v>400</v>
      </c>
      <c r="G5" s="63">
        <v>3160</v>
      </c>
      <c r="H5" s="63">
        <v>300</v>
      </c>
      <c r="I5" s="63" t="s">
        <v>46</v>
      </c>
      <c r="J5" s="63" t="s">
        <v>45</v>
      </c>
      <c r="K5" s="63" t="s">
        <v>168</v>
      </c>
      <c r="L5" s="64" t="s">
        <v>47</v>
      </c>
      <c r="M5" s="58">
        <v>45787</v>
      </c>
      <c r="N5" s="63">
        <v>0</v>
      </c>
      <c r="O5" s="58"/>
      <c r="P5" s="65">
        <v>0.76400000000000001</v>
      </c>
      <c r="Q5" s="65">
        <f t="shared" si="0"/>
        <v>1.9100000000000001</v>
      </c>
      <c r="R5" s="65"/>
      <c r="S5" s="65"/>
      <c r="T5" s="58">
        <v>45794</v>
      </c>
      <c r="U5" s="58">
        <v>45794</v>
      </c>
      <c r="V5" s="63">
        <v>21</v>
      </c>
      <c r="W5" s="63" t="s">
        <v>178</v>
      </c>
      <c r="X5" s="66"/>
      <c r="Y5" s="63"/>
      <c r="Z5" s="68"/>
      <c r="AA5" s="68" t="s">
        <v>504</v>
      </c>
    </row>
    <row r="6" spans="2:28" s="2" customFormat="1" ht="24.95" customHeight="1" x14ac:dyDescent="0.25">
      <c r="B6" s="61">
        <v>5</v>
      </c>
      <c r="C6" s="63" t="s">
        <v>52</v>
      </c>
      <c r="D6" s="63" t="s">
        <v>62</v>
      </c>
      <c r="E6" s="63" t="s">
        <v>133</v>
      </c>
      <c r="F6" s="63">
        <v>400</v>
      </c>
      <c r="G6" s="63">
        <v>3160</v>
      </c>
      <c r="H6" s="63">
        <v>300</v>
      </c>
      <c r="I6" s="63" t="s">
        <v>46</v>
      </c>
      <c r="J6" s="63" t="s">
        <v>53</v>
      </c>
      <c r="K6" s="63" t="s">
        <v>168</v>
      </c>
      <c r="L6" s="64" t="s">
        <v>165</v>
      </c>
      <c r="M6" s="58">
        <v>45789</v>
      </c>
      <c r="N6" s="63">
        <v>1</v>
      </c>
      <c r="O6" s="58">
        <v>45789</v>
      </c>
      <c r="P6" s="65">
        <v>0.79100000000000004</v>
      </c>
      <c r="Q6" s="65">
        <f t="shared" si="0"/>
        <v>1.9775</v>
      </c>
      <c r="R6" s="65"/>
      <c r="S6" s="65"/>
      <c r="T6" s="58">
        <v>45794</v>
      </c>
      <c r="U6" s="58">
        <v>45794</v>
      </c>
      <c r="V6" s="63">
        <v>21</v>
      </c>
      <c r="W6" s="63" t="s">
        <v>179</v>
      </c>
      <c r="X6" s="66"/>
      <c r="Y6" s="63"/>
      <c r="Z6" s="68"/>
      <c r="AA6" s="68" t="s">
        <v>504</v>
      </c>
    </row>
    <row r="7" spans="2:28" s="2" customFormat="1" ht="24.95" customHeight="1" x14ac:dyDescent="0.25">
      <c r="B7" s="61">
        <v>6</v>
      </c>
      <c r="C7" s="63" t="s">
        <v>161</v>
      </c>
      <c r="D7" s="63" t="s">
        <v>62</v>
      </c>
      <c r="E7" s="63" t="s">
        <v>133</v>
      </c>
      <c r="F7" s="63">
        <v>400</v>
      </c>
      <c r="G7" s="63">
        <v>3160</v>
      </c>
      <c r="H7" s="63">
        <v>300</v>
      </c>
      <c r="I7" s="63" t="s">
        <v>46</v>
      </c>
      <c r="J7" s="63" t="s">
        <v>170</v>
      </c>
      <c r="K7" s="63" t="s">
        <v>169</v>
      </c>
      <c r="L7" s="64" t="s">
        <v>165</v>
      </c>
      <c r="M7" s="58">
        <v>45789</v>
      </c>
      <c r="N7" s="63">
        <v>0</v>
      </c>
      <c r="O7" s="58"/>
      <c r="P7" s="65">
        <v>0.86699999999999999</v>
      </c>
      <c r="Q7" s="65">
        <f t="shared" si="0"/>
        <v>2.1675</v>
      </c>
      <c r="R7" s="65"/>
      <c r="S7" s="65"/>
      <c r="T7" s="58">
        <v>45805</v>
      </c>
      <c r="U7" s="58">
        <v>45805</v>
      </c>
      <c r="V7" s="63">
        <v>21</v>
      </c>
      <c r="W7" s="63" t="s">
        <v>226</v>
      </c>
      <c r="X7" s="66"/>
      <c r="Y7" s="63"/>
      <c r="Z7" s="68"/>
      <c r="AA7" s="68" t="s">
        <v>504</v>
      </c>
    </row>
    <row r="8" spans="2:28" s="2" customFormat="1" ht="24.95" customHeight="1" x14ac:dyDescent="0.25">
      <c r="B8" s="61">
        <v>7</v>
      </c>
      <c r="C8" s="63" t="s">
        <v>25</v>
      </c>
      <c r="D8" s="63" t="s">
        <v>62</v>
      </c>
      <c r="E8" s="63" t="s">
        <v>133</v>
      </c>
      <c r="F8" s="63">
        <v>4948</v>
      </c>
      <c r="G8" s="63">
        <v>2710</v>
      </c>
      <c r="H8" s="63">
        <v>120</v>
      </c>
      <c r="I8" s="63" t="s">
        <v>18</v>
      </c>
      <c r="J8" s="63" t="s">
        <v>19</v>
      </c>
      <c r="K8" s="63"/>
      <c r="L8" s="64" t="s">
        <v>42</v>
      </c>
      <c r="M8" s="58">
        <v>45785</v>
      </c>
      <c r="N8" s="63">
        <v>1</v>
      </c>
      <c r="O8" s="58">
        <v>45787</v>
      </c>
      <c r="P8" s="65">
        <v>1.609</v>
      </c>
      <c r="Q8" s="65">
        <f t="shared" si="0"/>
        <v>4.0225</v>
      </c>
      <c r="R8" s="65"/>
      <c r="S8" s="65"/>
      <c r="T8" s="58">
        <v>45793</v>
      </c>
      <c r="U8" s="58">
        <v>45793</v>
      </c>
      <c r="V8" s="63">
        <v>21</v>
      </c>
      <c r="W8" s="63" t="s">
        <v>180</v>
      </c>
      <c r="X8" s="66"/>
      <c r="Y8" s="63"/>
      <c r="Z8" s="68"/>
      <c r="AA8" s="68" t="s">
        <v>504</v>
      </c>
    </row>
    <row r="9" spans="2:28" s="2" customFormat="1" ht="24.95" customHeight="1" x14ac:dyDescent="0.25">
      <c r="B9" s="61">
        <v>8</v>
      </c>
      <c r="C9" s="63" t="s">
        <v>26</v>
      </c>
      <c r="D9" s="63" t="s">
        <v>62</v>
      </c>
      <c r="E9" s="63" t="s">
        <v>133</v>
      </c>
      <c r="F9" s="63">
        <v>4948</v>
      </c>
      <c r="G9" s="63">
        <v>1670</v>
      </c>
      <c r="H9" s="63">
        <v>120</v>
      </c>
      <c r="I9" s="63" t="s">
        <v>18</v>
      </c>
      <c r="J9" s="63" t="s">
        <v>19</v>
      </c>
      <c r="K9" s="63"/>
      <c r="L9" s="64" t="s">
        <v>42</v>
      </c>
      <c r="M9" s="58">
        <v>45785</v>
      </c>
      <c r="N9" s="63">
        <v>1</v>
      </c>
      <c r="O9" s="58">
        <v>45787</v>
      </c>
      <c r="P9" s="65">
        <v>0.99199999999999999</v>
      </c>
      <c r="Q9" s="65">
        <f t="shared" si="0"/>
        <v>2.48</v>
      </c>
      <c r="R9" s="65"/>
      <c r="S9" s="65"/>
      <c r="T9" s="58">
        <v>45792</v>
      </c>
      <c r="U9" s="58">
        <v>45792</v>
      </c>
      <c r="V9" s="63">
        <v>21</v>
      </c>
      <c r="W9" s="63" t="s">
        <v>183</v>
      </c>
      <c r="X9" s="66"/>
      <c r="Y9" s="63"/>
      <c r="Z9" s="68"/>
      <c r="AA9" s="68" t="s">
        <v>504</v>
      </c>
    </row>
    <row r="10" spans="2:28" s="2" customFormat="1" ht="24.95" customHeight="1" x14ac:dyDescent="0.25">
      <c r="B10" s="61">
        <v>9</v>
      </c>
      <c r="C10" s="63" t="s">
        <v>29</v>
      </c>
      <c r="D10" s="63" t="s">
        <v>62</v>
      </c>
      <c r="E10" s="63" t="s">
        <v>133</v>
      </c>
      <c r="F10" s="63">
        <v>4217</v>
      </c>
      <c r="G10" s="63">
        <v>670</v>
      </c>
      <c r="H10" s="63">
        <v>120</v>
      </c>
      <c r="I10" s="63" t="s">
        <v>18</v>
      </c>
      <c r="J10" s="63" t="s">
        <v>19</v>
      </c>
      <c r="K10" s="63"/>
      <c r="L10" s="64" t="s">
        <v>42</v>
      </c>
      <c r="M10" s="58">
        <v>45785</v>
      </c>
      <c r="N10" s="63">
        <v>1</v>
      </c>
      <c r="O10" s="58">
        <v>45787</v>
      </c>
      <c r="P10" s="65">
        <v>0.84499999999999997</v>
      </c>
      <c r="Q10" s="65">
        <f t="shared" si="0"/>
        <v>2.1124999999999998</v>
      </c>
      <c r="R10" s="65"/>
      <c r="S10" s="65"/>
      <c r="T10" s="58">
        <v>45792</v>
      </c>
      <c r="U10" s="58">
        <v>45792</v>
      </c>
      <c r="V10" s="63">
        <v>21</v>
      </c>
      <c r="W10" s="63" t="s">
        <v>184</v>
      </c>
      <c r="X10" s="66"/>
      <c r="Y10" s="63"/>
      <c r="Z10" s="68"/>
      <c r="AA10" s="68" t="s">
        <v>504</v>
      </c>
    </row>
    <row r="11" spans="2:28" s="2" customFormat="1" ht="24.95" customHeight="1" x14ac:dyDescent="0.25">
      <c r="B11" s="61">
        <v>10</v>
      </c>
      <c r="C11" s="63" t="s">
        <v>30</v>
      </c>
      <c r="D11" s="63" t="s">
        <v>62</v>
      </c>
      <c r="E11" s="63" t="s">
        <v>133</v>
      </c>
      <c r="F11" s="63">
        <v>4217</v>
      </c>
      <c r="G11" s="63">
        <v>670</v>
      </c>
      <c r="H11" s="63">
        <v>120</v>
      </c>
      <c r="I11" s="63" t="s">
        <v>18</v>
      </c>
      <c r="J11" s="63" t="s">
        <v>19</v>
      </c>
      <c r="K11" s="63"/>
      <c r="L11" s="64" t="s">
        <v>42</v>
      </c>
      <c r="M11" s="58">
        <v>45785</v>
      </c>
      <c r="N11" s="63">
        <v>1</v>
      </c>
      <c r="O11" s="58">
        <v>45787</v>
      </c>
      <c r="P11" s="65">
        <v>0.84499999999999997</v>
      </c>
      <c r="Q11" s="65">
        <f t="shared" si="0"/>
        <v>2.1124999999999998</v>
      </c>
      <c r="R11" s="65"/>
      <c r="S11" s="65"/>
      <c r="T11" s="58">
        <v>45793</v>
      </c>
      <c r="U11" s="58">
        <v>45793</v>
      </c>
      <c r="V11" s="63">
        <v>21</v>
      </c>
      <c r="W11" s="63" t="s">
        <v>181</v>
      </c>
      <c r="X11" s="66"/>
      <c r="Y11" s="63"/>
      <c r="Z11" s="68"/>
      <c r="AA11" s="68" t="s">
        <v>504</v>
      </c>
    </row>
    <row r="12" spans="2:28" s="2" customFormat="1" ht="24.95" customHeight="1" x14ac:dyDescent="0.25">
      <c r="B12" s="61">
        <v>11</v>
      </c>
      <c r="C12" s="63" t="s">
        <v>31</v>
      </c>
      <c r="D12" s="63" t="s">
        <v>62</v>
      </c>
      <c r="E12" s="63" t="s">
        <v>133</v>
      </c>
      <c r="F12" s="63">
        <v>4217</v>
      </c>
      <c r="G12" s="63">
        <v>670</v>
      </c>
      <c r="H12" s="63">
        <v>120</v>
      </c>
      <c r="I12" s="63" t="s">
        <v>18</v>
      </c>
      <c r="J12" s="63" t="s">
        <v>19</v>
      </c>
      <c r="K12" s="63"/>
      <c r="L12" s="64" t="s">
        <v>42</v>
      </c>
      <c r="M12" s="58">
        <v>45785</v>
      </c>
      <c r="N12" s="63">
        <v>1</v>
      </c>
      <c r="O12" s="58">
        <v>45787</v>
      </c>
      <c r="P12" s="65">
        <v>0.84499999999999997</v>
      </c>
      <c r="Q12" s="65">
        <f t="shared" si="0"/>
        <v>2.1124999999999998</v>
      </c>
      <c r="R12" s="65"/>
      <c r="S12" s="65"/>
      <c r="T12" s="58">
        <v>45793</v>
      </c>
      <c r="U12" s="58">
        <v>45793</v>
      </c>
      <c r="V12" s="63">
        <v>21</v>
      </c>
      <c r="W12" s="63" t="s">
        <v>182</v>
      </c>
      <c r="X12" s="66"/>
      <c r="Y12" s="63"/>
      <c r="Z12" s="68"/>
      <c r="AA12" s="68" t="s">
        <v>504</v>
      </c>
    </row>
    <row r="13" spans="2:28" s="2" customFormat="1" ht="24.95" customHeight="1" x14ac:dyDescent="0.25">
      <c r="B13" s="61">
        <v>12</v>
      </c>
      <c r="C13" s="63" t="s">
        <v>72</v>
      </c>
      <c r="D13" s="63" t="s">
        <v>62</v>
      </c>
      <c r="E13" s="63" t="s">
        <v>134</v>
      </c>
      <c r="F13" s="63">
        <v>4322</v>
      </c>
      <c r="G13" s="63">
        <v>2950</v>
      </c>
      <c r="H13" s="63">
        <v>120</v>
      </c>
      <c r="I13" s="63" t="s">
        <v>356</v>
      </c>
      <c r="J13" s="63" t="s">
        <v>106</v>
      </c>
      <c r="K13" s="63"/>
      <c r="L13" s="64" t="s">
        <v>105</v>
      </c>
      <c r="M13" s="58">
        <v>45789</v>
      </c>
      <c r="N13" s="63">
        <v>0</v>
      </c>
      <c r="O13" s="58"/>
      <c r="P13" s="65">
        <v>1.57</v>
      </c>
      <c r="Q13" s="65">
        <f t="shared" si="0"/>
        <v>3.9250000000000003</v>
      </c>
      <c r="R13" s="65"/>
      <c r="S13" s="65"/>
      <c r="T13" s="58">
        <v>45792</v>
      </c>
      <c r="U13" s="58">
        <v>45792</v>
      </c>
      <c r="V13" s="63">
        <v>21</v>
      </c>
      <c r="W13" s="63" t="s">
        <v>176</v>
      </c>
      <c r="X13" s="66"/>
      <c r="Y13" s="63"/>
      <c r="Z13" s="68"/>
      <c r="AA13" s="68" t="s">
        <v>504</v>
      </c>
    </row>
    <row r="14" spans="2:28" s="2" customFormat="1" ht="24.95" customHeight="1" x14ac:dyDescent="0.25">
      <c r="B14" s="61">
        <v>13</v>
      </c>
      <c r="C14" s="63" t="s">
        <v>75</v>
      </c>
      <c r="D14" s="63" t="s">
        <v>62</v>
      </c>
      <c r="E14" s="63" t="s">
        <v>135</v>
      </c>
      <c r="F14" s="63">
        <v>3935</v>
      </c>
      <c r="G14" s="63">
        <v>2950</v>
      </c>
      <c r="H14" s="63">
        <v>120</v>
      </c>
      <c r="I14" s="63" t="s">
        <v>356</v>
      </c>
      <c r="J14" s="63" t="s">
        <v>106</v>
      </c>
      <c r="K14" s="63"/>
      <c r="L14" s="64" t="s">
        <v>105</v>
      </c>
      <c r="M14" s="58">
        <v>45789</v>
      </c>
      <c r="N14" s="63">
        <v>0</v>
      </c>
      <c r="O14" s="58"/>
      <c r="P14" s="65">
        <v>1.4690000000000001</v>
      </c>
      <c r="Q14" s="65">
        <f t="shared" si="0"/>
        <v>3.6725000000000003</v>
      </c>
      <c r="R14" s="65"/>
      <c r="S14" s="65"/>
      <c r="T14" s="58">
        <v>45792</v>
      </c>
      <c r="U14" s="58">
        <v>45792</v>
      </c>
      <c r="V14" s="63">
        <v>21</v>
      </c>
      <c r="W14" s="63" t="s">
        <v>175</v>
      </c>
      <c r="X14" s="66"/>
      <c r="Y14" s="63"/>
      <c r="Z14" s="68"/>
      <c r="AA14" s="68" t="s">
        <v>504</v>
      </c>
    </row>
    <row r="15" spans="2:28" s="2" customFormat="1" ht="24.95" customHeight="1" x14ac:dyDescent="0.25">
      <c r="B15" s="61">
        <v>14</v>
      </c>
      <c r="C15" s="63" t="s">
        <v>73</v>
      </c>
      <c r="D15" s="63" t="s">
        <v>62</v>
      </c>
      <c r="E15" s="63" t="s">
        <v>136</v>
      </c>
      <c r="F15" s="63">
        <v>4245</v>
      </c>
      <c r="G15" s="63">
        <v>2950</v>
      </c>
      <c r="H15" s="63">
        <v>120</v>
      </c>
      <c r="I15" s="63" t="s">
        <v>356</v>
      </c>
      <c r="J15" s="63" t="s">
        <v>106</v>
      </c>
      <c r="K15" s="63"/>
      <c r="L15" s="64" t="s">
        <v>105</v>
      </c>
      <c r="M15" s="58">
        <v>45789</v>
      </c>
      <c r="N15" s="63">
        <v>0</v>
      </c>
      <c r="O15" s="58"/>
      <c r="P15" s="65">
        <v>1.55</v>
      </c>
      <c r="Q15" s="65">
        <f t="shared" si="0"/>
        <v>3.875</v>
      </c>
      <c r="R15" s="65"/>
      <c r="S15" s="65"/>
      <c r="T15" s="58">
        <v>45792</v>
      </c>
      <c r="U15" s="58">
        <v>45792</v>
      </c>
      <c r="V15" s="63">
        <v>21</v>
      </c>
      <c r="W15" s="63" t="s">
        <v>173</v>
      </c>
      <c r="X15" s="66"/>
      <c r="Y15" s="63"/>
      <c r="Z15" s="68"/>
      <c r="AA15" s="68" t="s">
        <v>504</v>
      </c>
    </row>
    <row r="16" spans="2:28" s="2" customFormat="1" ht="24.95" customHeight="1" x14ac:dyDescent="0.25">
      <c r="B16" s="61">
        <v>15</v>
      </c>
      <c r="C16" s="63" t="s">
        <v>76</v>
      </c>
      <c r="D16" s="63" t="s">
        <v>62</v>
      </c>
      <c r="E16" s="63" t="s">
        <v>137</v>
      </c>
      <c r="F16" s="63">
        <v>3780</v>
      </c>
      <c r="G16" s="63">
        <v>2950</v>
      </c>
      <c r="H16" s="63">
        <v>120</v>
      </c>
      <c r="I16" s="63" t="s">
        <v>356</v>
      </c>
      <c r="J16" s="63" t="s">
        <v>106</v>
      </c>
      <c r="K16" s="63"/>
      <c r="L16" s="64" t="s">
        <v>105</v>
      </c>
      <c r="M16" s="58">
        <v>45789</v>
      </c>
      <c r="N16" s="63">
        <v>0</v>
      </c>
      <c r="O16" s="58"/>
      <c r="P16" s="65">
        <v>1.429</v>
      </c>
      <c r="Q16" s="65">
        <f t="shared" si="0"/>
        <v>3.5725000000000002</v>
      </c>
      <c r="R16" s="65"/>
      <c r="S16" s="65"/>
      <c r="T16" s="58">
        <v>45793</v>
      </c>
      <c r="U16" s="58">
        <v>45793</v>
      </c>
      <c r="V16" s="63">
        <v>21</v>
      </c>
      <c r="W16" s="63" t="s">
        <v>185</v>
      </c>
      <c r="X16" s="66"/>
      <c r="Y16" s="63"/>
      <c r="Z16" s="68"/>
      <c r="AA16" s="68" t="s">
        <v>504</v>
      </c>
    </row>
    <row r="17" spans="2:27" s="2" customFormat="1" ht="24.95" customHeight="1" x14ac:dyDescent="0.25">
      <c r="B17" s="61">
        <v>16</v>
      </c>
      <c r="C17" s="63" t="s">
        <v>69</v>
      </c>
      <c r="D17" s="63" t="s">
        <v>62</v>
      </c>
      <c r="E17" s="63" t="s">
        <v>144</v>
      </c>
      <c r="F17" s="63">
        <v>4780</v>
      </c>
      <c r="G17" s="63">
        <v>3250</v>
      </c>
      <c r="H17" s="63">
        <v>120</v>
      </c>
      <c r="I17" s="63" t="s">
        <v>356</v>
      </c>
      <c r="J17" s="63" t="s">
        <v>106</v>
      </c>
      <c r="K17" s="63"/>
      <c r="L17" s="64" t="s">
        <v>105</v>
      </c>
      <c r="M17" s="58">
        <v>45789</v>
      </c>
      <c r="N17" s="63">
        <v>0</v>
      </c>
      <c r="O17" s="58"/>
      <c r="P17" s="65">
        <v>1.905</v>
      </c>
      <c r="Q17" s="65">
        <f t="shared" si="0"/>
        <v>4.7625000000000002</v>
      </c>
      <c r="R17" s="65"/>
      <c r="S17" s="65"/>
      <c r="T17" s="58">
        <v>45794</v>
      </c>
      <c r="U17" s="58">
        <v>45794</v>
      </c>
      <c r="V17" s="63">
        <v>21</v>
      </c>
      <c r="W17" s="63" t="s">
        <v>174</v>
      </c>
      <c r="X17" s="66"/>
      <c r="Y17" s="63"/>
      <c r="Z17" s="68"/>
      <c r="AA17" s="68" t="s">
        <v>504</v>
      </c>
    </row>
    <row r="18" spans="2:27" s="2" customFormat="1" ht="24.95" customHeight="1" x14ac:dyDescent="0.25">
      <c r="B18" s="61">
        <v>17</v>
      </c>
      <c r="C18" s="63" t="s">
        <v>70</v>
      </c>
      <c r="D18" s="63" t="s">
        <v>62</v>
      </c>
      <c r="E18" s="63" t="s">
        <v>144</v>
      </c>
      <c r="F18" s="63">
        <v>4780</v>
      </c>
      <c r="G18" s="63">
        <v>3250</v>
      </c>
      <c r="H18" s="63">
        <v>120</v>
      </c>
      <c r="I18" s="63" t="s">
        <v>356</v>
      </c>
      <c r="J18" s="63" t="s">
        <v>106</v>
      </c>
      <c r="K18" s="63"/>
      <c r="L18" s="64" t="s">
        <v>105</v>
      </c>
      <c r="M18" s="58">
        <v>45789</v>
      </c>
      <c r="N18" s="63">
        <v>0</v>
      </c>
      <c r="O18" s="58"/>
      <c r="P18" s="65">
        <v>1.905</v>
      </c>
      <c r="Q18" s="65">
        <f t="shared" si="0"/>
        <v>4.7625000000000002</v>
      </c>
      <c r="R18" s="65"/>
      <c r="S18" s="65"/>
      <c r="T18" s="58">
        <v>45793</v>
      </c>
      <c r="U18" s="58">
        <v>45793</v>
      </c>
      <c r="V18" s="63">
        <v>21</v>
      </c>
      <c r="W18" s="63" t="s">
        <v>176</v>
      </c>
      <c r="X18" s="66"/>
      <c r="Y18" s="63"/>
      <c r="Z18" s="68"/>
      <c r="AA18" s="68" t="s">
        <v>504</v>
      </c>
    </row>
    <row r="19" spans="2:27" s="2" customFormat="1" ht="24.95" customHeight="1" x14ac:dyDescent="0.25">
      <c r="B19" s="61">
        <v>18</v>
      </c>
      <c r="C19" s="63" t="s">
        <v>107</v>
      </c>
      <c r="D19" s="63" t="s">
        <v>62</v>
      </c>
      <c r="E19" s="63" t="s">
        <v>144</v>
      </c>
      <c r="F19" s="63">
        <v>4780</v>
      </c>
      <c r="G19" s="63">
        <v>3250</v>
      </c>
      <c r="H19" s="63">
        <v>120</v>
      </c>
      <c r="I19" s="63" t="s">
        <v>356</v>
      </c>
      <c r="J19" s="63" t="s">
        <v>106</v>
      </c>
      <c r="K19" s="63"/>
      <c r="L19" s="64" t="s">
        <v>105</v>
      </c>
      <c r="M19" s="58">
        <v>45789</v>
      </c>
      <c r="N19" s="63">
        <v>0</v>
      </c>
      <c r="O19" s="58"/>
      <c r="P19" s="65">
        <v>1.905</v>
      </c>
      <c r="Q19" s="65">
        <f t="shared" si="0"/>
        <v>4.7625000000000002</v>
      </c>
      <c r="R19" s="65"/>
      <c r="S19" s="65"/>
      <c r="T19" s="58">
        <v>45793</v>
      </c>
      <c r="U19" s="58">
        <v>45793</v>
      </c>
      <c r="V19" s="63">
        <v>21</v>
      </c>
      <c r="W19" s="63" t="s">
        <v>175</v>
      </c>
      <c r="X19" s="66"/>
      <c r="Y19" s="63"/>
      <c r="Z19" s="68"/>
      <c r="AA19" s="68" t="s">
        <v>504</v>
      </c>
    </row>
    <row r="20" spans="2:27" s="2" customFormat="1" ht="24.95" customHeight="1" x14ac:dyDescent="0.25">
      <c r="B20" s="61">
        <v>19</v>
      </c>
      <c r="C20" s="63" t="s">
        <v>108</v>
      </c>
      <c r="D20" s="63" t="s">
        <v>62</v>
      </c>
      <c r="E20" s="63" t="s">
        <v>144</v>
      </c>
      <c r="F20" s="63">
        <v>4780</v>
      </c>
      <c r="G20" s="63">
        <v>3250</v>
      </c>
      <c r="H20" s="63">
        <v>120</v>
      </c>
      <c r="I20" s="63" t="s">
        <v>356</v>
      </c>
      <c r="J20" s="63" t="s">
        <v>106</v>
      </c>
      <c r="K20" s="63"/>
      <c r="L20" s="64" t="s">
        <v>105</v>
      </c>
      <c r="M20" s="58">
        <v>45789</v>
      </c>
      <c r="N20" s="63">
        <v>0</v>
      </c>
      <c r="O20" s="58"/>
      <c r="P20" s="65">
        <v>1.905</v>
      </c>
      <c r="Q20" s="65">
        <f t="shared" si="0"/>
        <v>4.7625000000000002</v>
      </c>
      <c r="R20" s="65"/>
      <c r="S20" s="65"/>
      <c r="T20" s="58">
        <v>45793</v>
      </c>
      <c r="U20" s="58">
        <v>45793</v>
      </c>
      <c r="V20" s="63">
        <v>21</v>
      </c>
      <c r="W20" s="63" t="s">
        <v>173</v>
      </c>
      <c r="X20" s="66"/>
      <c r="Y20" s="63"/>
      <c r="Z20" s="68"/>
      <c r="AA20" s="68" t="s">
        <v>504</v>
      </c>
    </row>
    <row r="21" spans="2:27" s="2" customFormat="1" ht="24.95" customHeight="1" x14ac:dyDescent="0.25">
      <c r="B21" s="61">
        <v>20</v>
      </c>
      <c r="C21" s="63" t="s">
        <v>71</v>
      </c>
      <c r="D21" s="63" t="s">
        <v>62</v>
      </c>
      <c r="E21" s="63" t="s">
        <v>144</v>
      </c>
      <c r="F21" s="63">
        <v>4770</v>
      </c>
      <c r="G21" s="63">
        <v>3250</v>
      </c>
      <c r="H21" s="63">
        <v>120</v>
      </c>
      <c r="I21" s="63" t="s">
        <v>356</v>
      </c>
      <c r="J21" s="63" t="s">
        <v>106</v>
      </c>
      <c r="K21" s="63"/>
      <c r="L21" s="64" t="s">
        <v>105</v>
      </c>
      <c r="M21" s="58">
        <v>45789</v>
      </c>
      <c r="N21" s="63">
        <v>0</v>
      </c>
      <c r="O21" s="58"/>
      <c r="P21" s="65">
        <v>1.9019999999999999</v>
      </c>
      <c r="Q21" s="65">
        <f t="shared" si="0"/>
        <v>4.7549999999999999</v>
      </c>
      <c r="R21" s="65"/>
      <c r="S21" s="65"/>
      <c r="T21" s="58">
        <v>45796</v>
      </c>
      <c r="U21" s="58">
        <v>45796</v>
      </c>
      <c r="V21" s="63">
        <v>21</v>
      </c>
      <c r="W21" s="63" t="s">
        <v>176</v>
      </c>
      <c r="X21" s="66"/>
      <c r="Y21" s="63"/>
      <c r="Z21" s="68"/>
      <c r="AA21" s="68" t="s">
        <v>504</v>
      </c>
    </row>
    <row r="22" spans="2:27" s="2" customFormat="1" ht="24.95" customHeight="1" x14ac:dyDescent="0.25">
      <c r="B22" s="61">
        <v>21</v>
      </c>
      <c r="C22" s="63" t="s">
        <v>109</v>
      </c>
      <c r="D22" s="63" t="s">
        <v>62</v>
      </c>
      <c r="E22" s="63" t="s">
        <v>144</v>
      </c>
      <c r="F22" s="63">
        <v>3930</v>
      </c>
      <c r="G22" s="63">
        <v>2950</v>
      </c>
      <c r="H22" s="63">
        <v>120</v>
      </c>
      <c r="I22" s="63" t="s">
        <v>356</v>
      </c>
      <c r="J22" s="63" t="s">
        <v>106</v>
      </c>
      <c r="K22" s="63"/>
      <c r="L22" s="64" t="s">
        <v>105</v>
      </c>
      <c r="M22" s="58">
        <v>45789</v>
      </c>
      <c r="N22" s="63">
        <v>0</v>
      </c>
      <c r="O22" s="58"/>
      <c r="P22" s="65">
        <v>1.468</v>
      </c>
      <c r="Q22" s="65">
        <f t="shared" si="0"/>
        <v>3.67</v>
      </c>
      <c r="R22" s="65"/>
      <c r="S22" s="65"/>
      <c r="T22" s="58">
        <v>45796</v>
      </c>
      <c r="U22" s="58">
        <v>45796</v>
      </c>
      <c r="V22" s="63">
        <v>21</v>
      </c>
      <c r="W22" s="63" t="s">
        <v>181</v>
      </c>
      <c r="X22" s="66"/>
      <c r="Y22" s="63"/>
      <c r="Z22" s="68"/>
      <c r="AA22" s="68" t="s">
        <v>504</v>
      </c>
    </row>
    <row r="23" spans="2:27" s="2" customFormat="1" ht="24.95" customHeight="1" x14ac:dyDescent="0.25">
      <c r="B23" s="61">
        <v>22</v>
      </c>
      <c r="C23" s="63" t="s">
        <v>63</v>
      </c>
      <c r="D23" s="63" t="s">
        <v>62</v>
      </c>
      <c r="E23" s="63" t="s">
        <v>145</v>
      </c>
      <c r="F23" s="63">
        <v>4320</v>
      </c>
      <c r="G23" s="63">
        <v>2950</v>
      </c>
      <c r="H23" s="63">
        <v>120</v>
      </c>
      <c r="I23" s="63" t="s">
        <v>356</v>
      </c>
      <c r="J23" s="63" t="s">
        <v>106</v>
      </c>
      <c r="K23" s="63"/>
      <c r="L23" s="64" t="s">
        <v>105</v>
      </c>
      <c r="M23" s="58">
        <v>45789</v>
      </c>
      <c r="N23" s="63">
        <v>0</v>
      </c>
      <c r="O23" s="58"/>
      <c r="P23" s="65">
        <v>1.57</v>
      </c>
      <c r="Q23" s="65">
        <f t="shared" si="0"/>
        <v>3.9250000000000003</v>
      </c>
      <c r="R23" s="65"/>
      <c r="S23" s="65"/>
      <c r="T23" s="58">
        <v>45796</v>
      </c>
      <c r="U23" s="58">
        <v>45796</v>
      </c>
      <c r="V23" s="63">
        <v>21</v>
      </c>
      <c r="W23" s="63" t="s">
        <v>175</v>
      </c>
      <c r="X23" s="66"/>
      <c r="Y23" s="63"/>
      <c r="Z23" s="68"/>
      <c r="AA23" s="68" t="s">
        <v>504</v>
      </c>
    </row>
    <row r="24" spans="2:27" s="2" customFormat="1" ht="24.95" customHeight="1" x14ac:dyDescent="0.25">
      <c r="B24" s="61">
        <v>23</v>
      </c>
      <c r="C24" s="63" t="s">
        <v>66</v>
      </c>
      <c r="D24" s="63" t="s">
        <v>62</v>
      </c>
      <c r="E24" s="63" t="s">
        <v>148</v>
      </c>
      <c r="F24" s="63">
        <v>3930</v>
      </c>
      <c r="G24" s="63">
        <v>2950</v>
      </c>
      <c r="H24" s="63">
        <v>120</v>
      </c>
      <c r="I24" s="63" t="s">
        <v>356</v>
      </c>
      <c r="J24" s="63" t="s">
        <v>106</v>
      </c>
      <c r="K24" s="63"/>
      <c r="L24" s="64" t="s">
        <v>105</v>
      </c>
      <c r="M24" s="58">
        <v>45789</v>
      </c>
      <c r="N24" s="63">
        <v>0</v>
      </c>
      <c r="O24" s="58"/>
      <c r="P24" s="65">
        <v>1.468</v>
      </c>
      <c r="Q24" s="65">
        <f t="shared" si="0"/>
        <v>3.67</v>
      </c>
      <c r="R24" s="65"/>
      <c r="S24" s="65"/>
      <c r="T24" s="58">
        <v>45796</v>
      </c>
      <c r="U24" s="58">
        <v>45796</v>
      </c>
      <c r="V24" s="63">
        <v>21</v>
      </c>
      <c r="W24" s="63" t="s">
        <v>173</v>
      </c>
      <c r="X24" s="66"/>
      <c r="Y24" s="63"/>
      <c r="Z24" s="68"/>
      <c r="AA24" s="68" t="s">
        <v>504</v>
      </c>
    </row>
    <row r="25" spans="2:27" s="2" customFormat="1" ht="24.95" customHeight="1" x14ac:dyDescent="0.25">
      <c r="B25" s="61">
        <v>24</v>
      </c>
      <c r="C25" s="63" t="s">
        <v>64</v>
      </c>
      <c r="D25" s="63" t="s">
        <v>62</v>
      </c>
      <c r="E25" s="63" t="s">
        <v>146</v>
      </c>
      <c r="F25" s="63">
        <v>4240</v>
      </c>
      <c r="G25" s="63">
        <v>3250</v>
      </c>
      <c r="H25" s="63">
        <v>120</v>
      </c>
      <c r="I25" s="63" t="s">
        <v>356</v>
      </c>
      <c r="J25" s="63" t="s">
        <v>106</v>
      </c>
      <c r="K25" s="63"/>
      <c r="L25" s="64" t="s">
        <v>105</v>
      </c>
      <c r="M25" s="58">
        <v>45789</v>
      </c>
      <c r="N25" s="63">
        <v>0</v>
      </c>
      <c r="O25" s="58"/>
      <c r="P25" s="65">
        <v>1.7010000000000001</v>
      </c>
      <c r="Q25" s="65">
        <f t="shared" si="0"/>
        <v>4.2525000000000004</v>
      </c>
      <c r="R25" s="65"/>
      <c r="S25" s="65"/>
      <c r="T25" s="58">
        <v>45796</v>
      </c>
      <c r="U25" s="58">
        <v>45796</v>
      </c>
      <c r="V25" s="63">
        <v>21</v>
      </c>
      <c r="W25" s="63" t="s">
        <v>185</v>
      </c>
      <c r="X25" s="66"/>
      <c r="Y25" s="63"/>
      <c r="Z25" s="68"/>
      <c r="AA25" s="68" t="s">
        <v>504</v>
      </c>
    </row>
    <row r="26" spans="2:27" s="2" customFormat="1" ht="24.95" customHeight="1" x14ac:dyDescent="0.25">
      <c r="B26" s="61">
        <v>25</v>
      </c>
      <c r="C26" s="63" t="s">
        <v>67</v>
      </c>
      <c r="D26" s="63" t="s">
        <v>62</v>
      </c>
      <c r="E26" s="63" t="s">
        <v>149</v>
      </c>
      <c r="F26" s="63">
        <v>3848</v>
      </c>
      <c r="G26" s="63">
        <v>2950</v>
      </c>
      <c r="H26" s="63">
        <v>120</v>
      </c>
      <c r="I26" s="63" t="s">
        <v>356</v>
      </c>
      <c r="J26" s="63" t="s">
        <v>106</v>
      </c>
      <c r="K26" s="63"/>
      <c r="L26" s="64" t="s">
        <v>105</v>
      </c>
      <c r="M26" s="58">
        <v>45789</v>
      </c>
      <c r="N26" s="63">
        <v>0</v>
      </c>
      <c r="O26" s="58"/>
      <c r="P26" s="65">
        <v>1.446</v>
      </c>
      <c r="Q26" s="65">
        <f t="shared" si="0"/>
        <v>3.6149999999999998</v>
      </c>
      <c r="R26" s="65"/>
      <c r="S26" s="65"/>
      <c r="T26" s="58">
        <v>45797</v>
      </c>
      <c r="U26" s="58">
        <v>45797</v>
      </c>
      <c r="V26" s="63">
        <v>21</v>
      </c>
      <c r="W26" s="63" t="s">
        <v>174</v>
      </c>
      <c r="X26" s="66"/>
      <c r="Y26" s="63"/>
      <c r="Z26" s="68"/>
      <c r="AA26" s="68" t="s">
        <v>504</v>
      </c>
    </row>
    <row r="27" spans="2:27" s="2" customFormat="1" ht="24.95" customHeight="1" x14ac:dyDescent="0.25">
      <c r="B27" s="61">
        <v>26</v>
      </c>
      <c r="C27" s="63" t="s">
        <v>65</v>
      </c>
      <c r="D27" s="63" t="s">
        <v>62</v>
      </c>
      <c r="E27" s="63" t="s">
        <v>147</v>
      </c>
      <c r="F27" s="63">
        <v>4159</v>
      </c>
      <c r="G27" s="63">
        <v>2950</v>
      </c>
      <c r="H27" s="63">
        <v>120</v>
      </c>
      <c r="I27" s="63" t="s">
        <v>356</v>
      </c>
      <c r="J27" s="63" t="s">
        <v>106</v>
      </c>
      <c r="K27" s="63"/>
      <c r="L27" s="64" t="s">
        <v>105</v>
      </c>
      <c r="M27" s="58">
        <v>45789</v>
      </c>
      <c r="N27" s="63">
        <v>0</v>
      </c>
      <c r="O27" s="58"/>
      <c r="P27" s="65">
        <v>1.528</v>
      </c>
      <c r="Q27" s="65">
        <f t="shared" si="0"/>
        <v>3.8200000000000003</v>
      </c>
      <c r="R27" s="65"/>
      <c r="S27" s="65"/>
      <c r="T27" s="58">
        <v>45797</v>
      </c>
      <c r="U27" s="58">
        <v>45797</v>
      </c>
      <c r="V27" s="63">
        <v>21</v>
      </c>
      <c r="W27" s="63" t="s">
        <v>180</v>
      </c>
      <c r="X27" s="66"/>
      <c r="Y27" s="63"/>
      <c r="Z27" s="68"/>
      <c r="AA27" s="68" t="s">
        <v>504</v>
      </c>
    </row>
    <row r="28" spans="2:27" s="2" customFormat="1" ht="24.95" customHeight="1" x14ac:dyDescent="0.25">
      <c r="B28" s="61">
        <v>27</v>
      </c>
      <c r="C28" s="63" t="s">
        <v>68</v>
      </c>
      <c r="D28" s="63" t="s">
        <v>62</v>
      </c>
      <c r="E28" s="63" t="s">
        <v>150</v>
      </c>
      <c r="F28" s="63">
        <v>3688</v>
      </c>
      <c r="G28" s="63">
        <v>2950</v>
      </c>
      <c r="H28" s="63">
        <v>120</v>
      </c>
      <c r="I28" s="63" t="s">
        <v>356</v>
      </c>
      <c r="J28" s="63" t="s">
        <v>106</v>
      </c>
      <c r="K28" s="63"/>
      <c r="L28" s="64" t="s">
        <v>105</v>
      </c>
      <c r="M28" s="58">
        <v>45789</v>
      </c>
      <c r="N28" s="63">
        <v>0</v>
      </c>
      <c r="O28" s="58"/>
      <c r="P28" s="65">
        <v>1.405</v>
      </c>
      <c r="Q28" s="65">
        <f t="shared" si="0"/>
        <v>3.5125000000000002</v>
      </c>
      <c r="R28" s="65"/>
      <c r="S28" s="65"/>
      <c r="T28" s="58">
        <v>45797</v>
      </c>
      <c r="U28" s="58">
        <v>45797</v>
      </c>
      <c r="V28" s="63">
        <v>21</v>
      </c>
      <c r="W28" s="63" t="s">
        <v>175</v>
      </c>
      <c r="X28" s="66"/>
      <c r="Y28" s="63"/>
      <c r="Z28" s="68"/>
      <c r="AA28" s="68" t="s">
        <v>504</v>
      </c>
    </row>
    <row r="29" spans="2:27" s="2" customFormat="1" ht="24.95" customHeight="1" x14ac:dyDescent="0.25">
      <c r="B29" s="61">
        <v>28</v>
      </c>
      <c r="C29" s="63" t="s">
        <v>50</v>
      </c>
      <c r="D29" s="63" t="s">
        <v>62</v>
      </c>
      <c r="E29" s="63" t="s">
        <v>151</v>
      </c>
      <c r="F29" s="63">
        <v>400</v>
      </c>
      <c r="G29" s="63">
        <v>2790</v>
      </c>
      <c r="H29" s="63">
        <v>300</v>
      </c>
      <c r="I29" s="63" t="s">
        <v>46</v>
      </c>
      <c r="J29" s="63" t="s">
        <v>51</v>
      </c>
      <c r="K29" s="63" t="s">
        <v>168</v>
      </c>
      <c r="L29" s="64" t="s">
        <v>47</v>
      </c>
      <c r="M29" s="58">
        <v>45787</v>
      </c>
      <c r="N29" s="63">
        <v>0</v>
      </c>
      <c r="O29" s="58"/>
      <c r="P29" s="65">
        <v>0.65100000000000002</v>
      </c>
      <c r="Q29" s="65">
        <f t="shared" si="0"/>
        <v>1.6274999999999999</v>
      </c>
      <c r="R29" s="65"/>
      <c r="S29" s="65"/>
      <c r="T29" s="58">
        <v>45796</v>
      </c>
      <c r="U29" s="58">
        <v>45796</v>
      </c>
      <c r="V29" s="63">
        <v>21</v>
      </c>
      <c r="W29" s="63" t="s">
        <v>178</v>
      </c>
      <c r="X29" s="66"/>
      <c r="Y29" s="63"/>
      <c r="Z29" s="68"/>
      <c r="AA29" s="68" t="s">
        <v>504</v>
      </c>
    </row>
    <row r="30" spans="2:27" s="2" customFormat="1" ht="24.95" customHeight="1" x14ac:dyDescent="0.25">
      <c r="B30" s="61">
        <v>29</v>
      </c>
      <c r="C30" s="63" t="s">
        <v>48</v>
      </c>
      <c r="D30" s="63" t="s">
        <v>62</v>
      </c>
      <c r="E30" s="63" t="s">
        <v>151</v>
      </c>
      <c r="F30" s="63">
        <v>400</v>
      </c>
      <c r="G30" s="63">
        <v>2790</v>
      </c>
      <c r="H30" s="63">
        <v>300</v>
      </c>
      <c r="I30" s="63" t="s">
        <v>46</v>
      </c>
      <c r="J30" s="63" t="s">
        <v>49</v>
      </c>
      <c r="K30" s="63" t="s">
        <v>168</v>
      </c>
      <c r="L30" s="64" t="s">
        <v>47</v>
      </c>
      <c r="M30" s="58">
        <v>45787</v>
      </c>
      <c r="N30" s="63">
        <v>0</v>
      </c>
      <c r="O30" s="58"/>
      <c r="P30" s="65">
        <v>0.63400000000000001</v>
      </c>
      <c r="Q30" s="65">
        <f t="shared" si="0"/>
        <v>1.585</v>
      </c>
      <c r="R30" s="65"/>
      <c r="S30" s="65"/>
      <c r="T30" s="58">
        <v>45796</v>
      </c>
      <c r="U30" s="58">
        <v>45796</v>
      </c>
      <c r="V30" s="63">
        <v>21</v>
      </c>
      <c r="W30" s="63" t="s">
        <v>193</v>
      </c>
      <c r="X30" s="66"/>
      <c r="Y30" s="63"/>
      <c r="Z30" s="68"/>
      <c r="AA30" s="68" t="s">
        <v>504</v>
      </c>
    </row>
    <row r="31" spans="2:27" s="2" customFormat="1" ht="24.95" customHeight="1" x14ac:dyDescent="0.25">
      <c r="B31" s="61">
        <v>30</v>
      </c>
      <c r="C31" s="63" t="s">
        <v>43</v>
      </c>
      <c r="D31" s="63" t="s">
        <v>62</v>
      </c>
      <c r="E31" s="63" t="s">
        <v>151</v>
      </c>
      <c r="F31" s="63">
        <v>400</v>
      </c>
      <c r="G31" s="63">
        <v>2920</v>
      </c>
      <c r="H31" s="63">
        <v>300</v>
      </c>
      <c r="I31" s="63" t="s">
        <v>46</v>
      </c>
      <c r="J31" s="63" t="s">
        <v>45</v>
      </c>
      <c r="K31" s="63" t="s">
        <v>168</v>
      </c>
      <c r="L31" s="64" t="s">
        <v>47</v>
      </c>
      <c r="M31" s="58">
        <v>45787</v>
      </c>
      <c r="N31" s="63">
        <v>0</v>
      </c>
      <c r="O31" s="58"/>
      <c r="P31" s="65">
        <v>0.73699999999999999</v>
      </c>
      <c r="Q31" s="65">
        <f t="shared" si="0"/>
        <v>1.8425</v>
      </c>
      <c r="R31" s="65"/>
      <c r="S31" s="65"/>
      <c r="T31" s="58">
        <v>45796</v>
      </c>
      <c r="U31" s="58">
        <v>45796</v>
      </c>
      <c r="V31" s="63">
        <v>21</v>
      </c>
      <c r="W31" s="63" t="s">
        <v>177</v>
      </c>
      <c r="X31" s="66"/>
      <c r="Y31" s="63"/>
      <c r="Z31" s="68"/>
      <c r="AA31" s="68" t="s">
        <v>504</v>
      </c>
    </row>
    <row r="32" spans="2:27" s="2" customFormat="1" ht="24.95" customHeight="1" x14ac:dyDescent="0.25">
      <c r="B32" s="61">
        <v>31</v>
      </c>
      <c r="C32" s="63" t="s">
        <v>160</v>
      </c>
      <c r="D32" s="63" t="s">
        <v>62</v>
      </c>
      <c r="E32" s="63" t="s">
        <v>151</v>
      </c>
      <c r="F32" s="63">
        <v>400</v>
      </c>
      <c r="G32" s="63">
        <v>2630</v>
      </c>
      <c r="H32" s="63">
        <v>300</v>
      </c>
      <c r="I32" s="63" t="s">
        <v>46</v>
      </c>
      <c r="J32" s="63" t="s">
        <v>164</v>
      </c>
      <c r="K32" s="63" t="s">
        <v>167</v>
      </c>
      <c r="L32" s="64" t="s">
        <v>165</v>
      </c>
      <c r="M32" s="58">
        <v>45789</v>
      </c>
      <c r="N32" s="63">
        <v>0</v>
      </c>
      <c r="O32" s="58"/>
      <c r="P32" s="65">
        <v>0.68</v>
      </c>
      <c r="Q32" s="65">
        <f t="shared" si="0"/>
        <v>1.7000000000000002</v>
      </c>
      <c r="R32" s="65"/>
      <c r="S32" s="65"/>
      <c r="T32" s="58">
        <v>45803</v>
      </c>
      <c r="U32" s="58">
        <v>45803</v>
      </c>
      <c r="V32" s="63">
        <v>21</v>
      </c>
      <c r="W32" s="63" t="s">
        <v>226</v>
      </c>
      <c r="X32" s="66"/>
      <c r="Y32" s="63"/>
      <c r="Z32" s="68"/>
      <c r="AA32" s="68" t="s">
        <v>504</v>
      </c>
    </row>
    <row r="33" spans="2:27" s="2" customFormat="1" ht="24.95" customHeight="1" x14ac:dyDescent="0.25">
      <c r="B33" s="61">
        <v>32</v>
      </c>
      <c r="C33" s="63" t="s">
        <v>22</v>
      </c>
      <c r="D33" s="63" t="s">
        <v>62</v>
      </c>
      <c r="E33" s="63" t="s">
        <v>151</v>
      </c>
      <c r="F33" s="63">
        <v>5084</v>
      </c>
      <c r="G33" s="63">
        <v>2180</v>
      </c>
      <c r="H33" s="63">
        <v>120</v>
      </c>
      <c r="I33" s="63" t="s">
        <v>18</v>
      </c>
      <c r="J33" s="63" t="s">
        <v>19</v>
      </c>
      <c r="K33" s="63"/>
      <c r="L33" s="64" t="s">
        <v>42</v>
      </c>
      <c r="M33" s="58">
        <v>45785</v>
      </c>
      <c r="N33" s="63">
        <v>1</v>
      </c>
      <c r="O33" s="58">
        <v>45787</v>
      </c>
      <c r="P33" s="65">
        <v>1.33</v>
      </c>
      <c r="Q33" s="65">
        <f t="shared" si="0"/>
        <v>3.3250000000000002</v>
      </c>
      <c r="R33" s="65"/>
      <c r="S33" s="65"/>
      <c r="T33" s="58">
        <v>45794</v>
      </c>
      <c r="U33" s="58">
        <v>45794</v>
      </c>
      <c r="V33" s="63">
        <v>21</v>
      </c>
      <c r="W33" s="63" t="s">
        <v>197</v>
      </c>
      <c r="X33" s="66"/>
      <c r="Y33" s="63"/>
      <c r="Z33" s="68"/>
      <c r="AA33" s="68" t="s">
        <v>504</v>
      </c>
    </row>
    <row r="34" spans="2:27" s="2" customFormat="1" ht="24.95" customHeight="1" x14ac:dyDescent="0.25">
      <c r="B34" s="61">
        <v>33</v>
      </c>
      <c r="C34" s="63" t="s">
        <v>41</v>
      </c>
      <c r="D34" s="63" t="s">
        <v>62</v>
      </c>
      <c r="E34" s="63" t="s">
        <v>151</v>
      </c>
      <c r="F34" s="63">
        <v>5083</v>
      </c>
      <c r="G34" s="63">
        <v>1310</v>
      </c>
      <c r="H34" s="63">
        <v>120</v>
      </c>
      <c r="I34" s="63" t="s">
        <v>18</v>
      </c>
      <c r="J34" s="63" t="s">
        <v>19</v>
      </c>
      <c r="K34" s="63"/>
      <c r="L34" s="64" t="s">
        <v>40</v>
      </c>
      <c r="M34" s="58">
        <v>45785</v>
      </c>
      <c r="N34" s="63">
        <v>0</v>
      </c>
      <c r="O34" s="58"/>
      <c r="P34" s="65">
        <v>0.79700000000000004</v>
      </c>
      <c r="Q34" s="65">
        <f t="shared" si="0"/>
        <v>1.9925000000000002</v>
      </c>
      <c r="R34" s="65"/>
      <c r="S34" s="65"/>
      <c r="T34" s="58">
        <v>45794</v>
      </c>
      <c r="U34" s="58">
        <v>45794</v>
      </c>
      <c r="V34" s="63">
        <v>21</v>
      </c>
      <c r="W34" s="63" t="s">
        <v>196</v>
      </c>
      <c r="X34" s="66"/>
      <c r="Y34" s="63"/>
      <c r="Z34" s="68"/>
      <c r="AA34" s="68" t="s">
        <v>504</v>
      </c>
    </row>
    <row r="35" spans="2:27" s="2" customFormat="1" ht="24.95" customHeight="1" x14ac:dyDescent="0.25">
      <c r="B35" s="61">
        <v>34</v>
      </c>
      <c r="C35" s="63" t="s">
        <v>23</v>
      </c>
      <c r="D35" s="63" t="s">
        <v>62</v>
      </c>
      <c r="E35" s="63" t="s">
        <v>151</v>
      </c>
      <c r="F35" s="63">
        <v>4132</v>
      </c>
      <c r="G35" s="63">
        <v>1440</v>
      </c>
      <c r="H35" s="63">
        <v>120</v>
      </c>
      <c r="I35" s="63" t="s">
        <v>18</v>
      </c>
      <c r="J35" s="63" t="s">
        <v>19</v>
      </c>
      <c r="K35" s="63"/>
      <c r="L35" s="64" t="s">
        <v>42</v>
      </c>
      <c r="M35" s="58">
        <v>45785</v>
      </c>
      <c r="N35" s="63">
        <v>1</v>
      </c>
      <c r="O35" s="58">
        <v>45787</v>
      </c>
      <c r="P35" s="65">
        <v>0.71399999999999997</v>
      </c>
      <c r="Q35" s="65">
        <f t="shared" si="0"/>
        <v>1.7849999999999999</v>
      </c>
      <c r="R35" s="65"/>
      <c r="S35" s="65"/>
      <c r="T35" s="58">
        <v>45794</v>
      </c>
      <c r="U35" s="58">
        <v>45794</v>
      </c>
      <c r="V35" s="63">
        <v>21</v>
      </c>
      <c r="W35" s="63" t="s">
        <v>195</v>
      </c>
      <c r="X35" s="66"/>
      <c r="Y35" s="63"/>
      <c r="Z35" s="68"/>
      <c r="AA35" s="68" t="s">
        <v>504</v>
      </c>
    </row>
    <row r="36" spans="2:27" s="2" customFormat="1" ht="24.95" customHeight="1" x14ac:dyDescent="0.25">
      <c r="B36" s="61">
        <v>35</v>
      </c>
      <c r="C36" s="63" t="s">
        <v>24</v>
      </c>
      <c r="D36" s="63" t="s">
        <v>62</v>
      </c>
      <c r="E36" s="63" t="s">
        <v>151</v>
      </c>
      <c r="F36" s="63">
        <v>4131</v>
      </c>
      <c r="G36" s="63">
        <v>1440</v>
      </c>
      <c r="H36" s="63">
        <v>120</v>
      </c>
      <c r="I36" s="63" t="s">
        <v>18</v>
      </c>
      <c r="J36" s="63" t="s">
        <v>19</v>
      </c>
      <c r="K36" s="63"/>
      <c r="L36" s="64" t="s">
        <v>42</v>
      </c>
      <c r="M36" s="58">
        <v>45785</v>
      </c>
      <c r="N36" s="63">
        <v>1</v>
      </c>
      <c r="O36" s="58">
        <v>45787</v>
      </c>
      <c r="P36" s="65">
        <v>0.71199999999999997</v>
      </c>
      <c r="Q36" s="65">
        <f t="shared" si="0"/>
        <v>1.7799999999999998</v>
      </c>
      <c r="R36" s="65"/>
      <c r="S36" s="65"/>
      <c r="T36" s="58">
        <v>45796</v>
      </c>
      <c r="U36" s="58">
        <v>45796</v>
      </c>
      <c r="V36" s="63">
        <v>21</v>
      </c>
      <c r="W36" s="63" t="s">
        <v>198</v>
      </c>
      <c r="X36" s="66"/>
      <c r="Y36" s="63"/>
      <c r="Z36" s="68"/>
      <c r="AA36" s="68" t="s">
        <v>504</v>
      </c>
    </row>
    <row r="37" spans="2:27" s="2" customFormat="1" ht="24.95" customHeight="1" x14ac:dyDescent="0.25">
      <c r="B37" s="61">
        <v>36</v>
      </c>
      <c r="C37" s="63" t="s">
        <v>36</v>
      </c>
      <c r="D37" s="63" t="s">
        <v>62</v>
      </c>
      <c r="E37" s="63" t="s">
        <v>151</v>
      </c>
      <c r="F37" s="63">
        <v>4131</v>
      </c>
      <c r="G37" s="63">
        <v>1310</v>
      </c>
      <c r="H37" s="63">
        <v>120</v>
      </c>
      <c r="I37" s="63" t="s">
        <v>18</v>
      </c>
      <c r="J37" s="63" t="s">
        <v>19</v>
      </c>
      <c r="K37" s="63"/>
      <c r="L37" s="64" t="s">
        <v>40</v>
      </c>
      <c r="M37" s="58">
        <v>45785</v>
      </c>
      <c r="N37" s="63">
        <v>0</v>
      </c>
      <c r="O37" s="58"/>
      <c r="P37" s="65">
        <v>0.64900000000000002</v>
      </c>
      <c r="Q37" s="65">
        <f t="shared" si="0"/>
        <v>1.6225000000000001</v>
      </c>
      <c r="R37" s="65"/>
      <c r="S37" s="65"/>
      <c r="T37" s="58">
        <v>45796</v>
      </c>
      <c r="U37" s="58">
        <v>45796</v>
      </c>
      <c r="V37" s="63">
        <v>21</v>
      </c>
      <c r="W37" s="63" t="s">
        <v>199</v>
      </c>
      <c r="X37" s="66"/>
      <c r="Y37" s="63"/>
      <c r="Z37" s="68"/>
      <c r="AA37" s="68" t="s">
        <v>504</v>
      </c>
    </row>
    <row r="38" spans="2:27" s="2" customFormat="1" ht="24.95" customHeight="1" x14ac:dyDescent="0.25">
      <c r="B38" s="61">
        <v>37</v>
      </c>
      <c r="C38" s="63" t="s">
        <v>100</v>
      </c>
      <c r="D38" s="63" t="s">
        <v>62</v>
      </c>
      <c r="E38" s="63" t="s">
        <v>152</v>
      </c>
      <c r="F38" s="63">
        <v>4406</v>
      </c>
      <c r="G38" s="63">
        <v>3730</v>
      </c>
      <c r="H38" s="63">
        <v>120</v>
      </c>
      <c r="I38" s="63" t="s">
        <v>356</v>
      </c>
      <c r="J38" s="63" t="s">
        <v>132</v>
      </c>
      <c r="K38" s="63"/>
      <c r="L38" s="64" t="s">
        <v>105</v>
      </c>
      <c r="M38" s="58">
        <v>45789</v>
      </c>
      <c r="N38" s="63">
        <v>0</v>
      </c>
      <c r="O38" s="58"/>
      <c r="P38" s="65">
        <v>2.1960000000000002</v>
      </c>
      <c r="Q38" s="65">
        <f t="shared" si="0"/>
        <v>5.49</v>
      </c>
      <c r="R38" s="65"/>
      <c r="S38" s="65"/>
      <c r="T38" s="58">
        <v>45794</v>
      </c>
      <c r="U38" s="58">
        <v>45794</v>
      </c>
      <c r="V38" s="63">
        <v>21</v>
      </c>
      <c r="W38" s="63" t="s">
        <v>194</v>
      </c>
      <c r="X38" s="66"/>
      <c r="Y38" s="63"/>
      <c r="Z38" s="68"/>
      <c r="AA38" s="68" t="s">
        <v>504</v>
      </c>
    </row>
    <row r="39" spans="2:27" s="2" customFormat="1" ht="24.95" customHeight="1" x14ac:dyDescent="0.25">
      <c r="B39" s="61">
        <v>38</v>
      </c>
      <c r="C39" s="63" t="s">
        <v>101</v>
      </c>
      <c r="D39" s="63" t="s">
        <v>62</v>
      </c>
      <c r="E39" s="63" t="s">
        <v>152</v>
      </c>
      <c r="F39" s="63">
        <v>4406</v>
      </c>
      <c r="G39" s="63">
        <v>3730</v>
      </c>
      <c r="H39" s="63">
        <v>120</v>
      </c>
      <c r="I39" s="63" t="s">
        <v>356</v>
      </c>
      <c r="J39" s="63" t="s">
        <v>132</v>
      </c>
      <c r="K39" s="63"/>
      <c r="L39" s="64" t="s">
        <v>105</v>
      </c>
      <c r="M39" s="58">
        <v>45789</v>
      </c>
      <c r="N39" s="63">
        <v>0</v>
      </c>
      <c r="O39" s="58"/>
      <c r="P39" s="65">
        <v>2.1960000000000002</v>
      </c>
      <c r="Q39" s="65">
        <f t="shared" si="0"/>
        <v>5.49</v>
      </c>
      <c r="R39" s="65"/>
      <c r="S39" s="65"/>
      <c r="T39" s="58">
        <v>45797</v>
      </c>
      <c r="U39" s="58">
        <v>45797</v>
      </c>
      <c r="V39" s="63">
        <v>21</v>
      </c>
      <c r="W39" s="63" t="s">
        <v>185</v>
      </c>
      <c r="X39" s="66"/>
      <c r="Y39" s="63"/>
      <c r="Z39" s="68"/>
      <c r="AA39" s="68" t="s">
        <v>504</v>
      </c>
    </row>
    <row r="40" spans="2:27" s="2" customFormat="1" ht="24.95" customHeight="1" x14ac:dyDescent="0.25">
      <c r="B40" s="61">
        <v>39</v>
      </c>
      <c r="C40" s="63" t="s">
        <v>104</v>
      </c>
      <c r="D40" s="63" t="s">
        <v>62</v>
      </c>
      <c r="E40" s="63" t="s">
        <v>152</v>
      </c>
      <c r="F40" s="63">
        <v>400</v>
      </c>
      <c r="G40" s="63">
        <v>3480</v>
      </c>
      <c r="H40" s="63">
        <v>300</v>
      </c>
      <c r="I40" s="63" t="s">
        <v>46</v>
      </c>
      <c r="J40" s="63" t="s">
        <v>49</v>
      </c>
      <c r="K40" s="63" t="s">
        <v>168</v>
      </c>
      <c r="L40" s="64" t="s">
        <v>165</v>
      </c>
      <c r="M40" s="58">
        <v>45789</v>
      </c>
      <c r="N40" s="63">
        <v>1</v>
      </c>
      <c r="O40" s="58">
        <v>45789</v>
      </c>
      <c r="P40" s="65">
        <v>0.69499999999999995</v>
      </c>
      <c r="Q40" s="65">
        <f t="shared" si="0"/>
        <v>1.7374999999999998</v>
      </c>
      <c r="R40" s="65"/>
      <c r="S40" s="65"/>
      <c r="T40" s="58">
        <v>45797</v>
      </c>
      <c r="U40" s="58">
        <v>45797</v>
      </c>
      <c r="V40" s="63">
        <v>21</v>
      </c>
      <c r="W40" s="63" t="s">
        <v>178</v>
      </c>
      <c r="X40" s="66"/>
      <c r="Y40" s="63"/>
      <c r="Z40" s="68"/>
      <c r="AA40" s="68" t="s">
        <v>504</v>
      </c>
    </row>
    <row r="41" spans="2:27" s="2" customFormat="1" ht="24.95" customHeight="1" x14ac:dyDescent="0.25">
      <c r="B41" s="61">
        <v>40</v>
      </c>
      <c r="C41" s="63" t="s">
        <v>61</v>
      </c>
      <c r="D41" s="63" t="s">
        <v>62</v>
      </c>
      <c r="E41" s="63" t="s">
        <v>152</v>
      </c>
      <c r="F41" s="63">
        <v>400</v>
      </c>
      <c r="G41" s="63">
        <v>2860</v>
      </c>
      <c r="H41" s="63">
        <v>300</v>
      </c>
      <c r="I41" s="63" t="s">
        <v>46</v>
      </c>
      <c r="J41" s="63" t="s">
        <v>60</v>
      </c>
      <c r="K41" s="63" t="s">
        <v>168</v>
      </c>
      <c r="L41" s="64" t="s">
        <v>165</v>
      </c>
      <c r="M41" s="58">
        <v>45789</v>
      </c>
      <c r="N41" s="63">
        <v>1</v>
      </c>
      <c r="O41" s="58">
        <v>45789</v>
      </c>
      <c r="P41" s="65">
        <v>0.65600000000000003</v>
      </c>
      <c r="Q41" s="65">
        <f t="shared" si="0"/>
        <v>1.6400000000000001</v>
      </c>
      <c r="R41" s="65"/>
      <c r="S41" s="65"/>
      <c r="T41" s="58">
        <v>45797</v>
      </c>
      <c r="U41" s="58">
        <v>45797</v>
      </c>
      <c r="V41" s="63">
        <v>21</v>
      </c>
      <c r="W41" s="63" t="s">
        <v>179</v>
      </c>
      <c r="X41" s="66"/>
      <c r="Y41" s="63"/>
      <c r="Z41" s="68"/>
      <c r="AA41" s="68" t="s">
        <v>504</v>
      </c>
    </row>
    <row r="42" spans="2:27" s="2" customFormat="1" ht="24.95" customHeight="1" x14ac:dyDescent="0.25">
      <c r="B42" s="61">
        <v>41</v>
      </c>
      <c r="C42" s="63" t="s">
        <v>102</v>
      </c>
      <c r="D42" s="63" t="s">
        <v>62</v>
      </c>
      <c r="E42" s="63" t="s">
        <v>152</v>
      </c>
      <c r="F42" s="63">
        <v>400</v>
      </c>
      <c r="G42" s="63">
        <v>3170</v>
      </c>
      <c r="H42" s="63">
        <v>300</v>
      </c>
      <c r="I42" s="63" t="s">
        <v>46</v>
      </c>
      <c r="J42" s="63" t="s">
        <v>49</v>
      </c>
      <c r="K42" s="63" t="s">
        <v>168</v>
      </c>
      <c r="L42" s="64" t="s">
        <v>105</v>
      </c>
      <c r="M42" s="58">
        <v>45789</v>
      </c>
      <c r="N42" s="63">
        <v>0</v>
      </c>
      <c r="O42" s="58"/>
      <c r="P42" s="65">
        <v>0.67400000000000004</v>
      </c>
      <c r="Q42" s="65">
        <f t="shared" si="0"/>
        <v>1.6850000000000001</v>
      </c>
      <c r="R42" s="65"/>
      <c r="S42" s="65"/>
      <c r="T42" s="58">
        <v>45797</v>
      </c>
      <c r="U42" s="58">
        <v>45797</v>
      </c>
      <c r="V42" s="63">
        <v>21</v>
      </c>
      <c r="W42" s="63" t="s">
        <v>177</v>
      </c>
      <c r="X42" s="66"/>
      <c r="Y42" s="63"/>
      <c r="Z42" s="68"/>
      <c r="AA42" s="68" t="s">
        <v>504</v>
      </c>
    </row>
    <row r="43" spans="2:27" s="2" customFormat="1" ht="24.95" customHeight="1" x14ac:dyDescent="0.25">
      <c r="B43" s="61">
        <v>42</v>
      </c>
      <c r="C43" s="63" t="s">
        <v>103</v>
      </c>
      <c r="D43" s="63" t="s">
        <v>62</v>
      </c>
      <c r="E43" s="63" t="s">
        <v>152</v>
      </c>
      <c r="F43" s="63">
        <v>400</v>
      </c>
      <c r="G43" s="63">
        <v>3170</v>
      </c>
      <c r="H43" s="63">
        <v>300</v>
      </c>
      <c r="I43" s="63" t="s">
        <v>46</v>
      </c>
      <c r="J43" s="63" t="s">
        <v>45</v>
      </c>
      <c r="K43" s="63" t="s">
        <v>168</v>
      </c>
      <c r="L43" s="64" t="s">
        <v>105</v>
      </c>
      <c r="M43" s="58">
        <v>45789</v>
      </c>
      <c r="N43" s="63">
        <v>0</v>
      </c>
      <c r="O43" s="58"/>
      <c r="P43" s="65">
        <v>0.76100000000000001</v>
      </c>
      <c r="Q43" s="65">
        <f t="shared" si="0"/>
        <v>1.9025000000000001</v>
      </c>
      <c r="R43" s="65"/>
      <c r="S43" s="65"/>
      <c r="T43" s="58">
        <v>45798</v>
      </c>
      <c r="U43" s="58">
        <v>45798</v>
      </c>
      <c r="V43" s="63">
        <v>21</v>
      </c>
      <c r="W43" s="63" t="s">
        <v>193</v>
      </c>
      <c r="X43" s="66"/>
      <c r="Y43" s="63"/>
      <c r="Z43" s="68"/>
      <c r="AA43" s="68" t="s">
        <v>504</v>
      </c>
    </row>
    <row r="44" spans="2:27" s="2" customFormat="1" ht="24.95" customHeight="1" x14ac:dyDescent="0.25">
      <c r="B44" s="61">
        <v>43</v>
      </c>
      <c r="C44" s="63" t="s">
        <v>163</v>
      </c>
      <c r="D44" s="63" t="s">
        <v>62</v>
      </c>
      <c r="E44" s="63" t="s">
        <v>152</v>
      </c>
      <c r="F44" s="63">
        <v>400</v>
      </c>
      <c r="G44" s="63">
        <v>2550</v>
      </c>
      <c r="H44" s="63">
        <v>300</v>
      </c>
      <c r="I44" s="63" t="s">
        <v>46</v>
      </c>
      <c r="J44" s="63" t="s">
        <v>164</v>
      </c>
      <c r="K44" s="63" t="s">
        <v>169</v>
      </c>
      <c r="L44" s="64" t="s">
        <v>165</v>
      </c>
      <c r="M44" s="58">
        <v>45789</v>
      </c>
      <c r="N44" s="63">
        <v>0</v>
      </c>
      <c r="O44" s="58"/>
      <c r="P44" s="65">
        <v>0.67100000000000004</v>
      </c>
      <c r="Q44" s="65">
        <f t="shared" si="0"/>
        <v>1.6775000000000002</v>
      </c>
      <c r="R44" s="65"/>
      <c r="S44" s="65"/>
      <c r="T44" s="58">
        <v>45800</v>
      </c>
      <c r="U44" s="58">
        <v>45800</v>
      </c>
      <c r="V44" s="63">
        <v>21</v>
      </c>
      <c r="W44" s="63" t="s">
        <v>247</v>
      </c>
      <c r="X44" s="66"/>
      <c r="Y44" s="63"/>
      <c r="Z44" s="68"/>
      <c r="AA44" s="68" t="s">
        <v>504</v>
      </c>
    </row>
    <row r="45" spans="2:27" s="2" customFormat="1" ht="24.95" customHeight="1" x14ac:dyDescent="0.25">
      <c r="B45" s="61">
        <v>44</v>
      </c>
      <c r="C45" s="63" t="s">
        <v>32</v>
      </c>
      <c r="D45" s="63" t="s">
        <v>62</v>
      </c>
      <c r="E45" s="63" t="s">
        <v>152</v>
      </c>
      <c r="F45" s="63">
        <v>4934</v>
      </c>
      <c r="G45" s="63">
        <v>2100</v>
      </c>
      <c r="H45" s="63">
        <v>120</v>
      </c>
      <c r="I45" s="63" t="s">
        <v>18</v>
      </c>
      <c r="J45" s="63" t="s">
        <v>19</v>
      </c>
      <c r="K45" s="63"/>
      <c r="L45" s="64" t="s">
        <v>42</v>
      </c>
      <c r="M45" s="58">
        <v>45785</v>
      </c>
      <c r="N45" s="63">
        <v>1</v>
      </c>
      <c r="O45" s="58">
        <v>45787</v>
      </c>
      <c r="P45" s="65">
        <v>1.2430000000000001</v>
      </c>
      <c r="Q45" s="65">
        <f t="shared" si="0"/>
        <v>3.1075000000000004</v>
      </c>
      <c r="R45" s="65"/>
      <c r="S45" s="65"/>
      <c r="T45" s="58">
        <v>45797</v>
      </c>
      <c r="U45" s="58">
        <v>45797</v>
      </c>
      <c r="V45" s="63">
        <v>21</v>
      </c>
      <c r="W45" s="63" t="s">
        <v>197</v>
      </c>
      <c r="X45" s="66"/>
      <c r="Y45" s="63"/>
      <c r="Z45" s="68"/>
      <c r="AA45" s="68" t="s">
        <v>504</v>
      </c>
    </row>
    <row r="46" spans="2:27" s="2" customFormat="1" ht="24.95" customHeight="1" x14ac:dyDescent="0.25">
      <c r="B46" s="61">
        <v>45</v>
      </c>
      <c r="C46" s="63" t="s">
        <v>33</v>
      </c>
      <c r="D46" s="63" t="s">
        <v>62</v>
      </c>
      <c r="E46" s="63" t="s">
        <v>152</v>
      </c>
      <c r="F46" s="63">
        <v>4934</v>
      </c>
      <c r="G46" s="63">
        <v>1380</v>
      </c>
      <c r="H46" s="63">
        <v>120</v>
      </c>
      <c r="I46" s="63" t="s">
        <v>18</v>
      </c>
      <c r="J46" s="63" t="s">
        <v>19</v>
      </c>
      <c r="K46" s="63"/>
      <c r="L46" s="64" t="s">
        <v>42</v>
      </c>
      <c r="M46" s="58">
        <v>45785</v>
      </c>
      <c r="N46" s="63">
        <v>1</v>
      </c>
      <c r="O46" s="58">
        <v>45787</v>
      </c>
      <c r="P46" s="65">
        <v>0.81699999999999995</v>
      </c>
      <c r="Q46" s="65">
        <f t="shared" si="0"/>
        <v>2.0425</v>
      </c>
      <c r="R46" s="65"/>
      <c r="S46" s="65"/>
      <c r="T46" s="58">
        <v>45797</v>
      </c>
      <c r="U46" s="58">
        <v>45797</v>
      </c>
      <c r="V46" s="63">
        <v>21</v>
      </c>
      <c r="W46" s="63" t="s">
        <v>195</v>
      </c>
      <c r="X46" s="66"/>
      <c r="Y46" s="63"/>
      <c r="Z46" s="68"/>
      <c r="AA46" s="68" t="s">
        <v>504</v>
      </c>
    </row>
    <row r="47" spans="2:27" s="2" customFormat="1" ht="24.95" customHeight="1" x14ac:dyDescent="0.25">
      <c r="B47" s="61">
        <v>46</v>
      </c>
      <c r="C47" s="63" t="s">
        <v>34</v>
      </c>
      <c r="D47" s="63" t="s">
        <v>62</v>
      </c>
      <c r="E47" s="63" t="s">
        <v>152</v>
      </c>
      <c r="F47" s="63">
        <v>4224</v>
      </c>
      <c r="G47" s="63">
        <v>1380</v>
      </c>
      <c r="H47" s="63">
        <v>120</v>
      </c>
      <c r="I47" s="63" t="s">
        <v>18</v>
      </c>
      <c r="J47" s="63" t="s">
        <v>19</v>
      </c>
      <c r="K47" s="63"/>
      <c r="L47" s="64" t="s">
        <v>40</v>
      </c>
      <c r="M47" s="58">
        <v>45785</v>
      </c>
      <c r="N47" s="63">
        <v>0</v>
      </c>
      <c r="O47" s="58"/>
      <c r="P47" s="65">
        <v>0.69899999999999995</v>
      </c>
      <c r="Q47" s="65">
        <f t="shared" si="0"/>
        <v>1.7474999999999998</v>
      </c>
      <c r="R47" s="65"/>
      <c r="S47" s="65"/>
      <c r="T47" s="58">
        <v>45797</v>
      </c>
      <c r="U47" s="58">
        <v>45797</v>
      </c>
      <c r="V47" s="63">
        <v>21</v>
      </c>
      <c r="W47" s="63" t="s">
        <v>196</v>
      </c>
      <c r="X47" s="66"/>
      <c r="Y47" s="63"/>
      <c r="Z47" s="68"/>
      <c r="AA47" s="68" t="s">
        <v>504</v>
      </c>
    </row>
    <row r="48" spans="2:27" s="2" customFormat="1" ht="24.95" customHeight="1" x14ac:dyDescent="0.25">
      <c r="B48" s="61">
        <v>47</v>
      </c>
      <c r="C48" s="63" t="s">
        <v>35</v>
      </c>
      <c r="D48" s="63" t="s">
        <v>62</v>
      </c>
      <c r="E48" s="63" t="s">
        <v>152</v>
      </c>
      <c r="F48" s="63">
        <v>4215</v>
      </c>
      <c r="G48" s="63">
        <v>1690</v>
      </c>
      <c r="H48" s="63">
        <v>120</v>
      </c>
      <c r="I48" s="63" t="s">
        <v>18</v>
      </c>
      <c r="J48" s="63" t="s">
        <v>19</v>
      </c>
      <c r="K48" s="63"/>
      <c r="L48" s="64" t="s">
        <v>40</v>
      </c>
      <c r="M48" s="58">
        <v>45785</v>
      </c>
      <c r="N48" s="63">
        <v>0</v>
      </c>
      <c r="O48" s="58"/>
      <c r="P48" s="65">
        <v>0.85499999999999998</v>
      </c>
      <c r="Q48" s="65">
        <f t="shared" si="0"/>
        <v>2.1375000000000002</v>
      </c>
      <c r="R48" s="65"/>
      <c r="S48" s="65"/>
      <c r="T48" s="58">
        <v>45798</v>
      </c>
      <c r="U48" s="58">
        <v>45798</v>
      </c>
      <c r="V48" s="63">
        <v>21</v>
      </c>
      <c r="W48" s="63" t="s">
        <v>199</v>
      </c>
      <c r="X48" s="66"/>
      <c r="Y48" s="63"/>
      <c r="Z48" s="68"/>
      <c r="AA48" s="68" t="s">
        <v>504</v>
      </c>
    </row>
    <row r="49" spans="2:27" s="2" customFormat="1" ht="24.95" customHeight="1" x14ac:dyDescent="0.25">
      <c r="B49" s="61">
        <v>48</v>
      </c>
      <c r="C49" s="63" t="s">
        <v>37</v>
      </c>
      <c r="D49" s="63" t="s">
        <v>62</v>
      </c>
      <c r="E49" s="63" t="s">
        <v>152</v>
      </c>
      <c r="F49" s="63">
        <v>4224</v>
      </c>
      <c r="G49" s="63">
        <v>1690</v>
      </c>
      <c r="H49" s="63">
        <v>120</v>
      </c>
      <c r="I49" s="63" t="s">
        <v>18</v>
      </c>
      <c r="J49" s="63" t="s">
        <v>19</v>
      </c>
      <c r="K49" s="63"/>
      <c r="L49" s="64" t="s">
        <v>40</v>
      </c>
      <c r="M49" s="58">
        <v>45785</v>
      </c>
      <c r="N49" s="63">
        <v>0</v>
      </c>
      <c r="O49" s="58"/>
      <c r="P49" s="65">
        <v>0.85599999999999998</v>
      </c>
      <c r="Q49" s="65">
        <f t="shared" si="0"/>
        <v>2.14</v>
      </c>
      <c r="R49" s="65"/>
      <c r="S49" s="65"/>
      <c r="T49" s="58">
        <v>45798</v>
      </c>
      <c r="U49" s="58">
        <v>45798</v>
      </c>
      <c r="V49" s="63">
        <v>21</v>
      </c>
      <c r="W49" s="63" t="s">
        <v>198</v>
      </c>
      <c r="X49" s="66"/>
      <c r="Y49" s="63"/>
      <c r="Z49" s="68"/>
      <c r="AA49" s="68" t="s">
        <v>504</v>
      </c>
    </row>
    <row r="50" spans="2:27" s="2" customFormat="1" ht="24.95" customHeight="1" x14ac:dyDescent="0.25">
      <c r="B50" s="61">
        <v>49</v>
      </c>
      <c r="C50" s="63" t="s">
        <v>121</v>
      </c>
      <c r="D50" s="63" t="s">
        <v>62</v>
      </c>
      <c r="E50" s="63" t="s">
        <v>158</v>
      </c>
      <c r="F50" s="63">
        <v>3918</v>
      </c>
      <c r="G50" s="63">
        <v>2950</v>
      </c>
      <c r="H50" s="63">
        <v>120</v>
      </c>
      <c r="I50" s="63" t="s">
        <v>356</v>
      </c>
      <c r="J50" s="63" t="s">
        <v>106</v>
      </c>
      <c r="K50" s="63"/>
      <c r="L50" s="64" t="s">
        <v>105</v>
      </c>
      <c r="M50" s="58">
        <v>45789</v>
      </c>
      <c r="N50" s="63">
        <v>0</v>
      </c>
      <c r="O50" s="58"/>
      <c r="P50" s="65">
        <v>1.4650000000000001</v>
      </c>
      <c r="Q50" s="65">
        <f t="shared" si="0"/>
        <v>3.6625000000000001</v>
      </c>
      <c r="R50" s="65"/>
      <c r="S50" s="65"/>
      <c r="T50" s="58">
        <v>45798</v>
      </c>
      <c r="U50" s="58">
        <v>45798</v>
      </c>
      <c r="V50" s="63">
        <v>21</v>
      </c>
      <c r="W50" s="63" t="s">
        <v>174</v>
      </c>
      <c r="X50" s="66"/>
      <c r="Y50" s="63"/>
      <c r="Z50" s="68"/>
      <c r="AA50" s="68" t="s">
        <v>504</v>
      </c>
    </row>
    <row r="51" spans="2:27" s="2" customFormat="1" ht="24.95" customHeight="1" x14ac:dyDescent="0.25">
      <c r="B51" s="61">
        <v>50</v>
      </c>
      <c r="C51" s="63" t="s">
        <v>130</v>
      </c>
      <c r="D51" s="63" t="s">
        <v>62</v>
      </c>
      <c r="E51" s="63" t="s">
        <v>158</v>
      </c>
      <c r="F51" s="63">
        <v>2990</v>
      </c>
      <c r="G51" s="63">
        <v>3730</v>
      </c>
      <c r="H51" s="63">
        <v>120</v>
      </c>
      <c r="I51" s="63" t="s">
        <v>356</v>
      </c>
      <c r="J51" s="63" t="s">
        <v>127</v>
      </c>
      <c r="K51" s="63"/>
      <c r="L51" s="64" t="s">
        <v>105</v>
      </c>
      <c r="M51" s="58">
        <v>45789</v>
      </c>
      <c r="N51" s="63">
        <v>0</v>
      </c>
      <c r="O51" s="58"/>
      <c r="P51" s="65">
        <v>1.403</v>
      </c>
      <c r="Q51" s="65">
        <f t="shared" si="0"/>
        <v>3.5075000000000003</v>
      </c>
      <c r="R51" s="65"/>
      <c r="S51" s="65"/>
      <c r="T51" s="58">
        <v>45798</v>
      </c>
      <c r="U51" s="58">
        <v>45798</v>
      </c>
      <c r="V51" s="63">
        <v>21</v>
      </c>
      <c r="W51" s="63" t="s">
        <v>173</v>
      </c>
      <c r="X51" s="66"/>
      <c r="Y51" s="63"/>
      <c r="Z51" s="68"/>
      <c r="AA51" s="68" t="s">
        <v>504</v>
      </c>
    </row>
    <row r="52" spans="2:27" s="2" customFormat="1" ht="24.95" customHeight="1" x14ac:dyDescent="0.25">
      <c r="B52" s="61">
        <v>51</v>
      </c>
      <c r="C52" s="63" t="s">
        <v>131</v>
      </c>
      <c r="D52" s="63" t="s">
        <v>62</v>
      </c>
      <c r="E52" s="63" t="s">
        <v>158</v>
      </c>
      <c r="F52" s="63">
        <v>2990</v>
      </c>
      <c r="G52" s="63">
        <v>3730</v>
      </c>
      <c r="H52" s="63">
        <v>120</v>
      </c>
      <c r="I52" s="63" t="s">
        <v>356</v>
      </c>
      <c r="J52" s="63" t="s">
        <v>127</v>
      </c>
      <c r="K52" s="63"/>
      <c r="L52" s="64" t="s">
        <v>105</v>
      </c>
      <c r="M52" s="58">
        <v>45789</v>
      </c>
      <c r="N52" s="63">
        <v>0</v>
      </c>
      <c r="O52" s="58"/>
      <c r="P52" s="65">
        <v>1.403</v>
      </c>
      <c r="Q52" s="65">
        <f t="shared" si="0"/>
        <v>3.5075000000000003</v>
      </c>
      <c r="R52" s="65"/>
      <c r="S52" s="65"/>
      <c r="T52" s="58">
        <v>45799</v>
      </c>
      <c r="U52" s="58">
        <v>45799</v>
      </c>
      <c r="V52" s="63">
        <v>21</v>
      </c>
      <c r="W52" s="63" t="s">
        <v>175</v>
      </c>
      <c r="X52" s="66"/>
      <c r="Y52" s="63"/>
      <c r="Z52" s="68"/>
      <c r="AA52" s="68" t="s">
        <v>504</v>
      </c>
    </row>
    <row r="53" spans="2:27" s="2" customFormat="1" ht="24.95" customHeight="1" x14ac:dyDescent="0.25">
      <c r="B53" s="61">
        <v>52</v>
      </c>
      <c r="C53" s="63" t="s">
        <v>91</v>
      </c>
      <c r="D53" s="63" t="s">
        <v>62</v>
      </c>
      <c r="E53" s="63" t="s">
        <v>154</v>
      </c>
      <c r="F53" s="63">
        <v>4308</v>
      </c>
      <c r="G53" s="63">
        <v>2950</v>
      </c>
      <c r="H53" s="63">
        <v>120</v>
      </c>
      <c r="I53" s="63" t="s">
        <v>356</v>
      </c>
      <c r="J53" s="63" t="s">
        <v>106</v>
      </c>
      <c r="K53" s="63"/>
      <c r="L53" s="64" t="s">
        <v>105</v>
      </c>
      <c r="M53" s="58">
        <v>45789</v>
      </c>
      <c r="N53" s="63">
        <v>0</v>
      </c>
      <c r="O53" s="58"/>
      <c r="P53" s="65">
        <v>1.5660000000000001</v>
      </c>
      <c r="Q53" s="65">
        <f t="shared" si="0"/>
        <v>3.915</v>
      </c>
      <c r="R53" s="65"/>
      <c r="S53" s="65"/>
      <c r="T53" s="58">
        <v>45798</v>
      </c>
      <c r="U53" s="58">
        <v>45798</v>
      </c>
      <c r="V53" s="63">
        <v>21</v>
      </c>
      <c r="W53" s="63" t="s">
        <v>175</v>
      </c>
      <c r="X53" s="66"/>
      <c r="Y53" s="63"/>
      <c r="Z53" s="68"/>
      <c r="AA53" s="68" t="s">
        <v>504</v>
      </c>
    </row>
    <row r="54" spans="2:27" s="2" customFormat="1" ht="24.95" customHeight="1" x14ac:dyDescent="0.25">
      <c r="B54" s="61">
        <v>53</v>
      </c>
      <c r="C54" s="63" t="s">
        <v>99</v>
      </c>
      <c r="D54" s="63" t="s">
        <v>62</v>
      </c>
      <c r="E54" s="63" t="s">
        <v>154</v>
      </c>
      <c r="F54" s="63">
        <v>2990</v>
      </c>
      <c r="G54" s="63">
        <v>3730</v>
      </c>
      <c r="H54" s="63">
        <v>120</v>
      </c>
      <c r="I54" s="63" t="s">
        <v>356</v>
      </c>
      <c r="J54" s="63" t="s">
        <v>127</v>
      </c>
      <c r="K54" s="63"/>
      <c r="L54" s="64" t="s">
        <v>105</v>
      </c>
      <c r="M54" s="58">
        <v>45789</v>
      </c>
      <c r="N54" s="63">
        <v>0</v>
      </c>
      <c r="O54" s="58"/>
      <c r="P54" s="65">
        <v>1.403</v>
      </c>
      <c r="Q54" s="65">
        <f t="shared" si="0"/>
        <v>3.5075000000000003</v>
      </c>
      <c r="R54" s="65"/>
      <c r="S54" s="65"/>
      <c r="T54" s="58">
        <v>45798</v>
      </c>
      <c r="U54" s="58">
        <v>45798</v>
      </c>
      <c r="V54" s="63">
        <v>21</v>
      </c>
      <c r="W54" s="63" t="s">
        <v>181</v>
      </c>
      <c r="X54" s="66"/>
      <c r="Y54" s="63"/>
      <c r="Z54" s="68"/>
      <c r="AA54" s="68" t="s">
        <v>504</v>
      </c>
    </row>
    <row r="55" spans="2:27" s="2" customFormat="1" ht="24.95" customHeight="1" x14ac:dyDescent="0.25">
      <c r="B55" s="61">
        <v>54</v>
      </c>
      <c r="C55" s="63" t="s">
        <v>129</v>
      </c>
      <c r="D55" s="63" t="s">
        <v>62</v>
      </c>
      <c r="E55" s="63" t="s">
        <v>154</v>
      </c>
      <c r="F55" s="63">
        <v>2990</v>
      </c>
      <c r="G55" s="63">
        <v>3730</v>
      </c>
      <c r="H55" s="63">
        <v>120</v>
      </c>
      <c r="I55" s="63" t="s">
        <v>356</v>
      </c>
      <c r="J55" s="63" t="s">
        <v>127</v>
      </c>
      <c r="K55" s="63"/>
      <c r="L55" s="64" t="s">
        <v>105</v>
      </c>
      <c r="M55" s="58">
        <v>45789</v>
      </c>
      <c r="N55" s="63">
        <v>0</v>
      </c>
      <c r="O55" s="58"/>
      <c r="P55" s="65">
        <v>1.403</v>
      </c>
      <c r="Q55" s="65">
        <f t="shared" si="0"/>
        <v>3.5075000000000003</v>
      </c>
      <c r="R55" s="65"/>
      <c r="S55" s="65"/>
      <c r="T55" s="58">
        <v>45797</v>
      </c>
      <c r="U55" s="58">
        <v>45797</v>
      </c>
      <c r="V55" s="63">
        <v>21</v>
      </c>
      <c r="W55" s="63" t="s">
        <v>176</v>
      </c>
      <c r="X55" s="66"/>
      <c r="Y55" s="63"/>
      <c r="Z55" s="68"/>
      <c r="AA55" s="68" t="s">
        <v>504</v>
      </c>
    </row>
    <row r="56" spans="2:27" s="2" customFormat="1" ht="24.95" customHeight="1" x14ac:dyDescent="0.25">
      <c r="B56" s="61">
        <v>55</v>
      </c>
      <c r="C56" s="63" t="s">
        <v>94</v>
      </c>
      <c r="D56" s="63" t="s">
        <v>62</v>
      </c>
      <c r="E56" s="63" t="s">
        <v>157</v>
      </c>
      <c r="F56" s="63">
        <v>3918</v>
      </c>
      <c r="G56" s="63">
        <v>2950</v>
      </c>
      <c r="H56" s="63">
        <v>120</v>
      </c>
      <c r="I56" s="63" t="s">
        <v>356</v>
      </c>
      <c r="J56" s="63" t="s">
        <v>106</v>
      </c>
      <c r="K56" s="63"/>
      <c r="L56" s="64" t="s">
        <v>105</v>
      </c>
      <c r="M56" s="58">
        <v>45789</v>
      </c>
      <c r="N56" s="63">
        <v>0</v>
      </c>
      <c r="O56" s="58"/>
      <c r="P56" s="65">
        <v>1.4650000000000001</v>
      </c>
      <c r="Q56" s="65">
        <f t="shared" si="0"/>
        <v>3.6625000000000001</v>
      </c>
      <c r="R56" s="65"/>
      <c r="S56" s="65"/>
      <c r="T56" s="58">
        <v>45799</v>
      </c>
      <c r="U56" s="58">
        <v>45799</v>
      </c>
      <c r="V56" s="63">
        <v>21</v>
      </c>
      <c r="W56" s="63" t="s">
        <v>173</v>
      </c>
      <c r="X56" s="66"/>
      <c r="Y56" s="63"/>
      <c r="Z56" s="68"/>
      <c r="AA56" s="68" t="s">
        <v>504</v>
      </c>
    </row>
    <row r="57" spans="2:27" s="2" customFormat="1" ht="24.95" customHeight="1" x14ac:dyDescent="0.25">
      <c r="B57" s="61">
        <v>56</v>
      </c>
      <c r="C57" s="63" t="s">
        <v>98</v>
      </c>
      <c r="D57" s="63" t="s">
        <v>62</v>
      </c>
      <c r="E57" s="63" t="s">
        <v>157</v>
      </c>
      <c r="F57" s="63">
        <v>3022</v>
      </c>
      <c r="G57" s="63">
        <v>3730</v>
      </c>
      <c r="H57" s="63">
        <v>120</v>
      </c>
      <c r="I57" s="63" t="s">
        <v>356</v>
      </c>
      <c r="J57" s="63" t="s">
        <v>127</v>
      </c>
      <c r="K57" s="63"/>
      <c r="L57" s="64" t="s">
        <v>105</v>
      </c>
      <c r="M57" s="58">
        <v>45789</v>
      </c>
      <c r="N57" s="63">
        <v>0</v>
      </c>
      <c r="O57" s="58"/>
      <c r="P57" s="65">
        <v>1.415</v>
      </c>
      <c r="Q57" s="65">
        <f t="shared" si="0"/>
        <v>3.5375000000000001</v>
      </c>
      <c r="R57" s="65"/>
      <c r="S57" s="65"/>
      <c r="T57" s="58">
        <v>45799</v>
      </c>
      <c r="U57" s="58">
        <v>45799</v>
      </c>
      <c r="V57" s="63">
        <v>21</v>
      </c>
      <c r="W57" s="63" t="s">
        <v>174</v>
      </c>
      <c r="X57" s="66"/>
      <c r="Y57" s="63"/>
      <c r="Z57" s="68"/>
      <c r="AA57" s="68" t="s">
        <v>504</v>
      </c>
    </row>
    <row r="58" spans="2:27" s="2" customFormat="1" ht="24.95" customHeight="1" x14ac:dyDescent="0.25">
      <c r="B58" s="61">
        <v>57</v>
      </c>
      <c r="C58" s="63" t="s">
        <v>128</v>
      </c>
      <c r="D58" s="63" t="s">
        <v>62</v>
      </c>
      <c r="E58" s="63" t="s">
        <v>157</v>
      </c>
      <c r="F58" s="63">
        <v>3022</v>
      </c>
      <c r="G58" s="63">
        <v>3730</v>
      </c>
      <c r="H58" s="63">
        <v>120</v>
      </c>
      <c r="I58" s="63" t="s">
        <v>356</v>
      </c>
      <c r="J58" s="63" t="s">
        <v>127</v>
      </c>
      <c r="K58" s="63"/>
      <c r="L58" s="64" t="s">
        <v>105</v>
      </c>
      <c r="M58" s="58">
        <v>45789</v>
      </c>
      <c r="N58" s="63">
        <v>0</v>
      </c>
      <c r="O58" s="58"/>
      <c r="P58" s="65">
        <v>1.415</v>
      </c>
      <c r="Q58" s="65">
        <f t="shared" si="0"/>
        <v>3.5375000000000001</v>
      </c>
      <c r="R58" s="65"/>
      <c r="S58" s="65"/>
      <c r="T58" s="58">
        <v>45800</v>
      </c>
      <c r="U58" s="58">
        <v>45800</v>
      </c>
      <c r="V58" s="63">
        <v>21</v>
      </c>
      <c r="W58" s="63" t="s">
        <v>176</v>
      </c>
      <c r="X58" s="66"/>
      <c r="Y58" s="63"/>
      <c r="Z58" s="68"/>
      <c r="AA58" s="68" t="s">
        <v>504</v>
      </c>
    </row>
    <row r="59" spans="2:27" s="2" customFormat="1" ht="24.95" customHeight="1" x14ac:dyDescent="0.25">
      <c r="B59" s="61">
        <v>58</v>
      </c>
      <c r="C59" s="63" t="s">
        <v>90</v>
      </c>
      <c r="D59" s="63" t="s">
        <v>62</v>
      </c>
      <c r="E59" s="63" t="s">
        <v>155</v>
      </c>
      <c r="F59" s="63">
        <v>4228</v>
      </c>
      <c r="G59" s="63">
        <v>2950</v>
      </c>
      <c r="H59" s="63">
        <v>120</v>
      </c>
      <c r="I59" s="63" t="s">
        <v>356</v>
      </c>
      <c r="J59" s="63" t="s">
        <v>106</v>
      </c>
      <c r="K59" s="63"/>
      <c r="L59" s="64" t="s">
        <v>105</v>
      </c>
      <c r="M59" s="58">
        <v>45789</v>
      </c>
      <c r="N59" s="63">
        <v>0</v>
      </c>
      <c r="O59" s="58"/>
      <c r="P59" s="65">
        <v>1.5449999999999999</v>
      </c>
      <c r="Q59" s="65">
        <f t="shared" si="0"/>
        <v>3.8624999999999998</v>
      </c>
      <c r="R59" s="65"/>
      <c r="S59" s="65"/>
      <c r="T59" s="58">
        <v>45800</v>
      </c>
      <c r="U59" s="58">
        <v>45800</v>
      </c>
      <c r="V59" s="63">
        <v>21</v>
      </c>
      <c r="W59" s="63" t="s">
        <v>175</v>
      </c>
      <c r="X59" s="66"/>
      <c r="Y59" s="63"/>
      <c r="Z59" s="68"/>
      <c r="AA59" s="68" t="s">
        <v>504</v>
      </c>
    </row>
    <row r="60" spans="2:27" s="2" customFormat="1" ht="24.95" customHeight="1" x14ac:dyDescent="0.25">
      <c r="B60" s="61">
        <v>59</v>
      </c>
      <c r="C60" s="63" t="s">
        <v>97</v>
      </c>
      <c r="D60" s="63" t="s">
        <v>62</v>
      </c>
      <c r="E60" s="63" t="s">
        <v>155</v>
      </c>
      <c r="F60" s="63">
        <v>2957</v>
      </c>
      <c r="G60" s="63">
        <v>3430</v>
      </c>
      <c r="H60" s="63">
        <v>120</v>
      </c>
      <c r="I60" s="63" t="s">
        <v>356</v>
      </c>
      <c r="J60" s="63" t="s">
        <v>110</v>
      </c>
      <c r="K60" s="63"/>
      <c r="L60" s="64" t="s">
        <v>105</v>
      </c>
      <c r="M60" s="58">
        <v>45789</v>
      </c>
      <c r="N60" s="63">
        <v>0</v>
      </c>
      <c r="O60" s="58"/>
      <c r="P60" s="65">
        <v>1.2849999999999999</v>
      </c>
      <c r="Q60" s="65">
        <f t="shared" si="0"/>
        <v>3.2124999999999999</v>
      </c>
      <c r="R60" s="65"/>
      <c r="S60" s="65"/>
      <c r="T60" s="58">
        <v>45799</v>
      </c>
      <c r="U60" s="58">
        <v>45799</v>
      </c>
      <c r="V60" s="63">
        <v>21</v>
      </c>
      <c r="W60" s="63" t="s">
        <v>185</v>
      </c>
      <c r="X60" s="66"/>
      <c r="Y60" s="63"/>
      <c r="Z60" s="68"/>
      <c r="AA60" s="68" t="s">
        <v>504</v>
      </c>
    </row>
    <row r="61" spans="2:27" s="2" customFormat="1" ht="24.95" customHeight="1" x14ac:dyDescent="0.25">
      <c r="B61" s="61">
        <v>60</v>
      </c>
      <c r="C61" s="63" t="s">
        <v>126</v>
      </c>
      <c r="D61" s="63" t="s">
        <v>62</v>
      </c>
      <c r="E61" s="63" t="s">
        <v>155</v>
      </c>
      <c r="F61" s="63">
        <v>2957</v>
      </c>
      <c r="G61" s="63">
        <v>3430</v>
      </c>
      <c r="H61" s="63">
        <v>120</v>
      </c>
      <c r="I61" s="63" t="s">
        <v>356</v>
      </c>
      <c r="J61" s="63" t="s">
        <v>110</v>
      </c>
      <c r="K61" s="63"/>
      <c r="L61" s="64" t="s">
        <v>105</v>
      </c>
      <c r="M61" s="58">
        <v>45789</v>
      </c>
      <c r="N61" s="63">
        <v>0</v>
      </c>
      <c r="O61" s="58"/>
      <c r="P61" s="65">
        <v>1.2849999999999999</v>
      </c>
      <c r="Q61" s="65">
        <f t="shared" si="0"/>
        <v>3.2124999999999999</v>
      </c>
      <c r="R61" s="65"/>
      <c r="S61" s="65"/>
      <c r="T61" s="58">
        <v>45798</v>
      </c>
      <c r="U61" s="58">
        <v>45798</v>
      </c>
      <c r="V61" s="63">
        <v>21</v>
      </c>
      <c r="W61" s="63" t="s">
        <v>185</v>
      </c>
      <c r="X61" s="66"/>
      <c r="Y61" s="63"/>
      <c r="Z61" s="68"/>
      <c r="AA61" s="68" t="s">
        <v>504</v>
      </c>
    </row>
    <row r="62" spans="2:27" s="2" customFormat="1" ht="24.95" customHeight="1" x14ac:dyDescent="0.25">
      <c r="B62" s="61">
        <v>61</v>
      </c>
      <c r="C62" s="63" t="s">
        <v>93</v>
      </c>
      <c r="D62" s="63" t="s">
        <v>62</v>
      </c>
      <c r="E62" s="63" t="s">
        <v>159</v>
      </c>
      <c r="F62" s="63">
        <v>3838</v>
      </c>
      <c r="G62" s="63">
        <v>2950</v>
      </c>
      <c r="H62" s="63">
        <v>120</v>
      </c>
      <c r="I62" s="63" t="s">
        <v>356</v>
      </c>
      <c r="J62" s="63" t="s">
        <v>106</v>
      </c>
      <c r="K62" s="63"/>
      <c r="L62" s="64" t="s">
        <v>105</v>
      </c>
      <c r="M62" s="58">
        <v>45789</v>
      </c>
      <c r="N62" s="63">
        <v>0</v>
      </c>
      <c r="O62" s="58"/>
      <c r="P62" s="65">
        <v>1.44</v>
      </c>
      <c r="Q62" s="65">
        <f t="shared" si="0"/>
        <v>3.5999999999999996</v>
      </c>
      <c r="R62" s="65"/>
      <c r="S62" s="65"/>
      <c r="T62" s="58">
        <v>45800</v>
      </c>
      <c r="U62" s="58">
        <v>45800</v>
      </c>
      <c r="V62" s="63">
        <v>21</v>
      </c>
      <c r="W62" s="63" t="s">
        <v>174</v>
      </c>
      <c r="X62" s="66"/>
      <c r="Y62" s="63"/>
      <c r="Z62" s="68"/>
      <c r="AA62" s="68" t="s">
        <v>504</v>
      </c>
    </row>
    <row r="63" spans="2:27" s="2" customFormat="1" ht="24.95" customHeight="1" x14ac:dyDescent="0.25">
      <c r="B63" s="61">
        <v>62</v>
      </c>
      <c r="C63" s="63" t="s">
        <v>124</v>
      </c>
      <c r="D63" s="63" t="s">
        <v>62</v>
      </c>
      <c r="E63" s="63" t="s">
        <v>159</v>
      </c>
      <c r="F63" s="63">
        <v>2990</v>
      </c>
      <c r="G63" s="63">
        <v>3430</v>
      </c>
      <c r="H63" s="63">
        <v>120</v>
      </c>
      <c r="I63" s="63" t="s">
        <v>356</v>
      </c>
      <c r="J63" s="63" t="s">
        <v>110</v>
      </c>
      <c r="K63" s="63"/>
      <c r="L63" s="64" t="s">
        <v>105</v>
      </c>
      <c r="M63" s="58">
        <v>45789</v>
      </c>
      <c r="N63" s="63">
        <v>0</v>
      </c>
      <c r="O63" s="58"/>
      <c r="P63" s="65">
        <v>1.296</v>
      </c>
      <c r="Q63" s="65">
        <f t="shared" si="0"/>
        <v>3.24</v>
      </c>
      <c r="R63" s="65"/>
      <c r="S63" s="65"/>
      <c r="T63" s="58">
        <v>45800</v>
      </c>
      <c r="U63" s="58">
        <v>45800</v>
      </c>
      <c r="V63" s="63">
        <v>21</v>
      </c>
      <c r="W63" s="63" t="s">
        <v>248</v>
      </c>
      <c r="X63" s="66"/>
      <c r="Y63" s="63"/>
      <c r="Z63" s="68"/>
      <c r="AA63" s="68" t="s">
        <v>504</v>
      </c>
    </row>
    <row r="64" spans="2:27" s="2" customFormat="1" ht="24.95" customHeight="1" x14ac:dyDescent="0.25">
      <c r="B64" s="61">
        <v>63</v>
      </c>
      <c r="C64" s="63" t="s">
        <v>125</v>
      </c>
      <c r="D64" s="63" t="s">
        <v>62</v>
      </c>
      <c r="E64" s="63" t="s">
        <v>159</v>
      </c>
      <c r="F64" s="63">
        <v>2990</v>
      </c>
      <c r="G64" s="63">
        <v>3430</v>
      </c>
      <c r="H64" s="63">
        <v>120</v>
      </c>
      <c r="I64" s="63" t="s">
        <v>356</v>
      </c>
      <c r="J64" s="63" t="s">
        <v>110</v>
      </c>
      <c r="K64" s="63"/>
      <c r="L64" s="64" t="s">
        <v>105</v>
      </c>
      <c r="M64" s="58">
        <v>45789</v>
      </c>
      <c r="N64" s="63">
        <v>0</v>
      </c>
      <c r="O64" s="58"/>
      <c r="P64" s="65">
        <v>1.296</v>
      </c>
      <c r="Q64" s="65">
        <f t="shared" si="0"/>
        <v>3.24</v>
      </c>
      <c r="R64" s="65"/>
      <c r="S64" s="65"/>
      <c r="T64" s="58">
        <v>45800</v>
      </c>
      <c r="U64" s="58">
        <v>45800</v>
      </c>
      <c r="V64" s="63">
        <v>21</v>
      </c>
      <c r="W64" s="63" t="s">
        <v>181</v>
      </c>
      <c r="X64" s="66"/>
      <c r="Y64" s="63"/>
      <c r="Z64" s="68"/>
      <c r="AA64" s="68" t="s">
        <v>504</v>
      </c>
    </row>
    <row r="65" spans="2:28" s="2" customFormat="1" ht="24.95" customHeight="1" x14ac:dyDescent="0.25">
      <c r="B65" s="61">
        <v>64</v>
      </c>
      <c r="C65" s="130" t="s">
        <v>89</v>
      </c>
      <c r="D65" s="63" t="s">
        <v>62</v>
      </c>
      <c r="E65" s="63" t="s">
        <v>156</v>
      </c>
      <c r="F65" s="63">
        <v>4146</v>
      </c>
      <c r="G65" s="63">
        <v>2950</v>
      </c>
      <c r="H65" s="63">
        <v>120</v>
      </c>
      <c r="I65" s="63" t="s">
        <v>356</v>
      </c>
      <c r="J65" s="63" t="s">
        <v>106</v>
      </c>
      <c r="K65" s="63"/>
      <c r="L65" s="64" t="s">
        <v>105</v>
      </c>
      <c r="M65" s="58">
        <v>45789</v>
      </c>
      <c r="N65" s="63">
        <v>0</v>
      </c>
      <c r="O65" s="58"/>
      <c r="P65" s="65">
        <v>1.524</v>
      </c>
      <c r="Q65" s="65">
        <f t="shared" si="0"/>
        <v>3.81</v>
      </c>
      <c r="R65" s="65"/>
      <c r="S65" s="65"/>
      <c r="T65" s="58">
        <v>45801</v>
      </c>
      <c r="U65" s="58">
        <v>45801</v>
      </c>
      <c r="V65" s="63">
        <v>21</v>
      </c>
      <c r="W65" s="63" t="s">
        <v>175</v>
      </c>
      <c r="X65" s="66"/>
      <c r="Y65" s="63"/>
      <c r="Z65" s="68"/>
      <c r="AA65" s="68" t="s">
        <v>504</v>
      </c>
      <c r="AB65" s="2" t="s">
        <v>938</v>
      </c>
    </row>
    <row r="66" spans="2:28" s="2" customFormat="1" ht="24.95" customHeight="1" x14ac:dyDescent="0.25">
      <c r="B66" s="61">
        <v>65</v>
      </c>
      <c r="C66" s="63" t="s">
        <v>96</v>
      </c>
      <c r="D66" s="63" t="s">
        <v>62</v>
      </c>
      <c r="E66" s="63" t="s">
        <v>156</v>
      </c>
      <c r="F66" s="63">
        <v>2990</v>
      </c>
      <c r="G66" s="63">
        <v>3430</v>
      </c>
      <c r="H66" s="63">
        <v>120</v>
      </c>
      <c r="I66" s="63" t="s">
        <v>356</v>
      </c>
      <c r="J66" s="63" t="s">
        <v>110</v>
      </c>
      <c r="K66" s="63"/>
      <c r="L66" s="64" t="s">
        <v>105</v>
      </c>
      <c r="M66" s="58">
        <v>45789</v>
      </c>
      <c r="N66" s="63">
        <v>0</v>
      </c>
      <c r="O66" s="58"/>
      <c r="P66" s="65">
        <v>1.296</v>
      </c>
      <c r="Q66" s="65">
        <f t="shared" si="0"/>
        <v>3.24</v>
      </c>
      <c r="R66" s="65"/>
      <c r="S66" s="65"/>
      <c r="T66" s="58">
        <v>45803</v>
      </c>
      <c r="U66" s="58">
        <v>45803</v>
      </c>
      <c r="V66" s="63">
        <v>21</v>
      </c>
      <c r="W66" s="63" t="s">
        <v>248</v>
      </c>
      <c r="X66" s="66"/>
      <c r="Y66" s="63"/>
      <c r="Z66" s="68"/>
      <c r="AA66" s="68" t="s">
        <v>504</v>
      </c>
    </row>
    <row r="67" spans="2:28" s="2" customFormat="1" ht="24.95" customHeight="1" x14ac:dyDescent="0.25">
      <c r="B67" s="61">
        <v>66</v>
      </c>
      <c r="C67" s="63" t="s">
        <v>123</v>
      </c>
      <c r="D67" s="63" t="s">
        <v>62</v>
      </c>
      <c r="E67" s="63" t="s">
        <v>156</v>
      </c>
      <c r="F67" s="63">
        <v>2990</v>
      </c>
      <c r="G67" s="63">
        <v>3430</v>
      </c>
      <c r="H67" s="63">
        <v>120</v>
      </c>
      <c r="I67" s="63" t="s">
        <v>356</v>
      </c>
      <c r="J67" s="63" t="s">
        <v>110</v>
      </c>
      <c r="K67" s="63"/>
      <c r="L67" s="64" t="s">
        <v>105</v>
      </c>
      <c r="M67" s="58">
        <v>45789</v>
      </c>
      <c r="N67" s="63">
        <v>0</v>
      </c>
      <c r="O67" s="58"/>
      <c r="P67" s="65">
        <v>1.296</v>
      </c>
      <c r="Q67" s="65">
        <f t="shared" ref="Q67:Q105" si="1">+P67*2.5</f>
        <v>3.24</v>
      </c>
      <c r="R67" s="65"/>
      <c r="S67" s="65"/>
      <c r="T67" s="58">
        <v>45800</v>
      </c>
      <c r="U67" s="58">
        <v>45800</v>
      </c>
      <c r="V67" s="63">
        <v>21</v>
      </c>
      <c r="W67" s="63" t="s">
        <v>173</v>
      </c>
      <c r="X67" s="66"/>
      <c r="Y67" s="63"/>
      <c r="Z67" s="68"/>
      <c r="AA67" s="68" t="s">
        <v>504</v>
      </c>
    </row>
    <row r="68" spans="2:28" s="2" customFormat="1" ht="24.95" customHeight="1" x14ac:dyDescent="0.25">
      <c r="B68" s="61">
        <v>67</v>
      </c>
      <c r="C68" s="63" t="s">
        <v>87</v>
      </c>
      <c r="D68" s="63" t="s">
        <v>62</v>
      </c>
      <c r="E68" s="63" t="s">
        <v>153</v>
      </c>
      <c r="F68" s="63">
        <v>4780</v>
      </c>
      <c r="G68" s="63">
        <v>2850</v>
      </c>
      <c r="H68" s="63">
        <v>120</v>
      </c>
      <c r="I68" s="63" t="s">
        <v>356</v>
      </c>
      <c r="J68" s="63" t="s">
        <v>106</v>
      </c>
      <c r="K68" s="63"/>
      <c r="L68" s="64" t="s">
        <v>105</v>
      </c>
      <c r="M68" s="58">
        <v>45789</v>
      </c>
      <c r="N68" s="63">
        <v>0</v>
      </c>
      <c r="O68" s="58"/>
      <c r="P68" s="65">
        <v>1.675</v>
      </c>
      <c r="Q68" s="65">
        <f t="shared" si="1"/>
        <v>4.1875</v>
      </c>
      <c r="R68" s="65"/>
      <c r="S68" s="65"/>
      <c r="T68" s="58">
        <v>45800</v>
      </c>
      <c r="U68" s="58">
        <v>45800</v>
      </c>
      <c r="V68" s="63">
        <v>21</v>
      </c>
      <c r="W68" s="63" t="s">
        <v>185</v>
      </c>
      <c r="X68" s="66"/>
      <c r="Y68" s="63"/>
      <c r="Z68" s="68"/>
      <c r="AA68" s="68" t="s">
        <v>504</v>
      </c>
    </row>
    <row r="69" spans="2:28" s="2" customFormat="1" ht="24.95" customHeight="1" x14ac:dyDescent="0.25">
      <c r="B69" s="61">
        <v>68</v>
      </c>
      <c r="C69" s="63" t="s">
        <v>119</v>
      </c>
      <c r="D69" s="63" t="s">
        <v>62</v>
      </c>
      <c r="E69" s="63" t="s">
        <v>153</v>
      </c>
      <c r="F69" s="63">
        <v>4780</v>
      </c>
      <c r="G69" s="63">
        <v>2850</v>
      </c>
      <c r="H69" s="63">
        <v>120</v>
      </c>
      <c r="I69" s="63" t="s">
        <v>356</v>
      </c>
      <c r="J69" s="63" t="s">
        <v>106</v>
      </c>
      <c r="K69" s="63"/>
      <c r="L69" s="64" t="s">
        <v>105</v>
      </c>
      <c r="M69" s="58">
        <v>45789</v>
      </c>
      <c r="N69" s="63">
        <v>0</v>
      </c>
      <c r="O69" s="58"/>
      <c r="P69" s="65">
        <v>1.675</v>
      </c>
      <c r="Q69" s="65">
        <f t="shared" si="1"/>
        <v>4.1875</v>
      </c>
      <c r="R69" s="65"/>
      <c r="S69" s="65"/>
      <c r="T69" s="58">
        <v>45803</v>
      </c>
      <c r="U69" s="58">
        <v>45803</v>
      </c>
      <c r="V69" s="63">
        <v>21</v>
      </c>
      <c r="W69" s="63" t="s">
        <v>185</v>
      </c>
      <c r="X69" s="66"/>
      <c r="Y69" s="63"/>
      <c r="Z69" s="68"/>
      <c r="AA69" s="68" t="s">
        <v>504</v>
      </c>
    </row>
    <row r="70" spans="2:28" s="2" customFormat="1" ht="24.95" customHeight="1" x14ac:dyDescent="0.25">
      <c r="B70" s="61">
        <v>69</v>
      </c>
      <c r="C70" s="63" t="s">
        <v>120</v>
      </c>
      <c r="D70" s="63" t="s">
        <v>62</v>
      </c>
      <c r="E70" s="63" t="s">
        <v>153</v>
      </c>
      <c r="F70" s="63">
        <v>4780</v>
      </c>
      <c r="G70" s="63">
        <v>2850</v>
      </c>
      <c r="H70" s="63">
        <v>120</v>
      </c>
      <c r="I70" s="63" t="s">
        <v>356</v>
      </c>
      <c r="J70" s="63" t="s">
        <v>106</v>
      </c>
      <c r="K70" s="63"/>
      <c r="L70" s="64" t="s">
        <v>105</v>
      </c>
      <c r="M70" s="58">
        <v>45789</v>
      </c>
      <c r="N70" s="63">
        <v>0</v>
      </c>
      <c r="O70" s="58"/>
      <c r="P70" s="65">
        <v>1.675</v>
      </c>
      <c r="Q70" s="65">
        <f t="shared" si="1"/>
        <v>4.1875</v>
      </c>
      <c r="R70" s="65"/>
      <c r="S70" s="65"/>
      <c r="T70" s="58">
        <v>45801</v>
      </c>
      <c r="U70" s="58">
        <v>45801</v>
      </c>
      <c r="V70" s="63">
        <v>21</v>
      </c>
      <c r="W70" s="63" t="s">
        <v>173</v>
      </c>
      <c r="X70" s="66"/>
      <c r="Y70" s="63"/>
      <c r="Z70" s="68"/>
      <c r="AA70" s="68" t="s">
        <v>504</v>
      </c>
    </row>
    <row r="71" spans="2:28" s="2" customFormat="1" ht="24.95" customHeight="1" x14ac:dyDescent="0.25">
      <c r="B71" s="61">
        <v>70</v>
      </c>
      <c r="C71" s="63" t="s">
        <v>88</v>
      </c>
      <c r="D71" s="63" t="s">
        <v>62</v>
      </c>
      <c r="E71" s="63" t="s">
        <v>153</v>
      </c>
      <c r="F71" s="63">
        <v>4780</v>
      </c>
      <c r="G71" s="63">
        <v>2850</v>
      </c>
      <c r="H71" s="63">
        <v>120</v>
      </c>
      <c r="I71" s="63" t="s">
        <v>356</v>
      </c>
      <c r="J71" s="63" t="s">
        <v>106</v>
      </c>
      <c r="K71" s="63"/>
      <c r="L71" s="64" t="s">
        <v>105</v>
      </c>
      <c r="M71" s="58">
        <v>45789</v>
      </c>
      <c r="N71" s="63">
        <v>0</v>
      </c>
      <c r="O71" s="58"/>
      <c r="P71" s="65">
        <v>1.675</v>
      </c>
      <c r="Q71" s="65">
        <f t="shared" si="1"/>
        <v>4.1875</v>
      </c>
      <c r="R71" s="65"/>
      <c r="S71" s="65"/>
      <c r="T71" s="58">
        <v>45801</v>
      </c>
      <c r="U71" s="58">
        <v>45801</v>
      </c>
      <c r="V71" s="63">
        <v>21</v>
      </c>
      <c r="W71" s="63" t="s">
        <v>174</v>
      </c>
      <c r="X71" s="66"/>
      <c r="Y71" s="63"/>
      <c r="Z71" s="68"/>
      <c r="AA71" s="68" t="s">
        <v>504</v>
      </c>
    </row>
    <row r="72" spans="2:28" s="2" customFormat="1" ht="24.95" customHeight="1" x14ac:dyDescent="0.25">
      <c r="B72" s="61">
        <v>71</v>
      </c>
      <c r="C72" s="63" t="s">
        <v>86</v>
      </c>
      <c r="D72" s="63" t="s">
        <v>62</v>
      </c>
      <c r="E72" s="63" t="s">
        <v>153</v>
      </c>
      <c r="F72" s="63">
        <v>4770</v>
      </c>
      <c r="G72" s="63">
        <v>2850</v>
      </c>
      <c r="H72" s="63">
        <v>120</v>
      </c>
      <c r="I72" s="63" t="s">
        <v>356</v>
      </c>
      <c r="J72" s="63" t="s">
        <v>106</v>
      </c>
      <c r="K72" s="63"/>
      <c r="L72" s="64" t="s">
        <v>105</v>
      </c>
      <c r="M72" s="58">
        <v>45789</v>
      </c>
      <c r="N72" s="63">
        <v>0</v>
      </c>
      <c r="O72" s="58"/>
      <c r="P72" s="65">
        <v>1.673</v>
      </c>
      <c r="Q72" s="65">
        <f t="shared" si="1"/>
        <v>4.1825000000000001</v>
      </c>
      <c r="R72" s="65"/>
      <c r="S72" s="65"/>
      <c r="T72" s="58">
        <v>45803</v>
      </c>
      <c r="U72" s="58">
        <v>45803</v>
      </c>
      <c r="V72" s="63">
        <v>21</v>
      </c>
      <c r="W72" s="63" t="s">
        <v>175</v>
      </c>
      <c r="X72" s="66"/>
      <c r="Y72" s="63"/>
      <c r="Z72" s="68"/>
      <c r="AA72" s="68" t="s">
        <v>504</v>
      </c>
    </row>
    <row r="73" spans="2:28" s="2" customFormat="1" ht="24.95" customHeight="1" x14ac:dyDescent="0.25">
      <c r="B73" s="61">
        <v>72</v>
      </c>
      <c r="C73" s="63" t="s">
        <v>95</v>
      </c>
      <c r="D73" s="63" t="s">
        <v>62</v>
      </c>
      <c r="E73" s="63" t="s">
        <v>153</v>
      </c>
      <c r="F73" s="63">
        <v>4598</v>
      </c>
      <c r="G73" s="63">
        <v>3430</v>
      </c>
      <c r="H73" s="63">
        <v>120</v>
      </c>
      <c r="I73" s="63" t="s">
        <v>356</v>
      </c>
      <c r="J73" s="63" t="s">
        <v>106</v>
      </c>
      <c r="K73" s="63"/>
      <c r="L73" s="64" t="s">
        <v>105</v>
      </c>
      <c r="M73" s="58">
        <v>45789</v>
      </c>
      <c r="N73" s="63">
        <v>0</v>
      </c>
      <c r="O73" s="58"/>
      <c r="P73" s="65">
        <v>1.948</v>
      </c>
      <c r="Q73" s="65">
        <f t="shared" si="1"/>
        <v>4.87</v>
      </c>
      <c r="R73" s="65"/>
      <c r="S73" s="65"/>
      <c r="T73" s="58">
        <v>45803</v>
      </c>
      <c r="U73" s="58">
        <v>45803</v>
      </c>
      <c r="V73" s="63">
        <v>21</v>
      </c>
      <c r="W73" s="63" t="s">
        <v>181</v>
      </c>
      <c r="X73" s="66"/>
      <c r="Y73" s="63"/>
      <c r="Z73" s="68"/>
      <c r="AA73" s="68" t="s">
        <v>504</v>
      </c>
    </row>
    <row r="74" spans="2:28" s="2" customFormat="1" ht="24.95" customHeight="1" x14ac:dyDescent="0.25">
      <c r="B74" s="61">
        <v>73</v>
      </c>
      <c r="C74" s="63" t="s">
        <v>122</v>
      </c>
      <c r="D74" s="63" t="s">
        <v>62</v>
      </c>
      <c r="E74" s="63" t="s">
        <v>153</v>
      </c>
      <c r="F74" s="63">
        <v>4598</v>
      </c>
      <c r="G74" s="63">
        <v>3430</v>
      </c>
      <c r="H74" s="63">
        <v>120</v>
      </c>
      <c r="I74" s="63" t="s">
        <v>356</v>
      </c>
      <c r="J74" s="63" t="s">
        <v>106</v>
      </c>
      <c r="K74" s="63"/>
      <c r="L74" s="64" t="s">
        <v>105</v>
      </c>
      <c r="M74" s="58">
        <v>45789</v>
      </c>
      <c r="N74" s="63">
        <v>0</v>
      </c>
      <c r="O74" s="58"/>
      <c r="P74" s="65">
        <v>1.948</v>
      </c>
      <c r="Q74" s="65">
        <f t="shared" si="1"/>
        <v>4.87</v>
      </c>
      <c r="R74" s="65"/>
      <c r="S74" s="65"/>
      <c r="T74" s="58">
        <v>45801</v>
      </c>
      <c r="U74" s="58">
        <v>45801</v>
      </c>
      <c r="V74" s="63">
        <v>21</v>
      </c>
      <c r="W74" s="63" t="s">
        <v>185</v>
      </c>
      <c r="X74" s="66"/>
      <c r="Y74" s="63"/>
      <c r="Z74" s="68"/>
      <c r="AA74" s="68" t="s">
        <v>504</v>
      </c>
    </row>
    <row r="75" spans="2:28" s="2" customFormat="1" ht="24.95" customHeight="1" x14ac:dyDescent="0.25">
      <c r="B75" s="61">
        <v>74</v>
      </c>
      <c r="C75" s="63" t="s">
        <v>92</v>
      </c>
      <c r="D75" s="63" t="s">
        <v>62</v>
      </c>
      <c r="E75" s="63" t="s">
        <v>153</v>
      </c>
      <c r="F75" s="63">
        <v>3675</v>
      </c>
      <c r="G75" s="63">
        <v>2950</v>
      </c>
      <c r="H75" s="63">
        <v>120</v>
      </c>
      <c r="I75" s="63" t="s">
        <v>356</v>
      </c>
      <c r="J75" s="63" t="s">
        <v>106</v>
      </c>
      <c r="K75" s="63"/>
      <c r="L75" s="64" t="s">
        <v>105</v>
      </c>
      <c r="M75" s="58">
        <v>45789</v>
      </c>
      <c r="N75" s="63">
        <v>0</v>
      </c>
      <c r="O75" s="58"/>
      <c r="P75" s="65">
        <v>1.4510000000000001</v>
      </c>
      <c r="Q75" s="65">
        <f t="shared" si="1"/>
        <v>3.6275000000000004</v>
      </c>
      <c r="R75" s="65"/>
      <c r="S75" s="65"/>
      <c r="T75" s="58">
        <v>45805</v>
      </c>
      <c r="U75" s="58">
        <v>45805</v>
      </c>
      <c r="V75" s="63">
        <v>21</v>
      </c>
      <c r="W75" s="63" t="s">
        <v>175</v>
      </c>
      <c r="X75" s="66"/>
      <c r="Y75" s="63"/>
      <c r="Z75" s="68"/>
      <c r="AA75" s="68" t="s">
        <v>504</v>
      </c>
    </row>
    <row r="76" spans="2:28" s="2" customFormat="1" ht="24.95" customHeight="1" x14ac:dyDescent="0.25">
      <c r="B76" s="61">
        <v>75</v>
      </c>
      <c r="C76" s="63" t="s">
        <v>84</v>
      </c>
      <c r="D76" s="63" t="s">
        <v>62</v>
      </c>
      <c r="E76" s="63" t="s">
        <v>141</v>
      </c>
      <c r="F76" s="63">
        <v>4533</v>
      </c>
      <c r="G76" s="63">
        <v>3030</v>
      </c>
      <c r="H76" s="63">
        <v>120</v>
      </c>
      <c r="I76" s="63" t="s">
        <v>356</v>
      </c>
      <c r="J76" s="63" t="s">
        <v>106</v>
      </c>
      <c r="K76" s="63"/>
      <c r="L76" s="64" t="s">
        <v>105</v>
      </c>
      <c r="M76" s="58">
        <v>45789</v>
      </c>
      <c r="N76" s="63">
        <v>0</v>
      </c>
      <c r="O76" s="58"/>
      <c r="P76" s="65">
        <v>1.7090000000000001</v>
      </c>
      <c r="Q76" s="65">
        <f t="shared" si="1"/>
        <v>4.2725</v>
      </c>
      <c r="R76" s="65"/>
      <c r="S76" s="65"/>
      <c r="T76" s="58">
        <v>45804</v>
      </c>
      <c r="U76" s="58">
        <v>45804</v>
      </c>
      <c r="V76" s="63">
        <v>21</v>
      </c>
      <c r="W76" s="63" t="s">
        <v>248</v>
      </c>
      <c r="X76" s="66"/>
      <c r="Y76" s="63"/>
      <c r="Z76" s="68"/>
      <c r="AA76" s="68" t="s">
        <v>504</v>
      </c>
    </row>
    <row r="77" spans="2:28" s="2" customFormat="1" ht="24.95" customHeight="1" x14ac:dyDescent="0.25">
      <c r="B77" s="61">
        <v>76</v>
      </c>
      <c r="C77" s="63" t="s">
        <v>118</v>
      </c>
      <c r="D77" s="63" t="s">
        <v>62</v>
      </c>
      <c r="E77" s="63" t="s">
        <v>141</v>
      </c>
      <c r="F77" s="63">
        <v>4533</v>
      </c>
      <c r="G77" s="63">
        <v>3030</v>
      </c>
      <c r="H77" s="63">
        <v>120</v>
      </c>
      <c r="I77" s="63" t="s">
        <v>356</v>
      </c>
      <c r="J77" s="63" t="s">
        <v>106</v>
      </c>
      <c r="K77" s="63"/>
      <c r="L77" s="64" t="s">
        <v>105</v>
      </c>
      <c r="M77" s="58">
        <v>45789</v>
      </c>
      <c r="N77" s="63">
        <v>0</v>
      </c>
      <c r="O77" s="58"/>
      <c r="P77" s="65">
        <v>1.7090000000000001</v>
      </c>
      <c r="Q77" s="65">
        <f t="shared" si="1"/>
        <v>4.2725</v>
      </c>
      <c r="R77" s="65"/>
      <c r="S77" s="65"/>
      <c r="T77" s="58">
        <v>45804</v>
      </c>
      <c r="U77" s="58">
        <v>45804</v>
      </c>
      <c r="V77" s="63">
        <v>21</v>
      </c>
      <c r="W77" s="63" t="s">
        <v>173</v>
      </c>
      <c r="X77" s="66"/>
      <c r="Y77" s="63"/>
      <c r="Z77" s="68"/>
      <c r="AA77" s="68" t="s">
        <v>504</v>
      </c>
    </row>
    <row r="78" spans="2:28" s="2" customFormat="1" ht="24.95" customHeight="1" x14ac:dyDescent="0.25">
      <c r="B78" s="61">
        <v>77</v>
      </c>
      <c r="C78" s="63" t="s">
        <v>81</v>
      </c>
      <c r="D78" s="63" t="s">
        <v>62</v>
      </c>
      <c r="E78" s="63" t="s">
        <v>143</v>
      </c>
      <c r="F78" s="63">
        <v>3930</v>
      </c>
      <c r="G78" s="63">
        <v>2950</v>
      </c>
      <c r="H78" s="63">
        <v>120</v>
      </c>
      <c r="I78" s="63" t="s">
        <v>356</v>
      </c>
      <c r="J78" s="63" t="s">
        <v>106</v>
      </c>
      <c r="K78" s="63"/>
      <c r="L78" s="64" t="s">
        <v>105</v>
      </c>
      <c r="M78" s="58">
        <v>45789</v>
      </c>
      <c r="N78" s="63">
        <v>0</v>
      </c>
      <c r="O78" s="58"/>
      <c r="P78" s="65">
        <v>1.468</v>
      </c>
      <c r="Q78" s="65">
        <f t="shared" si="1"/>
        <v>3.67</v>
      </c>
      <c r="R78" s="65"/>
      <c r="S78" s="65"/>
      <c r="T78" s="58">
        <v>45803</v>
      </c>
      <c r="U78" s="58">
        <v>45803</v>
      </c>
      <c r="V78" s="63">
        <v>21</v>
      </c>
      <c r="W78" s="63" t="s">
        <v>174</v>
      </c>
      <c r="X78" s="66"/>
      <c r="Y78" s="63"/>
      <c r="Z78" s="68"/>
      <c r="AA78" s="68" t="s">
        <v>504</v>
      </c>
    </row>
    <row r="79" spans="2:28" s="2" customFormat="1" ht="24.95" customHeight="1" x14ac:dyDescent="0.25">
      <c r="B79" s="61">
        <v>78</v>
      </c>
      <c r="C79" s="63" t="s">
        <v>116</v>
      </c>
      <c r="D79" s="63" t="s">
        <v>62</v>
      </c>
      <c r="E79" s="63" t="s">
        <v>143</v>
      </c>
      <c r="F79" s="63">
        <v>2990</v>
      </c>
      <c r="G79" s="63">
        <v>3030</v>
      </c>
      <c r="H79" s="63">
        <v>120</v>
      </c>
      <c r="I79" s="63" t="s">
        <v>356</v>
      </c>
      <c r="J79" s="63" t="s">
        <v>110</v>
      </c>
      <c r="K79" s="63"/>
      <c r="L79" s="64" t="s">
        <v>105</v>
      </c>
      <c r="M79" s="58">
        <v>45789</v>
      </c>
      <c r="N79" s="63">
        <v>0</v>
      </c>
      <c r="O79" s="58"/>
      <c r="P79" s="65">
        <v>1.1519999999999999</v>
      </c>
      <c r="Q79" s="65">
        <f t="shared" si="1"/>
        <v>2.88</v>
      </c>
      <c r="R79" s="65"/>
      <c r="S79" s="65"/>
      <c r="T79" s="58">
        <v>45804</v>
      </c>
      <c r="U79" s="58">
        <v>45804</v>
      </c>
      <c r="V79" s="63">
        <v>21</v>
      </c>
      <c r="W79" s="63" t="s">
        <v>175</v>
      </c>
      <c r="X79" s="66"/>
      <c r="Y79" s="63"/>
      <c r="Z79" s="68"/>
      <c r="AA79" s="68" t="s">
        <v>504</v>
      </c>
    </row>
    <row r="80" spans="2:28" s="2" customFormat="1" ht="24.95" customHeight="1" x14ac:dyDescent="0.25">
      <c r="B80" s="61">
        <v>79</v>
      </c>
      <c r="C80" s="63" t="s">
        <v>117</v>
      </c>
      <c r="D80" s="63" t="s">
        <v>62</v>
      </c>
      <c r="E80" s="63" t="s">
        <v>143</v>
      </c>
      <c r="F80" s="63">
        <v>2990</v>
      </c>
      <c r="G80" s="63">
        <v>3030</v>
      </c>
      <c r="H80" s="63">
        <v>120</v>
      </c>
      <c r="I80" s="63" t="s">
        <v>356</v>
      </c>
      <c r="J80" s="63" t="s">
        <v>110</v>
      </c>
      <c r="K80" s="63"/>
      <c r="L80" s="64" t="s">
        <v>105</v>
      </c>
      <c r="M80" s="58">
        <v>45789</v>
      </c>
      <c r="N80" s="63">
        <v>0</v>
      </c>
      <c r="O80" s="58"/>
      <c r="P80" s="65">
        <v>1.1519999999999999</v>
      </c>
      <c r="Q80" s="65">
        <f t="shared" si="1"/>
        <v>2.88</v>
      </c>
      <c r="R80" s="65"/>
      <c r="S80" s="65"/>
      <c r="T80" s="58">
        <v>45803</v>
      </c>
      <c r="U80" s="58">
        <v>45803</v>
      </c>
      <c r="V80" s="63">
        <v>21</v>
      </c>
      <c r="W80" s="63" t="s">
        <v>173</v>
      </c>
      <c r="X80" s="66"/>
      <c r="Y80" s="63"/>
      <c r="Z80" s="68"/>
      <c r="AA80" s="68" t="s">
        <v>504</v>
      </c>
    </row>
    <row r="81" spans="2:28" s="2" customFormat="1" ht="24.95" customHeight="1" x14ac:dyDescent="0.25">
      <c r="B81" s="61">
        <v>80</v>
      </c>
      <c r="C81" s="63" t="s">
        <v>78</v>
      </c>
      <c r="D81" s="63" t="s">
        <v>62</v>
      </c>
      <c r="E81" s="63" t="s">
        <v>142</v>
      </c>
      <c r="F81" s="63">
        <v>4320</v>
      </c>
      <c r="G81" s="63">
        <v>2950</v>
      </c>
      <c r="H81" s="63">
        <v>120</v>
      </c>
      <c r="I81" s="63" t="s">
        <v>356</v>
      </c>
      <c r="J81" s="63" t="s">
        <v>106</v>
      </c>
      <c r="K81" s="63"/>
      <c r="L81" s="64" t="s">
        <v>105</v>
      </c>
      <c r="M81" s="58">
        <v>45789</v>
      </c>
      <c r="N81" s="63">
        <v>0</v>
      </c>
      <c r="O81" s="58"/>
      <c r="P81" s="65">
        <v>1.569</v>
      </c>
      <c r="Q81" s="65">
        <f t="shared" si="1"/>
        <v>3.9224999999999999</v>
      </c>
      <c r="R81" s="65"/>
      <c r="S81" s="65"/>
      <c r="T81" s="58">
        <v>45803</v>
      </c>
      <c r="U81" s="58">
        <v>45803</v>
      </c>
      <c r="V81" s="63">
        <v>21</v>
      </c>
      <c r="W81" s="63" t="s">
        <v>176</v>
      </c>
      <c r="X81" s="66"/>
      <c r="Y81" s="63"/>
      <c r="Z81" s="68"/>
      <c r="AA81" s="68" t="s">
        <v>504</v>
      </c>
    </row>
    <row r="82" spans="2:28" s="2" customFormat="1" ht="24.95" customHeight="1" x14ac:dyDescent="0.25">
      <c r="B82" s="61">
        <v>81</v>
      </c>
      <c r="C82" s="63" t="s">
        <v>114</v>
      </c>
      <c r="D82" s="63" t="s">
        <v>62</v>
      </c>
      <c r="E82" s="63" t="s">
        <v>142</v>
      </c>
      <c r="F82" s="63">
        <v>2990</v>
      </c>
      <c r="G82" s="63">
        <v>3030</v>
      </c>
      <c r="H82" s="63">
        <v>120</v>
      </c>
      <c r="I82" s="63" t="s">
        <v>356</v>
      </c>
      <c r="J82" s="63" t="s">
        <v>110</v>
      </c>
      <c r="K82" s="63"/>
      <c r="L82" s="64" t="s">
        <v>105</v>
      </c>
      <c r="M82" s="58">
        <v>45789</v>
      </c>
      <c r="N82" s="63">
        <v>0</v>
      </c>
      <c r="O82" s="58"/>
      <c r="P82" s="65">
        <v>1.1519999999999999</v>
      </c>
      <c r="Q82" s="65">
        <f t="shared" si="1"/>
        <v>2.88</v>
      </c>
      <c r="R82" s="65"/>
      <c r="S82" s="65"/>
      <c r="T82" s="58">
        <v>45801</v>
      </c>
      <c r="U82" s="58">
        <v>45801</v>
      </c>
      <c r="V82" s="63">
        <v>21</v>
      </c>
      <c r="W82" s="63" t="s">
        <v>172</v>
      </c>
      <c r="X82" s="66"/>
      <c r="Y82" s="63"/>
      <c r="Z82" s="68"/>
      <c r="AA82" s="68" t="s">
        <v>504</v>
      </c>
    </row>
    <row r="83" spans="2:28" s="2" customFormat="1" ht="24.95" customHeight="1" x14ac:dyDescent="0.25">
      <c r="B83" s="61">
        <v>82</v>
      </c>
      <c r="C83" s="63" t="s">
        <v>115</v>
      </c>
      <c r="D83" s="63" t="s">
        <v>62</v>
      </c>
      <c r="E83" s="63" t="s">
        <v>142</v>
      </c>
      <c r="F83" s="63">
        <v>2990</v>
      </c>
      <c r="G83" s="63">
        <v>3030</v>
      </c>
      <c r="H83" s="63">
        <v>120</v>
      </c>
      <c r="I83" s="63" t="s">
        <v>356</v>
      </c>
      <c r="J83" s="63" t="s">
        <v>110</v>
      </c>
      <c r="K83" s="63"/>
      <c r="L83" s="64" t="s">
        <v>105</v>
      </c>
      <c r="M83" s="58">
        <v>45789</v>
      </c>
      <c r="N83" s="63">
        <v>0</v>
      </c>
      <c r="O83" s="58"/>
      <c r="P83" s="65">
        <v>1.1519999999999999</v>
      </c>
      <c r="Q83" s="65">
        <f t="shared" si="1"/>
        <v>2.88</v>
      </c>
      <c r="R83" s="65"/>
      <c r="S83" s="65"/>
      <c r="T83" s="58">
        <v>45804</v>
      </c>
      <c r="U83" s="58">
        <v>45804</v>
      </c>
      <c r="V83" s="63">
        <v>21</v>
      </c>
      <c r="W83" s="63" t="s">
        <v>181</v>
      </c>
      <c r="X83" s="66"/>
      <c r="Y83" s="63"/>
      <c r="Z83" s="68"/>
      <c r="AA83" s="68" t="s">
        <v>504</v>
      </c>
    </row>
    <row r="84" spans="2:28" s="2" customFormat="1" ht="24.95" customHeight="1" x14ac:dyDescent="0.25">
      <c r="B84" s="61">
        <v>83</v>
      </c>
      <c r="C84" s="130" t="s">
        <v>80</v>
      </c>
      <c r="D84" s="63" t="s">
        <v>62</v>
      </c>
      <c r="E84" s="63" t="s">
        <v>140</v>
      </c>
      <c r="F84" s="63">
        <v>3928</v>
      </c>
      <c r="G84" s="63">
        <v>2950</v>
      </c>
      <c r="H84" s="63">
        <v>120</v>
      </c>
      <c r="I84" s="63" t="s">
        <v>356</v>
      </c>
      <c r="J84" s="63" t="s">
        <v>106</v>
      </c>
      <c r="K84" s="63"/>
      <c r="L84" s="64" t="s">
        <v>105</v>
      </c>
      <c r="M84" s="58">
        <v>45789</v>
      </c>
      <c r="N84" s="63">
        <v>0</v>
      </c>
      <c r="O84" s="58"/>
      <c r="P84" s="65">
        <v>1.4670000000000001</v>
      </c>
      <c r="Q84" s="65">
        <f t="shared" si="1"/>
        <v>3.6675000000000004</v>
      </c>
      <c r="R84" s="65"/>
      <c r="S84" s="65"/>
      <c r="T84" s="58">
        <v>45805</v>
      </c>
      <c r="U84" s="58">
        <v>45805</v>
      </c>
      <c r="V84" s="63">
        <v>21</v>
      </c>
      <c r="W84" s="63" t="s">
        <v>173</v>
      </c>
      <c r="X84" s="66"/>
      <c r="Y84" s="63"/>
      <c r="Z84" s="68"/>
      <c r="AA84" s="68" t="s">
        <v>504</v>
      </c>
      <c r="AB84" s="2" t="s">
        <v>938</v>
      </c>
    </row>
    <row r="85" spans="2:28" s="2" customFormat="1" ht="24.95" customHeight="1" x14ac:dyDescent="0.25">
      <c r="B85" s="61">
        <v>84</v>
      </c>
      <c r="C85" s="63" t="s">
        <v>112</v>
      </c>
      <c r="D85" s="63" t="s">
        <v>62</v>
      </c>
      <c r="E85" s="63" t="s">
        <v>140</v>
      </c>
      <c r="F85" s="63">
        <v>2990</v>
      </c>
      <c r="G85" s="63">
        <v>3030</v>
      </c>
      <c r="H85" s="63">
        <v>120</v>
      </c>
      <c r="I85" s="63" t="s">
        <v>356</v>
      </c>
      <c r="J85" s="63" t="s">
        <v>110</v>
      </c>
      <c r="K85" s="63"/>
      <c r="L85" s="64" t="s">
        <v>105</v>
      </c>
      <c r="M85" s="58">
        <v>45789</v>
      </c>
      <c r="N85" s="63">
        <v>0</v>
      </c>
      <c r="O85" s="58"/>
      <c r="P85" s="65">
        <v>1.1519999999999999</v>
      </c>
      <c r="Q85" s="65">
        <f t="shared" si="1"/>
        <v>2.88</v>
      </c>
      <c r="R85" s="65"/>
      <c r="S85" s="65"/>
      <c r="T85" s="58">
        <v>45805</v>
      </c>
      <c r="U85" s="58">
        <v>45805</v>
      </c>
      <c r="V85" s="63">
        <v>21</v>
      </c>
      <c r="W85" s="63" t="s">
        <v>174</v>
      </c>
      <c r="X85" s="66"/>
      <c r="Y85" s="63"/>
      <c r="Z85" s="68"/>
      <c r="AA85" s="68" t="s">
        <v>504</v>
      </c>
    </row>
    <row r="86" spans="2:28" s="2" customFormat="1" ht="24.95" customHeight="1" x14ac:dyDescent="0.25">
      <c r="B86" s="61">
        <v>85</v>
      </c>
      <c r="C86" s="63" t="s">
        <v>113</v>
      </c>
      <c r="D86" s="63" t="s">
        <v>62</v>
      </c>
      <c r="E86" s="63" t="s">
        <v>140</v>
      </c>
      <c r="F86" s="63">
        <v>2990</v>
      </c>
      <c r="G86" s="63">
        <v>3030</v>
      </c>
      <c r="H86" s="63">
        <v>120</v>
      </c>
      <c r="I86" s="63" t="s">
        <v>356</v>
      </c>
      <c r="J86" s="63" t="s">
        <v>110</v>
      </c>
      <c r="K86" s="63"/>
      <c r="L86" s="64" t="s">
        <v>105</v>
      </c>
      <c r="M86" s="58">
        <v>45789</v>
      </c>
      <c r="N86" s="63">
        <v>0</v>
      </c>
      <c r="O86" s="58"/>
      <c r="P86" s="65">
        <v>1.1519999999999999</v>
      </c>
      <c r="Q86" s="65">
        <f t="shared" si="1"/>
        <v>2.88</v>
      </c>
      <c r="R86" s="65"/>
      <c r="S86" s="65"/>
      <c r="T86" s="58">
        <v>45807</v>
      </c>
      <c r="U86" s="58">
        <v>45807</v>
      </c>
      <c r="V86" s="63">
        <v>21</v>
      </c>
      <c r="W86" s="63" t="s">
        <v>175</v>
      </c>
      <c r="X86" s="66"/>
      <c r="Y86" s="63"/>
      <c r="Z86" s="68"/>
      <c r="AA86" s="68" t="s">
        <v>504</v>
      </c>
    </row>
    <row r="87" spans="2:28" s="2" customFormat="1" ht="24.95" customHeight="1" x14ac:dyDescent="0.25">
      <c r="B87" s="61">
        <v>86</v>
      </c>
      <c r="C87" s="63" t="s">
        <v>77</v>
      </c>
      <c r="D87" s="63" t="s">
        <v>62</v>
      </c>
      <c r="E87" s="63" t="s">
        <v>139</v>
      </c>
      <c r="F87" s="63">
        <v>4240</v>
      </c>
      <c r="G87" s="63">
        <v>2950</v>
      </c>
      <c r="H87" s="63">
        <v>120</v>
      </c>
      <c r="I87" s="63" t="s">
        <v>356</v>
      </c>
      <c r="J87" s="63" t="s">
        <v>106</v>
      </c>
      <c r="K87" s="63"/>
      <c r="L87" s="64" t="s">
        <v>105</v>
      </c>
      <c r="M87" s="58">
        <v>45789</v>
      </c>
      <c r="N87" s="63">
        <v>0</v>
      </c>
      <c r="O87" s="58"/>
      <c r="P87" s="65">
        <v>1.5489999999999999</v>
      </c>
      <c r="Q87" s="65">
        <f t="shared" si="1"/>
        <v>3.8724999999999996</v>
      </c>
      <c r="R87" s="65"/>
      <c r="S87" s="65"/>
      <c r="T87" s="58">
        <v>45804</v>
      </c>
      <c r="U87" s="58">
        <v>45804</v>
      </c>
      <c r="V87" s="63">
        <v>21</v>
      </c>
      <c r="W87" s="63" t="s">
        <v>176</v>
      </c>
      <c r="X87" s="66"/>
      <c r="Y87" s="63"/>
      <c r="Z87" s="68"/>
      <c r="AA87" s="68" t="s">
        <v>504</v>
      </c>
    </row>
    <row r="88" spans="2:28" s="2" customFormat="1" ht="24.95" customHeight="1" x14ac:dyDescent="0.25">
      <c r="B88" s="61">
        <v>87</v>
      </c>
      <c r="C88" s="63" t="s">
        <v>83</v>
      </c>
      <c r="D88" s="63" t="s">
        <v>62</v>
      </c>
      <c r="E88" s="63" t="s">
        <v>139</v>
      </c>
      <c r="F88" s="63">
        <v>2990</v>
      </c>
      <c r="G88" s="63">
        <v>3030</v>
      </c>
      <c r="H88" s="63">
        <v>120</v>
      </c>
      <c r="I88" s="63" t="s">
        <v>356</v>
      </c>
      <c r="J88" s="63" t="s">
        <v>110</v>
      </c>
      <c r="K88" s="63"/>
      <c r="L88" s="64" t="s">
        <v>105</v>
      </c>
      <c r="M88" s="58">
        <v>45789</v>
      </c>
      <c r="N88" s="63">
        <v>0</v>
      </c>
      <c r="O88" s="58"/>
      <c r="P88" s="65">
        <v>1.1519999999999999</v>
      </c>
      <c r="Q88" s="65">
        <f t="shared" si="1"/>
        <v>2.88</v>
      </c>
      <c r="R88" s="65"/>
      <c r="S88" s="65"/>
      <c r="T88" s="58">
        <v>45805</v>
      </c>
      <c r="U88" s="58">
        <v>45805</v>
      </c>
      <c r="V88" s="63">
        <v>21</v>
      </c>
      <c r="W88" s="63" t="s">
        <v>185</v>
      </c>
      <c r="X88" s="66"/>
      <c r="Y88" s="63"/>
      <c r="Z88" s="68"/>
      <c r="AA88" s="68" t="s">
        <v>504</v>
      </c>
    </row>
    <row r="89" spans="2:28" s="2" customFormat="1" ht="24.95" customHeight="1" x14ac:dyDescent="0.25">
      <c r="B89" s="61">
        <v>88</v>
      </c>
      <c r="C89" s="63" t="s">
        <v>111</v>
      </c>
      <c r="D89" s="63" t="s">
        <v>62</v>
      </c>
      <c r="E89" s="63" t="s">
        <v>139</v>
      </c>
      <c r="F89" s="63">
        <v>2990</v>
      </c>
      <c r="G89" s="63">
        <v>3030</v>
      </c>
      <c r="H89" s="63">
        <v>120</v>
      </c>
      <c r="I89" s="63" t="s">
        <v>356</v>
      </c>
      <c r="J89" s="63" t="s">
        <v>110</v>
      </c>
      <c r="K89" s="63"/>
      <c r="L89" s="64" t="s">
        <v>105</v>
      </c>
      <c r="M89" s="58">
        <v>45789</v>
      </c>
      <c r="N89" s="63">
        <v>0</v>
      </c>
      <c r="O89" s="58"/>
      <c r="P89" s="65">
        <v>1.1519999999999999</v>
      </c>
      <c r="Q89" s="65">
        <f t="shared" si="1"/>
        <v>2.88</v>
      </c>
      <c r="R89" s="65"/>
      <c r="S89" s="65"/>
      <c r="T89" s="58">
        <v>45807</v>
      </c>
      <c r="U89" s="58">
        <v>45807</v>
      </c>
      <c r="V89" s="63">
        <v>21</v>
      </c>
      <c r="W89" s="63" t="s">
        <v>172</v>
      </c>
      <c r="X89" s="66"/>
      <c r="Y89" s="63"/>
      <c r="Z89" s="68"/>
      <c r="AA89" s="68" t="s">
        <v>504</v>
      </c>
    </row>
    <row r="90" spans="2:28" s="2" customFormat="1" ht="24.95" customHeight="1" x14ac:dyDescent="0.25">
      <c r="B90" s="61">
        <v>89</v>
      </c>
      <c r="C90" s="63" t="s">
        <v>82</v>
      </c>
      <c r="D90" s="63" t="s">
        <v>62</v>
      </c>
      <c r="E90" s="63" t="s">
        <v>138</v>
      </c>
      <c r="F90" s="63">
        <v>4418</v>
      </c>
      <c r="G90" s="63">
        <v>3030</v>
      </c>
      <c r="H90" s="63">
        <v>120</v>
      </c>
      <c r="I90" s="63" t="s">
        <v>356</v>
      </c>
      <c r="J90" s="63" t="s">
        <v>106</v>
      </c>
      <c r="K90" s="63"/>
      <c r="L90" s="64" t="s">
        <v>105</v>
      </c>
      <c r="M90" s="58">
        <v>45789</v>
      </c>
      <c r="N90" s="63">
        <v>0</v>
      </c>
      <c r="O90" s="58"/>
      <c r="P90" s="65">
        <v>1.677</v>
      </c>
      <c r="Q90" s="65">
        <f t="shared" si="1"/>
        <v>4.1924999999999999</v>
      </c>
      <c r="R90" s="65"/>
      <c r="S90" s="65"/>
      <c r="T90" s="58">
        <v>45804</v>
      </c>
      <c r="U90" s="58">
        <v>45804</v>
      </c>
      <c r="V90" s="63">
        <v>21</v>
      </c>
      <c r="W90" s="63" t="s">
        <v>194</v>
      </c>
      <c r="X90" s="66"/>
      <c r="Y90" s="63"/>
      <c r="Z90" s="68"/>
      <c r="AA90" s="68" t="s">
        <v>504</v>
      </c>
    </row>
    <row r="91" spans="2:28" s="2" customFormat="1" ht="24.95" customHeight="1" x14ac:dyDescent="0.25">
      <c r="B91" s="61">
        <v>90</v>
      </c>
      <c r="C91" s="63" t="s">
        <v>85</v>
      </c>
      <c r="D91" s="63" t="s">
        <v>62</v>
      </c>
      <c r="E91" s="63" t="s">
        <v>138</v>
      </c>
      <c r="F91" s="63">
        <v>4418</v>
      </c>
      <c r="G91" s="63">
        <v>3030</v>
      </c>
      <c r="H91" s="63">
        <v>120</v>
      </c>
      <c r="I91" s="63" t="s">
        <v>356</v>
      </c>
      <c r="J91" s="63" t="s">
        <v>106</v>
      </c>
      <c r="K91" s="63"/>
      <c r="L91" s="64" t="s">
        <v>105</v>
      </c>
      <c r="M91" s="58">
        <v>45789</v>
      </c>
      <c r="N91" s="63">
        <v>0</v>
      </c>
      <c r="O91" s="58"/>
      <c r="P91" s="65">
        <v>1.677</v>
      </c>
      <c r="Q91" s="65">
        <f t="shared" si="1"/>
        <v>4.1924999999999999</v>
      </c>
      <c r="R91" s="65"/>
      <c r="S91" s="65"/>
      <c r="T91" s="58">
        <v>45807</v>
      </c>
      <c r="U91" s="58">
        <v>45807</v>
      </c>
      <c r="V91" s="63">
        <v>21</v>
      </c>
      <c r="W91" s="63" t="s">
        <v>173</v>
      </c>
      <c r="X91" s="66"/>
      <c r="Y91" s="63"/>
      <c r="Z91" s="68"/>
      <c r="AA91" s="68" t="s">
        <v>504</v>
      </c>
    </row>
    <row r="92" spans="2:28" s="2" customFormat="1" ht="24.95" customHeight="1" x14ac:dyDescent="0.25">
      <c r="B92" s="61">
        <v>91</v>
      </c>
      <c r="C92" s="63" t="s">
        <v>79</v>
      </c>
      <c r="D92" s="63" t="s">
        <v>62</v>
      </c>
      <c r="E92" s="63" t="s">
        <v>138</v>
      </c>
      <c r="F92" s="63">
        <v>3770</v>
      </c>
      <c r="G92" s="63">
        <v>2950</v>
      </c>
      <c r="H92" s="63">
        <v>120</v>
      </c>
      <c r="I92" s="63" t="s">
        <v>356</v>
      </c>
      <c r="J92" s="63" t="s">
        <v>106</v>
      </c>
      <c r="K92" s="63"/>
      <c r="L92" s="64" t="s">
        <v>105</v>
      </c>
      <c r="M92" s="58">
        <v>45789</v>
      </c>
      <c r="N92" s="63">
        <v>0</v>
      </c>
      <c r="O92" s="58"/>
      <c r="P92" s="65">
        <v>1.4259999999999999</v>
      </c>
      <c r="Q92" s="65">
        <f t="shared" si="1"/>
        <v>3.5649999999999999</v>
      </c>
      <c r="R92" s="65"/>
      <c r="S92" s="65"/>
      <c r="T92" s="58">
        <v>45805</v>
      </c>
      <c r="U92" s="58">
        <v>45805</v>
      </c>
      <c r="V92" s="63">
        <v>21</v>
      </c>
      <c r="W92" s="63" t="s">
        <v>248</v>
      </c>
      <c r="X92" s="66"/>
      <c r="Y92" s="63"/>
      <c r="Z92" s="68"/>
      <c r="AA92" s="68" t="s">
        <v>504</v>
      </c>
    </row>
    <row r="93" spans="2:28" s="2" customFormat="1" ht="24.95" customHeight="1" x14ac:dyDescent="0.25">
      <c r="B93" s="61">
        <v>92</v>
      </c>
      <c r="C93" s="63" t="s">
        <v>59</v>
      </c>
      <c r="D93" s="63" t="s">
        <v>62</v>
      </c>
      <c r="E93" s="63" t="s">
        <v>138</v>
      </c>
      <c r="F93" s="63">
        <v>400</v>
      </c>
      <c r="G93" s="63">
        <v>2760</v>
      </c>
      <c r="H93" s="63">
        <v>300</v>
      </c>
      <c r="I93" s="63" t="s">
        <v>46</v>
      </c>
      <c r="J93" s="63" t="s">
        <v>60</v>
      </c>
      <c r="K93" s="63" t="s">
        <v>168</v>
      </c>
      <c r="L93" s="64" t="s">
        <v>165</v>
      </c>
      <c r="M93" s="58">
        <v>45789</v>
      </c>
      <c r="N93" s="63">
        <v>1</v>
      </c>
      <c r="O93" s="58">
        <v>45789</v>
      </c>
      <c r="P93" s="65">
        <v>0.64600000000000002</v>
      </c>
      <c r="Q93" s="65">
        <f t="shared" si="1"/>
        <v>1.615</v>
      </c>
      <c r="R93" s="65"/>
      <c r="S93" s="65"/>
      <c r="T93" s="58">
        <v>45800</v>
      </c>
      <c r="U93" s="58">
        <v>45800</v>
      </c>
      <c r="V93" s="63">
        <v>21</v>
      </c>
      <c r="W93" s="63" t="s">
        <v>178</v>
      </c>
      <c r="X93" s="66"/>
      <c r="Y93" s="63"/>
      <c r="Z93" s="68"/>
      <c r="AA93" s="68" t="s">
        <v>504</v>
      </c>
    </row>
    <row r="94" spans="2:28" s="2" customFormat="1" ht="24.95" customHeight="1" x14ac:dyDescent="0.25">
      <c r="B94" s="61">
        <v>93</v>
      </c>
      <c r="C94" s="63" t="s">
        <v>57</v>
      </c>
      <c r="D94" s="63" t="s">
        <v>62</v>
      </c>
      <c r="E94" s="63" t="s">
        <v>138</v>
      </c>
      <c r="F94" s="63">
        <v>400</v>
      </c>
      <c r="G94" s="63">
        <v>2760</v>
      </c>
      <c r="H94" s="63">
        <v>300</v>
      </c>
      <c r="I94" s="63" t="s">
        <v>46</v>
      </c>
      <c r="J94" s="63" t="s">
        <v>49</v>
      </c>
      <c r="K94" s="63" t="s">
        <v>168</v>
      </c>
      <c r="L94" s="64" t="s">
        <v>47</v>
      </c>
      <c r="M94" s="58">
        <v>45787</v>
      </c>
      <c r="N94" s="63">
        <v>0</v>
      </c>
      <c r="O94" s="58"/>
      <c r="P94" s="65">
        <v>0.63200000000000001</v>
      </c>
      <c r="Q94" s="65">
        <f t="shared" si="1"/>
        <v>1.58</v>
      </c>
      <c r="R94" s="65"/>
      <c r="S94" s="65"/>
      <c r="T94" s="58">
        <v>45796</v>
      </c>
      <c r="U94" s="58">
        <v>45796</v>
      </c>
      <c r="V94" s="63">
        <v>21</v>
      </c>
      <c r="W94" s="63" t="s">
        <v>179</v>
      </c>
      <c r="X94" s="66"/>
      <c r="Y94" s="63"/>
      <c r="Z94" s="68"/>
      <c r="AA94" s="68" t="s">
        <v>504</v>
      </c>
    </row>
    <row r="95" spans="2:28" s="2" customFormat="1" ht="24.95" customHeight="1" x14ac:dyDescent="0.25">
      <c r="B95" s="61">
        <v>94</v>
      </c>
      <c r="C95" s="63" t="s">
        <v>58</v>
      </c>
      <c r="D95" s="63" t="s">
        <v>62</v>
      </c>
      <c r="E95" s="63" t="s">
        <v>138</v>
      </c>
      <c r="F95" s="63">
        <v>400</v>
      </c>
      <c r="G95" s="63">
        <v>2760</v>
      </c>
      <c r="H95" s="63">
        <v>300</v>
      </c>
      <c r="I95" s="63" t="s">
        <v>46</v>
      </c>
      <c r="J95" s="63" t="s">
        <v>49</v>
      </c>
      <c r="K95" s="63" t="s">
        <v>168</v>
      </c>
      <c r="L95" s="64" t="s">
        <v>47</v>
      </c>
      <c r="M95" s="58">
        <v>45787</v>
      </c>
      <c r="N95" s="63">
        <v>0</v>
      </c>
      <c r="O95" s="58"/>
      <c r="P95" s="65">
        <v>0.63200000000000001</v>
      </c>
      <c r="Q95" s="65">
        <f t="shared" si="1"/>
        <v>1.58</v>
      </c>
      <c r="R95" s="65"/>
      <c r="S95" s="65"/>
      <c r="T95" s="58">
        <v>45798</v>
      </c>
      <c r="U95" s="58">
        <v>45798</v>
      </c>
      <c r="V95" s="63">
        <v>21</v>
      </c>
      <c r="W95" s="63" t="s">
        <v>177</v>
      </c>
      <c r="X95" s="66"/>
      <c r="Y95" s="63"/>
      <c r="Z95" s="68"/>
      <c r="AA95" s="68" t="s">
        <v>504</v>
      </c>
    </row>
    <row r="96" spans="2:28" s="2" customFormat="1" ht="24.95" customHeight="1" x14ac:dyDescent="0.25">
      <c r="B96" s="61">
        <v>95</v>
      </c>
      <c r="C96" s="63" t="s">
        <v>162</v>
      </c>
      <c r="D96" s="63" t="s">
        <v>62</v>
      </c>
      <c r="E96" s="63" t="s">
        <v>138</v>
      </c>
      <c r="F96" s="63">
        <v>400</v>
      </c>
      <c r="G96" s="63">
        <v>2760</v>
      </c>
      <c r="H96" s="63">
        <v>300</v>
      </c>
      <c r="I96" s="63" t="s">
        <v>46</v>
      </c>
      <c r="J96" s="63" t="s">
        <v>164</v>
      </c>
      <c r="K96" s="63" t="s">
        <v>167</v>
      </c>
      <c r="L96" s="64" t="s">
        <v>165</v>
      </c>
      <c r="M96" s="58">
        <v>45789</v>
      </c>
      <c r="N96" s="63">
        <v>0</v>
      </c>
      <c r="O96" s="58"/>
      <c r="P96" s="65">
        <v>0.69499999999999995</v>
      </c>
      <c r="Q96" s="65">
        <f t="shared" si="1"/>
        <v>1.7374999999999998</v>
      </c>
      <c r="R96" s="65"/>
      <c r="S96" s="65"/>
      <c r="T96" s="58">
        <v>45800</v>
      </c>
      <c r="U96" s="58">
        <v>45800</v>
      </c>
      <c r="V96" s="63">
        <v>21</v>
      </c>
      <c r="W96" s="63" t="s">
        <v>226</v>
      </c>
      <c r="X96" s="66"/>
      <c r="Y96" s="63"/>
      <c r="Z96" s="68"/>
      <c r="AA96" s="68" t="s">
        <v>504</v>
      </c>
    </row>
    <row r="97" spans="2:27" s="2" customFormat="1" ht="24.95" customHeight="1" x14ac:dyDescent="0.25">
      <c r="B97" s="61">
        <v>96</v>
      </c>
      <c r="C97" s="63" t="s">
        <v>27</v>
      </c>
      <c r="D97" s="63" t="s">
        <v>62</v>
      </c>
      <c r="E97" s="63" t="s">
        <v>138</v>
      </c>
      <c r="F97" s="63">
        <v>5041</v>
      </c>
      <c r="G97" s="63">
        <v>1280</v>
      </c>
      <c r="H97" s="63">
        <v>120</v>
      </c>
      <c r="I97" s="63" t="s">
        <v>18</v>
      </c>
      <c r="J97" s="63" t="s">
        <v>19</v>
      </c>
      <c r="K97" s="63"/>
      <c r="L97" s="64" t="s">
        <v>42</v>
      </c>
      <c r="M97" s="58">
        <v>45785</v>
      </c>
      <c r="N97" s="63">
        <v>1</v>
      </c>
      <c r="O97" s="58">
        <v>45787</v>
      </c>
      <c r="P97" s="65">
        <v>0.77400000000000002</v>
      </c>
      <c r="Q97" s="65">
        <f t="shared" si="1"/>
        <v>1.9350000000000001</v>
      </c>
      <c r="R97" s="65"/>
      <c r="S97" s="65"/>
      <c r="T97" s="58">
        <v>45799</v>
      </c>
      <c r="U97" s="58">
        <v>45799</v>
      </c>
      <c r="V97" s="63">
        <v>21</v>
      </c>
      <c r="W97" s="63" t="s">
        <v>180</v>
      </c>
      <c r="X97" s="66"/>
      <c r="Y97" s="63"/>
      <c r="Z97" s="68"/>
      <c r="AA97" s="68" t="s">
        <v>504</v>
      </c>
    </row>
    <row r="98" spans="2:27" s="2" customFormat="1" ht="24.95" customHeight="1" x14ac:dyDescent="0.25">
      <c r="B98" s="61">
        <v>97</v>
      </c>
      <c r="C98" s="63" t="s">
        <v>28</v>
      </c>
      <c r="D98" s="63" t="s">
        <v>62</v>
      </c>
      <c r="E98" s="63" t="s">
        <v>138</v>
      </c>
      <c r="F98" s="63">
        <v>5041</v>
      </c>
      <c r="G98" s="63">
        <v>2310</v>
      </c>
      <c r="H98" s="63">
        <v>120</v>
      </c>
      <c r="I98" s="63" t="s">
        <v>18</v>
      </c>
      <c r="J98" s="63" t="s">
        <v>19</v>
      </c>
      <c r="K98" s="63"/>
      <c r="L98" s="64" t="s">
        <v>42</v>
      </c>
      <c r="M98" s="58">
        <v>45785</v>
      </c>
      <c r="N98" s="63">
        <v>1</v>
      </c>
      <c r="O98" s="58">
        <v>45787</v>
      </c>
      <c r="P98" s="65">
        <v>1.397</v>
      </c>
      <c r="Q98" s="65">
        <f t="shared" si="1"/>
        <v>3.4925000000000002</v>
      </c>
      <c r="R98" s="65"/>
      <c r="S98" s="65"/>
      <c r="T98" s="58">
        <v>45799</v>
      </c>
      <c r="U98" s="58">
        <v>45799</v>
      </c>
      <c r="V98" s="63">
        <v>21</v>
      </c>
      <c r="W98" s="63" t="s">
        <v>183</v>
      </c>
      <c r="X98" s="66"/>
      <c r="Y98" s="63"/>
      <c r="Z98" s="68"/>
      <c r="AA98" s="68" t="s">
        <v>504</v>
      </c>
    </row>
    <row r="99" spans="2:27" s="2" customFormat="1" ht="24.95" customHeight="1" x14ac:dyDescent="0.25">
      <c r="B99" s="61">
        <v>98</v>
      </c>
      <c r="C99" s="63" t="s">
        <v>17</v>
      </c>
      <c r="D99" s="63" t="s">
        <v>62</v>
      </c>
      <c r="E99" s="63" t="s">
        <v>138</v>
      </c>
      <c r="F99" s="63">
        <v>4156</v>
      </c>
      <c r="G99" s="63">
        <v>1280</v>
      </c>
      <c r="H99" s="63">
        <v>120</v>
      </c>
      <c r="I99" s="63" t="s">
        <v>18</v>
      </c>
      <c r="J99" s="63" t="s">
        <v>19</v>
      </c>
      <c r="K99" s="63"/>
      <c r="L99" s="64" t="s">
        <v>42</v>
      </c>
      <c r="M99" s="58">
        <v>45785</v>
      </c>
      <c r="N99" s="63">
        <v>1</v>
      </c>
      <c r="O99" s="58">
        <v>45787</v>
      </c>
      <c r="P99" s="65">
        <v>0.63800000000000001</v>
      </c>
      <c r="Q99" s="65">
        <f t="shared" si="1"/>
        <v>1.595</v>
      </c>
      <c r="R99" s="65"/>
      <c r="S99" s="65"/>
      <c r="T99" s="58">
        <v>45799</v>
      </c>
      <c r="U99" s="58">
        <v>45799</v>
      </c>
      <c r="V99" s="63">
        <v>21</v>
      </c>
      <c r="W99" s="63" t="s">
        <v>184</v>
      </c>
      <c r="X99" s="66"/>
      <c r="Y99" s="63"/>
      <c r="Z99" s="68"/>
      <c r="AA99" s="68" t="s">
        <v>504</v>
      </c>
    </row>
    <row r="100" spans="2:27" s="2" customFormat="1" ht="24.95" customHeight="1" x14ac:dyDescent="0.25">
      <c r="B100" s="61">
        <v>99</v>
      </c>
      <c r="C100" s="63" t="s">
        <v>20</v>
      </c>
      <c r="D100" s="63" t="s">
        <v>62</v>
      </c>
      <c r="E100" s="63" t="s">
        <v>138</v>
      </c>
      <c r="F100" s="63">
        <v>4156</v>
      </c>
      <c r="G100" s="63">
        <v>1280</v>
      </c>
      <c r="H100" s="63">
        <v>120</v>
      </c>
      <c r="I100" s="63" t="s">
        <v>18</v>
      </c>
      <c r="J100" s="63" t="s">
        <v>19</v>
      </c>
      <c r="K100" s="63"/>
      <c r="L100" s="64" t="s">
        <v>42</v>
      </c>
      <c r="M100" s="58">
        <v>45785</v>
      </c>
      <c r="N100" s="63">
        <v>1</v>
      </c>
      <c r="O100" s="58">
        <v>45787</v>
      </c>
      <c r="P100" s="65">
        <v>0.63800000000000001</v>
      </c>
      <c r="Q100" s="65">
        <f t="shared" si="1"/>
        <v>1.595</v>
      </c>
      <c r="R100" s="65"/>
      <c r="S100" s="65"/>
      <c r="T100" s="58">
        <v>45801</v>
      </c>
      <c r="U100" s="58">
        <v>45801</v>
      </c>
      <c r="V100" s="63">
        <v>21</v>
      </c>
      <c r="W100" s="63" t="s">
        <v>181</v>
      </c>
      <c r="X100" s="66"/>
      <c r="Y100" s="63"/>
      <c r="Z100" s="68"/>
      <c r="AA100" s="68" t="s">
        <v>504</v>
      </c>
    </row>
    <row r="101" spans="2:27" s="2" customFormat="1" ht="24.95" customHeight="1" x14ac:dyDescent="0.25">
      <c r="B101" s="61">
        <v>100</v>
      </c>
      <c r="C101" s="63" t="s">
        <v>21</v>
      </c>
      <c r="D101" s="63" t="s">
        <v>62</v>
      </c>
      <c r="E101" s="63" t="s">
        <v>138</v>
      </c>
      <c r="F101" s="63">
        <v>4156</v>
      </c>
      <c r="G101" s="63">
        <v>1280</v>
      </c>
      <c r="H101" s="63">
        <v>120</v>
      </c>
      <c r="I101" s="63" t="s">
        <v>18</v>
      </c>
      <c r="J101" s="63" t="s">
        <v>19</v>
      </c>
      <c r="K101" s="63"/>
      <c r="L101" s="64" t="s">
        <v>42</v>
      </c>
      <c r="M101" s="58">
        <v>45785</v>
      </c>
      <c r="N101" s="63">
        <v>1</v>
      </c>
      <c r="O101" s="58">
        <v>45787</v>
      </c>
      <c r="P101" s="65">
        <v>0.63800000000000001</v>
      </c>
      <c r="Q101" s="65">
        <f t="shared" si="1"/>
        <v>1.595</v>
      </c>
      <c r="R101" s="65"/>
      <c r="S101" s="65"/>
      <c r="T101" s="58">
        <v>45800</v>
      </c>
      <c r="U101" s="58">
        <v>45800</v>
      </c>
      <c r="V101" s="63">
        <v>21</v>
      </c>
      <c r="W101" s="63" t="s">
        <v>199</v>
      </c>
      <c r="X101" s="66"/>
      <c r="Y101" s="63"/>
      <c r="Z101" s="68"/>
      <c r="AA101" s="68" t="s">
        <v>504</v>
      </c>
    </row>
    <row r="102" spans="2:27" s="2" customFormat="1" ht="24.95" customHeight="1" x14ac:dyDescent="0.25">
      <c r="B102" s="61">
        <v>101</v>
      </c>
      <c r="C102" s="63" t="s">
        <v>187</v>
      </c>
      <c r="D102" s="63" t="s">
        <v>62</v>
      </c>
      <c r="E102" s="63" t="s">
        <v>151</v>
      </c>
      <c r="F102" s="63">
        <v>400</v>
      </c>
      <c r="G102" s="63">
        <v>2630</v>
      </c>
      <c r="H102" s="63">
        <v>300</v>
      </c>
      <c r="I102" s="63" t="s">
        <v>46</v>
      </c>
      <c r="J102" s="63" t="s">
        <v>53</v>
      </c>
      <c r="K102" s="63" t="s">
        <v>168</v>
      </c>
      <c r="L102" s="64" t="s">
        <v>188</v>
      </c>
      <c r="M102" s="58">
        <v>45792</v>
      </c>
      <c r="N102" s="63"/>
      <c r="O102" s="58"/>
      <c r="P102" s="65">
        <v>0.72699999999999998</v>
      </c>
      <c r="Q102" s="65">
        <f t="shared" si="1"/>
        <v>1.8174999999999999</v>
      </c>
      <c r="R102" s="65"/>
      <c r="S102" s="65"/>
      <c r="T102" s="58">
        <v>45800</v>
      </c>
      <c r="U102" s="58">
        <v>45800</v>
      </c>
      <c r="V102" s="63">
        <v>21</v>
      </c>
      <c r="W102" s="63" t="s">
        <v>177</v>
      </c>
      <c r="X102" s="66"/>
      <c r="Y102" s="63"/>
      <c r="Z102" s="68"/>
      <c r="AA102" s="68" t="s">
        <v>504</v>
      </c>
    </row>
    <row r="103" spans="2:27" s="2" customFormat="1" ht="24.95" customHeight="1" x14ac:dyDescent="0.25">
      <c r="B103" s="61">
        <v>102</v>
      </c>
      <c r="C103" s="63" t="s">
        <v>189</v>
      </c>
      <c r="D103" s="63" t="s">
        <v>62</v>
      </c>
      <c r="E103" s="63" t="s">
        <v>133</v>
      </c>
      <c r="F103" s="63">
        <v>400</v>
      </c>
      <c r="G103" s="63">
        <v>3160</v>
      </c>
      <c r="H103" s="63">
        <v>300</v>
      </c>
      <c r="I103" s="63" t="s">
        <v>46</v>
      </c>
      <c r="J103" s="63" t="s">
        <v>190</v>
      </c>
      <c r="K103" s="63" t="s">
        <v>168</v>
      </c>
      <c r="L103" s="64" t="s">
        <v>188</v>
      </c>
      <c r="M103" s="58">
        <v>45792</v>
      </c>
      <c r="N103" s="63"/>
      <c r="O103" s="58"/>
      <c r="P103" s="65">
        <v>0.91200000000000003</v>
      </c>
      <c r="Q103" s="65">
        <f t="shared" si="1"/>
        <v>2.2800000000000002</v>
      </c>
      <c r="R103" s="65"/>
      <c r="S103" s="65"/>
      <c r="T103" s="58">
        <v>45800</v>
      </c>
      <c r="U103" s="58">
        <v>45800</v>
      </c>
      <c r="V103" s="63">
        <v>21</v>
      </c>
      <c r="W103" s="63" t="s">
        <v>179</v>
      </c>
      <c r="X103" s="66"/>
      <c r="Y103" s="63"/>
      <c r="Z103" s="68"/>
      <c r="AA103" s="68" t="s">
        <v>504</v>
      </c>
    </row>
    <row r="104" spans="2:27" s="2" customFormat="1" ht="24.95" customHeight="1" x14ac:dyDescent="0.25">
      <c r="B104" s="61">
        <v>103</v>
      </c>
      <c r="C104" s="63" t="s">
        <v>191</v>
      </c>
      <c r="D104" s="63" t="s">
        <v>62</v>
      </c>
      <c r="E104" s="63" t="s">
        <v>138</v>
      </c>
      <c r="F104" s="63">
        <v>400</v>
      </c>
      <c r="G104" s="63">
        <v>2760</v>
      </c>
      <c r="H104" s="63">
        <v>300</v>
      </c>
      <c r="I104" s="63" t="s">
        <v>46</v>
      </c>
      <c r="J104" s="63" t="s">
        <v>53</v>
      </c>
      <c r="K104" s="63" t="s">
        <v>168</v>
      </c>
      <c r="L104" s="64" t="s">
        <v>188</v>
      </c>
      <c r="M104" s="58">
        <v>45792</v>
      </c>
      <c r="N104" s="63">
        <v>0</v>
      </c>
      <c r="O104" s="58"/>
      <c r="P104" s="65">
        <v>0.73899999999999999</v>
      </c>
      <c r="Q104" s="65">
        <f t="shared" si="1"/>
        <v>1.8474999999999999</v>
      </c>
      <c r="R104" s="65"/>
      <c r="S104" s="65"/>
      <c r="T104" s="58">
        <v>45797</v>
      </c>
      <c r="U104" s="58">
        <v>45797</v>
      </c>
      <c r="V104" s="63">
        <v>21</v>
      </c>
      <c r="W104" s="63" t="s">
        <v>186</v>
      </c>
      <c r="X104" s="66"/>
      <c r="Y104" s="63"/>
      <c r="Z104" s="68"/>
      <c r="AA104" s="68" t="s">
        <v>504</v>
      </c>
    </row>
    <row r="105" spans="2:27" s="2" customFormat="1" ht="24.95" customHeight="1" x14ac:dyDescent="0.25">
      <c r="B105" s="69">
        <v>104</v>
      </c>
      <c r="C105" s="70" t="s">
        <v>192</v>
      </c>
      <c r="D105" s="63" t="s">
        <v>62</v>
      </c>
      <c r="E105" s="70" t="s">
        <v>152</v>
      </c>
      <c r="F105" s="70">
        <v>400</v>
      </c>
      <c r="G105" s="70">
        <v>2860</v>
      </c>
      <c r="H105" s="70">
        <v>300</v>
      </c>
      <c r="I105" s="70" t="s">
        <v>46</v>
      </c>
      <c r="J105" s="70" t="s">
        <v>53</v>
      </c>
      <c r="K105" s="70" t="s">
        <v>168</v>
      </c>
      <c r="L105" s="71" t="s">
        <v>188</v>
      </c>
      <c r="M105" s="60">
        <v>45792</v>
      </c>
      <c r="N105" s="70"/>
      <c r="O105" s="60"/>
      <c r="P105" s="72">
        <v>0.752</v>
      </c>
      <c r="Q105" s="65">
        <f t="shared" si="1"/>
        <v>1.88</v>
      </c>
      <c r="R105" s="72"/>
      <c r="S105" s="72"/>
      <c r="T105" s="60">
        <v>45800</v>
      </c>
      <c r="U105" s="60">
        <v>45800</v>
      </c>
      <c r="V105" s="70">
        <v>21</v>
      </c>
      <c r="W105" s="70" t="s">
        <v>193</v>
      </c>
      <c r="X105" s="73"/>
      <c r="Y105" s="70"/>
      <c r="Z105" s="68"/>
      <c r="AA105" s="68" t="s">
        <v>504</v>
      </c>
    </row>
    <row r="106" spans="2:27" s="2" customFormat="1" ht="24.95" customHeight="1" x14ac:dyDescent="0.25">
      <c r="B106" s="74">
        <v>1</v>
      </c>
      <c r="C106" s="76" t="s">
        <v>200</v>
      </c>
      <c r="D106" s="76" t="s">
        <v>201</v>
      </c>
      <c r="E106" s="76" t="s">
        <v>293</v>
      </c>
      <c r="F106" s="76">
        <v>2957</v>
      </c>
      <c r="G106" s="76">
        <v>3580</v>
      </c>
      <c r="H106" s="76">
        <v>120</v>
      </c>
      <c r="I106" s="76" t="s">
        <v>356</v>
      </c>
      <c r="J106" s="76" t="s">
        <v>127</v>
      </c>
      <c r="K106" s="76"/>
      <c r="L106" s="77" t="s">
        <v>202</v>
      </c>
      <c r="M106" s="78">
        <v>45797</v>
      </c>
      <c r="N106" s="76">
        <v>0</v>
      </c>
      <c r="O106" s="78"/>
      <c r="P106" s="79">
        <v>1.4159999999999999</v>
      </c>
      <c r="Q106" s="79">
        <v>3.54</v>
      </c>
      <c r="R106" s="79"/>
      <c r="S106" s="79"/>
      <c r="T106" s="78">
        <v>45808</v>
      </c>
      <c r="U106" s="78">
        <v>45808</v>
      </c>
      <c r="V106" s="76">
        <v>21</v>
      </c>
      <c r="W106" s="76" t="s">
        <v>194</v>
      </c>
      <c r="X106" s="75"/>
      <c r="Y106" s="76"/>
      <c r="Z106" s="80" t="s">
        <v>503</v>
      </c>
      <c r="AA106" s="68" t="s">
        <v>504</v>
      </c>
    </row>
    <row r="107" spans="2:27" s="2" customFormat="1" ht="24.95" customHeight="1" x14ac:dyDescent="0.25">
      <c r="B107" s="81">
        <v>2</v>
      </c>
      <c r="C107" s="63" t="s">
        <v>203</v>
      </c>
      <c r="D107" s="63" t="s">
        <v>201</v>
      </c>
      <c r="E107" s="63" t="s">
        <v>293</v>
      </c>
      <c r="F107" s="63">
        <v>2957</v>
      </c>
      <c r="G107" s="63">
        <v>3580</v>
      </c>
      <c r="H107" s="63">
        <v>120</v>
      </c>
      <c r="I107" s="63" t="s">
        <v>356</v>
      </c>
      <c r="J107" s="63" t="s">
        <v>127</v>
      </c>
      <c r="K107" s="63"/>
      <c r="L107" s="64" t="s">
        <v>202</v>
      </c>
      <c r="M107" s="58">
        <v>45797</v>
      </c>
      <c r="N107" s="63">
        <v>0</v>
      </c>
      <c r="O107" s="58"/>
      <c r="P107" s="65">
        <v>1.4159999999999999</v>
      </c>
      <c r="Q107" s="65">
        <v>3.54</v>
      </c>
      <c r="R107" s="65"/>
      <c r="S107" s="65"/>
      <c r="T107" s="58">
        <v>45808</v>
      </c>
      <c r="U107" s="58">
        <v>45808</v>
      </c>
      <c r="V107" s="63">
        <v>21</v>
      </c>
      <c r="W107" s="63" t="s">
        <v>181</v>
      </c>
      <c r="X107" s="62"/>
      <c r="Y107" s="63"/>
      <c r="Z107" s="82" t="s">
        <v>503</v>
      </c>
      <c r="AA107" s="68" t="s">
        <v>504</v>
      </c>
    </row>
    <row r="108" spans="2:27" s="2" customFormat="1" ht="24.95" customHeight="1" x14ac:dyDescent="0.25">
      <c r="B108" s="81">
        <v>3</v>
      </c>
      <c r="C108" s="63" t="s">
        <v>205</v>
      </c>
      <c r="D108" s="63" t="s">
        <v>201</v>
      </c>
      <c r="E108" s="63" t="s">
        <v>322</v>
      </c>
      <c r="F108" s="63">
        <v>2957</v>
      </c>
      <c r="G108" s="63">
        <v>3540</v>
      </c>
      <c r="H108" s="63">
        <v>120</v>
      </c>
      <c r="I108" s="63" t="s">
        <v>356</v>
      </c>
      <c r="J108" s="63" t="s">
        <v>127</v>
      </c>
      <c r="K108" s="63"/>
      <c r="L108" s="64" t="s">
        <v>202</v>
      </c>
      <c r="M108" s="58">
        <v>45797</v>
      </c>
      <c r="N108" s="63">
        <v>0</v>
      </c>
      <c r="O108" s="58"/>
      <c r="P108" s="65">
        <v>1.4019999999999999</v>
      </c>
      <c r="Q108" s="65">
        <v>3.5049999999999999</v>
      </c>
      <c r="R108" s="65"/>
      <c r="S108" s="65"/>
      <c r="T108" s="58">
        <v>45808</v>
      </c>
      <c r="U108" s="58">
        <v>45808</v>
      </c>
      <c r="V108" s="63">
        <v>21</v>
      </c>
      <c r="W108" s="63" t="s">
        <v>180</v>
      </c>
      <c r="X108" s="62"/>
      <c r="Y108" s="63"/>
      <c r="Z108" s="83"/>
      <c r="AA108" s="68" t="s">
        <v>504</v>
      </c>
    </row>
    <row r="109" spans="2:27" s="2" customFormat="1" ht="24.95" customHeight="1" x14ac:dyDescent="0.25">
      <c r="B109" s="81">
        <v>4</v>
      </c>
      <c r="C109" s="63" t="s">
        <v>206</v>
      </c>
      <c r="D109" s="63" t="s">
        <v>201</v>
      </c>
      <c r="E109" s="63" t="s">
        <v>323</v>
      </c>
      <c r="F109" s="63">
        <v>2990</v>
      </c>
      <c r="G109" s="63">
        <v>3630</v>
      </c>
      <c r="H109" s="63">
        <v>120</v>
      </c>
      <c r="I109" s="63" t="s">
        <v>356</v>
      </c>
      <c r="J109" s="63" t="s">
        <v>127</v>
      </c>
      <c r="K109" s="63"/>
      <c r="L109" s="64" t="s">
        <v>202</v>
      </c>
      <c r="M109" s="58">
        <v>45797</v>
      </c>
      <c r="N109" s="63">
        <v>0</v>
      </c>
      <c r="O109" s="58"/>
      <c r="P109" s="65">
        <v>1.446</v>
      </c>
      <c r="Q109" s="65">
        <v>3.6150000000000002</v>
      </c>
      <c r="R109" s="65"/>
      <c r="S109" s="65"/>
      <c r="T109" s="58">
        <v>45808</v>
      </c>
      <c r="U109" s="58">
        <v>45808</v>
      </c>
      <c r="V109" s="63">
        <v>21</v>
      </c>
      <c r="W109" s="63" t="s">
        <v>248</v>
      </c>
      <c r="X109" s="62"/>
      <c r="Y109" s="63"/>
      <c r="Z109" s="83"/>
      <c r="AA109" s="68" t="s">
        <v>504</v>
      </c>
    </row>
    <row r="110" spans="2:27" s="2" customFormat="1" ht="24.95" customHeight="1" x14ac:dyDescent="0.25">
      <c r="B110" s="81">
        <v>5</v>
      </c>
      <c r="C110" s="63" t="s">
        <v>208</v>
      </c>
      <c r="D110" s="63" t="s">
        <v>201</v>
      </c>
      <c r="E110" s="63" t="s">
        <v>294</v>
      </c>
      <c r="F110" s="63">
        <v>2990</v>
      </c>
      <c r="G110" s="63">
        <v>3630</v>
      </c>
      <c r="H110" s="63">
        <v>120</v>
      </c>
      <c r="I110" s="63" t="s">
        <v>356</v>
      </c>
      <c r="J110" s="63" t="s">
        <v>127</v>
      </c>
      <c r="K110" s="63"/>
      <c r="L110" s="64" t="s">
        <v>202</v>
      </c>
      <c r="M110" s="58">
        <v>45797</v>
      </c>
      <c r="N110" s="63">
        <v>0</v>
      </c>
      <c r="O110" s="58"/>
      <c r="P110" s="65">
        <v>1.446</v>
      </c>
      <c r="Q110" s="65">
        <v>3.6150000000000002</v>
      </c>
      <c r="R110" s="65"/>
      <c r="S110" s="65"/>
      <c r="T110" s="58">
        <v>45808</v>
      </c>
      <c r="U110" s="58">
        <v>45808</v>
      </c>
      <c r="V110" s="63">
        <v>21</v>
      </c>
      <c r="W110" s="63" t="s">
        <v>176</v>
      </c>
      <c r="X110" s="62"/>
      <c r="Y110" s="63"/>
      <c r="Z110" s="82" t="s">
        <v>503</v>
      </c>
      <c r="AA110" s="68" t="s">
        <v>504</v>
      </c>
    </row>
    <row r="111" spans="2:27" s="2" customFormat="1" ht="24.95" customHeight="1" x14ac:dyDescent="0.25">
      <c r="B111" s="81">
        <v>6</v>
      </c>
      <c r="C111" s="63" t="s">
        <v>213</v>
      </c>
      <c r="D111" s="63" t="s">
        <v>201</v>
      </c>
      <c r="E111" s="63" t="s">
        <v>325</v>
      </c>
      <c r="F111" s="63">
        <v>2990</v>
      </c>
      <c r="G111" s="63">
        <v>3640</v>
      </c>
      <c r="H111" s="63">
        <v>120</v>
      </c>
      <c r="I111" s="63" t="s">
        <v>356</v>
      </c>
      <c r="J111" s="63" t="s">
        <v>127</v>
      </c>
      <c r="K111" s="63"/>
      <c r="L111" s="64" t="s">
        <v>202</v>
      </c>
      <c r="M111" s="58">
        <v>45797</v>
      </c>
      <c r="N111" s="63">
        <v>0</v>
      </c>
      <c r="O111" s="58"/>
      <c r="P111" s="65">
        <v>1.4490000000000001</v>
      </c>
      <c r="Q111" s="65">
        <v>3.6230000000000002</v>
      </c>
      <c r="R111" s="65"/>
      <c r="S111" s="65"/>
      <c r="T111" s="58">
        <v>45808</v>
      </c>
      <c r="U111" s="58">
        <v>45808</v>
      </c>
      <c r="V111" s="63">
        <v>21</v>
      </c>
      <c r="W111" s="63" t="s">
        <v>185</v>
      </c>
      <c r="X111" s="62"/>
      <c r="Y111" s="63"/>
      <c r="Z111" s="83"/>
      <c r="AA111" s="68" t="s">
        <v>504</v>
      </c>
    </row>
    <row r="112" spans="2:27" s="2" customFormat="1" ht="24.95" customHeight="1" x14ac:dyDescent="0.25">
      <c r="B112" s="81">
        <v>7</v>
      </c>
      <c r="C112" s="63" t="s">
        <v>295</v>
      </c>
      <c r="D112" s="63" t="s">
        <v>201</v>
      </c>
      <c r="E112" s="63" t="s">
        <v>351</v>
      </c>
      <c r="F112" s="63">
        <v>400</v>
      </c>
      <c r="G112" s="63">
        <v>3500</v>
      </c>
      <c r="H112" s="63">
        <v>300</v>
      </c>
      <c r="I112" s="63" t="s">
        <v>46</v>
      </c>
      <c r="J112" s="63" t="s">
        <v>296</v>
      </c>
      <c r="K112" s="63" t="s">
        <v>168</v>
      </c>
      <c r="L112" s="63">
        <v>19</v>
      </c>
      <c r="M112" s="58">
        <v>45804</v>
      </c>
      <c r="N112" s="63">
        <v>0</v>
      </c>
      <c r="O112" s="58"/>
      <c r="P112" s="65">
        <v>1.113</v>
      </c>
      <c r="Q112" s="65">
        <v>2.7829999999999999</v>
      </c>
      <c r="R112" s="84">
        <v>2060</v>
      </c>
      <c r="S112" s="84">
        <v>2860</v>
      </c>
      <c r="T112" s="58">
        <v>45810</v>
      </c>
      <c r="U112" s="58">
        <v>45810</v>
      </c>
      <c r="V112" s="63">
        <v>21</v>
      </c>
      <c r="W112" s="63" t="s">
        <v>179</v>
      </c>
      <c r="X112" s="62"/>
      <c r="Y112" s="63"/>
      <c r="Z112" s="83"/>
      <c r="AA112" s="68" t="s">
        <v>504</v>
      </c>
    </row>
    <row r="113" spans="2:27" s="2" customFormat="1" ht="24.95" customHeight="1" x14ac:dyDescent="0.25">
      <c r="B113" s="81">
        <v>8</v>
      </c>
      <c r="C113" s="63" t="s">
        <v>298</v>
      </c>
      <c r="D113" s="63" t="s">
        <v>201</v>
      </c>
      <c r="E113" s="63" t="s">
        <v>351</v>
      </c>
      <c r="F113" s="63">
        <v>400</v>
      </c>
      <c r="G113" s="63">
        <v>3970</v>
      </c>
      <c r="H113" s="63">
        <v>300</v>
      </c>
      <c r="I113" s="63" t="s">
        <v>46</v>
      </c>
      <c r="J113" s="63" t="s">
        <v>299</v>
      </c>
      <c r="K113" s="63" t="s">
        <v>168</v>
      </c>
      <c r="L113" s="63">
        <v>19</v>
      </c>
      <c r="M113" s="58">
        <v>45804</v>
      </c>
      <c r="N113" s="63">
        <v>0</v>
      </c>
      <c r="O113" s="58"/>
      <c r="P113" s="65">
        <v>1.1299999999999999</v>
      </c>
      <c r="Q113" s="65">
        <v>2.8250000000000002</v>
      </c>
      <c r="R113" s="84">
        <v>2530</v>
      </c>
      <c r="S113" s="84">
        <v>2530</v>
      </c>
      <c r="T113" s="58">
        <v>45810</v>
      </c>
      <c r="U113" s="58">
        <v>45810</v>
      </c>
      <c r="V113" s="63">
        <v>21</v>
      </c>
      <c r="W113" s="63" t="s">
        <v>193</v>
      </c>
      <c r="X113" s="62"/>
      <c r="Y113" s="63"/>
      <c r="Z113" s="83"/>
      <c r="AA113" s="68" t="s">
        <v>504</v>
      </c>
    </row>
    <row r="114" spans="2:27" s="2" customFormat="1" ht="24.95" customHeight="1" x14ac:dyDescent="0.25">
      <c r="B114" s="81">
        <v>9</v>
      </c>
      <c r="C114" s="63" t="s">
        <v>300</v>
      </c>
      <c r="D114" s="63" t="s">
        <v>201</v>
      </c>
      <c r="E114" s="63" t="s">
        <v>351</v>
      </c>
      <c r="F114" s="63">
        <v>400</v>
      </c>
      <c r="G114" s="63">
        <v>3770</v>
      </c>
      <c r="H114" s="63">
        <v>300</v>
      </c>
      <c r="I114" s="63" t="s">
        <v>46</v>
      </c>
      <c r="J114" s="63" t="s">
        <v>301</v>
      </c>
      <c r="K114" s="63" t="s">
        <v>168</v>
      </c>
      <c r="L114" s="63">
        <v>19</v>
      </c>
      <c r="M114" s="58">
        <v>45804</v>
      </c>
      <c r="N114" s="63">
        <v>0</v>
      </c>
      <c r="O114" s="58"/>
      <c r="P114" s="65">
        <v>1.073</v>
      </c>
      <c r="Q114" s="65">
        <v>2.6829999999999998</v>
      </c>
      <c r="R114" s="84">
        <v>2330</v>
      </c>
      <c r="S114" s="84">
        <v>2330</v>
      </c>
      <c r="T114" s="58">
        <v>45810</v>
      </c>
      <c r="U114" s="58">
        <v>45810</v>
      </c>
      <c r="V114" s="63">
        <v>21</v>
      </c>
      <c r="W114" s="63" t="s">
        <v>177</v>
      </c>
      <c r="X114" s="62"/>
      <c r="Y114" s="63"/>
      <c r="Z114" s="83"/>
      <c r="AA114" s="68" t="s">
        <v>504</v>
      </c>
    </row>
    <row r="115" spans="2:27" s="2" customFormat="1" ht="24.95" customHeight="1" x14ac:dyDescent="0.25">
      <c r="B115" s="81">
        <v>10</v>
      </c>
      <c r="C115" s="63" t="s">
        <v>315</v>
      </c>
      <c r="D115" s="63" t="s">
        <v>201</v>
      </c>
      <c r="E115" s="63" t="s">
        <v>351</v>
      </c>
      <c r="F115" s="63">
        <v>4924</v>
      </c>
      <c r="G115" s="63">
        <v>2290</v>
      </c>
      <c r="H115" s="63">
        <v>120</v>
      </c>
      <c r="I115" s="63" t="s">
        <v>18</v>
      </c>
      <c r="J115" s="63"/>
      <c r="K115" s="63"/>
      <c r="L115" s="63">
        <v>19</v>
      </c>
      <c r="M115" s="58">
        <v>45804</v>
      </c>
      <c r="N115" s="63">
        <v>0</v>
      </c>
      <c r="O115" s="58"/>
      <c r="P115" s="65">
        <v>1.35</v>
      </c>
      <c r="Q115" s="65">
        <v>3.375</v>
      </c>
      <c r="R115" s="65"/>
      <c r="S115" s="65"/>
      <c r="T115" s="58">
        <v>45810</v>
      </c>
      <c r="U115" s="58">
        <v>45810</v>
      </c>
      <c r="V115" s="63">
        <v>21</v>
      </c>
      <c r="W115" s="63" t="s">
        <v>434</v>
      </c>
      <c r="X115" s="62"/>
      <c r="Y115" s="63"/>
      <c r="Z115" s="83"/>
      <c r="AA115" s="68" t="s">
        <v>504</v>
      </c>
    </row>
    <row r="116" spans="2:27" s="2" customFormat="1" ht="24.95" customHeight="1" x14ac:dyDescent="0.25">
      <c r="B116" s="81">
        <v>11</v>
      </c>
      <c r="C116" s="63" t="s">
        <v>314</v>
      </c>
      <c r="D116" s="63" t="s">
        <v>201</v>
      </c>
      <c r="E116" s="63" t="s">
        <v>351</v>
      </c>
      <c r="F116" s="63">
        <v>4234</v>
      </c>
      <c r="G116" s="63">
        <v>2290</v>
      </c>
      <c r="H116" s="63">
        <v>120</v>
      </c>
      <c r="I116" s="63" t="s">
        <v>18</v>
      </c>
      <c r="J116" s="63"/>
      <c r="K116" s="63"/>
      <c r="L116" s="63">
        <v>19</v>
      </c>
      <c r="M116" s="58">
        <v>45804</v>
      </c>
      <c r="N116" s="63">
        <v>0</v>
      </c>
      <c r="O116" s="58"/>
      <c r="P116" s="65">
        <v>1.163</v>
      </c>
      <c r="Q116" s="65">
        <v>2.9079999999999999</v>
      </c>
      <c r="R116" s="65"/>
      <c r="S116" s="65"/>
      <c r="T116" s="58">
        <v>45810</v>
      </c>
      <c r="U116" s="58">
        <v>45810</v>
      </c>
      <c r="V116" s="63">
        <v>21</v>
      </c>
      <c r="W116" s="63" t="s">
        <v>435</v>
      </c>
      <c r="X116" s="62"/>
      <c r="Y116" s="63"/>
      <c r="Z116" s="83"/>
      <c r="AA116" s="68" t="s">
        <v>504</v>
      </c>
    </row>
    <row r="117" spans="2:27" s="2" customFormat="1" ht="24.95" customHeight="1" x14ac:dyDescent="0.25">
      <c r="B117" s="81">
        <v>12</v>
      </c>
      <c r="C117" s="63" t="s">
        <v>305</v>
      </c>
      <c r="D117" s="63" t="s">
        <v>201</v>
      </c>
      <c r="E117" s="63" t="s">
        <v>331</v>
      </c>
      <c r="F117" s="63">
        <v>4233</v>
      </c>
      <c r="G117" s="63">
        <v>2040</v>
      </c>
      <c r="H117" s="63">
        <v>120</v>
      </c>
      <c r="I117" s="63" t="s">
        <v>18</v>
      </c>
      <c r="J117" s="63"/>
      <c r="K117" s="63"/>
      <c r="L117" s="63">
        <v>19</v>
      </c>
      <c r="M117" s="58">
        <v>45804</v>
      </c>
      <c r="N117" s="63">
        <v>0</v>
      </c>
      <c r="O117" s="58"/>
      <c r="P117" s="65">
        <v>1.036</v>
      </c>
      <c r="Q117" s="65">
        <v>2.59</v>
      </c>
      <c r="R117" s="65"/>
      <c r="S117" s="65"/>
      <c r="T117" s="58">
        <v>45810</v>
      </c>
      <c r="U117" s="58">
        <v>45810</v>
      </c>
      <c r="V117" s="63">
        <v>21</v>
      </c>
      <c r="W117" s="63" t="s">
        <v>432</v>
      </c>
      <c r="X117" s="62"/>
      <c r="Y117" s="63"/>
      <c r="Z117" s="83"/>
      <c r="AA117" s="68" t="s">
        <v>504</v>
      </c>
    </row>
    <row r="118" spans="2:27" s="2" customFormat="1" ht="24.95" customHeight="1" x14ac:dyDescent="0.25">
      <c r="B118" s="81">
        <v>13</v>
      </c>
      <c r="C118" s="63" t="s">
        <v>306</v>
      </c>
      <c r="D118" s="63" t="s">
        <v>201</v>
      </c>
      <c r="E118" s="63" t="s">
        <v>331</v>
      </c>
      <c r="F118" s="63">
        <v>4233</v>
      </c>
      <c r="G118" s="63">
        <v>2300</v>
      </c>
      <c r="H118" s="63">
        <v>120</v>
      </c>
      <c r="I118" s="63" t="s">
        <v>18</v>
      </c>
      <c r="J118" s="63"/>
      <c r="K118" s="63"/>
      <c r="L118" s="63">
        <v>19</v>
      </c>
      <c r="M118" s="58">
        <v>45804</v>
      </c>
      <c r="N118" s="63">
        <v>0</v>
      </c>
      <c r="O118" s="58"/>
      <c r="P118" s="65">
        <v>1.167</v>
      </c>
      <c r="Q118" s="65">
        <v>2.9180000000000001</v>
      </c>
      <c r="R118" s="65"/>
      <c r="S118" s="65"/>
      <c r="T118" s="58">
        <v>45810</v>
      </c>
      <c r="U118" s="58">
        <v>45810</v>
      </c>
      <c r="V118" s="63">
        <v>21</v>
      </c>
      <c r="W118" s="63" t="s">
        <v>433</v>
      </c>
      <c r="X118" s="62"/>
      <c r="Y118" s="63"/>
      <c r="Z118" s="83"/>
      <c r="AA118" s="68" t="s">
        <v>504</v>
      </c>
    </row>
    <row r="119" spans="2:27" s="2" customFormat="1" ht="24.95" customHeight="1" x14ac:dyDescent="0.25">
      <c r="B119" s="81">
        <v>14</v>
      </c>
      <c r="C119" s="63" t="s">
        <v>303</v>
      </c>
      <c r="D119" s="63" t="s">
        <v>201</v>
      </c>
      <c r="E119" s="63" t="s">
        <v>331</v>
      </c>
      <c r="F119" s="63">
        <v>4926</v>
      </c>
      <c r="G119" s="63">
        <v>1910</v>
      </c>
      <c r="H119" s="63">
        <v>120</v>
      </c>
      <c r="I119" s="63" t="s">
        <v>18</v>
      </c>
      <c r="J119" s="63"/>
      <c r="K119" s="63"/>
      <c r="L119" s="63">
        <v>19</v>
      </c>
      <c r="M119" s="58">
        <v>45804</v>
      </c>
      <c r="N119" s="63">
        <v>0</v>
      </c>
      <c r="O119" s="58"/>
      <c r="P119" s="65">
        <v>1.129</v>
      </c>
      <c r="Q119" s="65">
        <v>2.823</v>
      </c>
      <c r="R119" s="65"/>
      <c r="S119" s="65"/>
      <c r="T119" s="58">
        <v>45810</v>
      </c>
      <c r="U119" s="58">
        <v>45810</v>
      </c>
      <c r="V119" s="63">
        <v>21</v>
      </c>
      <c r="W119" s="63" t="s">
        <v>431</v>
      </c>
      <c r="X119" s="62"/>
      <c r="Y119" s="63"/>
      <c r="Z119" s="83"/>
      <c r="AA119" s="68" t="s">
        <v>504</v>
      </c>
    </row>
    <row r="120" spans="2:27" s="2" customFormat="1" ht="24.95" customHeight="1" x14ac:dyDescent="0.25">
      <c r="B120" s="81">
        <v>15</v>
      </c>
      <c r="C120" s="63" t="s">
        <v>207</v>
      </c>
      <c r="D120" s="63" t="s">
        <v>201</v>
      </c>
      <c r="E120" s="63" t="s">
        <v>323</v>
      </c>
      <c r="F120" s="63">
        <v>2990</v>
      </c>
      <c r="G120" s="63">
        <v>3630</v>
      </c>
      <c r="H120" s="63">
        <v>120</v>
      </c>
      <c r="I120" s="63" t="s">
        <v>356</v>
      </c>
      <c r="J120" s="63" t="s">
        <v>127</v>
      </c>
      <c r="K120" s="63"/>
      <c r="L120" s="64" t="s">
        <v>202</v>
      </c>
      <c r="M120" s="58">
        <v>45797</v>
      </c>
      <c r="N120" s="63">
        <v>0</v>
      </c>
      <c r="O120" s="58"/>
      <c r="P120" s="65">
        <v>1.446</v>
      </c>
      <c r="Q120" s="65">
        <v>3.6150000000000002</v>
      </c>
      <c r="R120" s="65"/>
      <c r="S120" s="65"/>
      <c r="T120" s="58">
        <v>45811</v>
      </c>
      <c r="U120" s="58">
        <v>45812</v>
      </c>
      <c r="V120" s="63">
        <v>21</v>
      </c>
      <c r="W120" s="63" t="s">
        <v>436</v>
      </c>
      <c r="X120" s="62"/>
      <c r="Y120" s="63"/>
      <c r="Z120" s="83"/>
      <c r="AA120" s="68" t="s">
        <v>504</v>
      </c>
    </row>
    <row r="121" spans="2:27" s="2" customFormat="1" ht="24.95" customHeight="1" x14ac:dyDescent="0.25">
      <c r="B121" s="81">
        <v>16</v>
      </c>
      <c r="C121" s="63" t="s">
        <v>210</v>
      </c>
      <c r="D121" s="63" t="s">
        <v>201</v>
      </c>
      <c r="E121" s="63" t="s">
        <v>324</v>
      </c>
      <c r="F121" s="63">
        <v>2957</v>
      </c>
      <c r="G121" s="63">
        <v>3630</v>
      </c>
      <c r="H121" s="63">
        <v>120</v>
      </c>
      <c r="I121" s="63" t="s">
        <v>356</v>
      </c>
      <c r="J121" s="63" t="s">
        <v>127</v>
      </c>
      <c r="K121" s="63"/>
      <c r="L121" s="64" t="s">
        <v>202</v>
      </c>
      <c r="M121" s="58">
        <v>45797</v>
      </c>
      <c r="N121" s="63">
        <v>0</v>
      </c>
      <c r="O121" s="58"/>
      <c r="P121" s="65">
        <v>1.4339999999999999</v>
      </c>
      <c r="Q121" s="65">
        <v>3.585</v>
      </c>
      <c r="R121" s="65"/>
      <c r="S121" s="65"/>
      <c r="T121" s="58">
        <v>45811</v>
      </c>
      <c r="U121" s="58">
        <v>45811</v>
      </c>
      <c r="V121" s="63">
        <v>21</v>
      </c>
      <c r="W121" s="63" t="e">
        <v>#N/A</v>
      </c>
      <c r="X121" s="62"/>
      <c r="Y121" s="63"/>
      <c r="Z121" s="83"/>
      <c r="AA121" s="68" t="s">
        <v>504</v>
      </c>
    </row>
    <row r="122" spans="2:27" s="2" customFormat="1" ht="24.95" customHeight="1" x14ac:dyDescent="0.25">
      <c r="B122" s="81">
        <v>17</v>
      </c>
      <c r="C122" s="63" t="s">
        <v>211</v>
      </c>
      <c r="D122" s="63" t="s">
        <v>201</v>
      </c>
      <c r="E122" s="63" t="s">
        <v>324</v>
      </c>
      <c r="F122" s="63">
        <v>2957</v>
      </c>
      <c r="G122" s="63">
        <v>3630</v>
      </c>
      <c r="H122" s="63">
        <v>120</v>
      </c>
      <c r="I122" s="63" t="s">
        <v>356</v>
      </c>
      <c r="J122" s="63" t="s">
        <v>127</v>
      </c>
      <c r="K122" s="63"/>
      <c r="L122" s="64" t="s">
        <v>202</v>
      </c>
      <c r="M122" s="58">
        <v>45797</v>
      </c>
      <c r="N122" s="63">
        <v>0</v>
      </c>
      <c r="O122" s="58"/>
      <c r="P122" s="65">
        <v>1.4339999999999999</v>
      </c>
      <c r="Q122" s="65">
        <v>3.585</v>
      </c>
      <c r="R122" s="65"/>
      <c r="S122" s="65"/>
      <c r="T122" s="58">
        <v>45811</v>
      </c>
      <c r="U122" s="58">
        <v>45812</v>
      </c>
      <c r="V122" s="63">
        <v>21</v>
      </c>
      <c r="W122" s="63" t="s">
        <v>172</v>
      </c>
      <c r="X122" s="62"/>
      <c r="Y122" s="63"/>
      <c r="Z122" s="83"/>
      <c r="AA122" s="68" t="s">
        <v>504</v>
      </c>
    </row>
    <row r="123" spans="2:27" s="2" customFormat="1" ht="24.95" customHeight="1" x14ac:dyDescent="0.25">
      <c r="B123" s="81">
        <v>18</v>
      </c>
      <c r="C123" s="63" t="s">
        <v>212</v>
      </c>
      <c r="D123" s="63" t="s">
        <v>201</v>
      </c>
      <c r="E123" s="63" t="s">
        <v>325</v>
      </c>
      <c r="F123" s="63">
        <v>2990</v>
      </c>
      <c r="G123" s="63">
        <v>3640</v>
      </c>
      <c r="H123" s="63">
        <v>120</v>
      </c>
      <c r="I123" s="63" t="s">
        <v>356</v>
      </c>
      <c r="J123" s="63" t="s">
        <v>127</v>
      </c>
      <c r="K123" s="63"/>
      <c r="L123" s="64" t="s">
        <v>202</v>
      </c>
      <c r="M123" s="58">
        <v>45797</v>
      </c>
      <c r="N123" s="63">
        <v>0</v>
      </c>
      <c r="O123" s="58"/>
      <c r="P123" s="65">
        <v>1.4490000000000001</v>
      </c>
      <c r="Q123" s="65">
        <v>3.6230000000000002</v>
      </c>
      <c r="R123" s="65"/>
      <c r="S123" s="65"/>
      <c r="T123" s="58">
        <v>45811</v>
      </c>
      <c r="U123" s="58">
        <v>45811</v>
      </c>
      <c r="V123" s="63">
        <v>21</v>
      </c>
      <c r="W123" s="63" t="e">
        <v>#N/A</v>
      </c>
      <c r="X123" s="62"/>
      <c r="Y123" s="63"/>
      <c r="Z123" s="83"/>
      <c r="AA123" s="68" t="s">
        <v>504</v>
      </c>
    </row>
    <row r="124" spans="2:27" s="2" customFormat="1" ht="24.95" customHeight="1" x14ac:dyDescent="0.25">
      <c r="B124" s="81">
        <v>19</v>
      </c>
      <c r="C124" s="63" t="s">
        <v>214</v>
      </c>
      <c r="D124" s="63" t="s">
        <v>201</v>
      </c>
      <c r="E124" s="63" t="s">
        <v>326</v>
      </c>
      <c r="F124" s="63">
        <v>2990</v>
      </c>
      <c r="G124" s="63">
        <v>3640</v>
      </c>
      <c r="H124" s="63">
        <v>120</v>
      </c>
      <c r="I124" s="63" t="s">
        <v>356</v>
      </c>
      <c r="J124" s="63" t="s">
        <v>127</v>
      </c>
      <c r="K124" s="63"/>
      <c r="L124" s="64" t="s">
        <v>202</v>
      </c>
      <c r="M124" s="58">
        <v>45797</v>
      </c>
      <c r="N124" s="63">
        <v>0</v>
      </c>
      <c r="O124" s="58"/>
      <c r="P124" s="65">
        <v>1.4490000000000001</v>
      </c>
      <c r="Q124" s="65">
        <v>3.6230000000000002</v>
      </c>
      <c r="R124" s="65"/>
      <c r="S124" s="65"/>
      <c r="T124" s="58">
        <v>45811</v>
      </c>
      <c r="U124" s="58">
        <v>45811</v>
      </c>
      <c r="V124" s="63">
        <v>21</v>
      </c>
      <c r="W124" s="63" t="s">
        <v>171</v>
      </c>
      <c r="X124" s="62"/>
      <c r="Y124" s="63"/>
      <c r="Z124" s="83"/>
      <c r="AA124" s="68" t="s">
        <v>504</v>
      </c>
    </row>
    <row r="125" spans="2:27" s="2" customFormat="1" ht="24.95" customHeight="1" x14ac:dyDescent="0.25">
      <c r="B125" s="81">
        <v>20</v>
      </c>
      <c r="C125" s="63" t="s">
        <v>215</v>
      </c>
      <c r="D125" s="63" t="s">
        <v>201</v>
      </c>
      <c r="E125" s="63" t="s">
        <v>326</v>
      </c>
      <c r="F125" s="63">
        <v>2990</v>
      </c>
      <c r="G125" s="63">
        <v>3640</v>
      </c>
      <c r="H125" s="63">
        <v>120</v>
      </c>
      <c r="I125" s="63" t="s">
        <v>356</v>
      </c>
      <c r="J125" s="63" t="s">
        <v>127</v>
      </c>
      <c r="K125" s="63"/>
      <c r="L125" s="64" t="s">
        <v>202</v>
      </c>
      <c r="M125" s="58">
        <v>45797</v>
      </c>
      <c r="N125" s="63">
        <v>0</v>
      </c>
      <c r="O125" s="58"/>
      <c r="P125" s="65">
        <v>1.4490000000000001</v>
      </c>
      <c r="Q125" s="65">
        <v>3.6230000000000002</v>
      </c>
      <c r="R125" s="65"/>
      <c r="S125" s="65"/>
      <c r="T125" s="58">
        <v>45811</v>
      </c>
      <c r="U125" s="58">
        <v>45812</v>
      </c>
      <c r="V125" s="63">
        <v>21</v>
      </c>
      <c r="W125" s="63" t="e">
        <v>#N/A</v>
      </c>
      <c r="X125" s="62"/>
      <c r="Y125" s="63"/>
      <c r="Z125" s="83"/>
      <c r="AA125" s="68" t="s">
        <v>504</v>
      </c>
    </row>
    <row r="126" spans="2:27" s="2" customFormat="1" ht="24.95" customHeight="1" x14ac:dyDescent="0.25">
      <c r="B126" s="81">
        <v>21</v>
      </c>
      <c r="C126" s="63" t="s">
        <v>216</v>
      </c>
      <c r="D126" s="63" t="s">
        <v>201</v>
      </c>
      <c r="E126" s="63" t="s">
        <v>358</v>
      </c>
      <c r="F126" s="63">
        <v>2957</v>
      </c>
      <c r="G126" s="63">
        <v>3640</v>
      </c>
      <c r="H126" s="63">
        <v>120</v>
      </c>
      <c r="I126" s="63" t="s">
        <v>356</v>
      </c>
      <c r="J126" s="63" t="s">
        <v>127</v>
      </c>
      <c r="K126" s="63"/>
      <c r="L126" s="64" t="s">
        <v>202</v>
      </c>
      <c r="M126" s="58">
        <v>45797</v>
      </c>
      <c r="N126" s="63">
        <v>0</v>
      </c>
      <c r="O126" s="58"/>
      <c r="P126" s="65">
        <v>1.4379999999999999</v>
      </c>
      <c r="Q126" s="65">
        <v>3.5950000000000002</v>
      </c>
      <c r="R126" s="65"/>
      <c r="S126" s="65"/>
      <c r="T126" s="58">
        <v>45811</v>
      </c>
      <c r="U126" s="58">
        <v>45811</v>
      </c>
      <c r="V126" s="63">
        <v>21</v>
      </c>
      <c r="W126" s="63" t="s">
        <v>172</v>
      </c>
      <c r="X126" s="62"/>
      <c r="Y126" s="63"/>
      <c r="Z126" s="83"/>
      <c r="AA126" s="68" t="s">
        <v>504</v>
      </c>
    </row>
    <row r="127" spans="2:27" s="2" customFormat="1" ht="24.95" customHeight="1" x14ac:dyDescent="0.25">
      <c r="B127" s="81">
        <v>22</v>
      </c>
      <c r="C127" s="63" t="s">
        <v>221</v>
      </c>
      <c r="D127" s="63" t="s">
        <v>201</v>
      </c>
      <c r="E127" s="63" t="s">
        <v>328</v>
      </c>
      <c r="F127" s="63">
        <v>2990</v>
      </c>
      <c r="G127" s="63">
        <v>3740</v>
      </c>
      <c r="H127" s="63">
        <v>120</v>
      </c>
      <c r="I127" s="63" t="s">
        <v>356</v>
      </c>
      <c r="J127" s="63" t="s">
        <v>127</v>
      </c>
      <c r="K127" s="63"/>
      <c r="L127" s="64" t="s">
        <v>202</v>
      </c>
      <c r="M127" s="58">
        <v>45797</v>
      </c>
      <c r="N127" s="63">
        <v>0</v>
      </c>
      <c r="O127" s="58"/>
      <c r="P127" s="65">
        <v>1.4490000000000001</v>
      </c>
      <c r="Q127" s="65">
        <v>3.6230000000000002</v>
      </c>
      <c r="R127" s="65"/>
      <c r="S127" s="65"/>
      <c r="T127" s="58">
        <v>45811</v>
      </c>
      <c r="U127" s="58">
        <v>45812</v>
      </c>
      <c r="V127" s="63">
        <v>21</v>
      </c>
      <c r="W127" s="63" t="s">
        <v>439</v>
      </c>
      <c r="X127" s="62"/>
      <c r="Y127" s="63"/>
      <c r="Z127" s="83"/>
      <c r="AA127" s="68" t="s">
        <v>504</v>
      </c>
    </row>
    <row r="128" spans="2:27" s="2" customFormat="1" ht="24.95" customHeight="1" x14ac:dyDescent="0.25">
      <c r="B128" s="81">
        <v>23</v>
      </c>
      <c r="C128" s="63" t="s">
        <v>227</v>
      </c>
      <c r="D128" s="63" t="s">
        <v>201</v>
      </c>
      <c r="E128" s="63" t="s">
        <v>331</v>
      </c>
      <c r="F128" s="63">
        <v>4411</v>
      </c>
      <c r="G128" s="63">
        <v>3580</v>
      </c>
      <c r="H128" s="63">
        <v>120</v>
      </c>
      <c r="I128" s="63" t="s">
        <v>357</v>
      </c>
      <c r="J128" s="63" t="s">
        <v>132</v>
      </c>
      <c r="K128" s="63"/>
      <c r="L128" s="64">
        <v>13</v>
      </c>
      <c r="M128" s="58">
        <v>45799</v>
      </c>
      <c r="N128" s="63">
        <v>0</v>
      </c>
      <c r="O128" s="58"/>
      <c r="P128" s="65">
        <v>2.1190000000000002</v>
      </c>
      <c r="Q128" s="65">
        <v>5.298</v>
      </c>
      <c r="R128" s="65"/>
      <c r="S128" s="65"/>
      <c r="T128" s="58">
        <v>45817</v>
      </c>
      <c r="U128" s="58">
        <v>45817</v>
      </c>
      <c r="V128" s="63">
        <v>21</v>
      </c>
      <c r="W128" s="63" t="s">
        <v>194</v>
      </c>
      <c r="X128" s="62" t="s">
        <v>288</v>
      </c>
      <c r="Y128" s="63"/>
      <c r="Z128" s="83"/>
      <c r="AA128" s="68" t="s">
        <v>504</v>
      </c>
    </row>
    <row r="129" spans="2:27" s="2" customFormat="1" ht="24.95" customHeight="1" x14ac:dyDescent="0.25">
      <c r="B129" s="81">
        <v>24</v>
      </c>
      <c r="C129" s="63" t="s">
        <v>204</v>
      </c>
      <c r="D129" s="63" t="s">
        <v>201</v>
      </c>
      <c r="E129" s="63" t="s">
        <v>290</v>
      </c>
      <c r="F129" s="63">
        <v>4780</v>
      </c>
      <c r="G129" s="63">
        <v>3490</v>
      </c>
      <c r="H129" s="63">
        <v>120</v>
      </c>
      <c r="I129" s="63" t="s">
        <v>357</v>
      </c>
      <c r="J129" s="63" t="s">
        <v>132</v>
      </c>
      <c r="K129" s="63"/>
      <c r="L129" s="64">
        <v>15</v>
      </c>
      <c r="M129" s="58">
        <v>45800</v>
      </c>
      <c r="N129" s="63">
        <v>0</v>
      </c>
      <c r="O129" s="58"/>
      <c r="P129" s="65">
        <v>2.1850000000000001</v>
      </c>
      <c r="Q129" s="65">
        <v>5.4630000000000001</v>
      </c>
      <c r="R129" s="65"/>
      <c r="S129" s="65"/>
      <c r="T129" s="58">
        <v>45811</v>
      </c>
      <c r="U129" s="58">
        <v>45811</v>
      </c>
      <c r="V129" s="63">
        <v>21</v>
      </c>
      <c r="W129" s="63" t="e">
        <v>#N/A</v>
      </c>
      <c r="X129" s="62" t="s">
        <v>288</v>
      </c>
      <c r="Y129" s="63"/>
      <c r="Z129" s="83"/>
      <c r="AA129" s="68" t="s">
        <v>504</v>
      </c>
    </row>
    <row r="130" spans="2:27" s="2" customFormat="1" ht="24.95" customHeight="1" x14ac:dyDescent="0.25">
      <c r="B130" s="81">
        <v>25</v>
      </c>
      <c r="C130" s="63" t="s">
        <v>276</v>
      </c>
      <c r="D130" s="63" t="s">
        <v>201</v>
      </c>
      <c r="E130" s="63" t="s">
        <v>290</v>
      </c>
      <c r="F130" s="63">
        <v>4780</v>
      </c>
      <c r="G130" s="63">
        <v>3490</v>
      </c>
      <c r="H130" s="63">
        <v>120</v>
      </c>
      <c r="I130" s="63" t="s">
        <v>357</v>
      </c>
      <c r="J130" s="63" t="s">
        <v>132</v>
      </c>
      <c r="K130" s="63"/>
      <c r="L130" s="64">
        <v>15</v>
      </c>
      <c r="M130" s="58">
        <v>45800</v>
      </c>
      <c r="N130" s="63">
        <v>0</v>
      </c>
      <c r="O130" s="58"/>
      <c r="P130" s="65">
        <v>2.1850000000000001</v>
      </c>
      <c r="Q130" s="65">
        <v>5.4630000000000001</v>
      </c>
      <c r="R130" s="65"/>
      <c r="S130" s="65"/>
      <c r="T130" s="58">
        <v>45811</v>
      </c>
      <c r="U130" s="58">
        <v>45811</v>
      </c>
      <c r="V130" s="63">
        <v>21</v>
      </c>
      <c r="W130" s="63" t="e">
        <v>#N/A</v>
      </c>
      <c r="X130" s="62" t="s">
        <v>288</v>
      </c>
      <c r="Y130" s="63"/>
      <c r="Z130" s="83"/>
      <c r="AA130" s="68" t="s">
        <v>504</v>
      </c>
    </row>
    <row r="131" spans="2:27" s="2" customFormat="1" ht="24.95" customHeight="1" x14ac:dyDescent="0.25">
      <c r="B131" s="81">
        <v>26</v>
      </c>
      <c r="C131" s="63" t="s">
        <v>297</v>
      </c>
      <c r="D131" s="63" t="s">
        <v>201</v>
      </c>
      <c r="E131" s="63" t="s">
        <v>351</v>
      </c>
      <c r="F131" s="63">
        <v>400</v>
      </c>
      <c r="G131" s="63">
        <v>3270</v>
      </c>
      <c r="H131" s="63">
        <v>300</v>
      </c>
      <c r="I131" s="63" t="s">
        <v>46</v>
      </c>
      <c r="J131" s="63" t="s">
        <v>285</v>
      </c>
      <c r="K131" s="63" t="s">
        <v>167</v>
      </c>
      <c r="L131" s="64">
        <v>19</v>
      </c>
      <c r="M131" s="58">
        <v>45804</v>
      </c>
      <c r="N131" s="63">
        <v>0</v>
      </c>
      <c r="O131" s="58"/>
      <c r="P131" s="65">
        <v>0.88100000000000001</v>
      </c>
      <c r="Q131" s="65">
        <v>2.2029999999999998</v>
      </c>
      <c r="R131" s="65">
        <v>2830</v>
      </c>
      <c r="S131" s="65">
        <v>0</v>
      </c>
      <c r="T131" s="58">
        <v>45811</v>
      </c>
      <c r="U131" s="58">
        <v>45811</v>
      </c>
      <c r="V131" s="63">
        <v>21</v>
      </c>
      <c r="W131" s="63" t="e">
        <v>#N/A</v>
      </c>
      <c r="X131" s="62"/>
      <c r="Y131" s="63"/>
      <c r="Z131" s="83"/>
      <c r="AA131" s="68" t="s">
        <v>504</v>
      </c>
    </row>
    <row r="132" spans="2:27" s="2" customFormat="1" ht="24.95" customHeight="1" x14ac:dyDescent="0.25">
      <c r="B132" s="81">
        <v>27</v>
      </c>
      <c r="C132" s="63" t="s">
        <v>317</v>
      </c>
      <c r="D132" s="63" t="s">
        <v>201</v>
      </c>
      <c r="E132" s="63" t="s">
        <v>351</v>
      </c>
      <c r="F132" s="63">
        <v>400</v>
      </c>
      <c r="G132" s="63">
        <v>3770</v>
      </c>
      <c r="H132" s="63">
        <v>300</v>
      </c>
      <c r="I132" s="63" t="s">
        <v>46</v>
      </c>
      <c r="J132" s="63" t="s">
        <v>299</v>
      </c>
      <c r="K132" s="63" t="s">
        <v>168</v>
      </c>
      <c r="L132" s="64">
        <v>19</v>
      </c>
      <c r="M132" s="58">
        <v>45804</v>
      </c>
      <c r="N132" s="63">
        <v>0</v>
      </c>
      <c r="O132" s="58"/>
      <c r="P132" s="65">
        <v>1.1100000000000001</v>
      </c>
      <c r="Q132" s="65">
        <v>2.7749999999999999</v>
      </c>
      <c r="R132" s="65">
        <v>2330</v>
      </c>
      <c r="S132" s="65">
        <v>2330</v>
      </c>
      <c r="T132" s="58">
        <v>45811</v>
      </c>
      <c r="U132" s="58">
        <v>45811</v>
      </c>
      <c r="V132" s="63">
        <v>21</v>
      </c>
      <c r="W132" s="63" t="e">
        <v>#N/A</v>
      </c>
      <c r="X132" s="62"/>
      <c r="Y132" s="63"/>
      <c r="Z132" s="83"/>
      <c r="AA132" s="68" t="s">
        <v>504</v>
      </c>
    </row>
    <row r="133" spans="2:27" s="2" customFormat="1" ht="24.95" customHeight="1" x14ac:dyDescent="0.25">
      <c r="B133" s="81">
        <v>28</v>
      </c>
      <c r="C133" s="63" t="s">
        <v>316</v>
      </c>
      <c r="D133" s="63" t="s">
        <v>201</v>
      </c>
      <c r="E133" s="63" t="s">
        <v>351</v>
      </c>
      <c r="F133" s="63">
        <v>4924</v>
      </c>
      <c r="G133" s="63">
        <v>2820</v>
      </c>
      <c r="H133" s="63">
        <v>120</v>
      </c>
      <c r="I133" s="63" t="s">
        <v>18</v>
      </c>
      <c r="J133" s="63"/>
      <c r="K133" s="63"/>
      <c r="L133" s="64">
        <v>19</v>
      </c>
      <c r="M133" s="58">
        <v>45804</v>
      </c>
      <c r="N133" s="63">
        <v>0</v>
      </c>
      <c r="O133" s="58"/>
      <c r="P133" s="65">
        <v>1.6659999999999999</v>
      </c>
      <c r="Q133" s="65">
        <v>4.165</v>
      </c>
      <c r="R133" s="65"/>
      <c r="S133" s="65"/>
      <c r="T133" s="58">
        <v>45811</v>
      </c>
      <c r="U133" s="58">
        <v>45811</v>
      </c>
      <c r="V133" s="63">
        <v>21</v>
      </c>
      <c r="W133" s="63" t="e">
        <v>#N/A</v>
      </c>
      <c r="X133" s="62"/>
      <c r="Y133" s="63"/>
      <c r="Z133" s="83"/>
      <c r="AA133" s="68" t="s">
        <v>504</v>
      </c>
    </row>
    <row r="134" spans="2:27" s="2" customFormat="1" ht="24.95" customHeight="1" x14ac:dyDescent="0.25">
      <c r="B134" s="81">
        <v>29</v>
      </c>
      <c r="C134" s="63" t="s">
        <v>312</v>
      </c>
      <c r="D134" s="63" t="s">
        <v>201</v>
      </c>
      <c r="E134" s="63" t="s">
        <v>351</v>
      </c>
      <c r="F134" s="63">
        <v>4234</v>
      </c>
      <c r="G134" s="63">
        <v>2490</v>
      </c>
      <c r="H134" s="63">
        <v>120</v>
      </c>
      <c r="I134" s="63" t="s">
        <v>18</v>
      </c>
      <c r="J134" s="63"/>
      <c r="K134" s="63"/>
      <c r="L134" s="64">
        <v>19</v>
      </c>
      <c r="M134" s="58">
        <v>45804</v>
      </c>
      <c r="N134" s="63">
        <v>0</v>
      </c>
      <c r="O134" s="58"/>
      <c r="P134" s="65">
        <v>1.264</v>
      </c>
      <c r="Q134" s="65">
        <v>3.16</v>
      </c>
      <c r="R134" s="65"/>
      <c r="S134" s="65"/>
      <c r="T134" s="58">
        <v>45811</v>
      </c>
      <c r="U134" s="58">
        <v>45811</v>
      </c>
      <c r="V134" s="63">
        <v>21</v>
      </c>
      <c r="W134" s="63" t="e">
        <v>#N/A</v>
      </c>
      <c r="X134" s="62"/>
      <c r="Y134" s="63"/>
      <c r="Z134" s="83"/>
      <c r="AA134" s="68" t="s">
        <v>504</v>
      </c>
    </row>
    <row r="135" spans="2:27" s="2" customFormat="1" ht="24.95" customHeight="1" x14ac:dyDescent="0.25">
      <c r="B135" s="81">
        <v>30</v>
      </c>
      <c r="C135" s="63" t="s">
        <v>313</v>
      </c>
      <c r="D135" s="63" t="s">
        <v>201</v>
      </c>
      <c r="E135" s="63" t="s">
        <v>351</v>
      </c>
      <c r="F135" s="63">
        <v>4234</v>
      </c>
      <c r="G135" s="63">
        <v>2490</v>
      </c>
      <c r="H135" s="63">
        <v>120</v>
      </c>
      <c r="I135" s="63" t="s">
        <v>18</v>
      </c>
      <c r="J135" s="63"/>
      <c r="K135" s="63"/>
      <c r="L135" s="64">
        <v>19</v>
      </c>
      <c r="M135" s="58">
        <v>45804</v>
      </c>
      <c r="N135" s="63">
        <v>0</v>
      </c>
      <c r="O135" s="58"/>
      <c r="P135" s="65">
        <v>1.264</v>
      </c>
      <c r="Q135" s="65">
        <v>3.16</v>
      </c>
      <c r="R135" s="65"/>
      <c r="S135" s="65"/>
      <c r="T135" s="58">
        <v>45811</v>
      </c>
      <c r="U135" s="58">
        <v>45811</v>
      </c>
      <c r="V135" s="63">
        <v>21</v>
      </c>
      <c r="W135" s="63" t="e">
        <v>#N/A</v>
      </c>
      <c r="X135" s="62"/>
      <c r="Y135" s="63"/>
      <c r="Z135" s="83"/>
      <c r="AA135" s="68" t="s">
        <v>504</v>
      </c>
    </row>
    <row r="136" spans="2:27" s="2" customFormat="1" ht="24.95" customHeight="1" x14ac:dyDescent="0.25">
      <c r="B136" s="81">
        <v>31</v>
      </c>
      <c r="C136" s="63" t="s">
        <v>304</v>
      </c>
      <c r="D136" s="63" t="s">
        <v>201</v>
      </c>
      <c r="E136" s="63" t="s">
        <v>351</v>
      </c>
      <c r="F136" s="63">
        <v>4233</v>
      </c>
      <c r="G136" s="63">
        <v>2170</v>
      </c>
      <c r="H136" s="63">
        <v>120</v>
      </c>
      <c r="I136" s="63" t="s">
        <v>18</v>
      </c>
      <c r="J136" s="63"/>
      <c r="K136" s="63"/>
      <c r="L136" s="64">
        <v>19</v>
      </c>
      <c r="M136" s="58">
        <v>45804</v>
      </c>
      <c r="N136" s="63">
        <v>0</v>
      </c>
      <c r="O136" s="58"/>
      <c r="P136" s="65">
        <v>1.1000000000000001</v>
      </c>
      <c r="Q136" s="65">
        <v>2.75</v>
      </c>
      <c r="R136" s="65"/>
      <c r="S136" s="65"/>
      <c r="T136" s="58">
        <v>45811</v>
      </c>
      <c r="U136" s="58">
        <v>45811</v>
      </c>
      <c r="V136" s="63">
        <v>21</v>
      </c>
      <c r="W136" s="63" t="e">
        <v>#N/A</v>
      </c>
      <c r="X136" s="62"/>
      <c r="Y136" s="63"/>
      <c r="Z136" s="83"/>
      <c r="AA136" s="68" t="s">
        <v>504</v>
      </c>
    </row>
    <row r="137" spans="2:27" s="2" customFormat="1" ht="24.95" customHeight="1" x14ac:dyDescent="0.25">
      <c r="B137" s="81">
        <v>32</v>
      </c>
      <c r="C137" s="63" t="s">
        <v>289</v>
      </c>
      <c r="D137" s="63" t="s">
        <v>201</v>
      </c>
      <c r="E137" s="63" t="s">
        <v>291</v>
      </c>
      <c r="F137" s="63">
        <v>2957</v>
      </c>
      <c r="G137" s="63">
        <v>3540</v>
      </c>
      <c r="H137" s="63">
        <v>120</v>
      </c>
      <c r="I137" s="63" t="s">
        <v>356</v>
      </c>
      <c r="J137" s="63" t="s">
        <v>127</v>
      </c>
      <c r="K137" s="63"/>
      <c r="L137" s="64" t="s">
        <v>292</v>
      </c>
      <c r="M137" s="58">
        <v>45797</v>
      </c>
      <c r="N137" s="63">
        <v>2</v>
      </c>
      <c r="O137" s="58">
        <v>45803</v>
      </c>
      <c r="P137" s="65">
        <v>1.4019999999999999</v>
      </c>
      <c r="Q137" s="65">
        <v>3.5049999999999999</v>
      </c>
      <c r="R137" s="65"/>
      <c r="S137" s="65"/>
      <c r="T137" s="58">
        <v>45819</v>
      </c>
      <c r="U137" s="58">
        <v>45819</v>
      </c>
      <c r="V137" s="63">
        <v>21</v>
      </c>
      <c r="W137" s="63" t="s">
        <v>197</v>
      </c>
      <c r="X137" s="62"/>
      <c r="Y137" s="63"/>
      <c r="Z137" s="85"/>
      <c r="AA137" s="68" t="s">
        <v>504</v>
      </c>
    </row>
    <row r="138" spans="2:27" s="2" customFormat="1" ht="24.95" customHeight="1" x14ac:dyDescent="0.25">
      <c r="B138" s="81">
        <v>33</v>
      </c>
      <c r="C138" s="63" t="s">
        <v>209</v>
      </c>
      <c r="D138" s="63" t="s">
        <v>201</v>
      </c>
      <c r="E138" s="63" t="s">
        <v>294</v>
      </c>
      <c r="F138" s="63">
        <v>2990</v>
      </c>
      <c r="G138" s="63">
        <v>3630</v>
      </c>
      <c r="H138" s="63">
        <v>120</v>
      </c>
      <c r="I138" s="63" t="s">
        <v>356</v>
      </c>
      <c r="J138" s="63" t="s">
        <v>127</v>
      </c>
      <c r="K138" s="63"/>
      <c r="L138" s="64" t="s">
        <v>202</v>
      </c>
      <c r="M138" s="58">
        <v>45797</v>
      </c>
      <c r="N138" s="63">
        <v>0</v>
      </c>
      <c r="O138" s="58"/>
      <c r="P138" s="65">
        <v>1.446</v>
      </c>
      <c r="Q138" s="65">
        <v>3.6150000000000002</v>
      </c>
      <c r="R138" s="65"/>
      <c r="S138" s="65"/>
      <c r="T138" s="58">
        <v>45812</v>
      </c>
      <c r="U138" s="58">
        <v>45812</v>
      </c>
      <c r="V138" s="63">
        <v>21</v>
      </c>
      <c r="W138" s="63" t="s">
        <v>171</v>
      </c>
      <c r="X138" s="62"/>
      <c r="Y138" s="63"/>
      <c r="Z138" s="85"/>
      <c r="AA138" s="68" t="s">
        <v>504</v>
      </c>
    </row>
    <row r="139" spans="2:27" s="2" customFormat="1" ht="24.95" customHeight="1" x14ac:dyDescent="0.25">
      <c r="B139" s="81">
        <v>34</v>
      </c>
      <c r="C139" s="63" t="s">
        <v>217</v>
      </c>
      <c r="D139" s="63" t="s">
        <v>201</v>
      </c>
      <c r="E139" s="63" t="s">
        <v>358</v>
      </c>
      <c r="F139" s="63">
        <v>2957</v>
      </c>
      <c r="G139" s="63">
        <v>3640</v>
      </c>
      <c r="H139" s="63">
        <v>120</v>
      </c>
      <c r="I139" s="63" t="s">
        <v>356</v>
      </c>
      <c r="J139" s="63" t="s">
        <v>127</v>
      </c>
      <c r="K139" s="63"/>
      <c r="L139" s="64" t="s">
        <v>202</v>
      </c>
      <c r="M139" s="58">
        <v>45797</v>
      </c>
      <c r="N139" s="63">
        <v>0</v>
      </c>
      <c r="O139" s="58"/>
      <c r="P139" s="65">
        <v>1.4379999999999999</v>
      </c>
      <c r="Q139" s="65">
        <v>3.5950000000000002</v>
      </c>
      <c r="R139" s="65"/>
      <c r="S139" s="65"/>
      <c r="T139" s="58">
        <v>45817</v>
      </c>
      <c r="U139" s="58">
        <v>45817</v>
      </c>
      <c r="V139" s="63">
        <v>21</v>
      </c>
      <c r="W139" s="63" t="s">
        <v>180</v>
      </c>
      <c r="X139" s="62"/>
      <c r="Y139" s="63"/>
      <c r="Z139" s="85"/>
      <c r="AA139" s="68" t="s">
        <v>504</v>
      </c>
    </row>
    <row r="140" spans="2:27" s="2" customFormat="1" ht="24.95" customHeight="1" x14ac:dyDescent="0.25">
      <c r="B140" s="81">
        <v>35</v>
      </c>
      <c r="C140" s="63" t="s">
        <v>218</v>
      </c>
      <c r="D140" s="63" t="s">
        <v>201</v>
      </c>
      <c r="E140" s="63" t="s">
        <v>327</v>
      </c>
      <c r="F140" s="63">
        <v>2957</v>
      </c>
      <c r="G140" s="63">
        <v>3690</v>
      </c>
      <c r="H140" s="63">
        <v>120</v>
      </c>
      <c r="I140" s="63" t="s">
        <v>356</v>
      </c>
      <c r="J140" s="63" t="s">
        <v>127</v>
      </c>
      <c r="K140" s="63"/>
      <c r="L140" s="64" t="s">
        <v>202</v>
      </c>
      <c r="M140" s="58">
        <v>45797</v>
      </c>
      <c r="N140" s="63">
        <v>0</v>
      </c>
      <c r="O140" s="58"/>
      <c r="P140" s="65">
        <v>1.4550000000000001</v>
      </c>
      <c r="Q140" s="65">
        <v>3.6379999999999999</v>
      </c>
      <c r="R140" s="65"/>
      <c r="S140" s="65"/>
      <c r="T140" s="58">
        <v>45812</v>
      </c>
      <c r="U140" s="58">
        <v>45812</v>
      </c>
      <c r="V140" s="63">
        <v>21</v>
      </c>
      <c r="W140" s="63" t="s">
        <v>437</v>
      </c>
      <c r="X140" s="62"/>
      <c r="Y140" s="63"/>
      <c r="Z140" s="85"/>
      <c r="AA140" s="68" t="s">
        <v>504</v>
      </c>
    </row>
    <row r="141" spans="2:27" s="2" customFormat="1" ht="24.95" customHeight="1" x14ac:dyDescent="0.25">
      <c r="B141" s="81">
        <v>36</v>
      </c>
      <c r="C141" s="63" t="s">
        <v>219</v>
      </c>
      <c r="D141" s="63" t="s">
        <v>201</v>
      </c>
      <c r="E141" s="63" t="s">
        <v>327</v>
      </c>
      <c r="F141" s="63">
        <v>2957</v>
      </c>
      <c r="G141" s="63">
        <v>3690</v>
      </c>
      <c r="H141" s="63">
        <v>120</v>
      </c>
      <c r="I141" s="63" t="s">
        <v>356</v>
      </c>
      <c r="J141" s="63" t="s">
        <v>127</v>
      </c>
      <c r="K141" s="63"/>
      <c r="L141" s="64" t="s">
        <v>202</v>
      </c>
      <c r="M141" s="58">
        <v>45797</v>
      </c>
      <c r="N141" s="63">
        <v>0</v>
      </c>
      <c r="O141" s="58"/>
      <c r="P141" s="65">
        <v>1.4550000000000001</v>
      </c>
      <c r="Q141" s="65">
        <v>3.6379999999999999</v>
      </c>
      <c r="R141" s="65"/>
      <c r="S141" s="65"/>
      <c r="T141" s="58">
        <v>45819</v>
      </c>
      <c r="U141" s="58">
        <v>45819</v>
      </c>
      <c r="V141" s="63">
        <v>21</v>
      </c>
      <c r="W141" s="63" t="s">
        <v>438</v>
      </c>
      <c r="X141" s="62"/>
      <c r="Y141" s="63"/>
      <c r="Z141" s="85"/>
      <c r="AA141" s="68" t="s">
        <v>504</v>
      </c>
    </row>
    <row r="142" spans="2:27" s="2" customFormat="1" ht="24.95" customHeight="1" x14ac:dyDescent="0.25">
      <c r="B142" s="81">
        <v>37</v>
      </c>
      <c r="C142" s="63" t="s">
        <v>220</v>
      </c>
      <c r="D142" s="63" t="s">
        <v>201</v>
      </c>
      <c r="E142" s="63" t="s">
        <v>328</v>
      </c>
      <c r="F142" s="63">
        <v>2990</v>
      </c>
      <c r="G142" s="63">
        <v>3740</v>
      </c>
      <c r="H142" s="63">
        <v>120</v>
      </c>
      <c r="I142" s="63" t="s">
        <v>356</v>
      </c>
      <c r="J142" s="63" t="s">
        <v>127</v>
      </c>
      <c r="K142" s="63"/>
      <c r="L142" s="64" t="s">
        <v>202</v>
      </c>
      <c r="M142" s="58">
        <v>45797</v>
      </c>
      <c r="N142" s="63">
        <v>0</v>
      </c>
      <c r="O142" s="58"/>
      <c r="P142" s="65">
        <v>1.4490000000000001</v>
      </c>
      <c r="Q142" s="65">
        <v>3.6230000000000002</v>
      </c>
      <c r="R142" s="65"/>
      <c r="S142" s="65"/>
      <c r="T142" s="58">
        <v>45817</v>
      </c>
      <c r="U142" s="58">
        <v>45817</v>
      </c>
      <c r="V142" s="63">
        <v>21</v>
      </c>
      <c r="W142" s="63" t="s">
        <v>181</v>
      </c>
      <c r="X142" s="62"/>
      <c r="Y142" s="63"/>
      <c r="Z142" s="85"/>
      <c r="AA142" s="68" t="s">
        <v>504</v>
      </c>
    </row>
    <row r="143" spans="2:27" s="2" customFormat="1" ht="24.95" customHeight="1" x14ac:dyDescent="0.25">
      <c r="B143" s="81">
        <v>38</v>
      </c>
      <c r="C143" s="63" t="s">
        <v>222</v>
      </c>
      <c r="D143" s="63" t="s">
        <v>201</v>
      </c>
      <c r="E143" s="63" t="s">
        <v>329</v>
      </c>
      <c r="F143" s="63">
        <v>2990</v>
      </c>
      <c r="G143" s="63">
        <v>3740</v>
      </c>
      <c r="H143" s="63">
        <v>120</v>
      </c>
      <c r="I143" s="63" t="s">
        <v>356</v>
      </c>
      <c r="J143" s="63" t="s">
        <v>127</v>
      </c>
      <c r="K143" s="63"/>
      <c r="L143" s="64" t="s">
        <v>202</v>
      </c>
      <c r="M143" s="58">
        <v>45797</v>
      </c>
      <c r="N143" s="63">
        <v>0</v>
      </c>
      <c r="O143" s="58"/>
      <c r="P143" s="65">
        <v>1.4490000000000001</v>
      </c>
      <c r="Q143" s="65">
        <v>3.6230000000000002</v>
      </c>
      <c r="R143" s="65"/>
      <c r="S143" s="65"/>
      <c r="T143" s="58">
        <v>45817</v>
      </c>
      <c r="U143" s="58">
        <v>45817</v>
      </c>
      <c r="V143" s="63">
        <v>21</v>
      </c>
      <c r="W143" s="63" t="s">
        <v>174</v>
      </c>
      <c r="X143" s="62"/>
      <c r="Y143" s="63"/>
      <c r="Z143" s="85"/>
      <c r="AA143" s="68" t="s">
        <v>504</v>
      </c>
    </row>
    <row r="144" spans="2:27" s="2" customFormat="1" ht="24.95" customHeight="1" x14ac:dyDescent="0.25">
      <c r="B144" s="81">
        <v>39</v>
      </c>
      <c r="C144" s="63" t="s">
        <v>228</v>
      </c>
      <c r="D144" s="63" t="s">
        <v>201</v>
      </c>
      <c r="E144" s="63" t="s">
        <v>332</v>
      </c>
      <c r="F144" s="63">
        <v>4533</v>
      </c>
      <c r="G144" s="63">
        <v>3630</v>
      </c>
      <c r="H144" s="63">
        <v>120</v>
      </c>
      <c r="I144" s="63" t="s">
        <v>357</v>
      </c>
      <c r="J144" s="63" t="s">
        <v>132</v>
      </c>
      <c r="K144" s="63"/>
      <c r="L144" s="64">
        <v>13</v>
      </c>
      <c r="M144" s="58">
        <v>45799</v>
      </c>
      <c r="N144" s="63">
        <v>0</v>
      </c>
      <c r="O144" s="58"/>
      <c r="P144" s="65">
        <v>2.1880000000000002</v>
      </c>
      <c r="Q144" s="65">
        <v>5.47</v>
      </c>
      <c r="R144" s="65"/>
      <c r="S144" s="65"/>
      <c r="T144" s="58">
        <v>45817</v>
      </c>
      <c r="U144" s="58">
        <v>45817</v>
      </c>
      <c r="V144" s="63">
        <v>21</v>
      </c>
      <c r="W144" s="63" t="s">
        <v>469</v>
      </c>
      <c r="X144" s="62" t="s">
        <v>288</v>
      </c>
      <c r="Y144" s="63"/>
      <c r="Z144" s="85"/>
      <c r="AA144" s="68" t="s">
        <v>504</v>
      </c>
    </row>
    <row r="145" spans="2:27" s="2" customFormat="1" ht="24.95" customHeight="1" x14ac:dyDescent="0.25">
      <c r="B145" s="81">
        <v>40</v>
      </c>
      <c r="C145" s="63" t="s">
        <v>229</v>
      </c>
      <c r="D145" s="63" t="s">
        <v>201</v>
      </c>
      <c r="E145" s="63" t="s">
        <v>331</v>
      </c>
      <c r="F145" s="63">
        <v>4411</v>
      </c>
      <c r="G145" s="63">
        <v>3580</v>
      </c>
      <c r="H145" s="63">
        <v>120</v>
      </c>
      <c r="I145" s="63" t="s">
        <v>357</v>
      </c>
      <c r="J145" s="63" t="s">
        <v>132</v>
      </c>
      <c r="K145" s="63"/>
      <c r="L145" s="64">
        <v>13</v>
      </c>
      <c r="M145" s="58">
        <v>45799</v>
      </c>
      <c r="N145" s="63">
        <v>0</v>
      </c>
      <c r="O145" s="58"/>
      <c r="P145" s="65">
        <v>2.1190000000000002</v>
      </c>
      <c r="Q145" s="65">
        <v>5.298</v>
      </c>
      <c r="R145" s="65"/>
      <c r="S145" s="65"/>
      <c r="T145" s="58">
        <v>45820</v>
      </c>
      <c r="U145" s="58">
        <v>45821</v>
      </c>
      <c r="V145" s="63">
        <v>21</v>
      </c>
      <c r="W145" s="63" t="s">
        <v>439</v>
      </c>
      <c r="X145" s="62" t="s">
        <v>288</v>
      </c>
      <c r="Y145" s="63"/>
      <c r="Z145" s="85" t="e">
        <f>VLOOKUP(#REF!,#REF!,1,0)</f>
        <v>#REF!</v>
      </c>
      <c r="AA145" s="68"/>
    </row>
    <row r="146" spans="2:27" s="2" customFormat="1" ht="24.95" customHeight="1" x14ac:dyDescent="0.25">
      <c r="B146" s="81">
        <v>41</v>
      </c>
      <c r="C146" s="63" t="s">
        <v>237</v>
      </c>
      <c r="D146" s="63" t="s">
        <v>201</v>
      </c>
      <c r="E146" s="63" t="s">
        <v>336</v>
      </c>
      <c r="F146" s="63">
        <v>3023</v>
      </c>
      <c r="G146" s="63">
        <v>3630</v>
      </c>
      <c r="H146" s="63">
        <v>120</v>
      </c>
      <c r="I146" s="63" t="s">
        <v>356</v>
      </c>
      <c r="J146" s="63" t="s">
        <v>127</v>
      </c>
      <c r="K146" s="63"/>
      <c r="L146" s="64">
        <v>12</v>
      </c>
      <c r="M146" s="58">
        <v>45799</v>
      </c>
      <c r="N146" s="63">
        <v>0</v>
      </c>
      <c r="O146" s="58"/>
      <c r="P146" s="65">
        <v>1.4419999999999999</v>
      </c>
      <c r="Q146" s="65">
        <v>3.605</v>
      </c>
      <c r="R146" s="65"/>
      <c r="S146" s="65"/>
      <c r="T146" s="58">
        <v>45819</v>
      </c>
      <c r="U146" s="58">
        <v>45819</v>
      </c>
      <c r="V146" s="63">
        <v>21</v>
      </c>
      <c r="W146" s="63" t="s">
        <v>441</v>
      </c>
      <c r="X146" s="62"/>
      <c r="Y146" s="63"/>
      <c r="Z146" s="85" t="e">
        <f>VLOOKUP(#REF!,#REF!,1,0)</f>
        <v>#REF!</v>
      </c>
      <c r="AA146" s="68" t="s">
        <v>504</v>
      </c>
    </row>
    <row r="147" spans="2:27" s="2" customFormat="1" ht="24.95" customHeight="1" x14ac:dyDescent="0.25">
      <c r="B147" s="81">
        <v>42</v>
      </c>
      <c r="C147" s="63" t="s">
        <v>309</v>
      </c>
      <c r="D147" s="63" t="s">
        <v>201</v>
      </c>
      <c r="E147" s="63" t="s">
        <v>331</v>
      </c>
      <c r="F147" s="63">
        <v>400</v>
      </c>
      <c r="G147" s="63">
        <v>3520</v>
      </c>
      <c r="H147" s="63">
        <v>300</v>
      </c>
      <c r="I147" s="63" t="s">
        <v>46</v>
      </c>
      <c r="J147" s="63" t="s">
        <v>319</v>
      </c>
      <c r="K147" s="63" t="s">
        <v>168</v>
      </c>
      <c r="L147" s="64">
        <v>19</v>
      </c>
      <c r="M147" s="58">
        <v>45804</v>
      </c>
      <c r="N147" s="63">
        <v>0</v>
      </c>
      <c r="O147" s="58"/>
      <c r="P147" s="65">
        <v>0.91</v>
      </c>
      <c r="Q147" s="65">
        <v>2.2749999999999999</v>
      </c>
      <c r="R147" s="65">
        <v>2080</v>
      </c>
      <c r="S147" s="65">
        <v>2080</v>
      </c>
      <c r="T147" s="58">
        <v>45819</v>
      </c>
      <c r="U147" s="58">
        <v>45819</v>
      </c>
      <c r="V147" s="63">
        <v>21</v>
      </c>
      <c r="W147" s="63" t="s">
        <v>177</v>
      </c>
      <c r="X147" s="62"/>
      <c r="Y147" s="63"/>
      <c r="Z147" s="85" t="e">
        <f>VLOOKUP(#REF!,#REF!,1,0)</f>
        <v>#REF!</v>
      </c>
      <c r="AA147" s="68" t="s">
        <v>504</v>
      </c>
    </row>
    <row r="148" spans="2:27" s="2" customFormat="1" ht="24.95" customHeight="1" x14ac:dyDescent="0.25">
      <c r="B148" s="81">
        <v>43</v>
      </c>
      <c r="C148" s="63" t="s">
        <v>310</v>
      </c>
      <c r="D148" s="63" t="s">
        <v>201</v>
      </c>
      <c r="E148" s="63" t="s">
        <v>331</v>
      </c>
      <c r="F148" s="63">
        <v>400</v>
      </c>
      <c r="G148" s="63">
        <v>3780</v>
      </c>
      <c r="H148" s="63">
        <v>300</v>
      </c>
      <c r="I148" s="63" t="s">
        <v>46</v>
      </c>
      <c r="J148" s="63" t="s">
        <v>319</v>
      </c>
      <c r="K148" s="63" t="s">
        <v>168</v>
      </c>
      <c r="L148" s="63">
        <v>19</v>
      </c>
      <c r="M148" s="58">
        <v>45804</v>
      </c>
      <c r="N148" s="63">
        <v>0</v>
      </c>
      <c r="O148" s="58"/>
      <c r="P148" s="65">
        <v>0.93799999999999994</v>
      </c>
      <c r="Q148" s="65">
        <v>2.3450000000000002</v>
      </c>
      <c r="R148" s="65">
        <v>2080</v>
      </c>
      <c r="S148" s="65">
        <v>2340</v>
      </c>
      <c r="T148" s="58">
        <v>45819</v>
      </c>
      <c r="U148" s="58">
        <v>45819</v>
      </c>
      <c r="V148" s="63">
        <v>21</v>
      </c>
      <c r="W148" s="63" t="s">
        <v>226</v>
      </c>
      <c r="X148" s="62"/>
      <c r="Y148" s="63"/>
      <c r="Z148" s="85" t="e">
        <f>VLOOKUP(#REF!,#REF!,1,0)</f>
        <v>#REF!</v>
      </c>
      <c r="AA148" s="68" t="s">
        <v>504</v>
      </c>
    </row>
    <row r="149" spans="2:27" s="2" customFormat="1" ht="24.95" customHeight="1" x14ac:dyDescent="0.25">
      <c r="B149" s="81">
        <v>44</v>
      </c>
      <c r="C149" s="63" t="s">
        <v>318</v>
      </c>
      <c r="D149" s="63" t="s">
        <v>201</v>
      </c>
      <c r="E149" s="63" t="s">
        <v>331</v>
      </c>
      <c r="F149" s="63">
        <v>400</v>
      </c>
      <c r="G149" s="63">
        <v>3160</v>
      </c>
      <c r="H149" s="63">
        <v>300</v>
      </c>
      <c r="I149" s="63" t="s">
        <v>46</v>
      </c>
      <c r="J149" s="63" t="s">
        <v>285</v>
      </c>
      <c r="K149" s="63" t="s">
        <v>169</v>
      </c>
      <c r="L149" s="63">
        <v>19</v>
      </c>
      <c r="M149" s="58">
        <v>45804</v>
      </c>
      <c r="N149" s="63">
        <v>0</v>
      </c>
      <c r="O149" s="58"/>
      <c r="P149" s="65">
        <v>0.86699999999999999</v>
      </c>
      <c r="Q149" s="65">
        <v>2.1680000000000001</v>
      </c>
      <c r="R149" s="65">
        <v>0</v>
      </c>
      <c r="S149" s="65">
        <v>2720</v>
      </c>
      <c r="T149" s="58">
        <v>45820</v>
      </c>
      <c r="U149" s="58">
        <v>45821</v>
      </c>
      <c r="V149" s="63">
        <v>21</v>
      </c>
      <c r="W149" s="63" t="s">
        <v>247</v>
      </c>
      <c r="X149" s="62"/>
      <c r="Y149" s="63"/>
      <c r="Z149" s="85" t="e">
        <f>VLOOKUP(#REF!,#REF!,1,0)</f>
        <v>#REF!</v>
      </c>
      <c r="AA149" s="68" t="s">
        <v>504</v>
      </c>
    </row>
    <row r="150" spans="2:27" s="2" customFormat="1" ht="24.95" customHeight="1" x14ac:dyDescent="0.25">
      <c r="B150" s="81">
        <v>45</v>
      </c>
      <c r="C150" s="63" t="s">
        <v>307</v>
      </c>
      <c r="D150" s="63" t="s">
        <v>201</v>
      </c>
      <c r="E150" s="63" t="s">
        <v>331</v>
      </c>
      <c r="F150" s="63">
        <v>400</v>
      </c>
      <c r="G150" s="63">
        <v>3390</v>
      </c>
      <c r="H150" s="63">
        <v>300</v>
      </c>
      <c r="I150" s="63" t="s">
        <v>46</v>
      </c>
      <c r="J150" s="63" t="s">
        <v>320</v>
      </c>
      <c r="K150" s="63" t="s">
        <v>168</v>
      </c>
      <c r="L150" s="63">
        <v>19</v>
      </c>
      <c r="M150" s="58">
        <v>45804</v>
      </c>
      <c r="N150" s="63">
        <v>0</v>
      </c>
      <c r="O150" s="58"/>
      <c r="P150" s="65">
        <v>0.93700000000000006</v>
      </c>
      <c r="Q150" s="65">
        <v>2.343</v>
      </c>
      <c r="R150" s="65">
        <v>2750</v>
      </c>
      <c r="S150" s="65">
        <v>1950</v>
      </c>
      <c r="T150" s="58">
        <v>45819</v>
      </c>
      <c r="U150" s="58">
        <v>45819</v>
      </c>
      <c r="V150" s="63">
        <v>21</v>
      </c>
      <c r="W150" s="63" t="s">
        <v>179</v>
      </c>
      <c r="X150" s="62"/>
      <c r="Y150" s="63"/>
      <c r="Z150" s="85" t="e">
        <f>VLOOKUP(#REF!,#REF!,1,0)</f>
        <v>#REF!</v>
      </c>
      <c r="AA150" s="68" t="s">
        <v>504</v>
      </c>
    </row>
    <row r="151" spans="2:27" s="2" customFormat="1" ht="24.95" customHeight="1" x14ac:dyDescent="0.25">
      <c r="B151" s="81">
        <v>46</v>
      </c>
      <c r="C151" s="63" t="s">
        <v>308</v>
      </c>
      <c r="D151" s="63" t="s">
        <v>201</v>
      </c>
      <c r="E151" s="63" t="s">
        <v>331</v>
      </c>
      <c r="F151" s="63">
        <v>400</v>
      </c>
      <c r="G151" s="63">
        <v>3650</v>
      </c>
      <c r="H151" s="63">
        <v>300</v>
      </c>
      <c r="I151" s="63" t="s">
        <v>46</v>
      </c>
      <c r="J151" s="63" t="s">
        <v>321</v>
      </c>
      <c r="K151" s="63" t="s">
        <v>168</v>
      </c>
      <c r="L151" s="63">
        <v>19</v>
      </c>
      <c r="M151" s="58">
        <v>45804</v>
      </c>
      <c r="N151" s="63">
        <v>0</v>
      </c>
      <c r="O151" s="58"/>
      <c r="P151" s="65">
        <v>0.95799999999999996</v>
      </c>
      <c r="Q151" s="65">
        <v>2.395</v>
      </c>
      <c r="R151" s="65">
        <v>1950</v>
      </c>
      <c r="S151" s="65">
        <v>2210</v>
      </c>
      <c r="T151" s="58">
        <v>45819</v>
      </c>
      <c r="U151" s="58">
        <v>45819</v>
      </c>
      <c r="V151" s="63">
        <v>21</v>
      </c>
      <c r="W151" s="63" t="s">
        <v>178</v>
      </c>
      <c r="X151" s="62"/>
      <c r="Y151" s="63"/>
      <c r="Z151" s="85" t="e">
        <f>VLOOKUP(#REF!,#REF!,1,0)</f>
        <v>#REF!</v>
      </c>
      <c r="AA151" s="68" t="s">
        <v>504</v>
      </c>
    </row>
    <row r="152" spans="2:27" s="2" customFormat="1" ht="24.95" customHeight="1" x14ac:dyDescent="0.25">
      <c r="B152" s="81">
        <v>47</v>
      </c>
      <c r="C152" s="63" t="s">
        <v>311</v>
      </c>
      <c r="D152" s="63" t="s">
        <v>201</v>
      </c>
      <c r="E152" s="63" t="s">
        <v>331</v>
      </c>
      <c r="F152" s="63">
        <v>400</v>
      </c>
      <c r="G152" s="63">
        <v>3970</v>
      </c>
      <c r="H152" s="63">
        <v>300</v>
      </c>
      <c r="I152" s="63" t="s">
        <v>46</v>
      </c>
      <c r="J152" s="63" t="s">
        <v>299</v>
      </c>
      <c r="K152" s="63" t="s">
        <v>168</v>
      </c>
      <c r="L152" s="63">
        <v>19</v>
      </c>
      <c r="M152" s="58">
        <v>45804</v>
      </c>
      <c r="N152" s="63">
        <v>0</v>
      </c>
      <c r="O152" s="58"/>
      <c r="P152" s="65">
        <v>1.133</v>
      </c>
      <c r="Q152" s="65">
        <v>2.8330000000000002</v>
      </c>
      <c r="R152" s="65">
        <v>2270</v>
      </c>
      <c r="S152" s="65">
        <v>2530</v>
      </c>
      <c r="T152" s="58">
        <v>45845</v>
      </c>
      <c r="U152" s="58">
        <v>45845</v>
      </c>
      <c r="V152" s="63">
        <v>21</v>
      </c>
      <c r="W152" s="63" t="s">
        <v>722</v>
      </c>
      <c r="X152" s="62"/>
      <c r="Y152" s="63"/>
      <c r="Z152" s="85" t="e">
        <f>VLOOKUP(#REF!,#REF!,1,0)</f>
        <v>#REF!</v>
      </c>
      <c r="AA152" s="68" t="s">
        <v>504</v>
      </c>
    </row>
    <row r="153" spans="2:27" s="2" customFormat="1" ht="24.95" customHeight="1" x14ac:dyDescent="0.25">
      <c r="B153" s="81">
        <v>48</v>
      </c>
      <c r="C153" s="63" t="s">
        <v>302</v>
      </c>
      <c r="D153" s="63" t="s">
        <v>201</v>
      </c>
      <c r="E153" s="63" t="s">
        <v>331</v>
      </c>
      <c r="F153" s="63">
        <v>4925</v>
      </c>
      <c r="G153" s="63">
        <v>2710</v>
      </c>
      <c r="H153" s="63">
        <v>120</v>
      </c>
      <c r="I153" s="63" t="s">
        <v>18</v>
      </c>
      <c r="J153" s="63"/>
      <c r="K153" s="63"/>
      <c r="L153" s="63">
        <v>19</v>
      </c>
      <c r="M153" s="58">
        <v>45804</v>
      </c>
      <c r="N153" s="63">
        <v>0</v>
      </c>
      <c r="O153" s="58"/>
      <c r="P153" s="65">
        <v>1.601</v>
      </c>
      <c r="Q153" s="65">
        <v>4</v>
      </c>
      <c r="R153" s="65"/>
      <c r="S153" s="65"/>
      <c r="T153" s="58">
        <v>45820</v>
      </c>
      <c r="U153" s="58">
        <v>45820</v>
      </c>
      <c r="V153" s="63">
        <v>21</v>
      </c>
      <c r="W153" s="63" t="s">
        <v>434</v>
      </c>
      <c r="X153" s="62"/>
      <c r="Y153" s="63"/>
      <c r="Z153" s="85" t="e">
        <f>VLOOKUP(#REF!,#REF!,1,0)</f>
        <v>#REF!</v>
      </c>
      <c r="AA153" s="68" t="s">
        <v>504</v>
      </c>
    </row>
    <row r="154" spans="2:27" s="2" customFormat="1" ht="24.95" customHeight="1" x14ac:dyDescent="0.25">
      <c r="B154" s="81">
        <v>49</v>
      </c>
      <c r="C154" s="63" t="s">
        <v>249</v>
      </c>
      <c r="D154" s="63" t="s">
        <v>201</v>
      </c>
      <c r="E154" s="63" t="s">
        <v>341</v>
      </c>
      <c r="F154" s="63">
        <v>4070</v>
      </c>
      <c r="G154" s="63">
        <v>2950</v>
      </c>
      <c r="H154" s="63">
        <v>120</v>
      </c>
      <c r="I154" s="63" t="s">
        <v>356</v>
      </c>
      <c r="J154" s="63" t="s">
        <v>106</v>
      </c>
      <c r="K154" s="63"/>
      <c r="L154" s="63">
        <v>14</v>
      </c>
      <c r="M154" s="58">
        <v>45799</v>
      </c>
      <c r="N154" s="63">
        <v>0</v>
      </c>
      <c r="O154" s="58"/>
      <c r="P154" s="65">
        <v>1.504</v>
      </c>
      <c r="Q154" s="65">
        <v>3.76</v>
      </c>
      <c r="R154" s="65"/>
      <c r="S154" s="65"/>
      <c r="T154" s="58">
        <v>45820</v>
      </c>
      <c r="U154" s="58">
        <v>45820</v>
      </c>
      <c r="V154" s="63">
        <v>21</v>
      </c>
      <c r="W154" s="63" t="s">
        <v>197</v>
      </c>
      <c r="X154" s="62"/>
      <c r="Y154" s="63"/>
      <c r="Z154" s="85" t="e">
        <f>VLOOKUP(#REF!,#REF!,1,0)</f>
        <v>#REF!</v>
      </c>
      <c r="AA154" s="68" t="s">
        <v>504</v>
      </c>
    </row>
    <row r="155" spans="2:27" s="2" customFormat="1" ht="24.95" customHeight="1" x14ac:dyDescent="0.25">
      <c r="B155" s="81">
        <v>50</v>
      </c>
      <c r="C155" s="63" t="s">
        <v>250</v>
      </c>
      <c r="D155" s="63" t="s">
        <v>201</v>
      </c>
      <c r="E155" s="63" t="s">
        <v>347</v>
      </c>
      <c r="F155" s="63">
        <v>4420</v>
      </c>
      <c r="G155" s="63">
        <v>2950</v>
      </c>
      <c r="H155" s="63">
        <v>120</v>
      </c>
      <c r="I155" s="63" t="s">
        <v>356</v>
      </c>
      <c r="J155" s="63" t="s">
        <v>106</v>
      </c>
      <c r="K155" s="63"/>
      <c r="L155" s="63">
        <v>14</v>
      </c>
      <c r="M155" s="58">
        <v>45799</v>
      </c>
      <c r="N155" s="63">
        <v>0</v>
      </c>
      <c r="O155" s="58"/>
      <c r="P155" s="65">
        <v>1.5960000000000001</v>
      </c>
      <c r="Q155" s="65">
        <v>3.99</v>
      </c>
      <c r="R155" s="65"/>
      <c r="S155" s="65"/>
      <c r="T155" s="58">
        <v>45820</v>
      </c>
      <c r="U155" s="58">
        <v>45820</v>
      </c>
      <c r="V155" s="63">
        <v>21</v>
      </c>
      <c r="W155" s="63" t="s">
        <v>180</v>
      </c>
      <c r="X155" s="62"/>
      <c r="Y155" s="63"/>
      <c r="Z155" s="85" t="e">
        <f>VLOOKUP(#REF!,#REF!,1,0)</f>
        <v>#REF!</v>
      </c>
      <c r="AA155" s="68" t="s">
        <v>504</v>
      </c>
    </row>
    <row r="156" spans="2:27" s="2" customFormat="1" ht="24.95" customHeight="1" x14ac:dyDescent="0.25">
      <c r="B156" s="81">
        <v>51</v>
      </c>
      <c r="C156" s="63" t="s">
        <v>255</v>
      </c>
      <c r="D156" s="63" t="s">
        <v>201</v>
      </c>
      <c r="E156" s="63" t="s">
        <v>343</v>
      </c>
      <c r="F156" s="63">
        <v>4070</v>
      </c>
      <c r="G156" s="63">
        <v>2950</v>
      </c>
      <c r="H156" s="63">
        <v>120</v>
      </c>
      <c r="I156" s="63" t="s">
        <v>356</v>
      </c>
      <c r="J156" s="63" t="s">
        <v>106</v>
      </c>
      <c r="K156" s="63"/>
      <c r="L156" s="63">
        <v>14</v>
      </c>
      <c r="M156" s="58">
        <v>45799</v>
      </c>
      <c r="N156" s="63">
        <v>0</v>
      </c>
      <c r="O156" s="58"/>
      <c r="P156" s="65">
        <v>1.504</v>
      </c>
      <c r="Q156" s="65">
        <v>3.76</v>
      </c>
      <c r="R156" s="65"/>
      <c r="S156" s="65"/>
      <c r="T156" s="58">
        <v>45820</v>
      </c>
      <c r="U156" s="58">
        <v>45820</v>
      </c>
      <c r="V156" s="63">
        <v>21</v>
      </c>
      <c r="W156" s="63" t="s">
        <v>181</v>
      </c>
      <c r="X156" s="62"/>
      <c r="Y156" s="63"/>
      <c r="Z156" s="85" t="e">
        <f>VLOOKUP(#REF!,#REF!,1,0)</f>
        <v>#REF!</v>
      </c>
      <c r="AA156" s="68" t="s">
        <v>504</v>
      </c>
    </row>
    <row r="157" spans="2:27" s="2" customFormat="1" ht="24.95" customHeight="1" x14ac:dyDescent="0.25">
      <c r="B157" s="81">
        <v>52</v>
      </c>
      <c r="C157" s="63" t="s">
        <v>266</v>
      </c>
      <c r="D157" s="63" t="s">
        <v>201</v>
      </c>
      <c r="E157" s="63" t="s">
        <v>290</v>
      </c>
      <c r="F157" s="63">
        <v>4770</v>
      </c>
      <c r="G157" s="63">
        <v>3490</v>
      </c>
      <c r="H157" s="63">
        <v>120</v>
      </c>
      <c r="I157" s="63" t="s">
        <v>357</v>
      </c>
      <c r="J157" s="63" t="s">
        <v>132</v>
      </c>
      <c r="K157" s="63"/>
      <c r="L157" s="63">
        <v>15</v>
      </c>
      <c r="M157" s="58">
        <v>45800</v>
      </c>
      <c r="N157" s="63">
        <v>0</v>
      </c>
      <c r="O157" s="58"/>
      <c r="P157" s="65">
        <v>2.1819999999999999</v>
      </c>
      <c r="Q157" s="65">
        <v>5.4550000000000001</v>
      </c>
      <c r="R157" s="65"/>
      <c r="S157" s="65"/>
      <c r="T157" s="58">
        <v>45820</v>
      </c>
      <c r="U157" s="58">
        <v>45820</v>
      </c>
      <c r="V157" s="63">
        <v>21</v>
      </c>
      <c r="W157" s="63" t="s">
        <v>194</v>
      </c>
      <c r="X157" s="62" t="s">
        <v>288</v>
      </c>
      <c r="Y157" s="63"/>
      <c r="Z157" s="85" t="e">
        <f>VLOOKUP(#REF!,#REF!,1,0)</f>
        <v>#REF!</v>
      </c>
      <c r="AA157" s="68"/>
    </row>
    <row r="158" spans="2:27" s="2" customFormat="1" ht="24.95" customHeight="1" x14ac:dyDescent="0.25">
      <c r="B158" s="81">
        <v>53</v>
      </c>
      <c r="C158" s="63" t="s">
        <v>277</v>
      </c>
      <c r="D158" s="63" t="s">
        <v>201</v>
      </c>
      <c r="E158" s="63" t="s">
        <v>290</v>
      </c>
      <c r="F158" s="63">
        <v>4780</v>
      </c>
      <c r="G158" s="63">
        <v>3490</v>
      </c>
      <c r="H158" s="63">
        <v>120</v>
      </c>
      <c r="I158" s="63" t="s">
        <v>357</v>
      </c>
      <c r="J158" s="63" t="s">
        <v>132</v>
      </c>
      <c r="K158" s="63"/>
      <c r="L158" s="63">
        <v>15</v>
      </c>
      <c r="M158" s="58">
        <v>45800</v>
      </c>
      <c r="N158" s="63">
        <v>0</v>
      </c>
      <c r="O158" s="58"/>
      <c r="P158" s="65">
        <v>2.1850000000000001</v>
      </c>
      <c r="Q158" s="65">
        <v>5.4630000000000001</v>
      </c>
      <c r="R158" s="65"/>
      <c r="S158" s="65"/>
      <c r="T158" s="58">
        <v>45819</v>
      </c>
      <c r="U158" s="58">
        <v>45819</v>
      </c>
      <c r="V158" s="63">
        <v>21</v>
      </c>
      <c r="W158" s="63" t="s">
        <v>469</v>
      </c>
      <c r="X158" s="62" t="s">
        <v>288</v>
      </c>
      <c r="Y158" s="63"/>
      <c r="Z158" s="85" t="e">
        <f>VLOOKUP(#REF!,#REF!,1,0)</f>
        <v>#REF!</v>
      </c>
      <c r="AA158" s="68" t="s">
        <v>504</v>
      </c>
    </row>
    <row r="159" spans="2:27" s="2" customFormat="1" ht="24.95" customHeight="1" x14ac:dyDescent="0.25">
      <c r="B159" s="81">
        <v>54</v>
      </c>
      <c r="C159" s="63" t="s">
        <v>267</v>
      </c>
      <c r="D159" s="63" t="s">
        <v>201</v>
      </c>
      <c r="E159" s="63" t="s">
        <v>290</v>
      </c>
      <c r="F159" s="63">
        <v>4780</v>
      </c>
      <c r="G159" s="63">
        <v>3490</v>
      </c>
      <c r="H159" s="63">
        <v>120</v>
      </c>
      <c r="I159" s="63" t="s">
        <v>357</v>
      </c>
      <c r="J159" s="63" t="s">
        <v>132</v>
      </c>
      <c r="K159" s="63"/>
      <c r="L159" s="63">
        <v>15</v>
      </c>
      <c r="M159" s="58">
        <v>45800</v>
      </c>
      <c r="N159" s="63">
        <v>0</v>
      </c>
      <c r="O159" s="58"/>
      <c r="P159" s="65">
        <v>2.1850000000000001</v>
      </c>
      <c r="Q159" s="65">
        <v>5.4630000000000001</v>
      </c>
      <c r="R159" s="65"/>
      <c r="S159" s="65"/>
      <c r="T159" s="58">
        <v>45846</v>
      </c>
      <c r="U159" s="58">
        <v>45846</v>
      </c>
      <c r="V159" s="63">
        <v>21</v>
      </c>
      <c r="W159" s="63" t="s">
        <v>440</v>
      </c>
      <c r="X159" s="62" t="s">
        <v>288</v>
      </c>
      <c r="Y159" s="63"/>
      <c r="Z159" s="85" t="e">
        <f>VLOOKUP(#REF!,#REF!,1,0)</f>
        <v>#REF!</v>
      </c>
      <c r="AA159" s="68" t="s">
        <v>504</v>
      </c>
    </row>
    <row r="160" spans="2:27" s="2" customFormat="1" ht="24.95" customHeight="1" x14ac:dyDescent="0.25">
      <c r="B160" s="81">
        <v>55</v>
      </c>
      <c r="C160" s="63" t="s">
        <v>256</v>
      </c>
      <c r="D160" s="63" t="s">
        <v>201</v>
      </c>
      <c r="E160" s="63" t="s">
        <v>344</v>
      </c>
      <c r="F160" s="63">
        <v>4070</v>
      </c>
      <c r="G160" s="63">
        <v>2950</v>
      </c>
      <c r="H160" s="63">
        <v>120</v>
      </c>
      <c r="I160" s="63" t="s">
        <v>356</v>
      </c>
      <c r="J160" s="63" t="s">
        <v>106</v>
      </c>
      <c r="K160" s="63"/>
      <c r="L160" s="63">
        <v>14</v>
      </c>
      <c r="M160" s="58">
        <v>45799</v>
      </c>
      <c r="N160" s="63">
        <v>0</v>
      </c>
      <c r="O160" s="58"/>
      <c r="P160" s="65">
        <v>1.504</v>
      </c>
      <c r="Q160" s="65">
        <v>3.76</v>
      </c>
      <c r="R160" s="65"/>
      <c r="S160" s="65"/>
      <c r="T160" s="58">
        <v>45820</v>
      </c>
      <c r="U160" s="58">
        <v>45820</v>
      </c>
      <c r="V160" s="63">
        <v>21</v>
      </c>
      <c r="W160" s="63" t="s">
        <v>174</v>
      </c>
      <c r="X160" s="62"/>
      <c r="Y160" s="63"/>
      <c r="Z160" s="85" t="e">
        <f>VLOOKUP(#REF!,#REF!,1,0)</f>
        <v>#REF!</v>
      </c>
      <c r="AA160" s="68" t="s">
        <v>504</v>
      </c>
    </row>
    <row r="161" spans="2:27" s="2" customFormat="1" ht="24.95" customHeight="1" x14ac:dyDescent="0.25">
      <c r="B161" s="81">
        <v>56</v>
      </c>
      <c r="C161" s="63" t="s">
        <v>260</v>
      </c>
      <c r="D161" s="63" t="s">
        <v>201</v>
      </c>
      <c r="E161" s="63" t="s">
        <v>348</v>
      </c>
      <c r="F161" s="63">
        <v>4420</v>
      </c>
      <c r="G161" s="63">
        <v>2950</v>
      </c>
      <c r="H161" s="63">
        <v>120</v>
      </c>
      <c r="I161" s="63" t="s">
        <v>356</v>
      </c>
      <c r="J161" s="63" t="s">
        <v>106</v>
      </c>
      <c r="K161" s="63"/>
      <c r="L161" s="63">
        <v>14</v>
      </c>
      <c r="M161" s="58">
        <v>45799</v>
      </c>
      <c r="N161" s="63">
        <v>0</v>
      </c>
      <c r="O161" s="58"/>
      <c r="P161" s="65">
        <v>1.5960000000000001</v>
      </c>
      <c r="Q161" s="65">
        <v>3.99</v>
      </c>
      <c r="R161" s="65"/>
      <c r="S161" s="65"/>
      <c r="T161" s="58">
        <v>45845</v>
      </c>
      <c r="U161" s="58">
        <v>45845</v>
      </c>
      <c r="V161" s="63">
        <v>21</v>
      </c>
      <c r="W161" s="63" t="s">
        <v>171</v>
      </c>
      <c r="X161" s="62"/>
      <c r="Y161" s="63"/>
      <c r="Z161" s="85" t="e">
        <f>VLOOKUP(#REF!,#REF!,1,0)</f>
        <v>#REF!</v>
      </c>
      <c r="AA161" s="68" t="s">
        <v>504</v>
      </c>
    </row>
    <row r="162" spans="2:27" s="2" customFormat="1" ht="24.95" customHeight="1" x14ac:dyDescent="0.25">
      <c r="B162" s="81">
        <v>57</v>
      </c>
      <c r="C162" s="63" t="s">
        <v>257</v>
      </c>
      <c r="D162" s="63" t="s">
        <v>201</v>
      </c>
      <c r="E162" s="63" t="s">
        <v>342</v>
      </c>
      <c r="F162" s="63">
        <v>4070</v>
      </c>
      <c r="G162" s="63">
        <v>2950</v>
      </c>
      <c r="H162" s="63">
        <v>120</v>
      </c>
      <c r="I162" s="63" t="s">
        <v>356</v>
      </c>
      <c r="J162" s="63" t="s">
        <v>106</v>
      </c>
      <c r="K162" s="63"/>
      <c r="L162" s="63">
        <v>14</v>
      </c>
      <c r="M162" s="58">
        <v>45799</v>
      </c>
      <c r="N162" s="63">
        <v>0</v>
      </c>
      <c r="O162" s="58"/>
      <c r="P162" s="65">
        <v>1.504</v>
      </c>
      <c r="Q162" s="65">
        <v>3.76</v>
      </c>
      <c r="R162" s="65"/>
      <c r="S162" s="65"/>
      <c r="T162" s="58">
        <v>45820</v>
      </c>
      <c r="U162" s="58">
        <v>45820</v>
      </c>
      <c r="V162" s="63">
        <v>21</v>
      </c>
      <c r="W162" s="63" t="s">
        <v>248</v>
      </c>
      <c r="X162" s="62"/>
      <c r="Y162" s="63"/>
      <c r="Z162" s="85" t="e">
        <f>VLOOKUP(#REF!,#REF!,1,0)</f>
        <v>#REF!</v>
      </c>
      <c r="AA162" s="68" t="s">
        <v>504</v>
      </c>
    </row>
    <row r="163" spans="2:27" s="2" customFormat="1" ht="24.95" customHeight="1" x14ac:dyDescent="0.25">
      <c r="B163" s="81">
        <v>58</v>
      </c>
      <c r="C163" s="63" t="s">
        <v>275</v>
      </c>
      <c r="D163" s="63" t="s">
        <v>201</v>
      </c>
      <c r="E163" s="63" t="s">
        <v>291</v>
      </c>
      <c r="F163" s="63">
        <v>4770</v>
      </c>
      <c r="G163" s="63">
        <v>3490</v>
      </c>
      <c r="H163" s="63">
        <v>120</v>
      </c>
      <c r="I163" s="63" t="s">
        <v>357</v>
      </c>
      <c r="J163" s="63" t="s">
        <v>132</v>
      </c>
      <c r="K163" s="63"/>
      <c r="L163" s="63">
        <v>15</v>
      </c>
      <c r="M163" s="58">
        <v>45800</v>
      </c>
      <c r="N163" s="63">
        <v>0</v>
      </c>
      <c r="O163" s="58"/>
      <c r="P163" s="65">
        <v>2.1819999999999999</v>
      </c>
      <c r="Q163" s="65">
        <v>5.4550000000000001</v>
      </c>
      <c r="R163" s="65"/>
      <c r="S163" s="65"/>
      <c r="T163" s="58">
        <v>45846</v>
      </c>
      <c r="U163" s="58">
        <v>45846</v>
      </c>
      <c r="V163" s="63">
        <v>21</v>
      </c>
      <c r="W163" s="63" t="s">
        <v>441</v>
      </c>
      <c r="X163" s="62" t="s">
        <v>288</v>
      </c>
      <c r="Y163" s="63"/>
      <c r="Z163" s="85" t="e">
        <f>VLOOKUP(#REF!,#REF!,1,0)</f>
        <v>#REF!</v>
      </c>
      <c r="AA163" s="68" t="s">
        <v>504</v>
      </c>
    </row>
    <row r="164" spans="2:27" s="2" customFormat="1" ht="24.95" customHeight="1" x14ac:dyDescent="0.25">
      <c r="B164" s="81">
        <v>59</v>
      </c>
      <c r="C164" s="63" t="s">
        <v>279</v>
      </c>
      <c r="D164" s="63" t="s">
        <v>201</v>
      </c>
      <c r="E164" s="63" t="s">
        <v>291</v>
      </c>
      <c r="F164" s="63">
        <v>4780</v>
      </c>
      <c r="G164" s="63">
        <v>3490</v>
      </c>
      <c r="H164" s="63">
        <v>120</v>
      </c>
      <c r="I164" s="63" t="s">
        <v>357</v>
      </c>
      <c r="J164" s="63" t="s">
        <v>132</v>
      </c>
      <c r="K164" s="63"/>
      <c r="L164" s="63">
        <v>15</v>
      </c>
      <c r="M164" s="58">
        <v>45800</v>
      </c>
      <c r="N164" s="63">
        <v>0</v>
      </c>
      <c r="O164" s="58"/>
      <c r="P164" s="65">
        <v>2.1850000000000001</v>
      </c>
      <c r="Q164" s="65">
        <v>5.4630000000000001</v>
      </c>
      <c r="R164" s="65"/>
      <c r="S164" s="65"/>
      <c r="T164" s="58">
        <v>45846</v>
      </c>
      <c r="U164" s="58">
        <v>45846</v>
      </c>
      <c r="V164" s="63">
        <v>21</v>
      </c>
      <c r="W164" s="63" t="s">
        <v>716</v>
      </c>
      <c r="X164" s="62" t="s">
        <v>288</v>
      </c>
      <c r="Y164" s="63"/>
      <c r="Z164" s="85" t="e">
        <f>VLOOKUP(#REF!,#REF!,1,0)</f>
        <v>#REF!</v>
      </c>
      <c r="AA164" s="68" t="s">
        <v>504</v>
      </c>
    </row>
    <row r="165" spans="2:27" s="2" customFormat="1" ht="24.95" customHeight="1" x14ac:dyDescent="0.25">
      <c r="B165" s="81">
        <v>60</v>
      </c>
      <c r="C165" s="63" t="s">
        <v>280</v>
      </c>
      <c r="D165" s="63" t="s">
        <v>201</v>
      </c>
      <c r="E165" s="63" t="s">
        <v>291</v>
      </c>
      <c r="F165" s="63">
        <v>4780</v>
      </c>
      <c r="G165" s="63">
        <v>3490</v>
      </c>
      <c r="H165" s="63">
        <v>120</v>
      </c>
      <c r="I165" s="63" t="s">
        <v>357</v>
      </c>
      <c r="J165" s="63" t="s">
        <v>132</v>
      </c>
      <c r="K165" s="63"/>
      <c r="L165" s="63">
        <v>15</v>
      </c>
      <c r="M165" s="58">
        <v>45800</v>
      </c>
      <c r="N165" s="63">
        <v>0</v>
      </c>
      <c r="O165" s="58"/>
      <c r="P165" s="65">
        <v>2.1850000000000001</v>
      </c>
      <c r="Q165" s="65">
        <v>5.4630000000000001</v>
      </c>
      <c r="R165" s="65"/>
      <c r="S165" s="65"/>
      <c r="T165" s="58">
        <v>45848</v>
      </c>
      <c r="U165" s="58">
        <v>45848</v>
      </c>
      <c r="V165" s="63">
        <v>21</v>
      </c>
      <c r="W165" s="63" t="s">
        <v>440</v>
      </c>
      <c r="X165" s="62" t="s">
        <v>288</v>
      </c>
      <c r="Y165" s="63"/>
      <c r="Z165" s="85" t="e">
        <f>VLOOKUP(#REF!,#REF!,1,0)</f>
        <v>#REF!</v>
      </c>
      <c r="AA165" s="68"/>
    </row>
    <row r="166" spans="2:27" s="2" customFormat="1" ht="24.95" customHeight="1" x14ac:dyDescent="0.25">
      <c r="B166" s="81">
        <v>61</v>
      </c>
      <c r="C166" s="63" t="s">
        <v>258</v>
      </c>
      <c r="D166" s="63" t="s">
        <v>201</v>
      </c>
      <c r="E166" s="63" t="s">
        <v>345</v>
      </c>
      <c r="F166" s="63">
        <v>4070</v>
      </c>
      <c r="G166" s="63">
        <v>2950</v>
      </c>
      <c r="H166" s="63">
        <v>120</v>
      </c>
      <c r="I166" s="63" t="s">
        <v>356</v>
      </c>
      <c r="J166" s="63" t="s">
        <v>106</v>
      </c>
      <c r="K166" s="63"/>
      <c r="L166" s="63">
        <v>14</v>
      </c>
      <c r="M166" s="58">
        <v>45799</v>
      </c>
      <c r="N166" s="63">
        <v>0</v>
      </c>
      <c r="O166" s="58"/>
      <c r="P166" s="65">
        <v>1.504</v>
      </c>
      <c r="Q166" s="65">
        <v>3.76</v>
      </c>
      <c r="R166" s="65"/>
      <c r="S166" s="65"/>
      <c r="T166" s="58">
        <v>45820</v>
      </c>
      <c r="U166" s="58">
        <v>45820</v>
      </c>
      <c r="V166" s="63">
        <v>21</v>
      </c>
      <c r="W166" s="63" t="s">
        <v>173</v>
      </c>
      <c r="X166" s="62"/>
      <c r="Y166" s="63"/>
      <c r="Z166" s="85" t="e">
        <f>VLOOKUP(#REF!,#REF!,1,0)</f>
        <v>#REF!</v>
      </c>
      <c r="AA166" s="68" t="s">
        <v>504</v>
      </c>
    </row>
    <row r="167" spans="2:27" s="2" customFormat="1" ht="24.95" customHeight="1" x14ac:dyDescent="0.25">
      <c r="B167" s="81">
        <v>62</v>
      </c>
      <c r="C167" s="63" t="s">
        <v>259</v>
      </c>
      <c r="D167" s="63" t="s">
        <v>201</v>
      </c>
      <c r="E167" s="63" t="s">
        <v>346</v>
      </c>
      <c r="F167" s="63">
        <v>4070</v>
      </c>
      <c r="G167" s="63">
        <v>2950</v>
      </c>
      <c r="H167" s="63">
        <v>120</v>
      </c>
      <c r="I167" s="63" t="s">
        <v>356</v>
      </c>
      <c r="J167" s="63" t="s">
        <v>106</v>
      </c>
      <c r="K167" s="63"/>
      <c r="L167" s="63">
        <v>14</v>
      </c>
      <c r="M167" s="58">
        <v>45799</v>
      </c>
      <c r="N167" s="63">
        <v>0</v>
      </c>
      <c r="O167" s="58"/>
      <c r="P167" s="65">
        <v>1.504</v>
      </c>
      <c r="Q167" s="65">
        <v>3.76</v>
      </c>
      <c r="R167" s="65"/>
      <c r="S167" s="65"/>
      <c r="T167" s="58">
        <v>45845</v>
      </c>
      <c r="U167" s="58">
        <v>45845</v>
      </c>
      <c r="V167" s="63">
        <v>21</v>
      </c>
      <c r="W167" s="63" t="s">
        <v>172</v>
      </c>
      <c r="X167" s="62"/>
      <c r="Y167" s="63"/>
      <c r="Z167" s="85" t="e">
        <f>VLOOKUP(#REF!,#REF!,1,0)</f>
        <v>#REF!</v>
      </c>
      <c r="AA167" s="68" t="s">
        <v>504</v>
      </c>
    </row>
    <row r="168" spans="2:27" s="2" customFormat="1" ht="24.95" customHeight="1" x14ac:dyDescent="0.25">
      <c r="B168" s="81">
        <v>63</v>
      </c>
      <c r="C168" s="63" t="s">
        <v>261</v>
      </c>
      <c r="D168" s="63" t="s">
        <v>201</v>
      </c>
      <c r="E168" s="63" t="s">
        <v>346</v>
      </c>
      <c r="F168" s="63">
        <v>4420</v>
      </c>
      <c r="G168" s="63">
        <v>2950</v>
      </c>
      <c r="H168" s="63">
        <v>120</v>
      </c>
      <c r="I168" s="63" t="s">
        <v>356</v>
      </c>
      <c r="J168" s="63" t="s">
        <v>106</v>
      </c>
      <c r="K168" s="63"/>
      <c r="L168" s="63">
        <v>14</v>
      </c>
      <c r="M168" s="58">
        <v>45799</v>
      </c>
      <c r="N168" s="63">
        <v>0</v>
      </c>
      <c r="O168" s="58"/>
      <c r="P168" s="65">
        <v>1.5960000000000001</v>
      </c>
      <c r="Q168" s="65">
        <v>3.99</v>
      </c>
      <c r="R168" s="65"/>
      <c r="S168" s="65"/>
      <c r="T168" s="58">
        <v>45818</v>
      </c>
      <c r="U168" s="58">
        <v>45818</v>
      </c>
      <c r="V168" s="63">
        <v>21</v>
      </c>
      <c r="W168" s="63" t="s">
        <v>176</v>
      </c>
      <c r="X168" s="62"/>
      <c r="Y168" s="63"/>
      <c r="Z168" s="85" t="e">
        <f>VLOOKUP(#REF!,#REF!,1,0)</f>
        <v>#REF!</v>
      </c>
      <c r="AA168" s="68" t="s">
        <v>504</v>
      </c>
    </row>
    <row r="169" spans="2:27" s="2" customFormat="1" ht="24.95" customHeight="1" x14ac:dyDescent="0.25">
      <c r="B169" s="81">
        <v>64</v>
      </c>
      <c r="C169" s="63" t="s">
        <v>251</v>
      </c>
      <c r="D169" s="63" t="s">
        <v>201</v>
      </c>
      <c r="E169" s="63" t="s">
        <v>349</v>
      </c>
      <c r="F169" s="63">
        <v>4770</v>
      </c>
      <c r="G169" s="63">
        <v>3170</v>
      </c>
      <c r="H169" s="63">
        <v>120</v>
      </c>
      <c r="I169" s="63" t="s">
        <v>356</v>
      </c>
      <c r="J169" s="63" t="s">
        <v>106</v>
      </c>
      <c r="K169" s="63"/>
      <c r="L169" s="63">
        <v>14</v>
      </c>
      <c r="M169" s="58">
        <v>45799</v>
      </c>
      <c r="N169" s="63">
        <v>0</v>
      </c>
      <c r="O169" s="58"/>
      <c r="P169" s="65">
        <v>1.859</v>
      </c>
      <c r="Q169" s="65">
        <v>4.6479999999999997</v>
      </c>
      <c r="R169" s="65"/>
      <c r="S169" s="65"/>
      <c r="T169" s="58">
        <v>45818</v>
      </c>
      <c r="U169" s="58">
        <v>45818</v>
      </c>
      <c r="V169" s="63">
        <v>21</v>
      </c>
      <c r="W169" s="63" t="s">
        <v>248</v>
      </c>
      <c r="X169" s="62"/>
      <c r="Y169" s="63"/>
      <c r="Z169" s="85" t="e">
        <f>VLOOKUP(#REF!,#REF!,1,0)</f>
        <v>#REF!</v>
      </c>
      <c r="AA169" s="68" t="s">
        <v>504</v>
      </c>
    </row>
    <row r="170" spans="2:27" s="2" customFormat="1" ht="24.95" customHeight="1" x14ac:dyDescent="0.25">
      <c r="B170" s="81">
        <v>65</v>
      </c>
      <c r="C170" s="63" t="s">
        <v>252</v>
      </c>
      <c r="D170" s="63" t="s">
        <v>201</v>
      </c>
      <c r="E170" s="63" t="s">
        <v>349</v>
      </c>
      <c r="F170" s="63">
        <v>4780</v>
      </c>
      <c r="G170" s="63">
        <v>3170</v>
      </c>
      <c r="H170" s="63">
        <v>120</v>
      </c>
      <c r="I170" s="63" t="s">
        <v>356</v>
      </c>
      <c r="J170" s="63" t="s">
        <v>106</v>
      </c>
      <c r="K170" s="63"/>
      <c r="L170" s="63">
        <v>14</v>
      </c>
      <c r="M170" s="58">
        <v>45799</v>
      </c>
      <c r="N170" s="63">
        <v>0</v>
      </c>
      <c r="O170" s="58"/>
      <c r="P170" s="65">
        <v>1.859</v>
      </c>
      <c r="Q170" s="65">
        <v>4.6479999999999997</v>
      </c>
      <c r="R170" s="65"/>
      <c r="S170" s="65"/>
      <c r="T170" s="58">
        <v>45818</v>
      </c>
      <c r="U170" s="58">
        <v>45818</v>
      </c>
      <c r="V170" s="63">
        <v>21</v>
      </c>
      <c r="W170" s="63" t="s">
        <v>173</v>
      </c>
      <c r="X170" s="62"/>
      <c r="Y170" s="63"/>
      <c r="Z170" s="85" t="e">
        <f>VLOOKUP(#REF!,#REF!,1,0)</f>
        <v>#REF!</v>
      </c>
      <c r="AA170" s="68" t="s">
        <v>504</v>
      </c>
    </row>
    <row r="171" spans="2:27" s="2" customFormat="1" ht="24.95" customHeight="1" x14ac:dyDescent="0.25">
      <c r="B171" s="81">
        <v>66</v>
      </c>
      <c r="C171" s="63" t="s">
        <v>262</v>
      </c>
      <c r="D171" s="63" t="s">
        <v>201</v>
      </c>
      <c r="E171" s="63" t="s">
        <v>349</v>
      </c>
      <c r="F171" s="63">
        <v>4780</v>
      </c>
      <c r="G171" s="63">
        <v>3170</v>
      </c>
      <c r="H171" s="63">
        <v>120</v>
      </c>
      <c r="I171" s="63" t="s">
        <v>356</v>
      </c>
      <c r="J171" s="63" t="s">
        <v>106</v>
      </c>
      <c r="K171" s="63"/>
      <c r="L171" s="63">
        <v>14</v>
      </c>
      <c r="M171" s="58">
        <v>45799</v>
      </c>
      <c r="N171" s="63">
        <v>0</v>
      </c>
      <c r="O171" s="58"/>
      <c r="P171" s="65">
        <v>1.859</v>
      </c>
      <c r="Q171" s="65">
        <v>4.6479999999999997</v>
      </c>
      <c r="R171" s="65"/>
      <c r="S171" s="65"/>
      <c r="T171" s="58">
        <v>45818</v>
      </c>
      <c r="U171" s="58">
        <v>45818</v>
      </c>
      <c r="V171" s="63">
        <v>21</v>
      </c>
      <c r="W171" s="63" t="s">
        <v>175</v>
      </c>
      <c r="X171" s="62"/>
      <c r="Y171" s="63"/>
      <c r="Z171" s="85" t="e">
        <f>VLOOKUP(#REF!,#REF!,1,0)</f>
        <v>#REF!</v>
      </c>
      <c r="AA171" s="68" t="s">
        <v>504</v>
      </c>
    </row>
    <row r="172" spans="2:27" s="2" customFormat="1" ht="24.95" customHeight="1" x14ac:dyDescent="0.25">
      <c r="B172" s="81">
        <v>67</v>
      </c>
      <c r="C172" s="63" t="s">
        <v>263</v>
      </c>
      <c r="D172" s="63" t="s">
        <v>201</v>
      </c>
      <c r="E172" s="63" t="s">
        <v>349</v>
      </c>
      <c r="F172" s="63">
        <v>4780</v>
      </c>
      <c r="G172" s="63">
        <v>3170</v>
      </c>
      <c r="H172" s="63">
        <v>120</v>
      </c>
      <c r="I172" s="63" t="s">
        <v>356</v>
      </c>
      <c r="J172" s="63" t="s">
        <v>106</v>
      </c>
      <c r="K172" s="63"/>
      <c r="L172" s="63">
        <v>14</v>
      </c>
      <c r="M172" s="58">
        <v>45799</v>
      </c>
      <c r="N172" s="63">
        <v>0</v>
      </c>
      <c r="O172" s="58"/>
      <c r="P172" s="65">
        <v>1.859</v>
      </c>
      <c r="Q172" s="65">
        <v>4.6479999999999997</v>
      </c>
      <c r="R172" s="65"/>
      <c r="S172" s="65"/>
      <c r="T172" s="58">
        <v>45846</v>
      </c>
      <c r="U172" s="58">
        <v>45846</v>
      </c>
      <c r="V172" s="63">
        <v>21</v>
      </c>
      <c r="W172" s="63" t="s">
        <v>171</v>
      </c>
      <c r="X172" s="62"/>
      <c r="Y172" s="63"/>
      <c r="Z172" s="85" t="e">
        <f>VLOOKUP(#REF!,#REF!,1,0)</f>
        <v>#REF!</v>
      </c>
      <c r="AA172" s="68" t="s">
        <v>504</v>
      </c>
    </row>
    <row r="173" spans="2:27" s="2" customFormat="1" ht="24.95" customHeight="1" x14ac:dyDescent="0.25">
      <c r="B173" s="81">
        <v>68</v>
      </c>
      <c r="C173" s="63" t="s">
        <v>253</v>
      </c>
      <c r="D173" s="63" t="s">
        <v>201</v>
      </c>
      <c r="E173" s="63" t="s">
        <v>349</v>
      </c>
      <c r="F173" s="63">
        <v>4780</v>
      </c>
      <c r="G173" s="63">
        <v>3170</v>
      </c>
      <c r="H173" s="63">
        <v>120</v>
      </c>
      <c r="I173" s="63" t="s">
        <v>356</v>
      </c>
      <c r="J173" s="63" t="s">
        <v>106</v>
      </c>
      <c r="K173" s="63"/>
      <c r="L173" s="63">
        <v>14</v>
      </c>
      <c r="M173" s="58">
        <v>45799</v>
      </c>
      <c r="N173" s="63">
        <v>0</v>
      </c>
      <c r="O173" s="58"/>
      <c r="P173" s="65">
        <v>1.859</v>
      </c>
      <c r="Q173" s="65">
        <v>4.6479999999999997</v>
      </c>
      <c r="R173" s="65"/>
      <c r="S173" s="65"/>
      <c r="T173" s="58">
        <v>45845</v>
      </c>
      <c r="U173" s="58">
        <v>45845</v>
      </c>
      <c r="V173" s="63">
        <v>21</v>
      </c>
      <c r="W173" s="63" t="s">
        <v>713</v>
      </c>
      <c r="X173" s="62"/>
      <c r="Y173" s="63"/>
      <c r="Z173" s="85" t="e">
        <f>VLOOKUP(#REF!,#REF!,1,0)</f>
        <v>#REF!</v>
      </c>
      <c r="AA173" s="68" t="s">
        <v>504</v>
      </c>
    </row>
    <row r="174" spans="2:27" s="2" customFormat="1" ht="24.95" customHeight="1" x14ac:dyDescent="0.25">
      <c r="B174" s="81">
        <v>69</v>
      </c>
      <c r="C174" s="63" t="s">
        <v>264</v>
      </c>
      <c r="D174" s="63" t="s">
        <v>201</v>
      </c>
      <c r="E174" s="63" t="s">
        <v>350</v>
      </c>
      <c r="F174" s="63">
        <v>4780</v>
      </c>
      <c r="G174" s="63">
        <v>3380</v>
      </c>
      <c r="H174" s="63">
        <v>120</v>
      </c>
      <c r="I174" s="63" t="s">
        <v>356</v>
      </c>
      <c r="J174" s="63" t="s">
        <v>106</v>
      </c>
      <c r="K174" s="63"/>
      <c r="L174" s="63">
        <v>14</v>
      </c>
      <c r="M174" s="58">
        <v>45799</v>
      </c>
      <c r="N174" s="63">
        <v>0</v>
      </c>
      <c r="O174" s="58"/>
      <c r="P174" s="65">
        <v>1.9790000000000001</v>
      </c>
      <c r="Q174" s="65">
        <v>4.9480000000000004</v>
      </c>
      <c r="R174" s="65"/>
      <c r="S174" s="65"/>
      <c r="T174" s="58">
        <v>45845</v>
      </c>
      <c r="U174" s="58">
        <v>45845</v>
      </c>
      <c r="V174" s="63">
        <v>21</v>
      </c>
      <c r="W174" s="63" t="s">
        <v>437</v>
      </c>
      <c r="X174" s="62"/>
      <c r="Y174" s="63"/>
      <c r="Z174" s="85" t="e">
        <f>VLOOKUP(#REF!,#REF!,1,0)</f>
        <v>#REF!</v>
      </c>
      <c r="AA174" s="68" t="s">
        <v>504</v>
      </c>
    </row>
    <row r="175" spans="2:27" s="2" customFormat="1" ht="24.95" customHeight="1" x14ac:dyDescent="0.25">
      <c r="B175" s="81">
        <v>70</v>
      </c>
      <c r="C175" s="63" t="s">
        <v>265</v>
      </c>
      <c r="D175" s="63" t="s">
        <v>201</v>
      </c>
      <c r="E175" s="63" t="s">
        <v>350</v>
      </c>
      <c r="F175" s="63">
        <v>4780</v>
      </c>
      <c r="G175" s="63">
        <v>3380</v>
      </c>
      <c r="H175" s="63">
        <v>120</v>
      </c>
      <c r="I175" s="63" t="s">
        <v>356</v>
      </c>
      <c r="J175" s="63" t="s">
        <v>106</v>
      </c>
      <c r="K175" s="63"/>
      <c r="L175" s="63">
        <v>14</v>
      </c>
      <c r="M175" s="58">
        <v>45799</v>
      </c>
      <c r="N175" s="63">
        <v>0</v>
      </c>
      <c r="O175" s="58"/>
      <c r="P175" s="65">
        <v>1.9790000000000001</v>
      </c>
      <c r="Q175" s="65">
        <v>4.9480000000000004</v>
      </c>
      <c r="R175" s="65"/>
      <c r="S175" s="65"/>
      <c r="T175" s="58">
        <v>45818</v>
      </c>
      <c r="U175" s="58">
        <v>45818</v>
      </c>
      <c r="V175" s="63">
        <v>21</v>
      </c>
      <c r="W175" s="63" t="s">
        <v>185</v>
      </c>
      <c r="X175" s="62"/>
      <c r="Y175" s="63"/>
      <c r="Z175" s="85" t="e">
        <f>VLOOKUP(#REF!,#REF!,1,0)</f>
        <v>#REF!</v>
      </c>
      <c r="AA175" s="68" t="s">
        <v>504</v>
      </c>
    </row>
    <row r="176" spans="2:27" s="2" customFormat="1" ht="24.95" customHeight="1" x14ac:dyDescent="0.25">
      <c r="B176" s="81">
        <v>71</v>
      </c>
      <c r="C176" s="63" t="s">
        <v>254</v>
      </c>
      <c r="D176" s="63" t="s">
        <v>201</v>
      </c>
      <c r="E176" s="63" t="s">
        <v>350</v>
      </c>
      <c r="F176" s="63">
        <v>4780</v>
      </c>
      <c r="G176" s="63">
        <v>3380</v>
      </c>
      <c r="H176" s="63">
        <v>120</v>
      </c>
      <c r="I176" s="63" t="s">
        <v>356</v>
      </c>
      <c r="J176" s="63" t="s">
        <v>106</v>
      </c>
      <c r="K176" s="63"/>
      <c r="L176" s="63">
        <v>14</v>
      </c>
      <c r="M176" s="58">
        <v>45799</v>
      </c>
      <c r="N176" s="63">
        <v>0</v>
      </c>
      <c r="O176" s="58"/>
      <c r="P176" s="65">
        <v>1.9790000000000001</v>
      </c>
      <c r="Q176" s="65">
        <v>4.9480000000000004</v>
      </c>
      <c r="R176" s="65"/>
      <c r="S176" s="65"/>
      <c r="T176" s="58">
        <v>45846</v>
      </c>
      <c r="U176" s="58">
        <v>45846</v>
      </c>
      <c r="V176" s="63">
        <v>21</v>
      </c>
      <c r="W176" s="63" t="s">
        <v>172</v>
      </c>
      <c r="X176" s="62"/>
      <c r="Y176" s="63"/>
      <c r="Z176" s="85" t="e">
        <f>VLOOKUP(#REF!,#REF!,1,0)</f>
        <v>#REF!</v>
      </c>
      <c r="AA176" s="68" t="s">
        <v>504</v>
      </c>
    </row>
    <row r="177" spans="2:27" s="2" customFormat="1" ht="24.95" customHeight="1" x14ac:dyDescent="0.25">
      <c r="B177" s="81">
        <v>72</v>
      </c>
      <c r="C177" s="63" t="s">
        <v>361</v>
      </c>
      <c r="D177" s="63" t="s">
        <v>201</v>
      </c>
      <c r="E177" s="63" t="s">
        <v>350</v>
      </c>
      <c r="F177" s="63">
        <v>4780</v>
      </c>
      <c r="G177" s="63">
        <v>3380</v>
      </c>
      <c r="H177" s="63">
        <v>120</v>
      </c>
      <c r="I177" s="63" t="s">
        <v>356</v>
      </c>
      <c r="J177" s="63" t="s">
        <v>106</v>
      </c>
      <c r="K177" s="63"/>
      <c r="L177" s="63">
        <v>20</v>
      </c>
      <c r="M177" s="58">
        <v>45805</v>
      </c>
      <c r="N177" s="63">
        <v>0</v>
      </c>
      <c r="O177" s="58"/>
      <c r="P177" s="65">
        <v>1.9790000000000001</v>
      </c>
      <c r="Q177" s="65">
        <v>4.9480000000000004</v>
      </c>
      <c r="R177" s="65"/>
      <c r="S177" s="65"/>
      <c r="T177" s="58">
        <v>45846</v>
      </c>
      <c r="U177" s="58">
        <v>45846</v>
      </c>
      <c r="V177" s="63">
        <v>21</v>
      </c>
      <c r="W177" s="63" t="s">
        <v>713</v>
      </c>
      <c r="X177" s="62"/>
      <c r="Y177" s="63"/>
      <c r="Z177" s="85" t="e">
        <f>VLOOKUP(#REF!,#REF!,1,0)</f>
        <v>#REF!</v>
      </c>
      <c r="AA177" s="68"/>
    </row>
    <row r="178" spans="2:27" s="2" customFormat="1" ht="24.95" customHeight="1" x14ac:dyDescent="0.25">
      <c r="B178" s="81">
        <v>73</v>
      </c>
      <c r="C178" s="63" t="s">
        <v>362</v>
      </c>
      <c r="D178" s="63" t="s">
        <v>201</v>
      </c>
      <c r="E178" s="63" t="s">
        <v>350</v>
      </c>
      <c r="F178" s="63">
        <v>4770</v>
      </c>
      <c r="G178" s="63">
        <v>3380</v>
      </c>
      <c r="H178" s="63">
        <v>120</v>
      </c>
      <c r="I178" s="63" t="s">
        <v>356</v>
      </c>
      <c r="J178" s="63" t="s">
        <v>106</v>
      </c>
      <c r="K178" s="63"/>
      <c r="L178" s="63">
        <v>20</v>
      </c>
      <c r="M178" s="58">
        <v>45805</v>
      </c>
      <c r="N178" s="63">
        <v>0</v>
      </c>
      <c r="O178" s="58"/>
      <c r="P178" s="65">
        <v>1.9790000000000001</v>
      </c>
      <c r="Q178" s="65">
        <v>4.9450000000000003</v>
      </c>
      <c r="R178" s="65"/>
      <c r="S178" s="65"/>
      <c r="T178" s="58">
        <v>45846</v>
      </c>
      <c r="U178" s="58">
        <v>45846</v>
      </c>
      <c r="V178" s="63">
        <v>21</v>
      </c>
      <c r="W178" s="63" t="s">
        <v>437</v>
      </c>
      <c r="X178" s="62"/>
      <c r="Y178" s="63"/>
      <c r="Z178" s="85" t="e">
        <f>VLOOKUP(#REF!,#REF!,1,0)</f>
        <v>#REF!</v>
      </c>
      <c r="AA178" s="68" t="s">
        <v>504</v>
      </c>
    </row>
    <row r="179" spans="2:27" s="2" customFormat="1" ht="24.95" customHeight="1" x14ac:dyDescent="0.25">
      <c r="B179" s="81">
        <v>74</v>
      </c>
      <c r="C179" s="63" t="s">
        <v>268</v>
      </c>
      <c r="D179" s="63" t="s">
        <v>201</v>
      </c>
      <c r="E179" s="63" t="s">
        <v>350</v>
      </c>
      <c r="F179" s="63">
        <v>4532</v>
      </c>
      <c r="G179" s="63">
        <v>3790</v>
      </c>
      <c r="H179" s="63">
        <v>120</v>
      </c>
      <c r="I179" s="63" t="s">
        <v>357</v>
      </c>
      <c r="J179" s="63" t="s">
        <v>285</v>
      </c>
      <c r="K179" s="63"/>
      <c r="L179" s="63">
        <v>15</v>
      </c>
      <c r="M179" s="58">
        <v>45800</v>
      </c>
      <c r="N179" s="63">
        <v>0</v>
      </c>
      <c r="O179" s="58"/>
      <c r="P179" s="65">
        <v>2.419</v>
      </c>
      <c r="Q179" s="65">
        <v>6.048</v>
      </c>
      <c r="R179" s="65"/>
      <c r="S179" s="65"/>
      <c r="T179" s="58">
        <v>45848</v>
      </c>
      <c r="U179" s="58">
        <v>45848</v>
      </c>
      <c r="V179" s="63">
        <v>21</v>
      </c>
      <c r="W179" s="63" t="s">
        <v>441</v>
      </c>
      <c r="X179" s="62" t="s">
        <v>288</v>
      </c>
      <c r="Y179" s="63"/>
      <c r="Z179" s="85" t="e">
        <f>VLOOKUP(#REF!,#REF!,1,0)</f>
        <v>#REF!</v>
      </c>
      <c r="AA179" s="68"/>
    </row>
    <row r="180" spans="2:27" s="2" customFormat="1" ht="24.95" customHeight="1" x14ac:dyDescent="0.25">
      <c r="B180" s="81">
        <v>75</v>
      </c>
      <c r="C180" s="63" t="s">
        <v>269</v>
      </c>
      <c r="D180" s="63" t="s">
        <v>201</v>
      </c>
      <c r="E180" s="63" t="s">
        <v>350</v>
      </c>
      <c r="F180" s="63">
        <v>4532</v>
      </c>
      <c r="G180" s="63">
        <v>3790</v>
      </c>
      <c r="H180" s="63">
        <v>120</v>
      </c>
      <c r="I180" s="63" t="s">
        <v>357</v>
      </c>
      <c r="J180" s="63" t="s">
        <v>285</v>
      </c>
      <c r="K180" s="63"/>
      <c r="L180" s="63">
        <v>15</v>
      </c>
      <c r="M180" s="58">
        <v>45800</v>
      </c>
      <c r="N180" s="63">
        <v>0</v>
      </c>
      <c r="O180" s="58"/>
      <c r="P180" s="65">
        <v>2.419</v>
      </c>
      <c r="Q180" s="65">
        <v>6.048</v>
      </c>
      <c r="R180" s="65"/>
      <c r="S180" s="65"/>
      <c r="T180" s="58">
        <v>45848</v>
      </c>
      <c r="U180" s="58">
        <v>45848</v>
      </c>
      <c r="V180" s="63">
        <v>21</v>
      </c>
      <c r="W180" s="63" t="s">
        <v>716</v>
      </c>
      <c r="X180" s="62" t="s">
        <v>288</v>
      </c>
      <c r="Y180" s="63"/>
      <c r="Z180" s="85" t="e">
        <f>VLOOKUP(#REF!,#REF!,1,0)</f>
        <v>#REF!</v>
      </c>
      <c r="AA180" s="68"/>
    </row>
    <row r="181" spans="2:27" s="2" customFormat="1" ht="24.95" customHeight="1" x14ac:dyDescent="0.25">
      <c r="B181" s="96">
        <v>76</v>
      </c>
      <c r="C181" s="12" t="s">
        <v>234</v>
      </c>
      <c r="D181" s="12" t="s">
        <v>201</v>
      </c>
      <c r="E181" s="12" t="s">
        <v>335</v>
      </c>
      <c r="F181" s="13">
        <v>3023</v>
      </c>
      <c r="G181" s="13">
        <v>3790</v>
      </c>
      <c r="H181" s="13">
        <v>120</v>
      </c>
      <c r="I181" s="13" t="s">
        <v>357</v>
      </c>
      <c r="J181" s="13" t="s">
        <v>127</v>
      </c>
      <c r="K181" s="13"/>
      <c r="L181" s="13">
        <v>13</v>
      </c>
      <c r="M181" s="15">
        <v>45799</v>
      </c>
      <c r="N181" s="13">
        <v>0</v>
      </c>
      <c r="O181" s="15"/>
      <c r="P181" s="16">
        <v>1.6459999999999999</v>
      </c>
      <c r="Q181" s="16">
        <v>4.1150000000000002</v>
      </c>
      <c r="R181" s="16"/>
      <c r="S181" s="16"/>
      <c r="T181" s="58">
        <v>45849</v>
      </c>
      <c r="U181" s="15">
        <v>45850</v>
      </c>
      <c r="V181" s="13">
        <v>21</v>
      </c>
      <c r="W181" s="13" t="s">
        <v>440</v>
      </c>
      <c r="X181" s="97" t="s">
        <v>288</v>
      </c>
      <c r="Y181" s="13"/>
      <c r="Z181" s="98" t="e">
        <f>VLOOKUP(#REF!,#REF!,1,0)</f>
        <v>#REF!</v>
      </c>
      <c r="AA181" s="99"/>
    </row>
    <row r="182" spans="2:27" s="2" customFormat="1" ht="24.95" customHeight="1" x14ac:dyDescent="0.25">
      <c r="B182" s="96">
        <v>77</v>
      </c>
      <c r="C182" s="12" t="s">
        <v>235</v>
      </c>
      <c r="D182" s="12" t="s">
        <v>201</v>
      </c>
      <c r="E182" s="12" t="s">
        <v>335</v>
      </c>
      <c r="F182" s="13">
        <v>3023</v>
      </c>
      <c r="G182" s="13">
        <v>3790</v>
      </c>
      <c r="H182" s="13">
        <v>120</v>
      </c>
      <c r="I182" s="13" t="s">
        <v>357</v>
      </c>
      <c r="J182" s="13" t="s">
        <v>127</v>
      </c>
      <c r="K182" s="13"/>
      <c r="L182" s="13">
        <v>13</v>
      </c>
      <c r="M182" s="15">
        <v>45799</v>
      </c>
      <c r="N182" s="13">
        <v>0</v>
      </c>
      <c r="O182" s="15"/>
      <c r="P182" s="16">
        <v>1.6459999999999999</v>
      </c>
      <c r="Q182" s="16">
        <v>4.1150000000000002</v>
      </c>
      <c r="R182" s="16"/>
      <c r="S182" s="16"/>
      <c r="T182" s="58">
        <v>45849</v>
      </c>
      <c r="U182" s="15">
        <v>45850</v>
      </c>
      <c r="V182" s="13">
        <v>21</v>
      </c>
      <c r="W182" s="13" t="s">
        <v>441</v>
      </c>
      <c r="X182" s="97" t="s">
        <v>288</v>
      </c>
      <c r="Y182" s="13"/>
      <c r="Z182" s="98" t="e">
        <f>VLOOKUP(#REF!,#REF!,1,0)</f>
        <v>#REF!</v>
      </c>
      <c r="AA182" s="99"/>
    </row>
    <row r="183" spans="2:27" s="2" customFormat="1" ht="24.95" customHeight="1" x14ac:dyDescent="0.25">
      <c r="B183" s="81">
        <v>78</v>
      </c>
      <c r="C183" s="63" t="s">
        <v>224</v>
      </c>
      <c r="D183" s="63" t="s">
        <v>201</v>
      </c>
      <c r="E183" s="63" t="s">
        <v>330</v>
      </c>
      <c r="F183" s="63">
        <v>2957</v>
      </c>
      <c r="G183" s="63">
        <v>3740</v>
      </c>
      <c r="H183" s="63">
        <v>120</v>
      </c>
      <c r="I183" s="63" t="s">
        <v>356</v>
      </c>
      <c r="J183" s="63" t="s">
        <v>127</v>
      </c>
      <c r="K183" s="63"/>
      <c r="L183" s="63" t="s">
        <v>202</v>
      </c>
      <c r="M183" s="58">
        <v>45797</v>
      </c>
      <c r="N183" s="63">
        <v>0</v>
      </c>
      <c r="O183" s="58"/>
      <c r="P183" s="65">
        <v>1.4730000000000001</v>
      </c>
      <c r="Q183" s="65">
        <v>3.6829999999999998</v>
      </c>
      <c r="R183" s="65"/>
      <c r="S183" s="65"/>
      <c r="T183" s="58">
        <v>45846</v>
      </c>
      <c r="U183" s="58">
        <v>45847</v>
      </c>
      <c r="V183" s="63">
        <v>21</v>
      </c>
      <c r="W183" s="63" t="s">
        <v>438</v>
      </c>
      <c r="X183" s="62"/>
      <c r="Y183" s="63"/>
      <c r="Z183" s="85" t="e">
        <f>VLOOKUP(#REF!,#REF!,1,0)</f>
        <v>#REF!</v>
      </c>
      <c r="AA183" s="68" t="s">
        <v>504</v>
      </c>
    </row>
    <row r="184" spans="2:27" s="2" customFormat="1" ht="24.95" customHeight="1" x14ac:dyDescent="0.25">
      <c r="B184" s="81">
        <v>79</v>
      </c>
      <c r="C184" s="63" t="s">
        <v>225</v>
      </c>
      <c r="D184" s="63" t="s">
        <v>201</v>
      </c>
      <c r="E184" s="63" t="s">
        <v>330</v>
      </c>
      <c r="F184" s="63">
        <v>2957</v>
      </c>
      <c r="G184" s="63">
        <v>3740</v>
      </c>
      <c r="H184" s="63">
        <v>120</v>
      </c>
      <c r="I184" s="63" t="s">
        <v>356</v>
      </c>
      <c r="J184" s="63" t="s">
        <v>127</v>
      </c>
      <c r="K184" s="63"/>
      <c r="L184" s="63" t="s">
        <v>202</v>
      </c>
      <c r="M184" s="58">
        <v>45797</v>
      </c>
      <c r="N184" s="63">
        <v>0</v>
      </c>
      <c r="O184" s="58"/>
      <c r="P184" s="65">
        <v>1.4730000000000001</v>
      </c>
      <c r="Q184" s="65">
        <v>3.6829999999999998</v>
      </c>
      <c r="R184" s="65"/>
      <c r="S184" s="65"/>
      <c r="T184" s="58">
        <v>45846</v>
      </c>
      <c r="U184" s="58">
        <v>45846</v>
      </c>
      <c r="V184" s="63">
        <v>21</v>
      </c>
      <c r="W184" s="63" t="s">
        <v>714</v>
      </c>
      <c r="X184" s="62"/>
      <c r="Y184" s="63"/>
      <c r="Z184" s="85" t="e">
        <f>VLOOKUP(#REF!,#REF!,1,0)</f>
        <v>#REF!</v>
      </c>
      <c r="AA184" s="68" t="s">
        <v>504</v>
      </c>
    </row>
    <row r="185" spans="2:27" s="2" customFormat="1" ht="24.95" customHeight="1" x14ac:dyDescent="0.25">
      <c r="B185" s="81">
        <v>80</v>
      </c>
      <c r="C185" s="63" t="s">
        <v>223</v>
      </c>
      <c r="D185" s="63" t="s">
        <v>201</v>
      </c>
      <c r="E185" s="63" t="s">
        <v>329</v>
      </c>
      <c r="F185" s="63">
        <v>2990</v>
      </c>
      <c r="G185" s="63">
        <v>3740</v>
      </c>
      <c r="H185" s="63">
        <v>120</v>
      </c>
      <c r="I185" s="63" t="s">
        <v>356</v>
      </c>
      <c r="J185" s="63" t="s">
        <v>127</v>
      </c>
      <c r="K185" s="63"/>
      <c r="L185" s="63" t="s">
        <v>202</v>
      </c>
      <c r="M185" s="58">
        <v>45797</v>
      </c>
      <c r="N185" s="63">
        <v>0</v>
      </c>
      <c r="O185" s="58"/>
      <c r="P185" s="65">
        <v>1.4490000000000001</v>
      </c>
      <c r="Q185" s="65">
        <v>3.6230000000000002</v>
      </c>
      <c r="R185" s="65"/>
      <c r="S185" s="65"/>
      <c r="T185" s="58">
        <v>45846</v>
      </c>
      <c r="U185" s="58">
        <v>45847</v>
      </c>
      <c r="V185" s="63">
        <v>21</v>
      </c>
      <c r="W185" s="63" t="s">
        <v>439</v>
      </c>
      <c r="X185" s="62"/>
      <c r="Y185" s="63"/>
      <c r="Z185" s="85" t="e">
        <f>VLOOKUP(#REF!,#REF!,1,0)</f>
        <v>#REF!</v>
      </c>
      <c r="AA185" s="68"/>
    </row>
    <row r="186" spans="2:27" s="2" customFormat="1" ht="24.95" customHeight="1" x14ac:dyDescent="0.25">
      <c r="B186" s="81">
        <v>81</v>
      </c>
      <c r="C186" s="63" t="s">
        <v>245</v>
      </c>
      <c r="D186" s="63" t="s">
        <v>201</v>
      </c>
      <c r="E186" s="63" t="s">
        <v>340</v>
      </c>
      <c r="F186" s="63">
        <v>3023</v>
      </c>
      <c r="G186" s="63">
        <v>3740</v>
      </c>
      <c r="H186" s="63">
        <v>120</v>
      </c>
      <c r="I186" s="63" t="s">
        <v>356</v>
      </c>
      <c r="J186" s="63" t="s">
        <v>127</v>
      </c>
      <c r="K186" s="63"/>
      <c r="L186" s="63">
        <v>12</v>
      </c>
      <c r="M186" s="58">
        <v>45799</v>
      </c>
      <c r="N186" s="63">
        <v>0</v>
      </c>
      <c r="O186" s="58"/>
      <c r="P186" s="65">
        <v>1.482</v>
      </c>
      <c r="Q186" s="65">
        <v>3.7050000000000001</v>
      </c>
      <c r="R186" s="65"/>
      <c r="S186" s="65"/>
      <c r="T186" s="58">
        <v>45846</v>
      </c>
      <c r="U186" s="58">
        <v>45846</v>
      </c>
      <c r="V186" s="63">
        <v>21</v>
      </c>
      <c r="W186" s="63" t="s">
        <v>715</v>
      </c>
      <c r="X186" s="62"/>
      <c r="Y186" s="63"/>
      <c r="Z186" s="85" t="e">
        <f>VLOOKUP(#REF!,#REF!,1,0)</f>
        <v>#REF!</v>
      </c>
      <c r="AA186" s="68"/>
    </row>
    <row r="187" spans="2:27" s="2" customFormat="1" ht="24.95" customHeight="1" x14ac:dyDescent="0.25">
      <c r="B187" s="81">
        <v>82</v>
      </c>
      <c r="C187" s="63" t="s">
        <v>246</v>
      </c>
      <c r="D187" s="63" t="s">
        <v>201</v>
      </c>
      <c r="E187" s="63" t="s">
        <v>340</v>
      </c>
      <c r="F187" s="63">
        <v>3023</v>
      </c>
      <c r="G187" s="63">
        <v>3740</v>
      </c>
      <c r="H187" s="63">
        <v>120</v>
      </c>
      <c r="I187" s="63" t="s">
        <v>356</v>
      </c>
      <c r="J187" s="63" t="s">
        <v>127</v>
      </c>
      <c r="K187" s="63"/>
      <c r="L187" s="63">
        <v>12</v>
      </c>
      <c r="M187" s="58">
        <v>45799</v>
      </c>
      <c r="N187" s="63">
        <v>0</v>
      </c>
      <c r="O187" s="58"/>
      <c r="P187" s="65">
        <v>1.482</v>
      </c>
      <c r="Q187" s="65">
        <v>3.7050000000000001</v>
      </c>
      <c r="R187" s="65"/>
      <c r="S187" s="65"/>
      <c r="T187" s="58">
        <v>45847</v>
      </c>
      <c r="U187" s="58">
        <v>45847</v>
      </c>
      <c r="V187" s="63">
        <v>21</v>
      </c>
      <c r="W187" s="63" t="s">
        <v>171</v>
      </c>
      <c r="X187" s="62"/>
      <c r="Y187" s="63"/>
      <c r="Z187" s="85" t="e">
        <f>VLOOKUP(#REF!,#REF!,1,0)</f>
        <v>#REF!</v>
      </c>
      <c r="AA187" s="68"/>
    </row>
    <row r="188" spans="2:27" s="2" customFormat="1" ht="24.95" customHeight="1" x14ac:dyDescent="0.25">
      <c r="B188" s="81">
        <v>83</v>
      </c>
      <c r="C188" s="63" t="s">
        <v>233</v>
      </c>
      <c r="D188" s="63" t="s">
        <v>201</v>
      </c>
      <c r="E188" s="63" t="s">
        <v>334</v>
      </c>
      <c r="F188" s="63">
        <v>4597</v>
      </c>
      <c r="G188" s="63">
        <v>3690</v>
      </c>
      <c r="H188" s="63">
        <v>120</v>
      </c>
      <c r="I188" s="63" t="s">
        <v>357</v>
      </c>
      <c r="J188" s="63" t="s">
        <v>132</v>
      </c>
      <c r="K188" s="63"/>
      <c r="L188" s="63">
        <v>13</v>
      </c>
      <c r="M188" s="58">
        <v>45799</v>
      </c>
      <c r="N188" s="63">
        <v>0</v>
      </c>
      <c r="O188" s="58"/>
      <c r="P188" s="65">
        <v>2.2440000000000002</v>
      </c>
      <c r="Q188" s="65">
        <v>5.61</v>
      </c>
      <c r="R188" s="65"/>
      <c r="S188" s="65"/>
      <c r="T188" s="58">
        <v>45849</v>
      </c>
      <c r="U188" s="58">
        <v>45849</v>
      </c>
      <c r="V188" s="63">
        <v>21</v>
      </c>
      <c r="W188" s="63" t="s">
        <v>716</v>
      </c>
      <c r="X188" s="62" t="s">
        <v>288</v>
      </c>
      <c r="Y188" s="63"/>
      <c r="Z188" s="85" t="e">
        <f>VLOOKUP(#REF!,#REF!,1,0)</f>
        <v>#REF!</v>
      </c>
      <c r="AA188" s="68"/>
    </row>
    <row r="189" spans="2:27" s="2" customFormat="1" ht="24.95" customHeight="1" x14ac:dyDescent="0.25">
      <c r="B189" s="96">
        <v>84</v>
      </c>
      <c r="C189" s="12" t="s">
        <v>236</v>
      </c>
      <c r="D189" s="12" t="s">
        <v>201</v>
      </c>
      <c r="E189" s="12" t="s">
        <v>334</v>
      </c>
      <c r="F189" s="13">
        <v>4597</v>
      </c>
      <c r="G189" s="13">
        <v>3690</v>
      </c>
      <c r="H189" s="13">
        <v>120</v>
      </c>
      <c r="I189" s="13" t="s">
        <v>357</v>
      </c>
      <c r="J189" s="13" t="s">
        <v>132</v>
      </c>
      <c r="K189" s="13"/>
      <c r="L189" s="13">
        <v>13</v>
      </c>
      <c r="M189" s="15">
        <v>45799</v>
      </c>
      <c r="N189" s="13">
        <v>0</v>
      </c>
      <c r="O189" s="15"/>
      <c r="P189" s="16">
        <v>2.2440000000000002</v>
      </c>
      <c r="Q189" s="16">
        <v>5.61</v>
      </c>
      <c r="R189" s="16"/>
      <c r="S189" s="16"/>
      <c r="T189" s="58">
        <v>45853</v>
      </c>
      <c r="U189" s="15">
        <v>45853</v>
      </c>
      <c r="V189" s="13">
        <v>21</v>
      </c>
      <c r="W189" s="13" t="s">
        <v>440</v>
      </c>
      <c r="X189" s="97" t="s">
        <v>288</v>
      </c>
      <c r="Y189" s="13"/>
      <c r="Z189" s="98" t="e">
        <f>VLOOKUP(#REF!,#REF!,1,0)</f>
        <v>#REF!</v>
      </c>
      <c r="AA189" s="99"/>
    </row>
    <row r="190" spans="2:27" s="2" customFormat="1" ht="24.95" customHeight="1" x14ac:dyDescent="0.25">
      <c r="B190" s="96">
        <v>85</v>
      </c>
      <c r="C190" s="12" t="s">
        <v>231</v>
      </c>
      <c r="D190" s="12" t="s">
        <v>201</v>
      </c>
      <c r="E190" s="12" t="s">
        <v>333</v>
      </c>
      <c r="F190" s="13">
        <v>4533</v>
      </c>
      <c r="G190" s="13">
        <v>3690</v>
      </c>
      <c r="H190" s="13">
        <v>120</v>
      </c>
      <c r="I190" s="13" t="s">
        <v>357</v>
      </c>
      <c r="J190" s="13" t="s">
        <v>132</v>
      </c>
      <c r="K190" s="13"/>
      <c r="L190" s="13">
        <v>13</v>
      </c>
      <c r="M190" s="15">
        <v>45799</v>
      </c>
      <c r="N190" s="13">
        <v>0</v>
      </c>
      <c r="O190" s="15"/>
      <c r="P190" s="16">
        <v>2.2210000000000001</v>
      </c>
      <c r="Q190" s="16">
        <v>5.5529999999999999</v>
      </c>
      <c r="R190" s="16"/>
      <c r="S190" s="16"/>
      <c r="T190" s="58">
        <v>45853</v>
      </c>
      <c r="U190" s="15">
        <v>45853</v>
      </c>
      <c r="V190" s="13">
        <v>21</v>
      </c>
      <c r="W190" s="13" t="s">
        <v>441</v>
      </c>
      <c r="X190" s="97" t="s">
        <v>288</v>
      </c>
      <c r="Y190" s="13"/>
      <c r="Z190" s="98" t="e">
        <f>VLOOKUP(#REF!,#REF!,1,0)</f>
        <v>#REF!</v>
      </c>
      <c r="AA190" s="99"/>
    </row>
    <row r="191" spans="2:27" s="2" customFormat="1" ht="24.95" customHeight="1" x14ac:dyDescent="0.25">
      <c r="B191" s="96">
        <v>86</v>
      </c>
      <c r="C191" s="12" t="s">
        <v>232</v>
      </c>
      <c r="D191" s="12" t="s">
        <v>201</v>
      </c>
      <c r="E191" s="12" t="s">
        <v>333</v>
      </c>
      <c r="F191" s="13">
        <v>4533</v>
      </c>
      <c r="G191" s="13">
        <v>3690</v>
      </c>
      <c r="H191" s="13">
        <v>120</v>
      </c>
      <c r="I191" s="13" t="s">
        <v>357</v>
      </c>
      <c r="J191" s="13" t="s">
        <v>132</v>
      </c>
      <c r="K191" s="13"/>
      <c r="L191" s="13">
        <v>13</v>
      </c>
      <c r="M191" s="15">
        <v>45799</v>
      </c>
      <c r="N191" s="13">
        <v>0</v>
      </c>
      <c r="O191" s="15"/>
      <c r="P191" s="16">
        <v>2.2210000000000001</v>
      </c>
      <c r="Q191" s="16">
        <v>5.5529999999999999</v>
      </c>
      <c r="R191" s="16"/>
      <c r="S191" s="16"/>
      <c r="T191" s="58">
        <v>45850</v>
      </c>
      <c r="U191" s="15">
        <v>45850</v>
      </c>
      <c r="V191" s="13">
        <v>21</v>
      </c>
      <c r="W191" s="13" t="s">
        <v>716</v>
      </c>
      <c r="X191" s="97" t="s">
        <v>288</v>
      </c>
      <c r="Y191" s="13"/>
      <c r="Z191" s="98" t="e">
        <f>VLOOKUP(#REF!,#REF!,1,0)</f>
        <v>#REF!</v>
      </c>
      <c r="AA191" s="99"/>
    </row>
    <row r="192" spans="2:27" s="2" customFormat="1" ht="24.95" customHeight="1" x14ac:dyDescent="0.25">
      <c r="B192" s="96">
        <v>87</v>
      </c>
      <c r="C192" s="12" t="s">
        <v>281</v>
      </c>
      <c r="D192" s="12" t="s">
        <v>201</v>
      </c>
      <c r="E192" s="12" t="s">
        <v>333</v>
      </c>
      <c r="F192" s="13">
        <v>4780</v>
      </c>
      <c r="G192" s="13">
        <v>3490</v>
      </c>
      <c r="H192" s="13">
        <v>120</v>
      </c>
      <c r="I192" s="13" t="s">
        <v>357</v>
      </c>
      <c r="J192" s="13" t="s">
        <v>132</v>
      </c>
      <c r="K192" s="13"/>
      <c r="L192" s="13">
        <v>15</v>
      </c>
      <c r="M192" s="15">
        <v>45800</v>
      </c>
      <c r="N192" s="13">
        <v>0</v>
      </c>
      <c r="O192" s="15"/>
      <c r="P192" s="16">
        <v>2.1850000000000001</v>
      </c>
      <c r="Q192" s="16">
        <v>5.4630000000000001</v>
      </c>
      <c r="R192" s="16"/>
      <c r="S192" s="16"/>
      <c r="T192" s="58">
        <v>45853</v>
      </c>
      <c r="U192" s="15">
        <v>45854</v>
      </c>
      <c r="V192" s="13">
        <v>21</v>
      </c>
      <c r="W192" s="13" t="s">
        <v>440</v>
      </c>
      <c r="X192" s="97" t="s">
        <v>288</v>
      </c>
      <c r="Y192" s="13"/>
      <c r="Z192" s="98" t="e">
        <f>VLOOKUP(#REF!,#REF!,1,0)</f>
        <v>#REF!</v>
      </c>
      <c r="AA192" s="99"/>
    </row>
    <row r="193" spans="2:27" s="2" customFormat="1" ht="24.95" customHeight="1" x14ac:dyDescent="0.25">
      <c r="B193" s="33">
        <v>88</v>
      </c>
      <c r="C193" s="8" t="s">
        <v>282</v>
      </c>
      <c r="D193" s="8" t="s">
        <v>201</v>
      </c>
      <c r="E193" s="8" t="s">
        <v>333</v>
      </c>
      <c r="F193" s="5">
        <v>4780</v>
      </c>
      <c r="G193" s="5">
        <v>3490</v>
      </c>
      <c r="H193" s="5">
        <v>120</v>
      </c>
      <c r="I193" s="5" t="s">
        <v>357</v>
      </c>
      <c r="J193" s="5" t="s">
        <v>132</v>
      </c>
      <c r="K193" s="5"/>
      <c r="L193" s="5">
        <v>15</v>
      </c>
      <c r="M193" s="6">
        <v>45800</v>
      </c>
      <c r="N193" s="5">
        <v>0</v>
      </c>
      <c r="O193" s="6"/>
      <c r="P193" s="7">
        <v>2.1850000000000001</v>
      </c>
      <c r="Q193" s="7">
        <v>5.4630000000000001</v>
      </c>
      <c r="R193" s="7"/>
      <c r="S193" s="7"/>
      <c r="T193" s="124">
        <v>45854</v>
      </c>
      <c r="U193" s="6">
        <v>45855</v>
      </c>
      <c r="V193" s="5">
        <v>21</v>
      </c>
      <c r="W193" s="5" t="s">
        <v>441</v>
      </c>
      <c r="X193" s="11" t="s">
        <v>288</v>
      </c>
      <c r="Y193" s="5"/>
      <c r="Z193" s="35" t="e">
        <f>VLOOKUP(#REF!,#REF!,1,0)</f>
        <v>#REF!</v>
      </c>
    </row>
    <row r="194" spans="2:27" s="2" customFormat="1" ht="24.95" customHeight="1" x14ac:dyDescent="0.25">
      <c r="B194" s="33">
        <v>89</v>
      </c>
      <c r="C194" s="8" t="s">
        <v>283</v>
      </c>
      <c r="D194" s="8" t="s">
        <v>201</v>
      </c>
      <c r="E194" s="8" t="s">
        <v>333</v>
      </c>
      <c r="F194" s="5">
        <v>4780</v>
      </c>
      <c r="G194" s="5">
        <v>3490</v>
      </c>
      <c r="H194" s="5">
        <v>120</v>
      </c>
      <c r="I194" s="5" t="s">
        <v>357</v>
      </c>
      <c r="J194" s="5" t="s">
        <v>132</v>
      </c>
      <c r="K194" s="5"/>
      <c r="L194" s="5">
        <v>15</v>
      </c>
      <c r="M194" s="6">
        <v>45800</v>
      </c>
      <c r="N194" s="5">
        <v>0</v>
      </c>
      <c r="O194" s="6"/>
      <c r="P194" s="7">
        <v>2.1850000000000001</v>
      </c>
      <c r="Q194" s="7">
        <v>5.4630000000000001</v>
      </c>
      <c r="R194" s="7"/>
      <c r="S194" s="7"/>
      <c r="T194" s="124">
        <v>45854</v>
      </c>
      <c r="U194" s="6">
        <v>45855</v>
      </c>
      <c r="V194" s="5">
        <v>21</v>
      </c>
      <c r="W194" s="5" t="s">
        <v>716</v>
      </c>
      <c r="X194" s="11" t="s">
        <v>288</v>
      </c>
      <c r="Y194" s="5"/>
      <c r="Z194" s="35" t="e">
        <f>VLOOKUP(#REF!,#REF!,1,0)</f>
        <v>#REF!</v>
      </c>
    </row>
    <row r="195" spans="2:27" s="2" customFormat="1" ht="24.95" customHeight="1" x14ac:dyDescent="0.25">
      <c r="B195" s="33">
        <v>90</v>
      </c>
      <c r="C195" s="8" t="s">
        <v>270</v>
      </c>
      <c r="D195" s="8" t="s">
        <v>201</v>
      </c>
      <c r="E195" s="8" t="s">
        <v>333</v>
      </c>
      <c r="F195" s="5">
        <v>4780</v>
      </c>
      <c r="G195" s="5">
        <v>3490</v>
      </c>
      <c r="H195" s="5">
        <v>120</v>
      </c>
      <c r="I195" s="5" t="s">
        <v>357</v>
      </c>
      <c r="J195" s="5" t="s">
        <v>132</v>
      </c>
      <c r="K195" s="5"/>
      <c r="L195" s="5">
        <v>15</v>
      </c>
      <c r="M195" s="6">
        <v>45800</v>
      </c>
      <c r="N195" s="5">
        <v>0</v>
      </c>
      <c r="O195" s="6"/>
      <c r="P195" s="7">
        <v>2.1850000000000001</v>
      </c>
      <c r="Q195" s="7">
        <v>5.4630000000000001</v>
      </c>
      <c r="R195" s="7"/>
      <c r="S195" s="7"/>
      <c r="T195" s="124">
        <v>45854</v>
      </c>
      <c r="U195" s="6">
        <v>45856</v>
      </c>
      <c r="V195" s="5">
        <v>21</v>
      </c>
      <c r="W195" s="5" t="s">
        <v>440</v>
      </c>
      <c r="X195" s="11" t="s">
        <v>288</v>
      </c>
      <c r="Y195" s="5"/>
      <c r="Z195" s="35" t="e">
        <f>VLOOKUP(#REF!,#REF!,1,0)</f>
        <v>#REF!</v>
      </c>
    </row>
    <row r="196" spans="2:27" s="2" customFormat="1" ht="24.95" customHeight="1" x14ac:dyDescent="0.25">
      <c r="B196" s="33">
        <v>91</v>
      </c>
      <c r="C196" s="8" t="s">
        <v>271</v>
      </c>
      <c r="D196" s="8" t="s">
        <v>201</v>
      </c>
      <c r="E196" s="8" t="s">
        <v>333</v>
      </c>
      <c r="F196" s="5">
        <v>4770</v>
      </c>
      <c r="G196" s="5">
        <v>3490</v>
      </c>
      <c r="H196" s="5">
        <v>120</v>
      </c>
      <c r="I196" s="5" t="s">
        <v>357</v>
      </c>
      <c r="J196" s="5" t="s">
        <v>132</v>
      </c>
      <c r="K196" s="5"/>
      <c r="L196" s="5">
        <v>15</v>
      </c>
      <c r="M196" s="6">
        <v>45800</v>
      </c>
      <c r="N196" s="5">
        <v>0</v>
      </c>
      <c r="O196" s="6"/>
      <c r="P196" s="7">
        <v>2.1819999999999999</v>
      </c>
      <c r="Q196" s="7">
        <v>5.4550000000000001</v>
      </c>
      <c r="R196" s="7"/>
      <c r="S196" s="7"/>
      <c r="T196" s="36">
        <v>45855</v>
      </c>
      <c r="U196" s="6">
        <v>45856</v>
      </c>
      <c r="V196" s="5">
        <v>21</v>
      </c>
      <c r="W196" s="5" t="s">
        <v>441</v>
      </c>
      <c r="X196" s="11" t="s">
        <v>288</v>
      </c>
      <c r="Y196" s="5"/>
      <c r="Z196" s="35" t="e">
        <f>VLOOKUP(#REF!,#REF!,1,0)</f>
        <v>#REF!</v>
      </c>
    </row>
    <row r="197" spans="2:27" s="2" customFormat="1" ht="24.95" customHeight="1" x14ac:dyDescent="0.25">
      <c r="B197" s="81">
        <v>92</v>
      </c>
      <c r="C197" s="63" t="s">
        <v>243</v>
      </c>
      <c r="D197" s="63" t="s">
        <v>201</v>
      </c>
      <c r="E197" s="63" t="s">
        <v>339</v>
      </c>
      <c r="F197" s="63">
        <v>3023</v>
      </c>
      <c r="G197" s="63">
        <v>3690</v>
      </c>
      <c r="H197" s="63">
        <v>120</v>
      </c>
      <c r="I197" s="63" t="s">
        <v>356</v>
      </c>
      <c r="J197" s="63" t="s">
        <v>127</v>
      </c>
      <c r="K197" s="63"/>
      <c r="L197" s="63">
        <v>12</v>
      </c>
      <c r="M197" s="58">
        <v>45799</v>
      </c>
      <c r="N197" s="63">
        <v>0</v>
      </c>
      <c r="O197" s="58"/>
      <c r="P197" s="65">
        <v>1.464</v>
      </c>
      <c r="Q197" s="65">
        <v>3.66</v>
      </c>
      <c r="R197" s="84"/>
      <c r="S197" s="84"/>
      <c r="T197" s="58">
        <v>45847</v>
      </c>
      <c r="U197" s="58">
        <v>45847</v>
      </c>
      <c r="V197" s="63">
        <v>21</v>
      </c>
      <c r="W197" s="63" t="s">
        <v>172</v>
      </c>
      <c r="X197" s="62"/>
      <c r="Y197" s="63"/>
      <c r="Z197" s="85" t="e">
        <f>VLOOKUP(#REF!,#REF!,1,0)</f>
        <v>#REF!</v>
      </c>
      <c r="AA197" s="68"/>
    </row>
    <row r="198" spans="2:27" s="2" customFormat="1" ht="24.95" customHeight="1" x14ac:dyDescent="0.25">
      <c r="B198" s="81">
        <v>93</v>
      </c>
      <c r="C198" s="63" t="s">
        <v>244</v>
      </c>
      <c r="D198" s="63" t="s">
        <v>201</v>
      </c>
      <c r="E198" s="63" t="s">
        <v>339</v>
      </c>
      <c r="F198" s="63">
        <v>3023</v>
      </c>
      <c r="G198" s="63">
        <v>3690</v>
      </c>
      <c r="H198" s="63">
        <v>120</v>
      </c>
      <c r="I198" s="63" t="s">
        <v>356</v>
      </c>
      <c r="J198" s="63" t="s">
        <v>127</v>
      </c>
      <c r="K198" s="63"/>
      <c r="L198" s="63">
        <v>12</v>
      </c>
      <c r="M198" s="58">
        <v>45799</v>
      </c>
      <c r="N198" s="63">
        <v>0</v>
      </c>
      <c r="O198" s="58"/>
      <c r="P198" s="65">
        <v>1.464</v>
      </c>
      <c r="Q198" s="65">
        <v>3.66</v>
      </c>
      <c r="R198" s="84"/>
      <c r="S198" s="84"/>
      <c r="T198" s="58">
        <v>45847</v>
      </c>
      <c r="U198" s="58">
        <v>45847</v>
      </c>
      <c r="V198" s="63">
        <v>21</v>
      </c>
      <c r="W198" s="63" t="s">
        <v>713</v>
      </c>
      <c r="X198" s="62"/>
      <c r="Y198" s="63"/>
      <c r="Z198" s="85" t="e">
        <f>VLOOKUP(#REF!,#REF!,1,0)</f>
        <v>#REF!</v>
      </c>
      <c r="AA198" s="68"/>
    </row>
    <row r="199" spans="2:27" s="2" customFormat="1" ht="24.95" customHeight="1" x14ac:dyDescent="0.25">
      <c r="B199" s="81">
        <v>94</v>
      </c>
      <c r="C199" s="63" t="s">
        <v>241</v>
      </c>
      <c r="D199" s="63" t="s">
        <v>201</v>
      </c>
      <c r="E199" s="63" t="s">
        <v>338</v>
      </c>
      <c r="F199" s="63">
        <v>3023</v>
      </c>
      <c r="G199" s="63">
        <v>3640</v>
      </c>
      <c r="H199" s="63">
        <v>120</v>
      </c>
      <c r="I199" s="63" t="s">
        <v>356</v>
      </c>
      <c r="J199" s="63" t="s">
        <v>127</v>
      </c>
      <c r="K199" s="63"/>
      <c r="L199" s="63">
        <v>12</v>
      </c>
      <c r="M199" s="58">
        <v>45799</v>
      </c>
      <c r="N199" s="63">
        <v>0</v>
      </c>
      <c r="O199" s="58"/>
      <c r="P199" s="65">
        <v>1.446</v>
      </c>
      <c r="Q199" s="65">
        <v>3.6150000000000002</v>
      </c>
      <c r="R199" s="84"/>
      <c r="S199" s="84"/>
      <c r="T199" s="58">
        <v>45847</v>
      </c>
      <c r="U199" s="58">
        <v>45847</v>
      </c>
      <c r="V199" s="63">
        <v>21</v>
      </c>
      <c r="W199" s="63" t="s">
        <v>437</v>
      </c>
      <c r="X199" s="62"/>
      <c r="Y199" s="63"/>
      <c r="Z199" s="85" t="e">
        <f>VLOOKUP(#REF!,#REF!,1,0)</f>
        <v>#REF!</v>
      </c>
      <c r="AA199" s="68"/>
    </row>
    <row r="200" spans="2:27" s="2" customFormat="1" ht="24.95" customHeight="1" x14ac:dyDescent="0.25">
      <c r="B200" s="81">
        <v>95</v>
      </c>
      <c r="C200" s="63" t="s">
        <v>242</v>
      </c>
      <c r="D200" s="63" t="s">
        <v>201</v>
      </c>
      <c r="E200" s="63" t="s">
        <v>338</v>
      </c>
      <c r="F200" s="63">
        <v>3023</v>
      </c>
      <c r="G200" s="63">
        <v>3640</v>
      </c>
      <c r="H200" s="63">
        <v>120</v>
      </c>
      <c r="I200" s="63" t="s">
        <v>356</v>
      </c>
      <c r="J200" s="63" t="s">
        <v>127</v>
      </c>
      <c r="K200" s="63"/>
      <c r="L200" s="63">
        <v>12</v>
      </c>
      <c r="M200" s="58">
        <v>45799</v>
      </c>
      <c r="N200" s="63">
        <v>0</v>
      </c>
      <c r="O200" s="58"/>
      <c r="P200" s="65">
        <v>1.446</v>
      </c>
      <c r="Q200" s="65">
        <v>3.6150000000000002</v>
      </c>
      <c r="R200" s="84"/>
      <c r="S200" s="84"/>
      <c r="T200" s="58">
        <v>45848</v>
      </c>
      <c r="U200" s="58">
        <v>45848</v>
      </c>
      <c r="V200" s="63">
        <v>21</v>
      </c>
      <c r="W200" s="63" t="s">
        <v>438</v>
      </c>
      <c r="X200" s="62"/>
      <c r="Y200" s="63"/>
      <c r="Z200" s="85" t="e">
        <f>VLOOKUP(#REF!,#REF!,1,0)</f>
        <v>#REF!</v>
      </c>
      <c r="AA200" s="68"/>
    </row>
    <row r="201" spans="2:27" s="2" customFormat="1" ht="24.95" customHeight="1" x14ac:dyDescent="0.25">
      <c r="B201" s="33">
        <v>96</v>
      </c>
      <c r="C201" s="8" t="s">
        <v>278</v>
      </c>
      <c r="D201" s="8" t="s">
        <v>201</v>
      </c>
      <c r="E201" s="8" t="s">
        <v>322</v>
      </c>
      <c r="F201" s="5">
        <v>4780</v>
      </c>
      <c r="G201" s="5">
        <v>3490</v>
      </c>
      <c r="H201" s="5">
        <v>120</v>
      </c>
      <c r="I201" s="5" t="s">
        <v>357</v>
      </c>
      <c r="J201" s="5" t="s">
        <v>132</v>
      </c>
      <c r="K201" s="5"/>
      <c r="L201" s="5">
        <v>15</v>
      </c>
      <c r="M201" s="6">
        <v>45800</v>
      </c>
      <c r="N201" s="5">
        <v>0</v>
      </c>
      <c r="O201" s="6"/>
      <c r="P201" s="7">
        <v>2.1850000000000001</v>
      </c>
      <c r="Q201" s="7">
        <v>5.4630000000000001</v>
      </c>
      <c r="R201" s="34"/>
      <c r="S201" s="34"/>
      <c r="T201" s="36">
        <v>45857</v>
      </c>
      <c r="U201" s="6">
        <v>45859</v>
      </c>
      <c r="V201" s="5">
        <v>21</v>
      </c>
      <c r="W201" s="5" t="s">
        <v>716</v>
      </c>
      <c r="X201" s="11" t="s">
        <v>288</v>
      </c>
      <c r="Y201" s="5"/>
      <c r="Z201" s="35" t="e">
        <f>VLOOKUP(#REF!,#REF!,1,0)</f>
        <v>#REF!</v>
      </c>
    </row>
    <row r="202" spans="2:27" s="2" customFormat="1" ht="24.95" customHeight="1" x14ac:dyDescent="0.25">
      <c r="B202" s="33">
        <v>97</v>
      </c>
      <c r="C202" s="8" t="s">
        <v>359</v>
      </c>
      <c r="D202" s="8" t="s">
        <v>201</v>
      </c>
      <c r="E202" s="8" t="s">
        <v>403</v>
      </c>
      <c r="F202" s="5">
        <v>4597</v>
      </c>
      <c r="G202" s="5">
        <v>3540</v>
      </c>
      <c r="H202" s="5">
        <v>120</v>
      </c>
      <c r="I202" s="5" t="s">
        <v>357</v>
      </c>
      <c r="J202" s="5" t="s">
        <v>132</v>
      </c>
      <c r="K202" s="5"/>
      <c r="L202" s="5">
        <v>20</v>
      </c>
      <c r="M202" s="6">
        <v>45805</v>
      </c>
      <c r="N202" s="5">
        <v>0</v>
      </c>
      <c r="O202" s="6"/>
      <c r="P202" s="7">
        <v>2.161</v>
      </c>
      <c r="Q202" s="7">
        <v>5.4029999999999996</v>
      </c>
      <c r="R202" s="34"/>
      <c r="S202" s="34"/>
      <c r="T202" s="36">
        <v>45857</v>
      </c>
      <c r="U202" s="6">
        <v>45859</v>
      </c>
      <c r="V202" s="5">
        <v>21</v>
      </c>
      <c r="W202" s="5" t="s">
        <v>440</v>
      </c>
      <c r="X202" s="11" t="s">
        <v>288</v>
      </c>
      <c r="Y202" s="5"/>
      <c r="Z202" s="35" t="e">
        <f>VLOOKUP(#REF!,#REF!,1,0)</f>
        <v>#REF!</v>
      </c>
    </row>
    <row r="203" spans="2:27" s="2" customFormat="1" ht="24.95" customHeight="1" x14ac:dyDescent="0.25">
      <c r="B203" s="33">
        <v>98</v>
      </c>
      <c r="C203" s="8" t="s">
        <v>360</v>
      </c>
      <c r="D203" s="8" t="s">
        <v>201</v>
      </c>
      <c r="E203" s="8" t="s">
        <v>403</v>
      </c>
      <c r="F203" s="5">
        <v>4597</v>
      </c>
      <c r="G203" s="5">
        <v>3540</v>
      </c>
      <c r="H203" s="5">
        <v>120</v>
      </c>
      <c r="I203" s="5" t="s">
        <v>357</v>
      </c>
      <c r="J203" s="5" t="s">
        <v>132</v>
      </c>
      <c r="K203" s="5"/>
      <c r="L203" s="5">
        <v>20</v>
      </c>
      <c r="M203" s="6">
        <v>45805</v>
      </c>
      <c r="N203" s="5">
        <v>0</v>
      </c>
      <c r="O203" s="6"/>
      <c r="P203" s="7">
        <v>2.161</v>
      </c>
      <c r="Q203" s="7">
        <v>5.4029999999999996</v>
      </c>
      <c r="R203" s="34"/>
      <c r="S203" s="34"/>
      <c r="T203" s="36">
        <v>45857</v>
      </c>
      <c r="U203" s="6"/>
      <c r="V203" s="5">
        <v>21</v>
      </c>
      <c r="W203" s="5" t="s">
        <v>441</v>
      </c>
      <c r="X203" s="11" t="s">
        <v>288</v>
      </c>
      <c r="Y203" s="5"/>
      <c r="Z203" s="35" t="e">
        <f>VLOOKUP(#REF!,#REF!,1,0)</f>
        <v>#REF!</v>
      </c>
    </row>
    <row r="204" spans="2:27" s="2" customFormat="1" ht="24.95" customHeight="1" x14ac:dyDescent="0.25">
      <c r="B204" s="33">
        <v>99</v>
      </c>
      <c r="C204" s="8" t="s">
        <v>230</v>
      </c>
      <c r="D204" s="8" t="s">
        <v>201</v>
      </c>
      <c r="E204" s="8" t="s">
        <v>332</v>
      </c>
      <c r="F204" s="5">
        <v>4533</v>
      </c>
      <c r="G204" s="5">
        <v>3630</v>
      </c>
      <c r="H204" s="5">
        <v>120</v>
      </c>
      <c r="I204" s="5" t="s">
        <v>357</v>
      </c>
      <c r="J204" s="5" t="s">
        <v>132</v>
      </c>
      <c r="K204" s="5"/>
      <c r="L204" s="5">
        <v>13</v>
      </c>
      <c r="M204" s="6">
        <v>45799</v>
      </c>
      <c r="N204" s="5">
        <v>0</v>
      </c>
      <c r="O204" s="6"/>
      <c r="P204" s="7">
        <v>2.1880000000000002</v>
      </c>
      <c r="Q204" s="7">
        <v>5.47</v>
      </c>
      <c r="R204" s="34"/>
      <c r="S204" s="34"/>
      <c r="T204" s="36">
        <v>45860</v>
      </c>
      <c r="U204" s="6"/>
      <c r="V204" s="5">
        <v>21</v>
      </c>
      <c r="W204" s="5" t="s">
        <v>716</v>
      </c>
      <c r="X204" s="11" t="s">
        <v>288</v>
      </c>
      <c r="Y204" s="5"/>
      <c r="Z204" s="35" t="e">
        <f>VLOOKUP(#REF!,#REF!,1,0)</f>
        <v>#REF!</v>
      </c>
    </row>
    <row r="205" spans="2:27" s="2" customFormat="1" ht="24.95" customHeight="1" x14ac:dyDescent="0.25">
      <c r="B205" s="33">
        <v>100</v>
      </c>
      <c r="C205" s="8" t="s">
        <v>272</v>
      </c>
      <c r="D205" s="8" t="s">
        <v>201</v>
      </c>
      <c r="E205" s="8" t="s">
        <v>332</v>
      </c>
      <c r="F205" s="5">
        <v>4780</v>
      </c>
      <c r="G205" s="5">
        <v>3580</v>
      </c>
      <c r="H205" s="5">
        <v>120</v>
      </c>
      <c r="I205" s="5" t="s">
        <v>357</v>
      </c>
      <c r="J205" s="5" t="s">
        <v>132</v>
      </c>
      <c r="K205" s="5"/>
      <c r="L205" s="5">
        <v>15</v>
      </c>
      <c r="M205" s="6">
        <v>45800</v>
      </c>
      <c r="N205" s="5">
        <v>0</v>
      </c>
      <c r="O205" s="6"/>
      <c r="P205" s="7">
        <v>2.2370000000000001</v>
      </c>
      <c r="Q205" s="7">
        <v>5.593</v>
      </c>
      <c r="R205" s="7"/>
      <c r="S205" s="7"/>
      <c r="T205" s="36">
        <v>45860</v>
      </c>
      <c r="U205" s="6"/>
      <c r="V205" s="5">
        <v>21</v>
      </c>
      <c r="W205" s="5" t="s">
        <v>440</v>
      </c>
      <c r="X205" s="11" t="s">
        <v>288</v>
      </c>
      <c r="Y205" s="5"/>
      <c r="Z205" s="35" t="e">
        <f>VLOOKUP(#REF!,#REF!,1,0)</f>
        <v>#REF!</v>
      </c>
    </row>
    <row r="206" spans="2:27" s="2" customFormat="1" ht="24.95" customHeight="1" x14ac:dyDescent="0.25">
      <c r="B206" s="33">
        <v>101</v>
      </c>
      <c r="C206" s="8" t="s">
        <v>273</v>
      </c>
      <c r="D206" s="8" t="s">
        <v>201</v>
      </c>
      <c r="E206" s="8" t="s">
        <v>332</v>
      </c>
      <c r="F206" s="5">
        <v>4780</v>
      </c>
      <c r="G206" s="5">
        <v>3580</v>
      </c>
      <c r="H206" s="5">
        <v>120</v>
      </c>
      <c r="I206" s="5" t="s">
        <v>357</v>
      </c>
      <c r="J206" s="5" t="s">
        <v>132</v>
      </c>
      <c r="K206" s="5"/>
      <c r="L206" s="5">
        <v>15</v>
      </c>
      <c r="M206" s="6">
        <v>45800</v>
      </c>
      <c r="N206" s="5">
        <v>0</v>
      </c>
      <c r="O206" s="6"/>
      <c r="P206" s="7">
        <v>2.2370000000000001</v>
      </c>
      <c r="Q206" s="7">
        <v>5.593</v>
      </c>
      <c r="R206" s="7"/>
      <c r="S206" s="7"/>
      <c r="T206" s="36">
        <v>45860</v>
      </c>
      <c r="U206" s="6"/>
      <c r="V206" s="5">
        <v>21</v>
      </c>
      <c r="W206" s="5" t="s">
        <v>441</v>
      </c>
      <c r="X206" s="11" t="s">
        <v>288</v>
      </c>
      <c r="Y206" s="5"/>
      <c r="Z206" s="35" t="e">
        <f>VLOOKUP(#REF!,#REF!,1,0)</f>
        <v>#REF!</v>
      </c>
    </row>
    <row r="207" spans="2:27" s="2" customFormat="1" ht="24.95" customHeight="1" x14ac:dyDescent="0.25">
      <c r="B207" s="33">
        <v>102</v>
      </c>
      <c r="C207" s="8" t="s">
        <v>286</v>
      </c>
      <c r="D207" s="8" t="s">
        <v>201</v>
      </c>
      <c r="E207" s="8" t="s">
        <v>332</v>
      </c>
      <c r="F207" s="5">
        <v>4780</v>
      </c>
      <c r="G207" s="5">
        <v>3580</v>
      </c>
      <c r="H207" s="5">
        <v>120</v>
      </c>
      <c r="I207" s="5" t="s">
        <v>357</v>
      </c>
      <c r="J207" s="5" t="s">
        <v>132</v>
      </c>
      <c r="K207" s="5"/>
      <c r="L207" s="5">
        <v>15</v>
      </c>
      <c r="M207" s="6">
        <v>45800</v>
      </c>
      <c r="N207" s="5">
        <v>0</v>
      </c>
      <c r="O207" s="6"/>
      <c r="P207" s="7">
        <v>2.2370000000000001</v>
      </c>
      <c r="Q207" s="7">
        <v>5.593</v>
      </c>
      <c r="R207" s="7"/>
      <c r="S207" s="7"/>
      <c r="T207" s="36">
        <v>45861</v>
      </c>
      <c r="U207" s="6"/>
      <c r="V207" s="5">
        <v>21</v>
      </c>
      <c r="W207" s="5" t="s">
        <v>716</v>
      </c>
      <c r="X207" s="11" t="s">
        <v>288</v>
      </c>
      <c r="Y207" s="5"/>
      <c r="Z207" s="35" t="e">
        <f>VLOOKUP(#REF!,#REF!,1,0)</f>
        <v>#REF!</v>
      </c>
    </row>
    <row r="208" spans="2:27" s="2" customFormat="1" ht="24.95" customHeight="1" x14ac:dyDescent="0.25">
      <c r="B208" s="33">
        <v>103</v>
      </c>
      <c r="C208" s="8" t="s">
        <v>287</v>
      </c>
      <c r="D208" s="8" t="s">
        <v>201</v>
      </c>
      <c r="E208" s="8" t="s">
        <v>332</v>
      </c>
      <c r="F208" s="5">
        <v>4780</v>
      </c>
      <c r="G208" s="5">
        <v>3580</v>
      </c>
      <c r="H208" s="5">
        <v>120</v>
      </c>
      <c r="I208" s="5" t="s">
        <v>357</v>
      </c>
      <c r="J208" s="5" t="s">
        <v>132</v>
      </c>
      <c r="K208" s="5"/>
      <c r="L208" s="5">
        <v>15</v>
      </c>
      <c r="M208" s="6">
        <v>45800</v>
      </c>
      <c r="N208" s="5">
        <v>0</v>
      </c>
      <c r="O208" s="6"/>
      <c r="P208" s="7">
        <v>2.2370000000000001</v>
      </c>
      <c r="Q208" s="7">
        <v>5.593</v>
      </c>
      <c r="R208" s="7"/>
      <c r="S208" s="7"/>
      <c r="T208" s="36">
        <v>45861</v>
      </c>
      <c r="U208" s="6"/>
      <c r="V208" s="5">
        <v>21</v>
      </c>
      <c r="W208" s="5" t="s">
        <v>440</v>
      </c>
      <c r="X208" s="11" t="s">
        <v>288</v>
      </c>
      <c r="Y208" s="5"/>
      <c r="Z208" s="35" t="e">
        <f>VLOOKUP(#REF!,#REF!,1,0)</f>
        <v>#REF!</v>
      </c>
    </row>
    <row r="209" spans="2:27" s="2" customFormat="1" ht="24.95" customHeight="1" x14ac:dyDescent="0.25">
      <c r="B209" s="33">
        <v>104</v>
      </c>
      <c r="C209" s="8" t="s">
        <v>274</v>
      </c>
      <c r="D209" s="8" t="s">
        <v>201</v>
      </c>
      <c r="E209" s="8" t="s">
        <v>332</v>
      </c>
      <c r="F209" s="5">
        <v>4770</v>
      </c>
      <c r="G209" s="5">
        <v>3580</v>
      </c>
      <c r="H209" s="5">
        <v>120</v>
      </c>
      <c r="I209" s="5" t="s">
        <v>357</v>
      </c>
      <c r="J209" s="5" t="s">
        <v>132</v>
      </c>
      <c r="K209" s="5"/>
      <c r="L209" s="5">
        <v>15</v>
      </c>
      <c r="M209" s="6">
        <v>45800</v>
      </c>
      <c r="N209" s="5">
        <v>0</v>
      </c>
      <c r="O209" s="6"/>
      <c r="P209" s="7">
        <v>2.1819999999999999</v>
      </c>
      <c r="Q209" s="7">
        <v>5.4550000000000001</v>
      </c>
      <c r="R209" s="7"/>
      <c r="S209" s="7"/>
      <c r="T209" s="36">
        <v>45859</v>
      </c>
      <c r="U209" s="6"/>
      <c r="V209" s="5">
        <v>21</v>
      </c>
      <c r="W209" s="5" t="s">
        <v>441</v>
      </c>
      <c r="X209" s="11" t="s">
        <v>288</v>
      </c>
      <c r="Y209" s="5"/>
      <c r="Z209" s="35" t="e">
        <f>VLOOKUP(#REF!,#REF!,1,0)</f>
        <v>#REF!</v>
      </c>
    </row>
    <row r="210" spans="2:27" s="2" customFormat="1" ht="24.95" customHeight="1" x14ac:dyDescent="0.25">
      <c r="B210" s="81">
        <v>105</v>
      </c>
      <c r="C210" s="63" t="s">
        <v>239</v>
      </c>
      <c r="D210" s="63" t="s">
        <v>201</v>
      </c>
      <c r="E210" s="63" t="s">
        <v>337</v>
      </c>
      <c r="F210" s="63">
        <v>3023</v>
      </c>
      <c r="G210" s="63">
        <v>3630</v>
      </c>
      <c r="H210" s="63">
        <v>120</v>
      </c>
      <c r="I210" s="63" t="s">
        <v>356</v>
      </c>
      <c r="J210" s="63" t="s">
        <v>127</v>
      </c>
      <c r="K210" s="63"/>
      <c r="L210" s="63">
        <v>12</v>
      </c>
      <c r="M210" s="58">
        <v>45799</v>
      </c>
      <c r="N210" s="63">
        <v>0</v>
      </c>
      <c r="O210" s="58"/>
      <c r="P210" s="65">
        <v>1.4419999999999999</v>
      </c>
      <c r="Q210" s="65">
        <v>3.605</v>
      </c>
      <c r="R210" s="65"/>
      <c r="S210" s="65"/>
      <c r="T210" s="58">
        <v>45848</v>
      </c>
      <c r="U210" s="58">
        <v>45848</v>
      </c>
      <c r="V210" s="63">
        <v>21</v>
      </c>
      <c r="W210" s="63" t="s">
        <v>714</v>
      </c>
      <c r="X210" s="62"/>
      <c r="Y210" s="63"/>
      <c r="Z210" s="85" t="e">
        <f>VLOOKUP(#REF!,#REF!,1,0)</f>
        <v>#REF!</v>
      </c>
      <c r="AA210" s="68"/>
    </row>
    <row r="211" spans="2:27" s="2" customFormat="1" ht="24.95" customHeight="1" x14ac:dyDescent="0.25">
      <c r="B211" s="81">
        <v>106</v>
      </c>
      <c r="C211" s="63" t="s">
        <v>240</v>
      </c>
      <c r="D211" s="63" t="s">
        <v>201</v>
      </c>
      <c r="E211" s="63" t="s">
        <v>337</v>
      </c>
      <c r="F211" s="63">
        <v>3023</v>
      </c>
      <c r="G211" s="63">
        <v>3630</v>
      </c>
      <c r="H211" s="63">
        <v>120</v>
      </c>
      <c r="I211" s="63" t="s">
        <v>356</v>
      </c>
      <c r="J211" s="63" t="s">
        <v>127</v>
      </c>
      <c r="K211" s="63"/>
      <c r="L211" s="63">
        <v>12</v>
      </c>
      <c r="M211" s="58">
        <v>45799</v>
      </c>
      <c r="N211" s="63">
        <v>0</v>
      </c>
      <c r="O211" s="58"/>
      <c r="P211" s="65">
        <v>1.4419999999999999</v>
      </c>
      <c r="Q211" s="65">
        <v>3.605</v>
      </c>
      <c r="R211" s="65"/>
      <c r="S211" s="65"/>
      <c r="T211" s="58">
        <v>45848</v>
      </c>
      <c r="U211" s="58">
        <v>45848</v>
      </c>
      <c r="V211" s="63">
        <v>21</v>
      </c>
      <c r="W211" s="63" t="s">
        <v>439</v>
      </c>
      <c r="X211" s="62"/>
      <c r="Y211" s="63"/>
      <c r="Z211" s="85" t="e">
        <f>VLOOKUP(#REF!,#REF!,1,0)</f>
        <v>#REF!</v>
      </c>
      <c r="AA211" s="68"/>
    </row>
    <row r="212" spans="2:27" s="2" customFormat="1" ht="24.95" customHeight="1" x14ac:dyDescent="0.25">
      <c r="B212" s="81">
        <v>107</v>
      </c>
      <c r="C212" s="63" t="s">
        <v>238</v>
      </c>
      <c r="D212" s="63" t="s">
        <v>201</v>
      </c>
      <c r="E212" s="63" t="s">
        <v>336</v>
      </c>
      <c r="F212" s="63">
        <v>3023</v>
      </c>
      <c r="G212" s="63">
        <v>3630</v>
      </c>
      <c r="H212" s="63">
        <v>120</v>
      </c>
      <c r="I212" s="63" t="s">
        <v>356</v>
      </c>
      <c r="J212" s="63" t="s">
        <v>127</v>
      </c>
      <c r="K212" s="63"/>
      <c r="L212" s="63">
        <v>12</v>
      </c>
      <c r="M212" s="58">
        <v>45799</v>
      </c>
      <c r="N212" s="63">
        <v>0</v>
      </c>
      <c r="O212" s="58"/>
      <c r="P212" s="65">
        <v>1.4419999999999999</v>
      </c>
      <c r="Q212" s="65">
        <v>3.605</v>
      </c>
      <c r="R212" s="65"/>
      <c r="S212" s="65"/>
      <c r="T212" s="58">
        <v>45848</v>
      </c>
      <c r="U212" s="58">
        <v>45848</v>
      </c>
      <c r="V212" s="63">
        <v>21</v>
      </c>
      <c r="W212" s="63" t="s">
        <v>715</v>
      </c>
      <c r="X212" s="62"/>
      <c r="Y212" s="63"/>
      <c r="Z212" s="85" t="e">
        <f>VLOOKUP(#REF!,#REF!,1,0)</f>
        <v>#REF!</v>
      </c>
      <c r="AA212" s="68"/>
    </row>
    <row r="213" spans="2:27" s="2" customFormat="1" ht="24.95" customHeight="1" x14ac:dyDescent="0.25">
      <c r="B213" s="37">
        <v>108</v>
      </c>
      <c r="C213" s="38" t="s">
        <v>284</v>
      </c>
      <c r="D213" s="38" t="s">
        <v>201</v>
      </c>
      <c r="E213" s="38"/>
      <c r="F213" s="39">
        <v>4780</v>
      </c>
      <c r="G213" s="39">
        <v>3490</v>
      </c>
      <c r="H213" s="39">
        <v>120</v>
      </c>
      <c r="I213" s="39" t="s">
        <v>357</v>
      </c>
      <c r="J213" s="39" t="s">
        <v>132</v>
      </c>
      <c r="K213" s="39"/>
      <c r="L213" s="39">
        <v>15</v>
      </c>
      <c r="M213" s="40">
        <v>45800</v>
      </c>
      <c r="N213" s="39">
        <v>0</v>
      </c>
      <c r="O213" s="40"/>
      <c r="P213" s="41">
        <v>2.1850000000000001</v>
      </c>
      <c r="Q213" s="41">
        <v>5.4630000000000001</v>
      </c>
      <c r="R213" s="41"/>
      <c r="S213" s="41"/>
      <c r="T213" s="36">
        <v>45859</v>
      </c>
      <c r="U213" s="40"/>
      <c r="V213" s="39">
        <v>21</v>
      </c>
      <c r="W213" s="39" t="s">
        <v>716</v>
      </c>
      <c r="X213" s="42" t="s">
        <v>288</v>
      </c>
      <c r="Y213" s="5"/>
      <c r="Z213" s="35" t="e">
        <f>VLOOKUP(#REF!,#REF!,1,0)</f>
        <v>#REF!</v>
      </c>
    </row>
    <row r="214" spans="2:27" ht="24.95" customHeight="1" x14ac:dyDescent="0.25">
      <c r="B214" s="61"/>
      <c r="C214" s="63" t="s">
        <v>540</v>
      </c>
      <c r="D214" s="63" t="s">
        <v>561</v>
      </c>
      <c r="E214" s="63" t="s">
        <v>727</v>
      </c>
      <c r="F214" s="63">
        <v>3990</v>
      </c>
      <c r="G214" s="63">
        <v>2950</v>
      </c>
      <c r="H214" s="63">
        <v>120</v>
      </c>
      <c r="I214" s="63" t="s">
        <v>356</v>
      </c>
      <c r="J214" s="63" t="s">
        <v>106</v>
      </c>
      <c r="K214" s="63"/>
      <c r="L214" s="64" t="s">
        <v>378</v>
      </c>
      <c r="M214" s="58">
        <v>45820</v>
      </c>
      <c r="N214" s="63">
        <v>0</v>
      </c>
      <c r="O214" s="58"/>
      <c r="P214" s="65">
        <v>1.4830000000000001</v>
      </c>
      <c r="Q214" s="65">
        <v>3.7080000000000002</v>
      </c>
      <c r="R214" s="65"/>
      <c r="S214" s="65"/>
      <c r="T214" s="58">
        <v>45848</v>
      </c>
      <c r="U214" s="58">
        <v>45848</v>
      </c>
      <c r="V214" s="86">
        <v>21</v>
      </c>
      <c r="W214" s="63" t="s">
        <v>171</v>
      </c>
      <c r="X214" s="66"/>
      <c r="Y214" s="63"/>
      <c r="Z214" s="85" t="e">
        <f>VLOOKUP(#REF!,#REF!,1,0)</f>
        <v>#REF!</v>
      </c>
      <c r="AA214" s="87"/>
    </row>
    <row r="215" spans="2:27" ht="24.95" customHeight="1" x14ac:dyDescent="0.25">
      <c r="B215" s="61"/>
      <c r="C215" s="63" t="s">
        <v>562</v>
      </c>
      <c r="D215" s="63" t="s">
        <v>561</v>
      </c>
      <c r="E215" s="63" t="s">
        <v>728</v>
      </c>
      <c r="F215" s="63">
        <v>3990</v>
      </c>
      <c r="G215" s="63">
        <v>2950</v>
      </c>
      <c r="H215" s="63">
        <v>120</v>
      </c>
      <c r="I215" s="63" t="s">
        <v>356</v>
      </c>
      <c r="J215" s="63" t="s">
        <v>106</v>
      </c>
      <c r="K215" s="63"/>
      <c r="L215" s="64" t="s">
        <v>378</v>
      </c>
      <c r="M215" s="58">
        <v>45820</v>
      </c>
      <c r="N215" s="63">
        <v>0</v>
      </c>
      <c r="O215" s="58"/>
      <c r="P215" s="65">
        <v>1.4830000000000001</v>
      </c>
      <c r="Q215" s="65">
        <v>3.7080000000000002</v>
      </c>
      <c r="R215" s="65"/>
      <c r="S215" s="65"/>
      <c r="T215" s="58">
        <v>45848</v>
      </c>
      <c r="U215" s="58">
        <v>45848</v>
      </c>
      <c r="V215" s="86">
        <v>21</v>
      </c>
      <c r="W215" s="63" t="s">
        <v>172</v>
      </c>
      <c r="X215" s="66"/>
      <c r="Y215" s="63"/>
      <c r="Z215" s="85"/>
      <c r="AA215" s="87"/>
    </row>
    <row r="216" spans="2:27" ht="24.95" customHeight="1" x14ac:dyDescent="0.25">
      <c r="B216" s="61"/>
      <c r="C216" s="63" t="s">
        <v>563</v>
      </c>
      <c r="D216" s="63" t="s">
        <v>561</v>
      </c>
      <c r="E216" s="63" t="s">
        <v>734</v>
      </c>
      <c r="F216" s="63">
        <v>3990</v>
      </c>
      <c r="G216" s="63">
        <v>2950</v>
      </c>
      <c r="H216" s="63">
        <v>120</v>
      </c>
      <c r="I216" s="63" t="s">
        <v>356</v>
      </c>
      <c r="J216" s="63" t="s">
        <v>106</v>
      </c>
      <c r="K216" s="63"/>
      <c r="L216" s="64" t="s">
        <v>378</v>
      </c>
      <c r="M216" s="58">
        <v>45820</v>
      </c>
      <c r="N216" s="63">
        <v>0</v>
      </c>
      <c r="O216" s="58"/>
      <c r="P216" s="65">
        <v>1.4830000000000001</v>
      </c>
      <c r="Q216" s="65">
        <v>3.7080000000000002</v>
      </c>
      <c r="R216" s="65"/>
      <c r="S216" s="65"/>
      <c r="T216" s="58">
        <v>45848</v>
      </c>
      <c r="U216" s="58">
        <v>45848</v>
      </c>
      <c r="V216" s="86">
        <v>21</v>
      </c>
      <c r="W216" s="63" t="s">
        <v>713</v>
      </c>
      <c r="X216" s="66"/>
      <c r="Y216" s="63"/>
      <c r="Z216" s="85"/>
      <c r="AA216" s="87"/>
    </row>
    <row r="217" spans="2:27" ht="24.95" customHeight="1" x14ac:dyDescent="0.25">
      <c r="B217" s="61"/>
      <c r="C217" s="63" t="s">
        <v>564</v>
      </c>
      <c r="D217" s="63" t="s">
        <v>561</v>
      </c>
      <c r="E217" s="63" t="s">
        <v>735</v>
      </c>
      <c r="F217" s="63">
        <v>3990</v>
      </c>
      <c r="G217" s="63">
        <v>2950</v>
      </c>
      <c r="H217" s="63">
        <v>120</v>
      </c>
      <c r="I217" s="63" t="s">
        <v>356</v>
      </c>
      <c r="J217" s="63" t="s">
        <v>106</v>
      </c>
      <c r="K217" s="63"/>
      <c r="L217" s="64" t="s">
        <v>378</v>
      </c>
      <c r="M217" s="58">
        <v>45820</v>
      </c>
      <c r="N217" s="63">
        <v>0</v>
      </c>
      <c r="O217" s="58"/>
      <c r="P217" s="65">
        <v>1.4830000000000001</v>
      </c>
      <c r="Q217" s="65">
        <v>3.7080000000000002</v>
      </c>
      <c r="R217" s="65"/>
      <c r="S217" s="65"/>
      <c r="T217" s="58">
        <v>45848</v>
      </c>
      <c r="U217" s="58">
        <v>45848</v>
      </c>
      <c r="V217" s="86">
        <v>21</v>
      </c>
      <c r="W217" s="63" t="s">
        <v>437</v>
      </c>
      <c r="X217" s="66"/>
      <c r="Y217" s="63"/>
      <c r="Z217" s="85"/>
      <c r="AA217" s="87"/>
    </row>
    <row r="218" spans="2:27" ht="24.95" customHeight="1" x14ac:dyDescent="0.25">
      <c r="B218" s="61"/>
      <c r="C218" s="63" t="s">
        <v>565</v>
      </c>
      <c r="D218" s="63" t="s">
        <v>561</v>
      </c>
      <c r="E218" s="63" t="s">
        <v>736</v>
      </c>
      <c r="F218" s="63">
        <v>3990</v>
      </c>
      <c r="G218" s="63">
        <v>2950</v>
      </c>
      <c r="H218" s="63">
        <v>120</v>
      </c>
      <c r="I218" s="63" t="s">
        <v>356</v>
      </c>
      <c r="J218" s="63" t="s">
        <v>106</v>
      </c>
      <c r="K218" s="63"/>
      <c r="L218" s="64" t="s">
        <v>378</v>
      </c>
      <c r="M218" s="58">
        <v>45820</v>
      </c>
      <c r="N218" s="63">
        <v>0</v>
      </c>
      <c r="O218" s="58"/>
      <c r="P218" s="65">
        <v>1.4830000000000001</v>
      </c>
      <c r="Q218" s="65">
        <v>3.7080000000000002</v>
      </c>
      <c r="R218" s="65"/>
      <c r="S218" s="65"/>
      <c r="T218" s="58">
        <v>45849</v>
      </c>
      <c r="U218" s="58">
        <v>45849</v>
      </c>
      <c r="V218" s="86">
        <v>21</v>
      </c>
      <c r="W218" s="63" t="s">
        <v>438</v>
      </c>
      <c r="X218" s="66"/>
      <c r="Y218" s="63"/>
      <c r="Z218" s="85"/>
      <c r="AA218" s="87"/>
    </row>
    <row r="219" spans="2:27" ht="24.95" customHeight="1" x14ac:dyDescent="0.25">
      <c r="B219" s="100"/>
      <c r="C219" s="12" t="s">
        <v>566</v>
      </c>
      <c r="D219" s="12" t="s">
        <v>561</v>
      </c>
      <c r="E219" s="12" t="s">
        <v>737</v>
      </c>
      <c r="F219" s="13">
        <v>3990</v>
      </c>
      <c r="G219" s="13">
        <v>2950</v>
      </c>
      <c r="H219" s="13">
        <v>120</v>
      </c>
      <c r="I219" s="13" t="s">
        <v>356</v>
      </c>
      <c r="J219" s="13" t="s">
        <v>106</v>
      </c>
      <c r="K219" s="13"/>
      <c r="L219" s="14" t="s">
        <v>378</v>
      </c>
      <c r="M219" s="15">
        <v>45820</v>
      </c>
      <c r="N219" s="13">
        <v>0</v>
      </c>
      <c r="O219" s="15"/>
      <c r="P219" s="16">
        <v>1.4830000000000001</v>
      </c>
      <c r="Q219" s="16">
        <v>3.7080000000000002</v>
      </c>
      <c r="R219" s="16"/>
      <c r="S219" s="16"/>
      <c r="T219" s="58">
        <v>45849</v>
      </c>
      <c r="U219" s="15">
        <v>45850</v>
      </c>
      <c r="V219" s="101">
        <v>21</v>
      </c>
      <c r="W219" s="13" t="s">
        <v>714</v>
      </c>
      <c r="X219" s="102"/>
      <c r="Y219" s="13"/>
      <c r="Z219" s="98"/>
      <c r="AA219" s="59"/>
    </row>
    <row r="220" spans="2:27" ht="24.95" customHeight="1" x14ac:dyDescent="0.25">
      <c r="B220" s="100"/>
      <c r="C220" s="12" t="s">
        <v>541</v>
      </c>
      <c r="D220" s="12" t="s">
        <v>561</v>
      </c>
      <c r="E220" s="12" t="s">
        <v>729</v>
      </c>
      <c r="F220" s="13">
        <v>4420</v>
      </c>
      <c r="G220" s="13">
        <v>2950</v>
      </c>
      <c r="H220" s="13">
        <v>120</v>
      </c>
      <c r="I220" s="13" t="s">
        <v>356</v>
      </c>
      <c r="J220" s="13" t="s">
        <v>106</v>
      </c>
      <c r="K220" s="13"/>
      <c r="L220" s="14" t="s">
        <v>378</v>
      </c>
      <c r="M220" s="15">
        <v>45820</v>
      </c>
      <c r="N220" s="13">
        <v>0</v>
      </c>
      <c r="O220" s="15"/>
      <c r="P220" s="16">
        <v>1.5960000000000001</v>
      </c>
      <c r="Q220" s="16">
        <v>3.99</v>
      </c>
      <c r="R220" s="16"/>
      <c r="S220" s="16"/>
      <c r="T220" s="58">
        <v>45849</v>
      </c>
      <c r="U220" s="15">
        <v>45850</v>
      </c>
      <c r="V220" s="101">
        <v>21</v>
      </c>
      <c r="W220" s="13" t="s">
        <v>439</v>
      </c>
      <c r="X220" s="102"/>
      <c r="Y220" s="13"/>
      <c r="Z220" s="98"/>
      <c r="AA220" s="59"/>
    </row>
    <row r="221" spans="2:27" ht="24.95" customHeight="1" x14ac:dyDescent="0.25">
      <c r="B221" s="100"/>
      <c r="C221" s="12" t="s">
        <v>567</v>
      </c>
      <c r="D221" s="12" t="s">
        <v>561</v>
      </c>
      <c r="E221" s="12" t="s">
        <v>730</v>
      </c>
      <c r="F221" s="13">
        <v>4420</v>
      </c>
      <c r="G221" s="13">
        <v>2950</v>
      </c>
      <c r="H221" s="13">
        <v>120</v>
      </c>
      <c r="I221" s="13" t="s">
        <v>356</v>
      </c>
      <c r="J221" s="13" t="s">
        <v>106</v>
      </c>
      <c r="K221" s="13"/>
      <c r="L221" s="14" t="s">
        <v>378</v>
      </c>
      <c r="M221" s="15">
        <v>45820</v>
      </c>
      <c r="N221" s="13">
        <v>0</v>
      </c>
      <c r="O221" s="15"/>
      <c r="P221" s="16">
        <v>1.5960000000000001</v>
      </c>
      <c r="Q221" s="16">
        <v>3.99</v>
      </c>
      <c r="R221" s="16"/>
      <c r="S221" s="16"/>
      <c r="T221" s="58">
        <v>45849</v>
      </c>
      <c r="U221" s="15">
        <v>45849</v>
      </c>
      <c r="V221" s="101">
        <v>21</v>
      </c>
      <c r="W221" s="13" t="s">
        <v>715</v>
      </c>
      <c r="X221" s="102"/>
      <c r="Y221" s="13"/>
      <c r="Z221" s="98"/>
      <c r="AA221" s="59"/>
    </row>
    <row r="222" spans="2:27" ht="24.95" customHeight="1" x14ac:dyDescent="0.25">
      <c r="B222" s="61"/>
      <c r="C222" s="63" t="s">
        <v>568</v>
      </c>
      <c r="D222" s="63" t="s">
        <v>561</v>
      </c>
      <c r="E222" s="63" t="s">
        <v>731</v>
      </c>
      <c r="F222" s="63">
        <v>4420</v>
      </c>
      <c r="G222" s="63">
        <v>2950</v>
      </c>
      <c r="H222" s="63">
        <v>120</v>
      </c>
      <c r="I222" s="63" t="s">
        <v>356</v>
      </c>
      <c r="J222" s="63" t="s">
        <v>106</v>
      </c>
      <c r="K222" s="63"/>
      <c r="L222" s="64" t="s">
        <v>378</v>
      </c>
      <c r="M222" s="58">
        <v>45820</v>
      </c>
      <c r="N222" s="63">
        <v>0</v>
      </c>
      <c r="O222" s="58"/>
      <c r="P222" s="65">
        <v>1.5960000000000001</v>
      </c>
      <c r="Q222" s="65">
        <v>3.99</v>
      </c>
      <c r="R222" s="65"/>
      <c r="S222" s="65"/>
      <c r="T222" s="58">
        <v>45849</v>
      </c>
      <c r="U222" s="58">
        <v>45849</v>
      </c>
      <c r="V222" s="86">
        <v>21</v>
      </c>
      <c r="W222" s="63" t="s">
        <v>171</v>
      </c>
      <c r="X222" s="66"/>
      <c r="Y222" s="63"/>
      <c r="Z222" s="85"/>
      <c r="AA222" s="87"/>
    </row>
    <row r="223" spans="2:27" ht="24.95" customHeight="1" x14ac:dyDescent="0.25">
      <c r="B223" s="61"/>
      <c r="C223" s="63" t="s">
        <v>569</v>
      </c>
      <c r="D223" s="63" t="s">
        <v>561</v>
      </c>
      <c r="E223" s="63" t="s">
        <v>739</v>
      </c>
      <c r="F223" s="63">
        <v>4420</v>
      </c>
      <c r="G223" s="63">
        <v>2950</v>
      </c>
      <c r="H223" s="63">
        <v>120</v>
      </c>
      <c r="I223" s="63" t="s">
        <v>356</v>
      </c>
      <c r="J223" s="63" t="s">
        <v>106</v>
      </c>
      <c r="K223" s="63"/>
      <c r="L223" s="64" t="s">
        <v>378</v>
      </c>
      <c r="M223" s="58">
        <v>45820</v>
      </c>
      <c r="N223" s="63">
        <v>0</v>
      </c>
      <c r="O223" s="58"/>
      <c r="P223" s="65">
        <v>1.5960000000000001</v>
      </c>
      <c r="Q223" s="65">
        <v>3.99</v>
      </c>
      <c r="R223" s="65"/>
      <c r="S223" s="65"/>
      <c r="T223" s="58">
        <v>45849</v>
      </c>
      <c r="U223" s="58">
        <v>45849</v>
      </c>
      <c r="V223" s="86">
        <v>21</v>
      </c>
      <c r="W223" s="63" t="s">
        <v>172</v>
      </c>
      <c r="X223" s="66"/>
      <c r="Y223" s="63"/>
      <c r="Z223" s="85"/>
      <c r="AA223" s="87"/>
    </row>
    <row r="224" spans="2:27" ht="24.95" customHeight="1" x14ac:dyDescent="0.25">
      <c r="B224" s="61"/>
      <c r="C224" s="63" t="s">
        <v>570</v>
      </c>
      <c r="D224" s="63" t="s">
        <v>561</v>
      </c>
      <c r="E224" s="63" t="s">
        <v>738</v>
      </c>
      <c r="F224" s="63">
        <v>4420</v>
      </c>
      <c r="G224" s="63">
        <v>2950</v>
      </c>
      <c r="H224" s="63">
        <v>120</v>
      </c>
      <c r="I224" s="63" t="s">
        <v>356</v>
      </c>
      <c r="J224" s="63" t="s">
        <v>106</v>
      </c>
      <c r="K224" s="63"/>
      <c r="L224" s="64" t="s">
        <v>378</v>
      </c>
      <c r="M224" s="58">
        <v>45820</v>
      </c>
      <c r="N224" s="63">
        <v>0</v>
      </c>
      <c r="O224" s="58"/>
      <c r="P224" s="65">
        <v>1.5960000000000001</v>
      </c>
      <c r="Q224" s="65">
        <v>3.99</v>
      </c>
      <c r="R224" s="65"/>
      <c r="S224" s="65"/>
      <c r="T224" s="58">
        <v>45849</v>
      </c>
      <c r="U224" s="58">
        <v>45849</v>
      </c>
      <c r="V224" s="86">
        <v>21</v>
      </c>
      <c r="W224" s="63" t="s">
        <v>713</v>
      </c>
      <c r="X224" s="66"/>
      <c r="Y224" s="63"/>
      <c r="Z224" s="85"/>
      <c r="AA224" s="87"/>
    </row>
    <row r="225" spans="2:27" ht="24.95" customHeight="1" x14ac:dyDescent="0.25">
      <c r="B225" s="61"/>
      <c r="C225" s="63" t="s">
        <v>571</v>
      </c>
      <c r="D225" s="63" t="s">
        <v>561</v>
      </c>
      <c r="E225" s="63" t="s">
        <v>740</v>
      </c>
      <c r="F225" s="63">
        <v>4420</v>
      </c>
      <c r="G225" s="63">
        <v>2950</v>
      </c>
      <c r="H225" s="63">
        <v>120</v>
      </c>
      <c r="I225" s="63" t="s">
        <v>356</v>
      </c>
      <c r="J225" s="63" t="s">
        <v>106</v>
      </c>
      <c r="K225" s="63"/>
      <c r="L225" s="64" t="s">
        <v>378</v>
      </c>
      <c r="M225" s="58">
        <v>45820</v>
      </c>
      <c r="N225" s="63">
        <v>0</v>
      </c>
      <c r="O225" s="58"/>
      <c r="P225" s="65">
        <v>1.5960000000000001</v>
      </c>
      <c r="Q225" s="65">
        <v>3.99</v>
      </c>
      <c r="R225" s="65"/>
      <c r="S225" s="65"/>
      <c r="T225" s="58">
        <v>45849</v>
      </c>
      <c r="U225" s="58">
        <v>45849</v>
      </c>
      <c r="V225" s="86">
        <v>21</v>
      </c>
      <c r="W225" s="63" t="s">
        <v>437</v>
      </c>
      <c r="X225" s="66"/>
      <c r="Y225" s="63"/>
      <c r="Z225" s="85"/>
      <c r="AA225" s="87"/>
    </row>
    <row r="226" spans="2:27" ht="24.95" customHeight="1" x14ac:dyDescent="0.25">
      <c r="B226" s="100"/>
      <c r="C226" s="12" t="s">
        <v>573</v>
      </c>
      <c r="D226" s="12" t="s">
        <v>561</v>
      </c>
      <c r="E226" s="12" t="s">
        <v>741</v>
      </c>
      <c r="F226" s="13">
        <v>4420</v>
      </c>
      <c r="G226" s="13">
        <v>2950</v>
      </c>
      <c r="H226" s="13">
        <v>120</v>
      </c>
      <c r="I226" s="13" t="s">
        <v>356</v>
      </c>
      <c r="J226" s="13" t="s">
        <v>106</v>
      </c>
      <c r="K226" s="13"/>
      <c r="L226" s="14" t="s">
        <v>378</v>
      </c>
      <c r="M226" s="15">
        <v>45820</v>
      </c>
      <c r="N226" s="13">
        <v>0</v>
      </c>
      <c r="O226" s="15"/>
      <c r="P226" s="16">
        <v>1.5960000000000001</v>
      </c>
      <c r="Q226" s="16">
        <v>3.99</v>
      </c>
      <c r="R226" s="16"/>
      <c r="S226" s="16"/>
      <c r="T226" s="58">
        <v>45850</v>
      </c>
      <c r="U226" s="15">
        <v>45850</v>
      </c>
      <c r="V226" s="101">
        <v>21</v>
      </c>
      <c r="W226" s="13" t="s">
        <v>438</v>
      </c>
      <c r="X226" s="102"/>
      <c r="Y226" s="13"/>
      <c r="Z226" s="98"/>
      <c r="AA226" s="59"/>
    </row>
    <row r="227" spans="2:27" ht="24.95" customHeight="1" x14ac:dyDescent="0.25">
      <c r="B227" s="100"/>
      <c r="C227" s="12" t="s">
        <v>572</v>
      </c>
      <c r="D227" s="12" t="s">
        <v>561</v>
      </c>
      <c r="E227" s="12" t="s">
        <v>742</v>
      </c>
      <c r="F227" s="13">
        <v>4420</v>
      </c>
      <c r="G227" s="13">
        <v>2950</v>
      </c>
      <c r="H227" s="13">
        <v>120</v>
      </c>
      <c r="I227" s="13" t="s">
        <v>356</v>
      </c>
      <c r="J227" s="13" t="s">
        <v>106</v>
      </c>
      <c r="K227" s="13"/>
      <c r="L227" s="14" t="s">
        <v>378</v>
      </c>
      <c r="M227" s="15">
        <v>45820</v>
      </c>
      <c r="N227" s="13">
        <v>0</v>
      </c>
      <c r="O227" s="15"/>
      <c r="P227" s="16">
        <v>1.5960000000000001</v>
      </c>
      <c r="Q227" s="16">
        <v>3.99</v>
      </c>
      <c r="R227" s="16"/>
      <c r="S227" s="16"/>
      <c r="T227" s="58">
        <v>45854</v>
      </c>
      <c r="U227" s="15">
        <v>45854</v>
      </c>
      <c r="V227" s="101">
        <v>21</v>
      </c>
      <c r="W227" s="13" t="s">
        <v>714</v>
      </c>
      <c r="X227" s="102"/>
      <c r="Y227" s="13"/>
      <c r="Z227" s="98"/>
      <c r="AA227" s="59"/>
    </row>
    <row r="228" spans="2:27" ht="24.95" customHeight="1" x14ac:dyDescent="0.25">
      <c r="B228" s="100"/>
      <c r="C228" s="12" t="s">
        <v>574</v>
      </c>
      <c r="D228" s="12" t="s">
        <v>561</v>
      </c>
      <c r="E228" s="12" t="s">
        <v>743</v>
      </c>
      <c r="F228" s="13">
        <v>4420</v>
      </c>
      <c r="G228" s="13">
        <v>2950</v>
      </c>
      <c r="H228" s="13">
        <v>120</v>
      </c>
      <c r="I228" s="13" t="s">
        <v>356</v>
      </c>
      <c r="J228" s="13" t="s">
        <v>106</v>
      </c>
      <c r="K228" s="13"/>
      <c r="L228" s="14" t="s">
        <v>378</v>
      </c>
      <c r="M228" s="15">
        <v>45820</v>
      </c>
      <c r="N228" s="13">
        <v>0</v>
      </c>
      <c r="O228" s="15"/>
      <c r="P228" s="16">
        <v>1.5960000000000001</v>
      </c>
      <c r="Q228" s="16">
        <v>3.99</v>
      </c>
      <c r="R228" s="16"/>
      <c r="S228" s="16"/>
      <c r="T228" s="58">
        <v>45854</v>
      </c>
      <c r="U228" s="15">
        <v>45854</v>
      </c>
      <c r="V228" s="101">
        <v>21</v>
      </c>
      <c r="W228" s="13" t="s">
        <v>439</v>
      </c>
      <c r="X228" s="102"/>
      <c r="Y228" s="13"/>
      <c r="Z228" s="98"/>
      <c r="AA228" s="59"/>
    </row>
    <row r="229" spans="2:27" ht="24.95" customHeight="1" x14ac:dyDescent="0.25">
      <c r="B229" s="100"/>
      <c r="C229" s="12" t="s">
        <v>542</v>
      </c>
      <c r="D229" s="12" t="s">
        <v>561</v>
      </c>
      <c r="E229" s="12" t="s">
        <v>732</v>
      </c>
      <c r="F229" s="13">
        <v>4070</v>
      </c>
      <c r="G229" s="13">
        <v>3250</v>
      </c>
      <c r="H229" s="13">
        <v>120</v>
      </c>
      <c r="I229" s="13" t="s">
        <v>356</v>
      </c>
      <c r="J229" s="13" t="s">
        <v>106</v>
      </c>
      <c r="K229" s="13"/>
      <c r="L229" s="14" t="s">
        <v>378</v>
      </c>
      <c r="M229" s="15">
        <v>45820</v>
      </c>
      <c r="N229" s="13">
        <v>0</v>
      </c>
      <c r="O229" s="15"/>
      <c r="P229" s="16">
        <v>1.651</v>
      </c>
      <c r="Q229" s="16">
        <v>4.1280000000000001</v>
      </c>
      <c r="R229" s="16"/>
      <c r="S229" s="16"/>
      <c r="T229" s="58">
        <v>45854</v>
      </c>
      <c r="U229" s="15">
        <v>45854</v>
      </c>
      <c r="V229" s="101">
        <v>21</v>
      </c>
      <c r="W229" s="13" t="s">
        <v>715</v>
      </c>
      <c r="X229" s="102"/>
      <c r="Y229" s="13"/>
      <c r="Z229" s="98"/>
      <c r="AA229" s="59"/>
    </row>
    <row r="230" spans="2:27" ht="24.95" customHeight="1" x14ac:dyDescent="0.25">
      <c r="B230" s="100"/>
      <c r="C230" s="12" t="s">
        <v>543</v>
      </c>
      <c r="D230" s="12" t="s">
        <v>561</v>
      </c>
      <c r="E230" s="12" t="s">
        <v>733</v>
      </c>
      <c r="F230" s="13">
        <v>4070</v>
      </c>
      <c r="G230" s="13">
        <v>2950</v>
      </c>
      <c r="H230" s="13">
        <v>120</v>
      </c>
      <c r="I230" s="13" t="s">
        <v>356</v>
      </c>
      <c r="J230" s="13" t="s">
        <v>106</v>
      </c>
      <c r="K230" s="13"/>
      <c r="L230" s="14" t="s">
        <v>378</v>
      </c>
      <c r="M230" s="15">
        <v>45820</v>
      </c>
      <c r="N230" s="13">
        <v>0</v>
      </c>
      <c r="O230" s="15"/>
      <c r="P230" s="16">
        <v>1.504</v>
      </c>
      <c r="Q230" s="16">
        <v>3.76</v>
      </c>
      <c r="R230" s="16"/>
      <c r="S230" s="16"/>
      <c r="T230" s="58">
        <v>45850</v>
      </c>
      <c r="U230" s="15">
        <v>45850</v>
      </c>
      <c r="V230" s="101">
        <v>21</v>
      </c>
      <c r="W230" s="13" t="s">
        <v>171</v>
      </c>
      <c r="X230" s="102"/>
      <c r="Y230" s="13"/>
      <c r="Z230" s="98"/>
      <c r="AA230" s="59"/>
    </row>
    <row r="231" spans="2:27" ht="24.95" customHeight="1" x14ac:dyDescent="0.25">
      <c r="B231" s="100"/>
      <c r="C231" s="12" t="s">
        <v>575</v>
      </c>
      <c r="D231" s="12" t="s">
        <v>561</v>
      </c>
      <c r="E231" s="12" t="s">
        <v>744</v>
      </c>
      <c r="F231" s="13">
        <v>4070</v>
      </c>
      <c r="G231" s="13">
        <v>2950</v>
      </c>
      <c r="H231" s="13">
        <v>120</v>
      </c>
      <c r="I231" s="13" t="s">
        <v>356</v>
      </c>
      <c r="J231" s="13" t="s">
        <v>106</v>
      </c>
      <c r="K231" s="13"/>
      <c r="L231" s="14" t="s">
        <v>378</v>
      </c>
      <c r="M231" s="15">
        <v>45820</v>
      </c>
      <c r="N231" s="13">
        <v>0</v>
      </c>
      <c r="O231" s="15"/>
      <c r="P231" s="16">
        <v>1.504</v>
      </c>
      <c r="Q231" s="16">
        <v>3.76</v>
      </c>
      <c r="R231" s="16"/>
      <c r="S231" s="16"/>
      <c r="T231" s="58">
        <v>45850</v>
      </c>
      <c r="U231" s="15">
        <v>45850</v>
      </c>
      <c r="V231" s="101">
        <v>21</v>
      </c>
      <c r="W231" s="13" t="s">
        <v>172</v>
      </c>
      <c r="X231" s="102"/>
      <c r="Y231" s="13"/>
      <c r="Z231" s="98"/>
      <c r="AA231" s="59"/>
    </row>
    <row r="232" spans="2:27" ht="24.95" customHeight="1" x14ac:dyDescent="0.25">
      <c r="B232" s="100"/>
      <c r="C232" s="12" t="s">
        <v>576</v>
      </c>
      <c r="D232" s="12" t="s">
        <v>561</v>
      </c>
      <c r="E232" s="12" t="s">
        <v>745</v>
      </c>
      <c r="F232" s="13">
        <v>4070</v>
      </c>
      <c r="G232" s="13">
        <v>2950</v>
      </c>
      <c r="H232" s="13">
        <v>120</v>
      </c>
      <c r="I232" s="13" t="s">
        <v>356</v>
      </c>
      <c r="J232" s="13" t="s">
        <v>106</v>
      </c>
      <c r="K232" s="13"/>
      <c r="L232" s="14" t="s">
        <v>378</v>
      </c>
      <c r="M232" s="15">
        <v>45820</v>
      </c>
      <c r="N232" s="13">
        <v>0</v>
      </c>
      <c r="O232" s="15"/>
      <c r="P232" s="16">
        <v>1.504</v>
      </c>
      <c r="Q232" s="16">
        <v>3.76</v>
      </c>
      <c r="R232" s="16"/>
      <c r="S232" s="16"/>
      <c r="T232" s="58">
        <v>45850</v>
      </c>
      <c r="U232" s="15">
        <v>45850</v>
      </c>
      <c r="V232" s="101">
        <v>21</v>
      </c>
      <c r="W232" s="13" t="s">
        <v>713</v>
      </c>
      <c r="X232" s="102"/>
      <c r="Y232" s="13"/>
      <c r="Z232" s="98"/>
      <c r="AA232" s="59"/>
    </row>
    <row r="233" spans="2:27" ht="24.95" customHeight="1" x14ac:dyDescent="0.25">
      <c r="B233" s="100"/>
      <c r="C233" s="12" t="s">
        <v>577</v>
      </c>
      <c r="D233" s="12" t="s">
        <v>561</v>
      </c>
      <c r="E233" s="12" t="s">
        <v>746</v>
      </c>
      <c r="F233" s="13">
        <v>4070</v>
      </c>
      <c r="G233" s="13">
        <v>2950</v>
      </c>
      <c r="H233" s="13">
        <v>120</v>
      </c>
      <c r="I233" s="13" t="s">
        <v>356</v>
      </c>
      <c r="J233" s="13" t="s">
        <v>106</v>
      </c>
      <c r="K233" s="13"/>
      <c r="L233" s="14" t="s">
        <v>378</v>
      </c>
      <c r="M233" s="15">
        <v>45820</v>
      </c>
      <c r="N233" s="13">
        <v>0</v>
      </c>
      <c r="O233" s="15"/>
      <c r="P233" s="16">
        <v>1.504</v>
      </c>
      <c r="Q233" s="16">
        <v>3.76</v>
      </c>
      <c r="R233" s="16"/>
      <c r="S233" s="16"/>
      <c r="T233" s="58">
        <v>45850</v>
      </c>
      <c r="U233" s="15">
        <v>45850</v>
      </c>
      <c r="V233" s="101">
        <v>21</v>
      </c>
      <c r="W233" s="13" t="s">
        <v>437</v>
      </c>
      <c r="X233" s="102"/>
      <c r="Y233" s="13"/>
      <c r="Z233" s="98"/>
      <c r="AA233" s="59"/>
    </row>
    <row r="234" spans="2:27" ht="24.95" customHeight="1" x14ac:dyDescent="0.25">
      <c r="B234" s="100"/>
      <c r="C234" s="12" t="s">
        <v>578</v>
      </c>
      <c r="D234" s="12" t="s">
        <v>561</v>
      </c>
      <c r="E234" s="12" t="s">
        <v>747</v>
      </c>
      <c r="F234" s="13">
        <v>4070</v>
      </c>
      <c r="G234" s="13">
        <v>2950</v>
      </c>
      <c r="H234" s="13">
        <v>120</v>
      </c>
      <c r="I234" s="13" t="s">
        <v>356</v>
      </c>
      <c r="J234" s="13" t="s">
        <v>106</v>
      </c>
      <c r="K234" s="13"/>
      <c r="L234" s="14" t="s">
        <v>378</v>
      </c>
      <c r="M234" s="15">
        <v>45820</v>
      </c>
      <c r="N234" s="13">
        <v>0</v>
      </c>
      <c r="O234" s="15"/>
      <c r="P234" s="16">
        <v>1.504</v>
      </c>
      <c r="Q234" s="16">
        <v>3.76</v>
      </c>
      <c r="R234" s="16"/>
      <c r="S234" s="16"/>
      <c r="T234" s="58">
        <v>45853</v>
      </c>
      <c r="U234" s="15">
        <v>45853</v>
      </c>
      <c r="V234" s="101">
        <v>21</v>
      </c>
      <c r="W234" s="13" t="s">
        <v>438</v>
      </c>
      <c r="X234" s="102"/>
      <c r="Y234" s="13"/>
      <c r="Z234" s="98"/>
      <c r="AA234" s="59"/>
    </row>
    <row r="235" spans="2:27" ht="24.95" customHeight="1" x14ac:dyDescent="0.25">
      <c r="B235" s="24"/>
      <c r="C235" s="8" t="s">
        <v>544</v>
      </c>
      <c r="D235" s="8" t="s">
        <v>561</v>
      </c>
      <c r="E235" s="8" t="s">
        <v>862</v>
      </c>
      <c r="F235" s="5">
        <v>5990</v>
      </c>
      <c r="G235" s="5">
        <v>3660</v>
      </c>
      <c r="H235" s="5">
        <v>120</v>
      </c>
      <c r="I235" s="5" t="s">
        <v>389</v>
      </c>
      <c r="J235" s="5" t="s">
        <v>127</v>
      </c>
      <c r="K235" s="5"/>
      <c r="L235" s="9" t="s">
        <v>378</v>
      </c>
      <c r="M235" s="6">
        <v>45820</v>
      </c>
      <c r="N235" s="5">
        <v>0</v>
      </c>
      <c r="O235" s="6"/>
      <c r="P235" s="7">
        <v>2.8860000000000001</v>
      </c>
      <c r="Q235" s="7">
        <v>7.2149999999999999</v>
      </c>
      <c r="R235" s="7"/>
      <c r="S235" s="7"/>
      <c r="T235" s="36"/>
      <c r="U235" s="6"/>
      <c r="V235" s="10">
        <v>21</v>
      </c>
      <c r="W235" s="5"/>
      <c r="X235" s="25"/>
      <c r="Y235" s="5"/>
      <c r="Z235" s="35"/>
    </row>
    <row r="236" spans="2:27" ht="24.95" customHeight="1" x14ac:dyDescent="0.25">
      <c r="B236" s="24"/>
      <c r="C236" s="8" t="s">
        <v>579</v>
      </c>
      <c r="D236" s="8" t="s">
        <v>561</v>
      </c>
      <c r="E236" s="8" t="s">
        <v>863</v>
      </c>
      <c r="F236" s="5">
        <v>5990</v>
      </c>
      <c r="G236" s="5">
        <v>3660</v>
      </c>
      <c r="H236" s="5">
        <v>120</v>
      </c>
      <c r="I236" s="5" t="s">
        <v>389</v>
      </c>
      <c r="J236" s="5" t="s">
        <v>127</v>
      </c>
      <c r="K236" s="5"/>
      <c r="L236" s="9" t="s">
        <v>378</v>
      </c>
      <c r="M236" s="6">
        <v>45820</v>
      </c>
      <c r="N236" s="5">
        <v>0</v>
      </c>
      <c r="O236" s="6"/>
      <c r="P236" s="7">
        <v>2.8860000000000001</v>
      </c>
      <c r="Q236" s="7">
        <v>7.2149999999999999</v>
      </c>
      <c r="R236" s="7"/>
      <c r="S236" s="7"/>
      <c r="T236" s="36"/>
      <c r="U236" s="6"/>
      <c r="V236" s="10">
        <v>21</v>
      </c>
      <c r="W236" s="5"/>
      <c r="X236" s="25"/>
      <c r="Y236" s="5"/>
      <c r="Z236" s="35"/>
    </row>
    <row r="237" spans="2:27" ht="24.95" customHeight="1" x14ac:dyDescent="0.25">
      <c r="B237" s="24"/>
      <c r="C237" s="8" t="s">
        <v>580</v>
      </c>
      <c r="D237" s="8" t="s">
        <v>561</v>
      </c>
      <c r="E237" s="8" t="s">
        <v>864</v>
      </c>
      <c r="F237" s="5">
        <v>5990</v>
      </c>
      <c r="G237" s="5">
        <v>3660</v>
      </c>
      <c r="H237" s="5">
        <v>120</v>
      </c>
      <c r="I237" s="5" t="s">
        <v>389</v>
      </c>
      <c r="J237" s="5" t="s">
        <v>127</v>
      </c>
      <c r="K237" s="5"/>
      <c r="L237" s="9" t="s">
        <v>378</v>
      </c>
      <c r="M237" s="6">
        <v>45820</v>
      </c>
      <c r="N237" s="5">
        <v>0</v>
      </c>
      <c r="O237" s="6"/>
      <c r="P237" s="7">
        <v>2.8860000000000001</v>
      </c>
      <c r="Q237" s="7">
        <v>7.2149999999999999</v>
      </c>
      <c r="R237" s="7"/>
      <c r="S237" s="7"/>
      <c r="T237" s="36"/>
      <c r="U237" s="6"/>
      <c r="V237" s="10">
        <v>21</v>
      </c>
      <c r="W237" s="5"/>
      <c r="X237" s="25"/>
      <c r="Y237" s="5"/>
      <c r="Z237" s="35"/>
    </row>
    <row r="238" spans="2:27" ht="24.95" customHeight="1" x14ac:dyDescent="0.25">
      <c r="B238" s="24"/>
      <c r="C238" s="8" t="s">
        <v>545</v>
      </c>
      <c r="D238" s="8" t="s">
        <v>561</v>
      </c>
      <c r="E238" s="8" t="s">
        <v>864</v>
      </c>
      <c r="F238" s="5">
        <v>5975</v>
      </c>
      <c r="G238" s="5">
        <v>2880</v>
      </c>
      <c r="H238" s="5">
        <v>120</v>
      </c>
      <c r="I238" s="5" t="s">
        <v>389</v>
      </c>
      <c r="J238" s="5" t="s">
        <v>110</v>
      </c>
      <c r="K238" s="5"/>
      <c r="L238" s="9" t="s">
        <v>378</v>
      </c>
      <c r="M238" s="6">
        <v>45820</v>
      </c>
      <c r="N238" s="5">
        <v>0</v>
      </c>
      <c r="O238" s="6"/>
      <c r="P238" s="7">
        <v>2.1960000000000002</v>
      </c>
      <c r="Q238" s="7">
        <v>5.49</v>
      </c>
      <c r="R238" s="7"/>
      <c r="S238" s="7"/>
      <c r="T238" s="36"/>
      <c r="U238" s="6"/>
      <c r="V238" s="10">
        <v>21</v>
      </c>
      <c r="W238" s="5"/>
      <c r="X238" s="25"/>
      <c r="Y238" s="5"/>
      <c r="Z238" s="35"/>
    </row>
    <row r="239" spans="2:27" ht="24.95" customHeight="1" x14ac:dyDescent="0.25">
      <c r="B239" s="24"/>
      <c r="C239" s="8" t="s">
        <v>546</v>
      </c>
      <c r="D239" s="8" t="s">
        <v>561</v>
      </c>
      <c r="E239" s="8" t="s">
        <v>865</v>
      </c>
      <c r="F239" s="5">
        <v>5975</v>
      </c>
      <c r="G239" s="5">
        <v>2880</v>
      </c>
      <c r="H239" s="5">
        <v>120</v>
      </c>
      <c r="I239" s="5" t="s">
        <v>389</v>
      </c>
      <c r="J239" s="5" t="s">
        <v>110</v>
      </c>
      <c r="K239" s="5"/>
      <c r="L239" s="9" t="s">
        <v>378</v>
      </c>
      <c r="M239" s="6">
        <v>45820</v>
      </c>
      <c r="N239" s="5">
        <v>0</v>
      </c>
      <c r="O239" s="6"/>
      <c r="P239" s="7">
        <v>2.1960000000000002</v>
      </c>
      <c r="Q239" s="7">
        <v>5.49</v>
      </c>
      <c r="R239" s="7"/>
      <c r="S239" s="7"/>
      <c r="T239" s="36"/>
      <c r="U239" s="6"/>
      <c r="V239" s="10">
        <v>21</v>
      </c>
      <c r="W239" s="5"/>
      <c r="X239" s="25"/>
      <c r="Y239" s="5"/>
      <c r="Z239" s="35"/>
    </row>
    <row r="240" spans="2:27" ht="24.95" customHeight="1" x14ac:dyDescent="0.25">
      <c r="B240" s="24"/>
      <c r="C240" s="8" t="s">
        <v>581</v>
      </c>
      <c r="D240" s="8" t="s">
        <v>561</v>
      </c>
      <c r="E240" s="8" t="s">
        <v>865</v>
      </c>
      <c r="F240" s="5">
        <v>5975</v>
      </c>
      <c r="G240" s="5">
        <v>2880</v>
      </c>
      <c r="H240" s="5">
        <v>120</v>
      </c>
      <c r="I240" s="5" t="s">
        <v>389</v>
      </c>
      <c r="J240" s="5" t="s">
        <v>110</v>
      </c>
      <c r="K240" s="5"/>
      <c r="L240" s="9" t="s">
        <v>378</v>
      </c>
      <c r="M240" s="6">
        <v>45820</v>
      </c>
      <c r="N240" s="5">
        <v>0</v>
      </c>
      <c r="O240" s="6"/>
      <c r="P240" s="7">
        <v>2.1960000000000002</v>
      </c>
      <c r="Q240" s="7">
        <v>5.49</v>
      </c>
      <c r="R240" s="7"/>
      <c r="S240" s="7"/>
      <c r="T240" s="36"/>
      <c r="U240" s="6"/>
      <c r="V240" s="10">
        <v>21</v>
      </c>
      <c r="W240" s="5"/>
      <c r="X240" s="25"/>
      <c r="Y240" s="5"/>
      <c r="Z240" s="35"/>
    </row>
    <row r="241" spans="2:27" ht="24.95" customHeight="1" x14ac:dyDescent="0.25">
      <c r="B241" s="24"/>
      <c r="C241" s="8" t="s">
        <v>547</v>
      </c>
      <c r="D241" s="8" t="s">
        <v>561</v>
      </c>
      <c r="E241" s="8" t="s">
        <v>865</v>
      </c>
      <c r="F241" s="5">
        <v>5975</v>
      </c>
      <c r="G241" s="5">
        <v>2880</v>
      </c>
      <c r="H241" s="5">
        <v>120</v>
      </c>
      <c r="I241" s="5" t="s">
        <v>389</v>
      </c>
      <c r="J241" s="5" t="s">
        <v>110</v>
      </c>
      <c r="K241" s="5"/>
      <c r="L241" s="9" t="s">
        <v>378</v>
      </c>
      <c r="M241" s="6">
        <v>45820</v>
      </c>
      <c r="N241" s="5">
        <v>0</v>
      </c>
      <c r="O241" s="6"/>
      <c r="P241" s="7">
        <v>2.1960000000000002</v>
      </c>
      <c r="Q241" s="7">
        <v>5.49</v>
      </c>
      <c r="R241" s="7"/>
      <c r="S241" s="7"/>
      <c r="T241" s="36"/>
      <c r="U241" s="6"/>
      <c r="V241" s="10">
        <v>21</v>
      </c>
      <c r="W241" s="5"/>
      <c r="X241" s="25"/>
      <c r="Y241" s="5"/>
      <c r="Z241" s="35"/>
    </row>
    <row r="242" spans="2:27" ht="24.95" customHeight="1" x14ac:dyDescent="0.25">
      <c r="B242" s="24"/>
      <c r="C242" s="8" t="s">
        <v>548</v>
      </c>
      <c r="D242" s="8" t="s">
        <v>561</v>
      </c>
      <c r="E242" s="8" t="s">
        <v>866</v>
      </c>
      <c r="F242" s="5">
        <v>5975</v>
      </c>
      <c r="G242" s="5">
        <v>3030</v>
      </c>
      <c r="H242" s="5">
        <v>120</v>
      </c>
      <c r="I242" s="5" t="s">
        <v>389</v>
      </c>
      <c r="J242" s="5" t="s">
        <v>110</v>
      </c>
      <c r="K242" s="5"/>
      <c r="L242" s="9" t="s">
        <v>378</v>
      </c>
      <c r="M242" s="6">
        <v>45820</v>
      </c>
      <c r="N242" s="5">
        <v>0</v>
      </c>
      <c r="O242" s="6"/>
      <c r="P242" s="7">
        <v>2.3039999999999998</v>
      </c>
      <c r="Q242" s="7">
        <v>5.76</v>
      </c>
      <c r="R242" s="7"/>
      <c r="S242" s="7"/>
      <c r="T242" s="36"/>
      <c r="U242" s="6"/>
      <c r="V242" s="10">
        <v>21</v>
      </c>
      <c r="W242" s="5"/>
      <c r="X242" s="25"/>
      <c r="Y242" s="5"/>
      <c r="Z242" s="35"/>
    </row>
    <row r="243" spans="2:27" ht="24.95" customHeight="1" x14ac:dyDescent="0.25">
      <c r="B243" s="24"/>
      <c r="C243" s="8" t="s">
        <v>549</v>
      </c>
      <c r="D243" s="8" t="s">
        <v>561</v>
      </c>
      <c r="E243" s="8" t="s">
        <v>866</v>
      </c>
      <c r="F243" s="5">
        <v>5975</v>
      </c>
      <c r="G243" s="5">
        <v>3030</v>
      </c>
      <c r="H243" s="5">
        <v>120</v>
      </c>
      <c r="I243" s="5" t="s">
        <v>389</v>
      </c>
      <c r="J243" s="5" t="s">
        <v>110</v>
      </c>
      <c r="K243" s="5"/>
      <c r="L243" s="9" t="s">
        <v>378</v>
      </c>
      <c r="M243" s="6">
        <v>45820</v>
      </c>
      <c r="N243" s="5">
        <v>0</v>
      </c>
      <c r="O243" s="6"/>
      <c r="P243" s="7">
        <v>2.3039999999999998</v>
      </c>
      <c r="Q243" s="7">
        <v>5.76</v>
      </c>
      <c r="R243" s="7"/>
      <c r="S243" s="7"/>
      <c r="T243" s="36"/>
      <c r="U243" s="6"/>
      <c r="V243" s="10">
        <v>21</v>
      </c>
      <c r="W243" s="5"/>
      <c r="X243" s="25"/>
      <c r="Y243" s="5"/>
      <c r="Z243" s="35"/>
    </row>
    <row r="244" spans="2:27" ht="24.95" customHeight="1" x14ac:dyDescent="0.25">
      <c r="B244" s="24"/>
      <c r="C244" s="8" t="s">
        <v>582</v>
      </c>
      <c r="D244" s="8" t="s">
        <v>561</v>
      </c>
      <c r="E244" s="8" t="s">
        <v>866</v>
      </c>
      <c r="F244" s="5">
        <v>5975</v>
      </c>
      <c r="G244" s="5">
        <v>3030</v>
      </c>
      <c r="H244" s="5">
        <v>120</v>
      </c>
      <c r="I244" s="5" t="s">
        <v>389</v>
      </c>
      <c r="J244" s="5" t="s">
        <v>110</v>
      </c>
      <c r="K244" s="5"/>
      <c r="L244" s="9" t="s">
        <v>378</v>
      </c>
      <c r="M244" s="6">
        <v>45820</v>
      </c>
      <c r="N244" s="5">
        <v>0</v>
      </c>
      <c r="O244" s="6"/>
      <c r="P244" s="7">
        <v>2.3039999999999998</v>
      </c>
      <c r="Q244" s="7">
        <v>5.76</v>
      </c>
      <c r="R244" s="7"/>
      <c r="S244" s="7"/>
      <c r="T244" s="36"/>
      <c r="U244" s="6"/>
      <c r="V244" s="10">
        <v>21</v>
      </c>
      <c r="W244" s="5"/>
      <c r="X244" s="25"/>
      <c r="Y244" s="5"/>
      <c r="Z244" s="35"/>
    </row>
    <row r="245" spans="2:27" ht="24.95" customHeight="1" x14ac:dyDescent="0.25">
      <c r="B245" s="24"/>
      <c r="C245" s="8" t="s">
        <v>550</v>
      </c>
      <c r="D245" s="8" t="s">
        <v>561</v>
      </c>
      <c r="E245" s="8" t="s">
        <v>866</v>
      </c>
      <c r="F245" s="5">
        <v>5975</v>
      </c>
      <c r="G245" s="5">
        <v>3030</v>
      </c>
      <c r="H245" s="5">
        <v>120</v>
      </c>
      <c r="I245" s="5" t="s">
        <v>389</v>
      </c>
      <c r="J245" s="5" t="s">
        <v>110</v>
      </c>
      <c r="K245" s="5"/>
      <c r="L245" s="9" t="s">
        <v>378</v>
      </c>
      <c r="M245" s="6">
        <v>45820</v>
      </c>
      <c r="N245" s="5">
        <v>0</v>
      </c>
      <c r="O245" s="6"/>
      <c r="P245" s="7">
        <v>2.3039999999999998</v>
      </c>
      <c r="Q245" s="7">
        <v>5.76</v>
      </c>
      <c r="R245" s="7"/>
      <c r="S245" s="7"/>
      <c r="T245" s="36"/>
      <c r="U245" s="6"/>
      <c r="V245" s="10">
        <v>21</v>
      </c>
      <c r="W245" s="5"/>
      <c r="X245" s="25"/>
      <c r="Y245" s="5"/>
      <c r="Z245" s="35"/>
    </row>
    <row r="246" spans="2:27" ht="24.95" customHeight="1" x14ac:dyDescent="0.25">
      <c r="B246" s="24"/>
      <c r="C246" s="8" t="s">
        <v>551</v>
      </c>
      <c r="D246" s="8" t="s">
        <v>561</v>
      </c>
      <c r="E246" s="8" t="s">
        <v>867</v>
      </c>
      <c r="F246" s="5">
        <v>5975</v>
      </c>
      <c r="G246" s="5">
        <v>3150</v>
      </c>
      <c r="H246" s="5">
        <v>120</v>
      </c>
      <c r="I246" s="5" t="s">
        <v>389</v>
      </c>
      <c r="J246" s="5" t="s">
        <v>110</v>
      </c>
      <c r="K246" s="5"/>
      <c r="L246" s="9" t="s">
        <v>378</v>
      </c>
      <c r="M246" s="6">
        <v>45820</v>
      </c>
      <c r="N246" s="5">
        <v>0</v>
      </c>
      <c r="O246" s="6"/>
      <c r="P246" s="7">
        <v>2.39</v>
      </c>
      <c r="Q246" s="7">
        <v>5.9749999999999996</v>
      </c>
      <c r="R246" s="7"/>
      <c r="S246" s="7"/>
      <c r="T246" s="36"/>
      <c r="U246" s="6"/>
      <c r="V246" s="10">
        <v>21</v>
      </c>
      <c r="W246" s="5"/>
      <c r="X246" s="25"/>
      <c r="Y246" s="5"/>
      <c r="Z246" s="35"/>
    </row>
    <row r="247" spans="2:27" ht="24.95" customHeight="1" x14ac:dyDescent="0.25">
      <c r="B247" s="24"/>
      <c r="C247" s="8" t="s">
        <v>552</v>
      </c>
      <c r="D247" s="8" t="s">
        <v>561</v>
      </c>
      <c r="E247" s="8" t="s">
        <v>867</v>
      </c>
      <c r="F247" s="5">
        <v>5975</v>
      </c>
      <c r="G247" s="5">
        <v>3150</v>
      </c>
      <c r="H247" s="5">
        <v>120</v>
      </c>
      <c r="I247" s="5" t="s">
        <v>389</v>
      </c>
      <c r="J247" s="5" t="s">
        <v>110</v>
      </c>
      <c r="K247" s="5"/>
      <c r="L247" s="9" t="s">
        <v>378</v>
      </c>
      <c r="M247" s="6">
        <v>45820</v>
      </c>
      <c r="N247" s="5">
        <v>0</v>
      </c>
      <c r="O247" s="6"/>
      <c r="P247" s="7">
        <v>2.39</v>
      </c>
      <c r="Q247" s="7">
        <v>5.9749999999999996</v>
      </c>
      <c r="R247" s="7"/>
      <c r="S247" s="7"/>
      <c r="T247" s="36"/>
      <c r="U247" s="6"/>
      <c r="V247" s="10">
        <v>21</v>
      </c>
      <c r="W247" s="5"/>
      <c r="X247" s="25"/>
      <c r="Y247" s="5"/>
      <c r="Z247" s="35"/>
    </row>
    <row r="248" spans="2:27" ht="24.95" customHeight="1" x14ac:dyDescent="0.25">
      <c r="B248" s="24"/>
      <c r="C248" s="8" t="s">
        <v>583</v>
      </c>
      <c r="D248" s="8" t="s">
        <v>561</v>
      </c>
      <c r="E248" s="8" t="s">
        <v>867</v>
      </c>
      <c r="F248" s="5">
        <v>5975</v>
      </c>
      <c r="G248" s="5">
        <v>3150</v>
      </c>
      <c r="H248" s="5">
        <v>120</v>
      </c>
      <c r="I248" s="5" t="s">
        <v>389</v>
      </c>
      <c r="J248" s="5" t="s">
        <v>110</v>
      </c>
      <c r="K248" s="5"/>
      <c r="L248" s="9" t="s">
        <v>378</v>
      </c>
      <c r="M248" s="6">
        <v>45820</v>
      </c>
      <c r="N248" s="5">
        <v>0</v>
      </c>
      <c r="O248" s="6"/>
      <c r="P248" s="7">
        <v>2.39</v>
      </c>
      <c r="Q248" s="7">
        <v>5.9749999999999996</v>
      </c>
      <c r="R248" s="7"/>
      <c r="S248" s="7"/>
      <c r="T248" s="36"/>
      <c r="U248" s="6"/>
      <c r="V248" s="10">
        <v>21</v>
      </c>
      <c r="W248" s="5"/>
      <c r="X248" s="25"/>
      <c r="Y248" s="5"/>
      <c r="Z248" s="35"/>
    </row>
    <row r="249" spans="2:27" ht="24.95" customHeight="1" x14ac:dyDescent="0.25">
      <c r="B249" s="24"/>
      <c r="C249" s="8" t="s">
        <v>553</v>
      </c>
      <c r="D249" s="8" t="s">
        <v>561</v>
      </c>
      <c r="E249" s="8" t="s">
        <v>867</v>
      </c>
      <c r="F249" s="5">
        <v>5975</v>
      </c>
      <c r="G249" s="5">
        <v>3150</v>
      </c>
      <c r="H249" s="5">
        <v>120</v>
      </c>
      <c r="I249" s="5" t="s">
        <v>389</v>
      </c>
      <c r="J249" s="5" t="s">
        <v>110</v>
      </c>
      <c r="K249" s="5"/>
      <c r="L249" s="9" t="s">
        <v>378</v>
      </c>
      <c r="M249" s="6">
        <v>45820</v>
      </c>
      <c r="N249" s="5">
        <v>0</v>
      </c>
      <c r="O249" s="6"/>
      <c r="P249" s="7">
        <v>2.39</v>
      </c>
      <c r="Q249" s="7">
        <v>5.9749999999999996</v>
      </c>
      <c r="R249" s="7"/>
      <c r="S249" s="7"/>
      <c r="T249" s="36"/>
      <c r="U249" s="6"/>
      <c r="V249" s="10">
        <v>21</v>
      </c>
      <c r="W249" s="5"/>
      <c r="X249" s="25"/>
      <c r="Y249" s="5"/>
      <c r="Z249" s="35"/>
    </row>
    <row r="250" spans="2:27" ht="24.95" customHeight="1" x14ac:dyDescent="0.25">
      <c r="B250" s="24"/>
      <c r="C250" s="8" t="s">
        <v>554</v>
      </c>
      <c r="D250" s="8" t="s">
        <v>561</v>
      </c>
      <c r="E250" s="8" t="s">
        <v>868</v>
      </c>
      <c r="F250" s="5">
        <v>5975</v>
      </c>
      <c r="G250" s="5">
        <v>3150</v>
      </c>
      <c r="H250" s="5">
        <v>120</v>
      </c>
      <c r="I250" s="5" t="s">
        <v>389</v>
      </c>
      <c r="J250" s="5" t="s">
        <v>110</v>
      </c>
      <c r="K250" s="5"/>
      <c r="L250" s="9" t="s">
        <v>378</v>
      </c>
      <c r="M250" s="6">
        <v>45820</v>
      </c>
      <c r="N250" s="5">
        <v>0</v>
      </c>
      <c r="O250" s="6"/>
      <c r="P250" s="7">
        <v>2.21</v>
      </c>
      <c r="Q250" s="7">
        <v>5.5250000000000004</v>
      </c>
      <c r="R250" s="7"/>
      <c r="S250" s="7"/>
      <c r="T250" s="36"/>
      <c r="U250" s="6"/>
      <c r="V250" s="10">
        <v>21</v>
      </c>
      <c r="W250" s="5"/>
      <c r="X250" s="25"/>
      <c r="Y250" s="5"/>
      <c r="Z250" s="35"/>
    </row>
    <row r="251" spans="2:27" ht="24.95" customHeight="1" x14ac:dyDescent="0.25">
      <c r="B251" s="24"/>
      <c r="C251" s="8" t="s">
        <v>555</v>
      </c>
      <c r="D251" s="8" t="s">
        <v>561</v>
      </c>
      <c r="E251" s="8" t="s">
        <v>868</v>
      </c>
      <c r="F251" s="5">
        <v>5975</v>
      </c>
      <c r="G251" s="5">
        <v>2900</v>
      </c>
      <c r="H251" s="5">
        <v>120</v>
      </c>
      <c r="I251" s="5" t="s">
        <v>389</v>
      </c>
      <c r="J251" s="5" t="s">
        <v>110</v>
      </c>
      <c r="K251" s="5"/>
      <c r="L251" s="9" t="s">
        <v>378</v>
      </c>
      <c r="M251" s="6">
        <v>45820</v>
      </c>
      <c r="N251" s="5">
        <v>0</v>
      </c>
      <c r="O251" s="6"/>
      <c r="P251" s="7">
        <v>2.21</v>
      </c>
      <c r="Q251" s="7">
        <v>5.5250000000000004</v>
      </c>
      <c r="R251" s="7"/>
      <c r="S251" s="7"/>
      <c r="T251" s="36"/>
      <c r="U251" s="6"/>
      <c r="V251" s="10">
        <v>21</v>
      </c>
      <c r="W251" s="5"/>
      <c r="X251" s="25"/>
      <c r="Y251" s="5"/>
      <c r="Z251" s="35"/>
    </row>
    <row r="252" spans="2:27" ht="24.95" customHeight="1" x14ac:dyDescent="0.25">
      <c r="B252" s="24"/>
      <c r="C252" s="8" t="s">
        <v>584</v>
      </c>
      <c r="D252" s="8" t="s">
        <v>561</v>
      </c>
      <c r="E252" s="8" t="s">
        <v>868</v>
      </c>
      <c r="F252" s="5">
        <v>5975</v>
      </c>
      <c r="G252" s="5">
        <v>2900</v>
      </c>
      <c r="H252" s="5">
        <v>120</v>
      </c>
      <c r="I252" s="5" t="s">
        <v>389</v>
      </c>
      <c r="J252" s="5" t="s">
        <v>110</v>
      </c>
      <c r="K252" s="5"/>
      <c r="L252" s="9" t="s">
        <v>378</v>
      </c>
      <c r="M252" s="6">
        <v>45820</v>
      </c>
      <c r="N252" s="5">
        <v>0</v>
      </c>
      <c r="O252" s="6"/>
      <c r="P252" s="7">
        <v>2.21</v>
      </c>
      <c r="Q252" s="7">
        <v>5.5250000000000004</v>
      </c>
      <c r="R252" s="7"/>
      <c r="S252" s="7"/>
      <c r="T252" s="36"/>
      <c r="U252" s="6"/>
      <c r="V252" s="10">
        <v>21</v>
      </c>
      <c r="W252" s="5"/>
      <c r="X252" s="25"/>
      <c r="Y252" s="5"/>
      <c r="Z252" s="35"/>
    </row>
    <row r="253" spans="2:27" ht="24.95" customHeight="1" x14ac:dyDescent="0.25">
      <c r="B253" s="24"/>
      <c r="C253" s="8" t="s">
        <v>556</v>
      </c>
      <c r="D253" s="8" t="s">
        <v>561</v>
      </c>
      <c r="E253" s="8" t="s">
        <v>868</v>
      </c>
      <c r="F253" s="5">
        <v>5975</v>
      </c>
      <c r="G253" s="5">
        <v>2900</v>
      </c>
      <c r="H253" s="5">
        <v>120</v>
      </c>
      <c r="I253" s="5" t="s">
        <v>389</v>
      </c>
      <c r="J253" s="5" t="s">
        <v>110</v>
      </c>
      <c r="K253" s="5"/>
      <c r="L253" s="9" t="s">
        <v>378</v>
      </c>
      <c r="M253" s="6">
        <v>45820</v>
      </c>
      <c r="N253" s="5">
        <v>0</v>
      </c>
      <c r="O253" s="6"/>
      <c r="P253" s="7">
        <v>2.21</v>
      </c>
      <c r="Q253" s="7">
        <v>5.5250000000000004</v>
      </c>
      <c r="R253" s="7"/>
      <c r="S253" s="7"/>
      <c r="T253" s="36"/>
      <c r="U253" s="6"/>
      <c r="V253" s="10">
        <v>21</v>
      </c>
      <c r="W253" s="5"/>
      <c r="X253" s="25"/>
      <c r="Y253" s="5"/>
      <c r="Z253" s="35"/>
    </row>
    <row r="254" spans="2:27" ht="24.95" customHeight="1" x14ac:dyDescent="0.25">
      <c r="B254" s="100"/>
      <c r="C254" s="12" t="s">
        <v>557</v>
      </c>
      <c r="D254" s="12" t="s">
        <v>561</v>
      </c>
      <c r="E254" s="12" t="s">
        <v>727</v>
      </c>
      <c r="F254" s="13">
        <v>3990</v>
      </c>
      <c r="G254" s="13">
        <v>2950</v>
      </c>
      <c r="H254" s="13">
        <v>120</v>
      </c>
      <c r="I254" s="13" t="s">
        <v>356</v>
      </c>
      <c r="J254" s="13" t="s">
        <v>106</v>
      </c>
      <c r="K254" s="13"/>
      <c r="L254" s="14" t="s">
        <v>378</v>
      </c>
      <c r="M254" s="15">
        <v>45820</v>
      </c>
      <c r="N254" s="13">
        <v>0</v>
      </c>
      <c r="O254" s="15"/>
      <c r="P254" s="16">
        <v>1.4830000000000001</v>
      </c>
      <c r="Q254" s="16">
        <v>3.7080000000000002</v>
      </c>
      <c r="R254" s="16"/>
      <c r="S254" s="16"/>
      <c r="T254" s="58">
        <v>45853</v>
      </c>
      <c r="U254" s="15">
        <v>45853</v>
      </c>
      <c r="V254" s="101">
        <v>21</v>
      </c>
      <c r="W254" s="13" t="s">
        <v>714</v>
      </c>
      <c r="X254" s="102"/>
      <c r="Y254" s="13"/>
      <c r="Z254" s="98"/>
      <c r="AA254" s="59"/>
    </row>
    <row r="255" spans="2:27" ht="24.95" customHeight="1" x14ac:dyDescent="0.25">
      <c r="B255" s="100"/>
      <c r="C255" s="12" t="s">
        <v>585</v>
      </c>
      <c r="D255" s="12" t="s">
        <v>561</v>
      </c>
      <c r="E255" s="12" t="s">
        <v>728</v>
      </c>
      <c r="F255" s="13">
        <v>3990</v>
      </c>
      <c r="G255" s="13">
        <v>2950</v>
      </c>
      <c r="H255" s="13">
        <v>120</v>
      </c>
      <c r="I255" s="13" t="s">
        <v>356</v>
      </c>
      <c r="J255" s="13" t="s">
        <v>106</v>
      </c>
      <c r="K255" s="13"/>
      <c r="L255" s="14" t="s">
        <v>378</v>
      </c>
      <c r="M255" s="15">
        <v>45820</v>
      </c>
      <c r="N255" s="13">
        <v>0</v>
      </c>
      <c r="O255" s="15"/>
      <c r="P255" s="16">
        <v>1.4830000000000001</v>
      </c>
      <c r="Q255" s="16">
        <v>3.7080000000000002</v>
      </c>
      <c r="R255" s="16"/>
      <c r="S255" s="16"/>
      <c r="T255" s="58">
        <v>45853</v>
      </c>
      <c r="U255" s="15">
        <v>45853</v>
      </c>
      <c r="V255" s="101">
        <v>21</v>
      </c>
      <c r="W255" s="13" t="s">
        <v>439</v>
      </c>
      <c r="X255" s="102"/>
      <c r="Y255" s="13"/>
      <c r="Z255" s="98"/>
      <c r="AA255" s="59"/>
    </row>
    <row r="256" spans="2:27" ht="24.95" customHeight="1" x14ac:dyDescent="0.25">
      <c r="B256" s="100"/>
      <c r="C256" s="12" t="s">
        <v>586</v>
      </c>
      <c r="D256" s="12" t="s">
        <v>561</v>
      </c>
      <c r="E256" s="12" t="s">
        <v>734</v>
      </c>
      <c r="F256" s="13">
        <v>3990</v>
      </c>
      <c r="G256" s="13">
        <v>2950</v>
      </c>
      <c r="H256" s="13">
        <v>120</v>
      </c>
      <c r="I256" s="13" t="s">
        <v>356</v>
      </c>
      <c r="J256" s="13" t="s">
        <v>106</v>
      </c>
      <c r="K256" s="13"/>
      <c r="L256" s="14" t="s">
        <v>378</v>
      </c>
      <c r="M256" s="15">
        <v>45820</v>
      </c>
      <c r="N256" s="13">
        <v>0</v>
      </c>
      <c r="O256" s="15"/>
      <c r="P256" s="16">
        <v>1.4830000000000001</v>
      </c>
      <c r="Q256" s="16">
        <v>3.7080000000000002</v>
      </c>
      <c r="R256" s="16"/>
      <c r="S256" s="16"/>
      <c r="T256" s="58">
        <v>45853</v>
      </c>
      <c r="U256" s="15">
        <v>45853</v>
      </c>
      <c r="V256" s="101">
        <v>21</v>
      </c>
      <c r="W256" s="13" t="s">
        <v>715</v>
      </c>
      <c r="X256" s="102"/>
      <c r="Y256" s="13"/>
      <c r="Z256" s="98"/>
      <c r="AA256" s="59"/>
    </row>
    <row r="257" spans="2:27" ht="24.95" customHeight="1" x14ac:dyDescent="0.25">
      <c r="B257" s="100"/>
      <c r="C257" s="12" t="s">
        <v>587</v>
      </c>
      <c r="D257" s="12" t="s">
        <v>561</v>
      </c>
      <c r="E257" s="12" t="s">
        <v>869</v>
      </c>
      <c r="F257" s="13">
        <v>3990</v>
      </c>
      <c r="G257" s="13">
        <v>2950</v>
      </c>
      <c r="H257" s="13">
        <v>120</v>
      </c>
      <c r="I257" s="13" t="s">
        <v>356</v>
      </c>
      <c r="J257" s="13" t="s">
        <v>106</v>
      </c>
      <c r="K257" s="13"/>
      <c r="L257" s="14" t="s">
        <v>378</v>
      </c>
      <c r="M257" s="15">
        <v>45820</v>
      </c>
      <c r="N257" s="13">
        <v>0</v>
      </c>
      <c r="O257" s="15"/>
      <c r="P257" s="16">
        <v>1.4830000000000001</v>
      </c>
      <c r="Q257" s="16">
        <v>3.7080000000000002</v>
      </c>
      <c r="R257" s="16"/>
      <c r="S257" s="16"/>
      <c r="T257" s="58">
        <v>45853</v>
      </c>
      <c r="U257" s="15">
        <v>45853</v>
      </c>
      <c r="V257" s="101">
        <v>21</v>
      </c>
      <c r="W257" s="13" t="s">
        <v>171</v>
      </c>
      <c r="X257" s="102"/>
      <c r="Y257" s="13"/>
      <c r="Z257" s="98"/>
      <c r="AA257" s="59"/>
    </row>
    <row r="258" spans="2:27" ht="24.95" customHeight="1" x14ac:dyDescent="0.25">
      <c r="B258" s="100"/>
      <c r="C258" s="12" t="s">
        <v>588</v>
      </c>
      <c r="D258" s="12" t="s">
        <v>561</v>
      </c>
      <c r="E258" s="12" t="s">
        <v>870</v>
      </c>
      <c r="F258" s="13">
        <v>3990</v>
      </c>
      <c r="G258" s="13">
        <v>2950</v>
      </c>
      <c r="H258" s="13">
        <v>120</v>
      </c>
      <c r="I258" s="13" t="s">
        <v>356</v>
      </c>
      <c r="J258" s="13" t="s">
        <v>106</v>
      </c>
      <c r="K258" s="13"/>
      <c r="L258" s="14" t="s">
        <v>378</v>
      </c>
      <c r="M258" s="15">
        <v>45820</v>
      </c>
      <c r="N258" s="13">
        <v>0</v>
      </c>
      <c r="O258" s="15"/>
      <c r="P258" s="16">
        <v>1.4830000000000001</v>
      </c>
      <c r="Q258" s="16">
        <v>3.7080000000000002</v>
      </c>
      <c r="R258" s="16"/>
      <c r="S258" s="16"/>
      <c r="T258" s="58">
        <v>45853</v>
      </c>
      <c r="U258" s="15">
        <v>45853</v>
      </c>
      <c r="V258" s="101">
        <v>21</v>
      </c>
      <c r="W258" s="13" t="s">
        <v>172</v>
      </c>
      <c r="X258" s="102"/>
      <c r="Y258" s="13"/>
      <c r="Z258" s="98"/>
      <c r="AA258" s="59"/>
    </row>
    <row r="259" spans="2:27" ht="24.95" customHeight="1" x14ac:dyDescent="0.25">
      <c r="B259" s="100"/>
      <c r="C259" s="12" t="s">
        <v>589</v>
      </c>
      <c r="D259" s="12" t="s">
        <v>561</v>
      </c>
      <c r="E259" s="12" t="s">
        <v>871</v>
      </c>
      <c r="F259" s="13">
        <v>3990</v>
      </c>
      <c r="G259" s="13">
        <v>2950</v>
      </c>
      <c r="H259" s="13">
        <v>120</v>
      </c>
      <c r="I259" s="13" t="s">
        <v>356</v>
      </c>
      <c r="J259" s="13" t="s">
        <v>106</v>
      </c>
      <c r="K259" s="13"/>
      <c r="L259" s="14" t="s">
        <v>378</v>
      </c>
      <c r="M259" s="15">
        <v>45820</v>
      </c>
      <c r="N259" s="13">
        <v>0</v>
      </c>
      <c r="O259" s="15"/>
      <c r="P259" s="16">
        <v>1.4830000000000001</v>
      </c>
      <c r="Q259" s="16">
        <v>3.7080000000000002</v>
      </c>
      <c r="R259" s="16"/>
      <c r="S259" s="16"/>
      <c r="T259" s="58">
        <v>45853</v>
      </c>
      <c r="U259" s="15">
        <v>45853</v>
      </c>
      <c r="V259" s="101">
        <v>21</v>
      </c>
      <c r="W259" s="13" t="s">
        <v>713</v>
      </c>
      <c r="X259" s="102"/>
      <c r="Y259" s="13"/>
      <c r="Z259" s="98"/>
      <c r="AA259" s="59"/>
    </row>
    <row r="260" spans="2:27" ht="24.95" customHeight="1" x14ac:dyDescent="0.25">
      <c r="B260" s="24"/>
      <c r="C260" s="8" t="s">
        <v>558</v>
      </c>
      <c r="D260" s="8" t="s">
        <v>561</v>
      </c>
      <c r="E260" s="8" t="s">
        <v>872</v>
      </c>
      <c r="F260" s="5">
        <v>4420</v>
      </c>
      <c r="G260" s="5">
        <v>2950</v>
      </c>
      <c r="H260" s="5">
        <v>120</v>
      </c>
      <c r="I260" s="5" t="s">
        <v>356</v>
      </c>
      <c r="J260" s="5" t="s">
        <v>106</v>
      </c>
      <c r="K260" s="5"/>
      <c r="L260" s="9" t="s">
        <v>378</v>
      </c>
      <c r="M260" s="6">
        <v>45820</v>
      </c>
      <c r="N260" s="5">
        <v>0</v>
      </c>
      <c r="O260" s="6"/>
      <c r="P260" s="7">
        <v>1.5960000000000001</v>
      </c>
      <c r="Q260" s="7">
        <v>3.99</v>
      </c>
      <c r="R260" s="7"/>
      <c r="S260" s="7"/>
      <c r="T260" s="124">
        <v>45854</v>
      </c>
      <c r="U260" s="6">
        <v>45855</v>
      </c>
      <c r="V260" s="10">
        <v>21</v>
      </c>
      <c r="W260" s="5" t="s">
        <v>437</v>
      </c>
      <c r="X260" s="25"/>
      <c r="Y260" s="5"/>
      <c r="Z260" s="35"/>
    </row>
    <row r="261" spans="2:27" ht="24.95" customHeight="1" x14ac:dyDescent="0.25">
      <c r="B261" s="100"/>
      <c r="C261" s="12" t="s">
        <v>590</v>
      </c>
      <c r="D261" s="12" t="s">
        <v>561</v>
      </c>
      <c r="E261" s="12" t="s">
        <v>873</v>
      </c>
      <c r="F261" s="13">
        <v>4420</v>
      </c>
      <c r="G261" s="13">
        <v>2950</v>
      </c>
      <c r="H261" s="13">
        <v>120</v>
      </c>
      <c r="I261" s="13" t="s">
        <v>356</v>
      </c>
      <c r="J261" s="13" t="s">
        <v>106</v>
      </c>
      <c r="K261" s="13"/>
      <c r="L261" s="14" t="s">
        <v>378</v>
      </c>
      <c r="M261" s="15">
        <v>45820</v>
      </c>
      <c r="N261" s="13">
        <v>0</v>
      </c>
      <c r="O261" s="15"/>
      <c r="P261" s="16">
        <v>1.5960000000000001</v>
      </c>
      <c r="Q261" s="16">
        <v>3.99</v>
      </c>
      <c r="R261" s="16"/>
      <c r="S261" s="16"/>
      <c r="T261" s="58">
        <v>45854</v>
      </c>
      <c r="U261" s="15">
        <v>45854</v>
      </c>
      <c r="V261" s="101">
        <v>21</v>
      </c>
      <c r="W261" s="13" t="s">
        <v>171</v>
      </c>
      <c r="X261" s="102"/>
      <c r="Y261" s="13"/>
      <c r="Z261" s="98"/>
      <c r="AA261" s="59"/>
    </row>
    <row r="262" spans="2:27" ht="24.95" customHeight="1" x14ac:dyDescent="0.25">
      <c r="B262" s="24"/>
      <c r="C262" s="8" t="s">
        <v>591</v>
      </c>
      <c r="D262" s="8" t="s">
        <v>561</v>
      </c>
      <c r="E262" s="8" t="s">
        <v>863</v>
      </c>
      <c r="F262" s="5">
        <v>4420</v>
      </c>
      <c r="G262" s="5">
        <v>2950</v>
      </c>
      <c r="H262" s="5">
        <v>120</v>
      </c>
      <c r="I262" s="5" t="s">
        <v>356</v>
      </c>
      <c r="J262" s="5" t="s">
        <v>106</v>
      </c>
      <c r="K262" s="5"/>
      <c r="L262" s="9" t="s">
        <v>378</v>
      </c>
      <c r="M262" s="6">
        <v>45820</v>
      </c>
      <c r="N262" s="5">
        <v>0</v>
      </c>
      <c r="O262" s="6"/>
      <c r="P262" s="7">
        <v>1.5960000000000001</v>
      </c>
      <c r="Q262" s="7">
        <v>3.99</v>
      </c>
      <c r="R262" s="7"/>
      <c r="S262" s="7"/>
      <c r="T262" s="124">
        <v>45854</v>
      </c>
      <c r="U262" s="6">
        <v>45855</v>
      </c>
      <c r="V262" s="10">
        <v>21</v>
      </c>
      <c r="W262" s="5" t="s">
        <v>172</v>
      </c>
      <c r="X262" s="25"/>
      <c r="Y262" s="5"/>
      <c r="Z262" s="35"/>
    </row>
    <row r="263" spans="2:27" ht="24.95" customHeight="1" x14ac:dyDescent="0.25">
      <c r="B263" s="100"/>
      <c r="C263" s="12" t="s">
        <v>592</v>
      </c>
      <c r="D263" s="12" t="s">
        <v>561</v>
      </c>
      <c r="E263" s="12" t="s">
        <v>874</v>
      </c>
      <c r="F263" s="13">
        <v>4420</v>
      </c>
      <c r="G263" s="13">
        <v>2950</v>
      </c>
      <c r="H263" s="13">
        <v>120</v>
      </c>
      <c r="I263" s="13" t="s">
        <v>356</v>
      </c>
      <c r="J263" s="13" t="s">
        <v>106</v>
      </c>
      <c r="K263" s="13"/>
      <c r="L263" s="14" t="s">
        <v>378</v>
      </c>
      <c r="M263" s="15">
        <v>45820</v>
      </c>
      <c r="N263" s="13">
        <v>0</v>
      </c>
      <c r="O263" s="15"/>
      <c r="P263" s="16">
        <v>1.5960000000000001</v>
      </c>
      <c r="Q263" s="16">
        <v>3.99</v>
      </c>
      <c r="R263" s="16"/>
      <c r="S263" s="16"/>
      <c r="T263" s="58">
        <v>45854</v>
      </c>
      <c r="U263" s="15">
        <v>45854</v>
      </c>
      <c r="V263" s="101">
        <v>21</v>
      </c>
      <c r="W263" s="13" t="s">
        <v>713</v>
      </c>
      <c r="X263" s="102"/>
      <c r="Y263" s="13"/>
      <c r="Z263" s="98"/>
      <c r="AA263" s="59"/>
    </row>
    <row r="264" spans="2:27" ht="24.95" customHeight="1" x14ac:dyDescent="0.25">
      <c r="B264" s="24"/>
      <c r="C264" s="8" t="s">
        <v>593</v>
      </c>
      <c r="D264" s="8" t="s">
        <v>561</v>
      </c>
      <c r="E264" s="8" t="s">
        <v>875</v>
      </c>
      <c r="F264" s="5">
        <v>4420</v>
      </c>
      <c r="G264" s="5">
        <v>2950</v>
      </c>
      <c r="H264" s="5">
        <v>120</v>
      </c>
      <c r="I264" s="5" t="s">
        <v>356</v>
      </c>
      <c r="J264" s="5" t="s">
        <v>106</v>
      </c>
      <c r="K264" s="5"/>
      <c r="L264" s="9" t="s">
        <v>378</v>
      </c>
      <c r="M264" s="6">
        <v>45820</v>
      </c>
      <c r="N264" s="5">
        <v>0</v>
      </c>
      <c r="O264" s="6"/>
      <c r="P264" s="7">
        <v>1.5960000000000001</v>
      </c>
      <c r="Q264" s="7">
        <v>3.99</v>
      </c>
      <c r="R264" s="7"/>
      <c r="S264" s="7"/>
      <c r="T264" s="124">
        <v>45854</v>
      </c>
      <c r="U264" s="6">
        <v>45855</v>
      </c>
      <c r="V264" s="10">
        <v>21</v>
      </c>
      <c r="W264" s="5" t="s">
        <v>438</v>
      </c>
      <c r="X264" s="25"/>
      <c r="Y264" s="5"/>
      <c r="Z264" s="35"/>
    </row>
    <row r="265" spans="2:27" ht="24.95" customHeight="1" x14ac:dyDescent="0.25">
      <c r="B265" s="24"/>
      <c r="C265" s="8" t="s">
        <v>594</v>
      </c>
      <c r="D265" s="8" t="s">
        <v>561</v>
      </c>
      <c r="E265" s="8" t="s">
        <v>876</v>
      </c>
      <c r="F265" s="5">
        <v>4420</v>
      </c>
      <c r="G265" s="5">
        <v>2950</v>
      </c>
      <c r="H265" s="5">
        <v>120</v>
      </c>
      <c r="I265" s="5" t="s">
        <v>356</v>
      </c>
      <c r="J265" s="5" t="s">
        <v>106</v>
      </c>
      <c r="K265" s="5"/>
      <c r="L265" s="9" t="s">
        <v>378</v>
      </c>
      <c r="M265" s="6">
        <v>45820</v>
      </c>
      <c r="N265" s="5">
        <v>0</v>
      </c>
      <c r="O265" s="6"/>
      <c r="P265" s="7">
        <v>1.5960000000000001</v>
      </c>
      <c r="Q265" s="7">
        <v>3.99</v>
      </c>
      <c r="R265" s="7"/>
      <c r="S265" s="7"/>
      <c r="T265" s="124">
        <v>45855</v>
      </c>
      <c r="U265" s="6">
        <v>45855</v>
      </c>
      <c r="V265" s="10">
        <v>21</v>
      </c>
      <c r="W265" s="5" t="s">
        <v>438</v>
      </c>
      <c r="X265" s="25"/>
      <c r="Y265" s="5"/>
      <c r="Z265" s="35"/>
    </row>
    <row r="266" spans="2:27" ht="24.95" customHeight="1" x14ac:dyDescent="0.25">
      <c r="B266" s="24"/>
      <c r="C266" s="8" t="s">
        <v>595</v>
      </c>
      <c r="D266" s="8" t="s">
        <v>561</v>
      </c>
      <c r="E266" s="8" t="s">
        <v>877</v>
      </c>
      <c r="F266" s="5">
        <v>4420</v>
      </c>
      <c r="G266" s="5">
        <v>2950</v>
      </c>
      <c r="H266" s="5">
        <v>120</v>
      </c>
      <c r="I266" s="5" t="s">
        <v>356</v>
      </c>
      <c r="J266" s="5" t="s">
        <v>106</v>
      </c>
      <c r="K266" s="5"/>
      <c r="L266" s="9" t="s">
        <v>378</v>
      </c>
      <c r="M266" s="6">
        <v>45820</v>
      </c>
      <c r="N266" s="5">
        <v>0</v>
      </c>
      <c r="O266" s="6"/>
      <c r="P266" s="7">
        <v>1.5960000000000001</v>
      </c>
      <c r="Q266" s="7">
        <v>3.99</v>
      </c>
      <c r="R266" s="7"/>
      <c r="S266" s="7"/>
      <c r="T266" s="124">
        <v>45855</v>
      </c>
      <c r="U266" s="6">
        <v>45855</v>
      </c>
      <c r="V266" s="10">
        <v>21</v>
      </c>
      <c r="W266" s="5" t="s">
        <v>714</v>
      </c>
      <c r="X266" s="25"/>
      <c r="Y266" s="5"/>
      <c r="Z266" s="35"/>
    </row>
    <row r="267" spans="2:27" ht="24.95" customHeight="1" x14ac:dyDescent="0.25">
      <c r="B267" s="24"/>
      <c r="C267" s="8" t="s">
        <v>596</v>
      </c>
      <c r="D267" s="8" t="s">
        <v>561</v>
      </c>
      <c r="E267" s="8" t="s">
        <v>878</v>
      </c>
      <c r="F267" s="5">
        <v>4420</v>
      </c>
      <c r="G267" s="5">
        <v>2950</v>
      </c>
      <c r="H267" s="5">
        <v>120</v>
      </c>
      <c r="I267" s="5" t="s">
        <v>356</v>
      </c>
      <c r="J267" s="5" t="s">
        <v>106</v>
      </c>
      <c r="K267" s="5"/>
      <c r="L267" s="9" t="s">
        <v>378</v>
      </c>
      <c r="M267" s="6">
        <v>45820</v>
      </c>
      <c r="N267" s="5">
        <v>0</v>
      </c>
      <c r="O267" s="6"/>
      <c r="P267" s="7">
        <v>1.5960000000000001</v>
      </c>
      <c r="Q267" s="7">
        <v>3.99</v>
      </c>
      <c r="R267" s="7"/>
      <c r="S267" s="7"/>
      <c r="T267" s="124">
        <v>45855</v>
      </c>
      <c r="U267" s="6">
        <v>45855</v>
      </c>
      <c r="V267" s="10">
        <v>21</v>
      </c>
      <c r="W267" s="5" t="s">
        <v>439</v>
      </c>
      <c r="X267" s="25"/>
      <c r="Y267" s="5"/>
      <c r="Z267" s="35"/>
    </row>
    <row r="268" spans="2:27" ht="24.95" customHeight="1" x14ac:dyDescent="0.25">
      <c r="B268" s="24"/>
      <c r="C268" s="8" t="s">
        <v>597</v>
      </c>
      <c r="D268" s="8" t="s">
        <v>561</v>
      </c>
      <c r="E268" s="8" t="s">
        <v>879</v>
      </c>
      <c r="F268" s="5">
        <v>4420</v>
      </c>
      <c r="G268" s="5">
        <v>2950</v>
      </c>
      <c r="H268" s="5">
        <v>120</v>
      </c>
      <c r="I268" s="5" t="s">
        <v>356</v>
      </c>
      <c r="J268" s="5" t="s">
        <v>106</v>
      </c>
      <c r="K268" s="5"/>
      <c r="L268" s="9" t="s">
        <v>378</v>
      </c>
      <c r="M268" s="6">
        <v>45820</v>
      </c>
      <c r="N268" s="5">
        <v>0</v>
      </c>
      <c r="O268" s="6"/>
      <c r="P268" s="7">
        <v>1.5960000000000001</v>
      </c>
      <c r="Q268" s="7">
        <v>3.99</v>
      </c>
      <c r="R268" s="7"/>
      <c r="S268" s="7"/>
      <c r="T268" s="124">
        <v>45855</v>
      </c>
      <c r="U268" s="6">
        <v>45855</v>
      </c>
      <c r="V268" s="10">
        <v>21</v>
      </c>
      <c r="W268" s="5" t="s">
        <v>715</v>
      </c>
      <c r="X268" s="25"/>
      <c r="Y268" s="5"/>
      <c r="Z268" s="35"/>
    </row>
    <row r="269" spans="2:27" ht="24.95" customHeight="1" x14ac:dyDescent="0.25">
      <c r="B269" s="24"/>
      <c r="C269" s="8" t="s">
        <v>559</v>
      </c>
      <c r="D269" s="8" t="s">
        <v>561</v>
      </c>
      <c r="E269" s="8" t="s">
        <v>880</v>
      </c>
      <c r="F269" s="5">
        <v>4070</v>
      </c>
      <c r="G269" s="5">
        <v>3250</v>
      </c>
      <c r="H269" s="5">
        <v>120</v>
      </c>
      <c r="I269" s="5" t="s">
        <v>356</v>
      </c>
      <c r="J269" s="5" t="s">
        <v>106</v>
      </c>
      <c r="K269" s="5"/>
      <c r="L269" s="9" t="s">
        <v>378</v>
      </c>
      <c r="M269" s="6">
        <v>45820</v>
      </c>
      <c r="N269" s="5">
        <v>0</v>
      </c>
      <c r="O269" s="6"/>
      <c r="P269" s="7">
        <v>1.651</v>
      </c>
      <c r="Q269" s="7">
        <v>4.1280000000000001</v>
      </c>
      <c r="R269" s="7"/>
      <c r="S269" s="7"/>
      <c r="T269" s="36">
        <v>45860</v>
      </c>
      <c r="U269" s="6"/>
      <c r="V269" s="10">
        <v>21</v>
      </c>
      <c r="W269" s="5" t="s">
        <v>171</v>
      </c>
      <c r="X269" s="25"/>
      <c r="Y269" s="5"/>
      <c r="Z269" s="35"/>
    </row>
    <row r="270" spans="2:27" ht="24.95" customHeight="1" x14ac:dyDescent="0.25">
      <c r="B270" s="24"/>
      <c r="C270" s="8" t="s">
        <v>560</v>
      </c>
      <c r="D270" s="8" t="s">
        <v>561</v>
      </c>
      <c r="E270" s="8" t="s">
        <v>862</v>
      </c>
      <c r="F270" s="5">
        <v>4070</v>
      </c>
      <c r="G270" s="5">
        <v>2950</v>
      </c>
      <c r="H270" s="5">
        <v>120</v>
      </c>
      <c r="I270" s="5" t="s">
        <v>356</v>
      </c>
      <c r="J270" s="5" t="s">
        <v>106</v>
      </c>
      <c r="K270" s="5"/>
      <c r="L270" s="9" t="s">
        <v>378</v>
      </c>
      <c r="M270" s="6">
        <v>45820</v>
      </c>
      <c r="N270" s="5">
        <v>0</v>
      </c>
      <c r="O270" s="6"/>
      <c r="P270" s="7">
        <v>1.504</v>
      </c>
      <c r="Q270" s="7">
        <v>3.76</v>
      </c>
      <c r="R270" s="7"/>
      <c r="S270" s="7"/>
      <c r="T270" s="36">
        <v>45857</v>
      </c>
      <c r="U270" s="6">
        <v>45859</v>
      </c>
      <c r="V270" s="10">
        <v>21</v>
      </c>
      <c r="W270" s="5" t="s">
        <v>171</v>
      </c>
      <c r="X270" s="25"/>
      <c r="Y270" s="5"/>
      <c r="Z270" s="35"/>
    </row>
    <row r="271" spans="2:27" ht="24.95" customHeight="1" x14ac:dyDescent="0.25">
      <c r="B271" s="24"/>
      <c r="C271" s="8" t="s">
        <v>598</v>
      </c>
      <c r="D271" s="8" t="s">
        <v>561</v>
      </c>
      <c r="E271" s="8" t="s">
        <v>881</v>
      </c>
      <c r="F271" s="5">
        <v>4070</v>
      </c>
      <c r="G271" s="5">
        <v>2950</v>
      </c>
      <c r="H271" s="5">
        <v>120</v>
      </c>
      <c r="I271" s="5" t="s">
        <v>356</v>
      </c>
      <c r="J271" s="5" t="s">
        <v>106</v>
      </c>
      <c r="K271" s="5"/>
      <c r="L271" s="9" t="s">
        <v>378</v>
      </c>
      <c r="M271" s="6">
        <v>45820</v>
      </c>
      <c r="N271" s="5">
        <v>0</v>
      </c>
      <c r="O271" s="6"/>
      <c r="P271" s="7">
        <v>1.504</v>
      </c>
      <c r="Q271" s="7">
        <v>3.76</v>
      </c>
      <c r="R271" s="7"/>
      <c r="S271" s="7"/>
      <c r="T271" s="36">
        <v>45860</v>
      </c>
      <c r="U271" s="6"/>
      <c r="V271" s="10">
        <v>21</v>
      </c>
      <c r="W271" s="5" t="s">
        <v>172</v>
      </c>
      <c r="X271" s="25"/>
      <c r="Y271" s="5"/>
      <c r="Z271" s="35"/>
    </row>
    <row r="272" spans="2:27" ht="24.95" customHeight="1" x14ac:dyDescent="0.25">
      <c r="B272" s="24"/>
      <c r="C272" s="8" t="s">
        <v>599</v>
      </c>
      <c r="D272" s="8" t="s">
        <v>561</v>
      </c>
      <c r="E272" s="8" t="s">
        <v>882</v>
      </c>
      <c r="F272" s="5">
        <v>4070</v>
      </c>
      <c r="G272" s="5">
        <v>2950</v>
      </c>
      <c r="H272" s="5">
        <v>120</v>
      </c>
      <c r="I272" s="5" t="s">
        <v>356</v>
      </c>
      <c r="J272" s="5" t="s">
        <v>106</v>
      </c>
      <c r="K272" s="5"/>
      <c r="L272" s="9" t="s">
        <v>378</v>
      </c>
      <c r="M272" s="6">
        <v>45820</v>
      </c>
      <c r="N272" s="5">
        <v>0</v>
      </c>
      <c r="O272" s="6"/>
      <c r="P272" s="7">
        <v>1.504</v>
      </c>
      <c r="Q272" s="7">
        <v>3.76</v>
      </c>
      <c r="R272" s="7"/>
      <c r="S272" s="7"/>
      <c r="T272" s="36">
        <v>45857</v>
      </c>
      <c r="U272" s="6"/>
      <c r="V272" s="10">
        <v>21</v>
      </c>
      <c r="W272" s="5" t="s">
        <v>172</v>
      </c>
      <c r="X272" s="25"/>
      <c r="Y272" s="5"/>
      <c r="Z272" s="35"/>
    </row>
    <row r="273" spans="2:26" ht="24.95" customHeight="1" x14ac:dyDescent="0.25">
      <c r="B273" s="24"/>
      <c r="C273" s="8" t="s">
        <v>600</v>
      </c>
      <c r="D273" s="8" t="s">
        <v>561</v>
      </c>
      <c r="E273" s="8" t="s">
        <v>883</v>
      </c>
      <c r="F273" s="5">
        <v>4070</v>
      </c>
      <c r="G273" s="5">
        <v>2950</v>
      </c>
      <c r="H273" s="5">
        <v>120</v>
      </c>
      <c r="I273" s="5" t="s">
        <v>356</v>
      </c>
      <c r="J273" s="5" t="s">
        <v>106</v>
      </c>
      <c r="K273" s="5"/>
      <c r="L273" s="9" t="s">
        <v>378</v>
      </c>
      <c r="M273" s="6">
        <v>45820</v>
      </c>
      <c r="N273" s="5">
        <v>0</v>
      </c>
      <c r="O273" s="6"/>
      <c r="P273" s="7">
        <v>1.504</v>
      </c>
      <c r="Q273" s="7">
        <v>3.76</v>
      </c>
      <c r="R273" s="7"/>
      <c r="S273" s="7"/>
      <c r="T273" s="36">
        <v>45857</v>
      </c>
      <c r="U273" s="6">
        <v>45859</v>
      </c>
      <c r="V273" s="10">
        <v>21</v>
      </c>
      <c r="W273" s="5" t="s">
        <v>713</v>
      </c>
      <c r="X273" s="25"/>
      <c r="Y273" s="5"/>
      <c r="Z273" s="35"/>
    </row>
    <row r="274" spans="2:26" ht="24.95" customHeight="1" x14ac:dyDescent="0.25">
      <c r="B274" s="26"/>
      <c r="C274" s="27" t="s">
        <v>601</v>
      </c>
      <c r="D274" s="27" t="s">
        <v>561</v>
      </c>
      <c r="E274" s="27" t="s">
        <v>884</v>
      </c>
      <c r="F274" s="28">
        <v>4070</v>
      </c>
      <c r="G274" s="28">
        <v>2950</v>
      </c>
      <c r="H274" s="28">
        <v>120</v>
      </c>
      <c r="I274" s="28" t="s">
        <v>356</v>
      </c>
      <c r="J274" s="28" t="s">
        <v>106</v>
      </c>
      <c r="K274" s="28"/>
      <c r="L274" s="29" t="s">
        <v>378</v>
      </c>
      <c r="M274" s="30">
        <v>45820</v>
      </c>
      <c r="N274" s="28">
        <v>0</v>
      </c>
      <c r="O274" s="30"/>
      <c r="P274" s="31">
        <v>1.504</v>
      </c>
      <c r="Q274" s="31">
        <v>3.76</v>
      </c>
      <c r="R274" s="31"/>
      <c r="S274" s="31"/>
      <c r="T274" s="36">
        <v>45857</v>
      </c>
      <c r="U274" s="30"/>
      <c r="V274" s="10">
        <v>21</v>
      </c>
      <c r="W274" s="28" t="s">
        <v>437</v>
      </c>
      <c r="X274" s="32"/>
      <c r="Y274" s="5"/>
      <c r="Z274" s="54"/>
    </row>
    <row r="275" spans="2:26" ht="24.95" customHeight="1" x14ac:dyDescent="0.25">
      <c r="B275" s="26"/>
      <c r="C275" s="27" t="s">
        <v>603</v>
      </c>
      <c r="D275" s="27" t="s">
        <v>561</v>
      </c>
      <c r="E275" s="27" t="s">
        <v>885</v>
      </c>
      <c r="F275" s="28">
        <v>4600</v>
      </c>
      <c r="G275" s="28">
        <v>3580</v>
      </c>
      <c r="H275" s="28">
        <v>120</v>
      </c>
      <c r="I275" s="28" t="s">
        <v>357</v>
      </c>
      <c r="J275" s="28" t="s">
        <v>132</v>
      </c>
      <c r="K275" s="28"/>
      <c r="L275" s="29" t="s">
        <v>40</v>
      </c>
      <c r="M275" s="30">
        <v>45822</v>
      </c>
      <c r="N275" s="28">
        <v>0</v>
      </c>
      <c r="O275" s="30"/>
      <c r="P275" s="31">
        <v>2.1739999999999999</v>
      </c>
      <c r="Q275" s="31">
        <v>5.4349999999999996</v>
      </c>
      <c r="R275" s="31"/>
      <c r="S275" s="31"/>
      <c r="T275" s="36">
        <v>45859</v>
      </c>
      <c r="U275" s="30"/>
      <c r="V275" s="10">
        <v>21</v>
      </c>
      <c r="W275" s="28" t="s">
        <v>440</v>
      </c>
      <c r="X275" s="32"/>
      <c r="Y275" s="5"/>
      <c r="Z275" s="54"/>
    </row>
    <row r="276" spans="2:26" ht="24.95" customHeight="1" x14ac:dyDescent="0.25">
      <c r="B276" s="26"/>
      <c r="C276" s="27" t="s">
        <v>604</v>
      </c>
      <c r="D276" s="27" t="s">
        <v>561</v>
      </c>
      <c r="E276" s="27" t="s">
        <v>885</v>
      </c>
      <c r="F276" s="28">
        <v>4595</v>
      </c>
      <c r="G276" s="28">
        <v>3580</v>
      </c>
      <c r="H276" s="28">
        <v>120</v>
      </c>
      <c r="I276" s="28" t="s">
        <v>357</v>
      </c>
      <c r="J276" s="28" t="s">
        <v>132</v>
      </c>
      <c r="K276" s="28"/>
      <c r="L276" s="29" t="s">
        <v>40</v>
      </c>
      <c r="M276" s="30">
        <v>45822</v>
      </c>
      <c r="N276" s="28">
        <v>0</v>
      </c>
      <c r="O276" s="30"/>
      <c r="P276" s="31">
        <v>2.173</v>
      </c>
      <c r="Q276" s="31">
        <v>5.4329999999999998</v>
      </c>
      <c r="R276" s="31"/>
      <c r="S276" s="31"/>
      <c r="T276" s="36"/>
      <c r="U276" s="30"/>
      <c r="V276" s="10">
        <v>21</v>
      </c>
      <c r="W276" s="28" t="s">
        <v>441</v>
      </c>
      <c r="X276" s="32"/>
      <c r="Y276" s="5"/>
      <c r="Z276" s="54"/>
    </row>
    <row r="277" spans="2:26" ht="24.95" customHeight="1" x14ac:dyDescent="0.25">
      <c r="B277" s="26"/>
      <c r="C277" s="27" t="s">
        <v>605</v>
      </c>
      <c r="D277" s="27" t="s">
        <v>561</v>
      </c>
      <c r="E277" s="27" t="s">
        <v>868</v>
      </c>
      <c r="F277" s="28">
        <v>4565</v>
      </c>
      <c r="G277" s="28">
        <v>3660</v>
      </c>
      <c r="H277" s="28">
        <v>120</v>
      </c>
      <c r="I277" s="28" t="s">
        <v>357</v>
      </c>
      <c r="J277" s="28" t="s">
        <v>132</v>
      </c>
      <c r="K277" s="28"/>
      <c r="L277" s="29" t="s">
        <v>40</v>
      </c>
      <c r="M277" s="30">
        <v>45822</v>
      </c>
      <c r="N277" s="28">
        <v>0</v>
      </c>
      <c r="O277" s="30"/>
      <c r="P277" s="31">
        <v>2.206</v>
      </c>
      <c r="Q277" s="31">
        <v>5.5149999999999997</v>
      </c>
      <c r="R277" s="31"/>
      <c r="S277" s="31"/>
      <c r="T277" s="36"/>
      <c r="U277" s="30"/>
      <c r="V277" s="10">
        <v>21</v>
      </c>
      <c r="W277" s="28" t="s">
        <v>716</v>
      </c>
      <c r="X277" s="32"/>
      <c r="Y277" s="5"/>
      <c r="Z277" s="54"/>
    </row>
    <row r="278" spans="2:26" ht="24.95" customHeight="1" x14ac:dyDescent="0.25">
      <c r="B278" s="26"/>
      <c r="C278" s="27" t="s">
        <v>634</v>
      </c>
      <c r="D278" s="27" t="s">
        <v>561</v>
      </c>
      <c r="E278" s="27" t="s">
        <v>868</v>
      </c>
      <c r="F278" s="28">
        <v>4565</v>
      </c>
      <c r="G278" s="28">
        <v>3660</v>
      </c>
      <c r="H278" s="28">
        <v>120</v>
      </c>
      <c r="I278" s="28" t="s">
        <v>357</v>
      </c>
      <c r="J278" s="28" t="s">
        <v>132</v>
      </c>
      <c r="K278" s="28"/>
      <c r="L278" s="29" t="s">
        <v>40</v>
      </c>
      <c r="M278" s="30">
        <v>45822</v>
      </c>
      <c r="N278" s="28">
        <v>0</v>
      </c>
      <c r="O278" s="30"/>
      <c r="P278" s="31">
        <v>2.206</v>
      </c>
      <c r="Q278" s="31">
        <v>5.5149999999999997</v>
      </c>
      <c r="R278" s="31"/>
      <c r="S278" s="31"/>
      <c r="T278" s="36"/>
      <c r="U278" s="30"/>
      <c r="V278" s="10">
        <v>21</v>
      </c>
      <c r="W278" s="28"/>
      <c r="X278" s="32"/>
      <c r="Y278" s="5"/>
      <c r="Z278" s="54"/>
    </row>
    <row r="279" spans="2:26" ht="24.95" customHeight="1" x14ac:dyDescent="0.25">
      <c r="B279" s="26"/>
      <c r="C279" s="27" t="s">
        <v>606</v>
      </c>
      <c r="D279" s="27" t="s">
        <v>561</v>
      </c>
      <c r="E279" s="27" t="s">
        <v>872</v>
      </c>
      <c r="F279" s="28">
        <v>5990</v>
      </c>
      <c r="G279" s="28">
        <v>3580</v>
      </c>
      <c r="H279" s="28">
        <v>120</v>
      </c>
      <c r="I279" s="28" t="s">
        <v>389</v>
      </c>
      <c r="J279" s="28" t="s">
        <v>127</v>
      </c>
      <c r="K279" s="28"/>
      <c r="L279" s="29" t="s">
        <v>40</v>
      </c>
      <c r="M279" s="30">
        <v>45822</v>
      </c>
      <c r="N279" s="28">
        <v>0</v>
      </c>
      <c r="O279" s="30"/>
      <c r="P279" s="31">
        <v>2.8149999999999999</v>
      </c>
      <c r="Q279" s="31">
        <v>7.0380000000000003</v>
      </c>
      <c r="R279" s="31"/>
      <c r="S279" s="31"/>
      <c r="T279" s="36"/>
      <c r="U279" s="30"/>
      <c r="V279" s="10">
        <v>21</v>
      </c>
      <c r="W279" s="28"/>
      <c r="X279" s="32"/>
      <c r="Y279" s="5"/>
      <c r="Z279" s="54"/>
    </row>
    <row r="280" spans="2:26" ht="24.95" customHeight="1" x14ac:dyDescent="0.25">
      <c r="B280" s="26"/>
      <c r="C280" s="27" t="s">
        <v>607</v>
      </c>
      <c r="D280" s="27" t="s">
        <v>561</v>
      </c>
      <c r="E280" s="27" t="s">
        <v>880</v>
      </c>
      <c r="F280" s="28">
        <v>5925</v>
      </c>
      <c r="G280" s="28">
        <v>3580</v>
      </c>
      <c r="H280" s="28">
        <v>120</v>
      </c>
      <c r="I280" s="28" t="s">
        <v>389</v>
      </c>
      <c r="J280" s="28" t="s">
        <v>127</v>
      </c>
      <c r="K280" s="28"/>
      <c r="L280" s="29" t="s">
        <v>40</v>
      </c>
      <c r="M280" s="30">
        <v>45822</v>
      </c>
      <c r="N280" s="28">
        <v>0</v>
      </c>
      <c r="O280" s="30"/>
      <c r="P280" s="31">
        <v>2.806</v>
      </c>
      <c r="Q280" s="31">
        <v>7.0149999999999997</v>
      </c>
      <c r="R280" s="31"/>
      <c r="S280" s="31"/>
      <c r="T280" s="36"/>
      <c r="U280" s="30"/>
      <c r="V280" s="10">
        <v>21</v>
      </c>
      <c r="W280" s="28"/>
      <c r="X280" s="32"/>
      <c r="Y280" s="5"/>
      <c r="Z280" s="54"/>
    </row>
    <row r="281" spans="2:26" ht="24.95" customHeight="1" x14ac:dyDescent="0.25">
      <c r="B281" s="26"/>
      <c r="C281" s="27" t="s">
        <v>608</v>
      </c>
      <c r="D281" s="27" t="s">
        <v>561</v>
      </c>
      <c r="E281" s="27" t="s">
        <v>873</v>
      </c>
      <c r="F281" s="28">
        <v>6055</v>
      </c>
      <c r="G281" s="28">
        <v>3660</v>
      </c>
      <c r="H281" s="28">
        <v>120</v>
      </c>
      <c r="I281" s="28" t="s">
        <v>389</v>
      </c>
      <c r="J281" s="28" t="s">
        <v>127</v>
      </c>
      <c r="K281" s="28"/>
      <c r="L281" s="29" t="s">
        <v>40</v>
      </c>
      <c r="M281" s="30">
        <v>45822</v>
      </c>
      <c r="N281" s="28">
        <v>0</v>
      </c>
      <c r="O281" s="30"/>
      <c r="P281" s="31">
        <v>2.9089999999999998</v>
      </c>
      <c r="Q281" s="31">
        <v>7.2729999999999997</v>
      </c>
      <c r="R281" s="31"/>
      <c r="S281" s="31"/>
      <c r="T281" s="36"/>
      <c r="U281" s="30"/>
      <c r="V281" s="10">
        <v>21</v>
      </c>
      <c r="W281" s="28"/>
      <c r="X281" s="32"/>
      <c r="Y281" s="5"/>
      <c r="Z281" s="54"/>
    </row>
    <row r="282" spans="2:26" ht="24.95" customHeight="1" x14ac:dyDescent="0.25">
      <c r="B282" s="26"/>
      <c r="C282" s="27" t="s">
        <v>609</v>
      </c>
      <c r="D282" s="27" t="s">
        <v>561</v>
      </c>
      <c r="E282" s="27" t="s">
        <v>886</v>
      </c>
      <c r="F282" s="28">
        <v>4565</v>
      </c>
      <c r="G282" s="28">
        <v>3560</v>
      </c>
      <c r="H282" s="28">
        <v>120</v>
      </c>
      <c r="I282" s="28" t="s">
        <v>357</v>
      </c>
      <c r="J282" s="28" t="s">
        <v>132</v>
      </c>
      <c r="K282" s="28"/>
      <c r="L282" s="29" t="s">
        <v>40</v>
      </c>
      <c r="M282" s="30">
        <v>45822</v>
      </c>
      <c r="N282" s="28">
        <v>0</v>
      </c>
      <c r="O282" s="30"/>
      <c r="P282" s="31">
        <v>2.1520000000000001</v>
      </c>
      <c r="Q282" s="31">
        <v>5.38</v>
      </c>
      <c r="R282" s="31"/>
      <c r="S282" s="31"/>
      <c r="T282" s="36"/>
      <c r="U282" s="30"/>
      <c r="V282" s="10">
        <v>21</v>
      </c>
      <c r="W282" s="28"/>
      <c r="X282" s="32"/>
      <c r="Y282" s="5"/>
      <c r="Z282" s="54"/>
    </row>
    <row r="283" spans="2:26" ht="24.95" customHeight="1" x14ac:dyDescent="0.25">
      <c r="B283" s="26"/>
      <c r="C283" s="27" t="s">
        <v>635</v>
      </c>
      <c r="D283" s="27" t="s">
        <v>561</v>
      </c>
      <c r="E283" s="27" t="s">
        <v>886</v>
      </c>
      <c r="F283" s="28">
        <v>4565</v>
      </c>
      <c r="G283" s="28">
        <v>3560</v>
      </c>
      <c r="H283" s="28">
        <v>120</v>
      </c>
      <c r="I283" s="28" t="s">
        <v>357</v>
      </c>
      <c r="J283" s="28" t="s">
        <v>132</v>
      </c>
      <c r="K283" s="28"/>
      <c r="L283" s="29" t="s">
        <v>40</v>
      </c>
      <c r="M283" s="30">
        <v>45822</v>
      </c>
      <c r="N283" s="28">
        <v>0</v>
      </c>
      <c r="O283" s="30"/>
      <c r="P283" s="31">
        <v>2.1520000000000001</v>
      </c>
      <c r="Q283" s="31">
        <v>5.38</v>
      </c>
      <c r="R283" s="31"/>
      <c r="S283" s="31"/>
      <c r="T283" s="36"/>
      <c r="U283" s="30"/>
      <c r="V283" s="10">
        <v>21</v>
      </c>
      <c r="W283" s="28"/>
      <c r="X283" s="32"/>
      <c r="Y283" s="5"/>
      <c r="Z283" s="54"/>
    </row>
    <row r="284" spans="2:26" ht="24.95" customHeight="1" x14ac:dyDescent="0.25">
      <c r="B284" s="26"/>
      <c r="C284" s="27" t="s">
        <v>610</v>
      </c>
      <c r="D284" s="27" t="s">
        <v>561</v>
      </c>
      <c r="E284" s="27" t="s">
        <v>867</v>
      </c>
      <c r="F284" s="28">
        <v>4600</v>
      </c>
      <c r="G284" s="28">
        <v>3560</v>
      </c>
      <c r="H284" s="28">
        <v>120</v>
      </c>
      <c r="I284" s="28" t="s">
        <v>357</v>
      </c>
      <c r="J284" s="28" t="s">
        <v>132</v>
      </c>
      <c r="K284" s="28"/>
      <c r="L284" s="29" t="s">
        <v>40</v>
      </c>
      <c r="M284" s="30">
        <v>45822</v>
      </c>
      <c r="N284" s="28">
        <v>0</v>
      </c>
      <c r="O284" s="30"/>
      <c r="P284" s="31">
        <v>2.1629999999999998</v>
      </c>
      <c r="Q284" s="31">
        <v>5.4080000000000004</v>
      </c>
      <c r="R284" s="31"/>
      <c r="S284" s="31"/>
      <c r="T284" s="36"/>
      <c r="U284" s="30"/>
      <c r="V284" s="10">
        <v>21</v>
      </c>
      <c r="W284" s="28"/>
      <c r="X284" s="32"/>
      <c r="Y284" s="5"/>
      <c r="Z284" s="54"/>
    </row>
    <row r="285" spans="2:26" ht="24.95" customHeight="1" x14ac:dyDescent="0.25">
      <c r="B285" s="26"/>
      <c r="C285" s="27" t="s">
        <v>611</v>
      </c>
      <c r="D285" s="27" t="s">
        <v>561</v>
      </c>
      <c r="E285" s="27" t="s">
        <v>867</v>
      </c>
      <c r="F285" s="28">
        <v>4595</v>
      </c>
      <c r="G285" s="28">
        <v>3560</v>
      </c>
      <c r="H285" s="28">
        <v>120</v>
      </c>
      <c r="I285" s="28" t="s">
        <v>357</v>
      </c>
      <c r="J285" s="28" t="s">
        <v>132</v>
      </c>
      <c r="K285" s="28"/>
      <c r="L285" s="29" t="s">
        <v>40</v>
      </c>
      <c r="M285" s="30">
        <v>45822</v>
      </c>
      <c r="N285" s="28">
        <v>0</v>
      </c>
      <c r="O285" s="30"/>
      <c r="P285" s="31">
        <v>2.1619999999999999</v>
      </c>
      <c r="Q285" s="31">
        <v>5.4050000000000002</v>
      </c>
      <c r="R285" s="31"/>
      <c r="S285" s="31"/>
      <c r="T285" s="36"/>
      <c r="U285" s="30"/>
      <c r="V285" s="10">
        <v>21</v>
      </c>
      <c r="W285" s="28"/>
      <c r="X285" s="32"/>
      <c r="Y285" s="5"/>
      <c r="Z285" s="54"/>
    </row>
    <row r="286" spans="2:26" ht="24.95" customHeight="1" x14ac:dyDescent="0.25">
      <c r="B286" s="26"/>
      <c r="C286" s="27" t="s">
        <v>612</v>
      </c>
      <c r="D286" s="27" t="s">
        <v>561</v>
      </c>
      <c r="E286" s="27" t="s">
        <v>874</v>
      </c>
      <c r="F286" s="28">
        <v>5990</v>
      </c>
      <c r="G286" s="28">
        <v>3560</v>
      </c>
      <c r="H286" s="28">
        <v>120</v>
      </c>
      <c r="I286" s="28" t="s">
        <v>389</v>
      </c>
      <c r="J286" s="28" t="s">
        <v>127</v>
      </c>
      <c r="K286" s="28"/>
      <c r="L286" s="29" t="s">
        <v>40</v>
      </c>
      <c r="M286" s="30">
        <v>45822</v>
      </c>
      <c r="N286" s="28">
        <v>0</v>
      </c>
      <c r="O286" s="30"/>
      <c r="P286" s="31">
        <v>2.8149999999999999</v>
      </c>
      <c r="Q286" s="31">
        <v>7.0380000000000003</v>
      </c>
      <c r="R286" s="31"/>
      <c r="S286" s="31"/>
      <c r="T286" s="36"/>
      <c r="U286" s="30"/>
      <c r="V286" s="10">
        <v>21</v>
      </c>
      <c r="W286" s="28"/>
      <c r="X286" s="32"/>
      <c r="Y286" s="5"/>
      <c r="Z286" s="54"/>
    </row>
    <row r="287" spans="2:26" ht="24.95" customHeight="1" x14ac:dyDescent="0.25">
      <c r="B287" s="26"/>
      <c r="C287" s="27" t="s">
        <v>636</v>
      </c>
      <c r="D287" s="27" t="s">
        <v>561</v>
      </c>
      <c r="E287" s="27" t="s">
        <v>881</v>
      </c>
      <c r="F287" s="28">
        <v>5990</v>
      </c>
      <c r="G287" s="28">
        <v>3560</v>
      </c>
      <c r="H287" s="28">
        <v>120</v>
      </c>
      <c r="I287" s="28" t="s">
        <v>389</v>
      </c>
      <c r="J287" s="28" t="s">
        <v>127</v>
      </c>
      <c r="K287" s="28"/>
      <c r="L287" s="29" t="s">
        <v>40</v>
      </c>
      <c r="M287" s="30">
        <v>45822</v>
      </c>
      <c r="N287" s="28">
        <v>0</v>
      </c>
      <c r="O287" s="30"/>
      <c r="P287" s="31">
        <v>2.8149999999999999</v>
      </c>
      <c r="Q287" s="31">
        <v>7.0380000000000003</v>
      </c>
      <c r="R287" s="31"/>
      <c r="S287" s="31"/>
      <c r="T287" s="36"/>
      <c r="U287" s="30"/>
      <c r="V287" s="10">
        <v>21</v>
      </c>
      <c r="W287" s="28"/>
      <c r="X287" s="32"/>
      <c r="Y287" s="5"/>
      <c r="Z287" s="54"/>
    </row>
    <row r="288" spans="2:26" ht="24.95" customHeight="1" x14ac:dyDescent="0.25">
      <c r="B288" s="26"/>
      <c r="C288" s="27" t="s">
        <v>637</v>
      </c>
      <c r="D288" s="27" t="s">
        <v>561</v>
      </c>
      <c r="E288" s="27" t="s">
        <v>875</v>
      </c>
      <c r="F288" s="28">
        <v>5990</v>
      </c>
      <c r="G288" s="28">
        <v>3560</v>
      </c>
      <c r="H288" s="28">
        <v>120</v>
      </c>
      <c r="I288" s="28" t="s">
        <v>389</v>
      </c>
      <c r="J288" s="28" t="s">
        <v>127</v>
      </c>
      <c r="K288" s="28"/>
      <c r="L288" s="29" t="s">
        <v>40</v>
      </c>
      <c r="M288" s="30">
        <v>45822</v>
      </c>
      <c r="N288" s="28">
        <v>0</v>
      </c>
      <c r="O288" s="30"/>
      <c r="P288" s="31">
        <v>2.8149999999999999</v>
      </c>
      <c r="Q288" s="31">
        <v>7.0380000000000003</v>
      </c>
      <c r="R288" s="31"/>
      <c r="S288" s="31"/>
      <c r="T288" s="36"/>
      <c r="U288" s="30"/>
      <c r="V288" s="10">
        <v>21</v>
      </c>
      <c r="W288" s="28"/>
      <c r="X288" s="32"/>
      <c r="Y288" s="5"/>
      <c r="Z288" s="54"/>
    </row>
    <row r="289" spans="2:27" ht="24.95" customHeight="1" x14ac:dyDescent="0.25">
      <c r="B289" s="26"/>
      <c r="C289" s="27" t="s">
        <v>638</v>
      </c>
      <c r="D289" s="27" t="s">
        <v>561</v>
      </c>
      <c r="E289" s="27" t="s">
        <v>882</v>
      </c>
      <c r="F289" s="28">
        <v>5990</v>
      </c>
      <c r="G289" s="28">
        <v>3560</v>
      </c>
      <c r="H289" s="28">
        <v>120</v>
      </c>
      <c r="I289" s="28" t="s">
        <v>389</v>
      </c>
      <c r="J289" s="28" t="s">
        <v>127</v>
      </c>
      <c r="K289" s="28"/>
      <c r="L289" s="29" t="s">
        <v>40</v>
      </c>
      <c r="M289" s="30">
        <v>45822</v>
      </c>
      <c r="N289" s="28">
        <v>0</v>
      </c>
      <c r="O289" s="30"/>
      <c r="P289" s="31">
        <v>2.8149999999999999</v>
      </c>
      <c r="Q289" s="31">
        <v>7.0380000000000003</v>
      </c>
      <c r="R289" s="31"/>
      <c r="S289" s="31"/>
      <c r="T289" s="36"/>
      <c r="U289" s="30"/>
      <c r="V289" s="10">
        <v>21</v>
      </c>
      <c r="W289" s="28"/>
      <c r="X289" s="32"/>
      <c r="Y289" s="5"/>
      <c r="Z289" s="54"/>
    </row>
    <row r="290" spans="2:27" ht="24.95" customHeight="1" x14ac:dyDescent="0.25">
      <c r="B290" s="26"/>
      <c r="C290" s="27" t="s">
        <v>639</v>
      </c>
      <c r="D290" s="27" t="s">
        <v>561</v>
      </c>
      <c r="E290" s="27" t="s">
        <v>876</v>
      </c>
      <c r="F290" s="28">
        <v>5990</v>
      </c>
      <c r="G290" s="28">
        <v>3560</v>
      </c>
      <c r="H290" s="28">
        <v>120</v>
      </c>
      <c r="I290" s="28" t="s">
        <v>389</v>
      </c>
      <c r="J290" s="28" t="s">
        <v>127</v>
      </c>
      <c r="K290" s="28"/>
      <c r="L290" s="29" t="s">
        <v>40</v>
      </c>
      <c r="M290" s="30">
        <v>45822</v>
      </c>
      <c r="N290" s="28">
        <v>0</v>
      </c>
      <c r="O290" s="30"/>
      <c r="P290" s="31">
        <v>2.8149999999999999</v>
      </c>
      <c r="Q290" s="31">
        <v>7.0380000000000003</v>
      </c>
      <c r="R290" s="31"/>
      <c r="S290" s="31"/>
      <c r="T290" s="36"/>
      <c r="U290" s="30"/>
      <c r="V290" s="10">
        <v>21</v>
      </c>
      <c r="W290" s="28"/>
      <c r="X290" s="32"/>
      <c r="Y290" s="5"/>
      <c r="Z290" s="54"/>
    </row>
    <row r="291" spans="2:27" ht="24.95" customHeight="1" x14ac:dyDescent="0.25">
      <c r="B291" s="26"/>
      <c r="C291" s="27" t="s">
        <v>640</v>
      </c>
      <c r="D291" s="27" t="s">
        <v>561</v>
      </c>
      <c r="E291" s="27" t="s">
        <v>869</v>
      </c>
      <c r="F291" s="28">
        <v>5990</v>
      </c>
      <c r="G291" s="28">
        <v>3560</v>
      </c>
      <c r="H291" s="28">
        <v>120</v>
      </c>
      <c r="I291" s="28" t="s">
        <v>389</v>
      </c>
      <c r="J291" s="28" t="s">
        <v>127</v>
      </c>
      <c r="K291" s="28"/>
      <c r="L291" s="29" t="s">
        <v>40</v>
      </c>
      <c r="M291" s="30">
        <v>45822</v>
      </c>
      <c r="N291" s="28">
        <v>0</v>
      </c>
      <c r="O291" s="30"/>
      <c r="P291" s="31">
        <v>2.8149999999999999</v>
      </c>
      <c r="Q291" s="31">
        <v>7.0380000000000003</v>
      </c>
      <c r="R291" s="31"/>
      <c r="S291" s="31"/>
      <c r="T291" s="36"/>
      <c r="U291" s="30"/>
      <c r="V291" s="10">
        <v>21</v>
      </c>
      <c r="W291" s="28"/>
      <c r="X291" s="32"/>
      <c r="Y291" s="5"/>
      <c r="Z291" s="54"/>
    </row>
    <row r="292" spans="2:27" ht="24.95" customHeight="1" x14ac:dyDescent="0.25">
      <c r="B292" s="26"/>
      <c r="C292" s="27" t="s">
        <v>613</v>
      </c>
      <c r="D292" s="27" t="s">
        <v>561</v>
      </c>
      <c r="E292" s="27" t="s">
        <v>870</v>
      </c>
      <c r="F292" s="28">
        <v>4530</v>
      </c>
      <c r="G292" s="28">
        <v>3680</v>
      </c>
      <c r="H292" s="28">
        <v>120</v>
      </c>
      <c r="I292" s="28" t="s">
        <v>357</v>
      </c>
      <c r="J292" s="28" t="s">
        <v>132</v>
      </c>
      <c r="K292" s="28"/>
      <c r="L292" s="29" t="s">
        <v>40</v>
      </c>
      <c r="M292" s="30">
        <v>45822</v>
      </c>
      <c r="N292" s="28">
        <v>0</v>
      </c>
      <c r="O292" s="30"/>
      <c r="P292" s="31">
        <v>2.2000000000000002</v>
      </c>
      <c r="Q292" s="31">
        <v>5.5129999999999999</v>
      </c>
      <c r="R292" s="31"/>
      <c r="S292" s="31"/>
      <c r="T292" s="36"/>
      <c r="U292" s="30"/>
      <c r="V292" s="10">
        <v>21</v>
      </c>
      <c r="W292" s="28"/>
      <c r="X292" s="32"/>
      <c r="Y292" s="5"/>
      <c r="Z292" s="54"/>
    </row>
    <row r="293" spans="2:27" ht="24.95" customHeight="1" x14ac:dyDescent="0.25">
      <c r="B293" s="26"/>
      <c r="C293" s="27" t="s">
        <v>614</v>
      </c>
      <c r="D293" s="27" t="s">
        <v>561</v>
      </c>
      <c r="E293" s="27" t="s">
        <v>870</v>
      </c>
      <c r="F293" s="28">
        <v>4535</v>
      </c>
      <c r="G293" s="28">
        <v>3680</v>
      </c>
      <c r="H293" s="28">
        <v>120</v>
      </c>
      <c r="I293" s="28" t="s">
        <v>356</v>
      </c>
      <c r="J293" s="28" t="s">
        <v>132</v>
      </c>
      <c r="K293" s="28"/>
      <c r="L293" s="29" t="s">
        <v>40</v>
      </c>
      <c r="M293" s="30">
        <v>45822</v>
      </c>
      <c r="N293" s="28">
        <v>0</v>
      </c>
      <c r="O293" s="30"/>
      <c r="P293" s="31">
        <v>2.2050000000000001</v>
      </c>
      <c r="Q293" s="31">
        <v>5.5129999999999999</v>
      </c>
      <c r="R293" s="31"/>
      <c r="S293" s="31"/>
      <c r="T293" s="126">
        <v>45856</v>
      </c>
      <c r="U293" s="30">
        <v>45856</v>
      </c>
      <c r="V293" s="10">
        <v>21</v>
      </c>
      <c r="W293" s="28" t="s">
        <v>439</v>
      </c>
      <c r="X293" s="32"/>
      <c r="Y293" s="28"/>
      <c r="Z293" s="54"/>
    </row>
    <row r="294" spans="2:27" ht="24.95" customHeight="1" x14ac:dyDescent="0.25">
      <c r="B294" s="26"/>
      <c r="C294" s="27" t="s">
        <v>615</v>
      </c>
      <c r="D294" s="27" t="s">
        <v>561</v>
      </c>
      <c r="E294" s="27" t="s">
        <v>748</v>
      </c>
      <c r="F294" s="28">
        <v>4415</v>
      </c>
      <c r="G294" s="28">
        <v>3680</v>
      </c>
      <c r="H294" s="28">
        <v>120</v>
      </c>
      <c r="I294" s="28" t="s">
        <v>356</v>
      </c>
      <c r="J294" s="28" t="s">
        <v>132</v>
      </c>
      <c r="K294" s="28"/>
      <c r="L294" s="29" t="s">
        <v>40</v>
      </c>
      <c r="M294" s="30">
        <v>45822</v>
      </c>
      <c r="N294" s="28">
        <v>0</v>
      </c>
      <c r="O294" s="30"/>
      <c r="P294" s="31">
        <v>2.1640000000000001</v>
      </c>
      <c r="Q294" s="31">
        <v>5.41</v>
      </c>
      <c r="R294" s="31"/>
      <c r="S294" s="31"/>
      <c r="T294" s="36">
        <v>45857</v>
      </c>
      <c r="U294" s="30"/>
      <c r="V294" s="10">
        <v>21</v>
      </c>
      <c r="W294" s="28" t="s">
        <v>438</v>
      </c>
      <c r="X294" s="32"/>
      <c r="Y294" s="5"/>
      <c r="Z294" s="54"/>
    </row>
    <row r="295" spans="2:27" ht="24.95" customHeight="1" x14ac:dyDescent="0.25">
      <c r="B295" s="26"/>
      <c r="C295" s="27" t="s">
        <v>616</v>
      </c>
      <c r="D295" s="27" t="s">
        <v>561</v>
      </c>
      <c r="E295" s="27" t="s">
        <v>748</v>
      </c>
      <c r="F295" s="28">
        <v>4410</v>
      </c>
      <c r="G295" s="28">
        <v>3680</v>
      </c>
      <c r="H295" s="28">
        <v>120</v>
      </c>
      <c r="I295" s="28" t="s">
        <v>356</v>
      </c>
      <c r="J295" s="28" t="s">
        <v>132</v>
      </c>
      <c r="K295" s="28"/>
      <c r="L295" s="29" t="s">
        <v>40</v>
      </c>
      <c r="M295" s="30">
        <v>45822</v>
      </c>
      <c r="N295" s="28">
        <v>0</v>
      </c>
      <c r="O295" s="30"/>
      <c r="P295" s="31">
        <v>2.1619999999999999</v>
      </c>
      <c r="Q295" s="31">
        <v>5.4050000000000002</v>
      </c>
      <c r="R295" s="31"/>
      <c r="S295" s="31"/>
      <c r="T295" s="36">
        <v>45860</v>
      </c>
      <c r="U295" s="30"/>
      <c r="V295" s="10">
        <v>21</v>
      </c>
      <c r="W295" s="28" t="s">
        <v>713</v>
      </c>
      <c r="X295" s="32"/>
      <c r="Y295" s="5"/>
      <c r="Z295" s="54"/>
    </row>
    <row r="296" spans="2:27" ht="24.95" customHeight="1" x14ac:dyDescent="0.25">
      <c r="B296" s="26"/>
      <c r="C296" s="27" t="s">
        <v>617</v>
      </c>
      <c r="D296" s="27" t="s">
        <v>561</v>
      </c>
      <c r="E296" s="27" t="s">
        <v>877</v>
      </c>
      <c r="F296" s="28">
        <v>5990</v>
      </c>
      <c r="G296" s="28">
        <v>3680</v>
      </c>
      <c r="H296" s="28">
        <v>120</v>
      </c>
      <c r="I296" s="28" t="s">
        <v>389</v>
      </c>
      <c r="J296" s="28" t="s">
        <v>127</v>
      </c>
      <c r="K296" s="28"/>
      <c r="L296" s="29" t="s">
        <v>40</v>
      </c>
      <c r="M296" s="30">
        <v>45822</v>
      </c>
      <c r="N296" s="28">
        <v>0</v>
      </c>
      <c r="O296" s="30"/>
      <c r="P296" s="31">
        <v>2.9009999999999998</v>
      </c>
      <c r="Q296" s="31">
        <v>7.2530000000000001</v>
      </c>
      <c r="R296" s="31"/>
      <c r="S296" s="31"/>
      <c r="T296" s="36"/>
      <c r="U296" s="30"/>
      <c r="V296" s="10">
        <v>21</v>
      </c>
      <c r="W296" s="28"/>
      <c r="X296" s="32"/>
      <c r="Y296" s="5"/>
      <c r="Z296" s="54"/>
    </row>
    <row r="297" spans="2:27" ht="24.95" customHeight="1" x14ac:dyDescent="0.25">
      <c r="B297" s="26"/>
      <c r="C297" s="27" t="s">
        <v>641</v>
      </c>
      <c r="D297" s="27" t="s">
        <v>561</v>
      </c>
      <c r="E297" s="27" t="s">
        <v>883</v>
      </c>
      <c r="F297" s="28">
        <v>5990</v>
      </c>
      <c r="G297" s="28">
        <v>3680</v>
      </c>
      <c r="H297" s="28">
        <v>120</v>
      </c>
      <c r="I297" s="28" t="s">
        <v>389</v>
      </c>
      <c r="J297" s="28" t="s">
        <v>127</v>
      </c>
      <c r="K297" s="28"/>
      <c r="L297" s="29" t="s">
        <v>40</v>
      </c>
      <c r="M297" s="30">
        <v>45822</v>
      </c>
      <c r="N297" s="28">
        <v>0</v>
      </c>
      <c r="O297" s="30"/>
      <c r="P297" s="31">
        <v>2.9009999999999998</v>
      </c>
      <c r="Q297" s="31">
        <v>7.2530000000000001</v>
      </c>
      <c r="R297" s="31"/>
      <c r="S297" s="31"/>
      <c r="T297" s="36"/>
      <c r="U297" s="30"/>
      <c r="V297" s="10">
        <v>21</v>
      </c>
      <c r="W297" s="28"/>
      <c r="X297" s="32"/>
      <c r="Y297" s="5"/>
      <c r="Z297" s="54"/>
    </row>
    <row r="298" spans="2:27" ht="24.95" customHeight="1" x14ac:dyDescent="0.25">
      <c r="B298" s="26"/>
      <c r="C298" s="27" t="s">
        <v>642</v>
      </c>
      <c r="D298" s="27" t="s">
        <v>561</v>
      </c>
      <c r="E298" s="27" t="s">
        <v>878</v>
      </c>
      <c r="F298" s="28">
        <v>5990</v>
      </c>
      <c r="G298" s="28">
        <v>3680</v>
      </c>
      <c r="H298" s="28">
        <v>120</v>
      </c>
      <c r="I298" s="28" t="s">
        <v>389</v>
      </c>
      <c r="J298" s="28" t="s">
        <v>127</v>
      </c>
      <c r="K298" s="28"/>
      <c r="L298" s="29" t="s">
        <v>40</v>
      </c>
      <c r="M298" s="30">
        <v>45822</v>
      </c>
      <c r="N298" s="28">
        <v>0</v>
      </c>
      <c r="O298" s="30"/>
      <c r="P298" s="31">
        <v>2.9009999999999998</v>
      </c>
      <c r="Q298" s="31">
        <v>7.2530000000000001</v>
      </c>
      <c r="R298" s="31"/>
      <c r="S298" s="31"/>
      <c r="T298" s="36"/>
      <c r="U298" s="30"/>
      <c r="V298" s="10">
        <v>21</v>
      </c>
      <c r="W298" s="28"/>
      <c r="X298" s="32"/>
      <c r="Y298" s="5"/>
      <c r="Z298" s="54"/>
    </row>
    <row r="299" spans="2:27" ht="24.95" customHeight="1" x14ac:dyDescent="0.25">
      <c r="B299" s="26"/>
      <c r="C299" s="27" t="s">
        <v>643</v>
      </c>
      <c r="D299" s="27" t="s">
        <v>561</v>
      </c>
      <c r="E299" s="27" t="s">
        <v>884</v>
      </c>
      <c r="F299" s="28">
        <v>5990</v>
      </c>
      <c r="G299" s="28">
        <v>3680</v>
      </c>
      <c r="H299" s="28">
        <v>120</v>
      </c>
      <c r="I299" s="28" t="s">
        <v>389</v>
      </c>
      <c r="J299" s="28" t="s">
        <v>127</v>
      </c>
      <c r="K299" s="28"/>
      <c r="L299" s="29" t="s">
        <v>40</v>
      </c>
      <c r="M299" s="30">
        <v>45822</v>
      </c>
      <c r="N299" s="28">
        <v>0</v>
      </c>
      <c r="O299" s="30"/>
      <c r="P299" s="31">
        <v>2.9009999999999998</v>
      </c>
      <c r="Q299" s="31">
        <v>7.2530000000000001</v>
      </c>
      <c r="R299" s="31"/>
      <c r="S299" s="31"/>
      <c r="T299" s="36"/>
      <c r="U299" s="30"/>
      <c r="V299" s="10">
        <v>21</v>
      </c>
      <c r="W299" s="28"/>
      <c r="X299" s="32"/>
      <c r="Y299" s="5"/>
      <c r="Z299" s="54"/>
    </row>
    <row r="300" spans="2:27" ht="24.95" customHeight="1" x14ac:dyDescent="0.25">
      <c r="B300" s="26"/>
      <c r="C300" s="27" t="s">
        <v>644</v>
      </c>
      <c r="D300" s="27" t="s">
        <v>561</v>
      </c>
      <c r="E300" s="27" t="s">
        <v>879</v>
      </c>
      <c r="F300" s="28">
        <v>5990</v>
      </c>
      <c r="G300" s="28">
        <v>3680</v>
      </c>
      <c r="H300" s="28">
        <v>120</v>
      </c>
      <c r="I300" s="28" t="s">
        <v>389</v>
      </c>
      <c r="J300" s="28" t="s">
        <v>127</v>
      </c>
      <c r="K300" s="28"/>
      <c r="L300" s="29" t="s">
        <v>40</v>
      </c>
      <c r="M300" s="30">
        <v>45822</v>
      </c>
      <c r="N300" s="28">
        <v>0</v>
      </c>
      <c r="O300" s="30"/>
      <c r="P300" s="31">
        <v>2.9009999999999998</v>
      </c>
      <c r="Q300" s="31">
        <v>7.2530000000000001</v>
      </c>
      <c r="R300" s="31"/>
      <c r="S300" s="31"/>
      <c r="T300" s="36"/>
      <c r="U300" s="30"/>
      <c r="V300" s="10">
        <v>21</v>
      </c>
      <c r="W300" s="28"/>
      <c r="X300" s="32"/>
      <c r="Y300" s="5"/>
      <c r="Z300" s="54"/>
    </row>
    <row r="301" spans="2:27" ht="24.95" customHeight="1" x14ac:dyDescent="0.25">
      <c r="B301" s="26"/>
      <c r="C301" s="27" t="s">
        <v>645</v>
      </c>
      <c r="D301" s="27" t="s">
        <v>561</v>
      </c>
      <c r="E301" s="27" t="s">
        <v>871</v>
      </c>
      <c r="F301" s="28">
        <v>5990</v>
      </c>
      <c r="G301" s="28">
        <v>3680</v>
      </c>
      <c r="H301" s="28">
        <v>120</v>
      </c>
      <c r="I301" s="28" t="s">
        <v>389</v>
      </c>
      <c r="J301" s="28" t="s">
        <v>127</v>
      </c>
      <c r="K301" s="28"/>
      <c r="L301" s="29" t="s">
        <v>40</v>
      </c>
      <c r="M301" s="30">
        <v>45822</v>
      </c>
      <c r="N301" s="28">
        <v>0</v>
      </c>
      <c r="O301" s="30"/>
      <c r="P301" s="31">
        <v>2.9009999999999998</v>
      </c>
      <c r="Q301" s="31">
        <v>7.2530000000000001</v>
      </c>
      <c r="R301" s="31"/>
      <c r="S301" s="31"/>
      <c r="T301" s="36"/>
      <c r="U301" s="30"/>
      <c r="V301" s="10">
        <v>21</v>
      </c>
      <c r="W301" s="28"/>
      <c r="X301" s="32"/>
      <c r="Y301" s="5"/>
      <c r="Z301" s="54"/>
    </row>
    <row r="302" spans="2:27" ht="24.95" customHeight="1" x14ac:dyDescent="0.25">
      <c r="B302" s="69"/>
      <c r="C302" s="70" t="s">
        <v>646</v>
      </c>
      <c r="D302" s="70" t="s">
        <v>561</v>
      </c>
      <c r="E302" s="70" t="s">
        <v>748</v>
      </c>
      <c r="F302" s="70">
        <v>4231</v>
      </c>
      <c r="G302" s="70">
        <v>1550</v>
      </c>
      <c r="H302" s="70">
        <v>120</v>
      </c>
      <c r="I302" s="70" t="s">
        <v>18</v>
      </c>
      <c r="J302" s="70"/>
      <c r="K302" s="70"/>
      <c r="L302" s="71" t="s">
        <v>47</v>
      </c>
      <c r="M302" s="60">
        <v>45827</v>
      </c>
      <c r="N302" s="70">
        <v>0</v>
      </c>
      <c r="O302" s="60"/>
      <c r="P302" s="72">
        <v>0.78500000000000003</v>
      </c>
      <c r="Q302" s="72">
        <v>1.9630000000000001</v>
      </c>
      <c r="R302" s="72"/>
      <c r="S302" s="72"/>
      <c r="T302" s="58">
        <v>45846</v>
      </c>
      <c r="U302" s="60">
        <v>45846</v>
      </c>
      <c r="V302" s="86">
        <v>21</v>
      </c>
      <c r="W302" s="70" t="s">
        <v>717</v>
      </c>
      <c r="X302" s="73"/>
      <c r="Y302" s="70"/>
      <c r="Z302" s="88"/>
      <c r="AA302" s="87"/>
    </row>
    <row r="303" spans="2:27" ht="24.95" customHeight="1" x14ac:dyDescent="0.25">
      <c r="B303" s="69"/>
      <c r="C303" s="70" t="s">
        <v>647</v>
      </c>
      <c r="D303" s="70" t="s">
        <v>561</v>
      </c>
      <c r="E303" s="70" t="s">
        <v>748</v>
      </c>
      <c r="F303" s="70">
        <v>4231</v>
      </c>
      <c r="G303" s="70">
        <v>1550</v>
      </c>
      <c r="H303" s="70">
        <v>120</v>
      </c>
      <c r="I303" s="70" t="s">
        <v>18</v>
      </c>
      <c r="J303" s="70"/>
      <c r="K303" s="70"/>
      <c r="L303" s="71" t="s">
        <v>47</v>
      </c>
      <c r="M303" s="60">
        <v>45827</v>
      </c>
      <c r="N303" s="70">
        <v>0</v>
      </c>
      <c r="O303" s="60"/>
      <c r="P303" s="72">
        <v>0.78700000000000003</v>
      </c>
      <c r="Q303" s="72">
        <v>1.968</v>
      </c>
      <c r="R303" s="72"/>
      <c r="S303" s="72"/>
      <c r="T303" s="58">
        <v>45846</v>
      </c>
      <c r="U303" s="60">
        <v>45846</v>
      </c>
      <c r="V303" s="86">
        <v>21</v>
      </c>
      <c r="W303" s="70" t="s">
        <v>718</v>
      </c>
      <c r="X303" s="73"/>
      <c r="Y303" s="70"/>
      <c r="Z303" s="88"/>
      <c r="AA303" s="87"/>
    </row>
    <row r="304" spans="2:27" ht="24.95" customHeight="1" x14ac:dyDescent="0.25">
      <c r="B304" s="69"/>
      <c r="C304" s="70" t="s">
        <v>648</v>
      </c>
      <c r="D304" s="70" t="s">
        <v>561</v>
      </c>
      <c r="E304" s="70" t="s">
        <v>748</v>
      </c>
      <c r="F304" s="70">
        <v>400</v>
      </c>
      <c r="G304" s="70">
        <v>3300</v>
      </c>
      <c r="H304" s="70">
        <v>300</v>
      </c>
      <c r="I304" s="70" t="s">
        <v>46</v>
      </c>
      <c r="J304" s="70" t="s">
        <v>45</v>
      </c>
      <c r="K304" s="70" t="s">
        <v>168</v>
      </c>
      <c r="L304" s="71" t="s">
        <v>47</v>
      </c>
      <c r="M304" s="60">
        <v>45827</v>
      </c>
      <c r="N304" s="70">
        <v>0</v>
      </c>
      <c r="O304" s="60"/>
      <c r="P304" s="72">
        <v>0.77200000000000002</v>
      </c>
      <c r="Q304" s="72">
        <v>1.93</v>
      </c>
      <c r="R304" s="72"/>
      <c r="S304" s="72"/>
      <c r="T304" s="58">
        <v>45846</v>
      </c>
      <c r="U304" s="60">
        <v>45847</v>
      </c>
      <c r="V304" s="86">
        <v>21</v>
      </c>
      <c r="W304" s="70" t="s">
        <v>722</v>
      </c>
      <c r="X304" s="73"/>
      <c r="Y304" s="70"/>
      <c r="Z304" s="88"/>
      <c r="AA304" s="87"/>
    </row>
    <row r="305" spans="2:27" ht="24.95" customHeight="1" x14ac:dyDescent="0.25">
      <c r="B305" s="26"/>
      <c r="C305" s="131" t="s">
        <v>649</v>
      </c>
      <c r="D305" s="27" t="s">
        <v>561</v>
      </c>
      <c r="E305" s="27" t="s">
        <v>748</v>
      </c>
      <c r="F305" s="28">
        <v>400</v>
      </c>
      <c r="G305" s="28">
        <v>2900</v>
      </c>
      <c r="H305" s="28">
        <v>300</v>
      </c>
      <c r="I305" s="28" t="s">
        <v>46</v>
      </c>
      <c r="J305" s="28" t="s">
        <v>45</v>
      </c>
      <c r="K305" s="28" t="s">
        <v>168</v>
      </c>
      <c r="L305" s="29" t="s">
        <v>47</v>
      </c>
      <c r="M305" s="30">
        <v>45827</v>
      </c>
      <c r="N305" s="28">
        <v>0</v>
      </c>
      <c r="O305" s="30"/>
      <c r="P305" s="31">
        <v>0.73</v>
      </c>
      <c r="Q305" s="31">
        <v>1.825</v>
      </c>
      <c r="R305" s="31"/>
      <c r="S305" s="31"/>
      <c r="T305" s="95">
        <v>45853</v>
      </c>
      <c r="U305" s="30">
        <v>45856</v>
      </c>
      <c r="V305" s="10">
        <v>21</v>
      </c>
      <c r="W305" s="28" t="s">
        <v>723</v>
      </c>
      <c r="X305" s="32"/>
      <c r="Y305" s="28"/>
      <c r="Z305" s="54"/>
    </row>
    <row r="306" spans="2:27" ht="24.95" customHeight="1" x14ac:dyDescent="0.25">
      <c r="B306" s="69"/>
      <c r="C306" s="70" t="s">
        <v>650</v>
      </c>
      <c r="D306" s="70" t="s">
        <v>561</v>
      </c>
      <c r="E306" s="70" t="s">
        <v>748</v>
      </c>
      <c r="F306" s="70">
        <v>4231</v>
      </c>
      <c r="G306" s="70">
        <v>1785</v>
      </c>
      <c r="H306" s="70">
        <v>120</v>
      </c>
      <c r="I306" s="70" t="s">
        <v>18</v>
      </c>
      <c r="J306" s="70"/>
      <c r="K306" s="70"/>
      <c r="L306" s="71" t="s">
        <v>47</v>
      </c>
      <c r="M306" s="60">
        <v>45827</v>
      </c>
      <c r="N306" s="70">
        <v>0</v>
      </c>
      <c r="O306" s="60"/>
      <c r="P306" s="72">
        <v>0.90600000000000003</v>
      </c>
      <c r="Q306" s="72">
        <v>2.2650000000000001</v>
      </c>
      <c r="R306" s="72"/>
      <c r="S306" s="72"/>
      <c r="T306" s="58">
        <v>45846</v>
      </c>
      <c r="U306" s="60">
        <v>45846</v>
      </c>
      <c r="V306" s="86">
        <v>21</v>
      </c>
      <c r="W306" s="70" t="s">
        <v>719</v>
      </c>
      <c r="X306" s="73"/>
      <c r="Y306" s="70"/>
      <c r="Z306" s="88"/>
      <c r="AA306" s="87"/>
    </row>
    <row r="307" spans="2:27" ht="24.95" customHeight="1" x14ac:dyDescent="0.25">
      <c r="B307" s="69"/>
      <c r="C307" s="70" t="s">
        <v>651</v>
      </c>
      <c r="D307" s="70" t="s">
        <v>561</v>
      </c>
      <c r="E307" s="70" t="s">
        <v>748</v>
      </c>
      <c r="F307" s="70">
        <v>400</v>
      </c>
      <c r="G307" s="70">
        <v>2880</v>
      </c>
      <c r="H307" s="70">
        <v>300</v>
      </c>
      <c r="I307" s="70" t="s">
        <v>46</v>
      </c>
      <c r="J307" s="70" t="s">
        <v>681</v>
      </c>
      <c r="K307" s="70" t="s">
        <v>167</v>
      </c>
      <c r="L307" s="71" t="s">
        <v>47</v>
      </c>
      <c r="M307" s="60">
        <v>45827</v>
      </c>
      <c r="N307" s="70">
        <v>0</v>
      </c>
      <c r="O307" s="60"/>
      <c r="P307" s="72">
        <v>0.68600000000000005</v>
      </c>
      <c r="Q307" s="72">
        <v>1.7150000000000001</v>
      </c>
      <c r="R307" s="72"/>
      <c r="S307" s="72"/>
      <c r="T307" s="58">
        <v>45846</v>
      </c>
      <c r="U307" s="60">
        <v>45847</v>
      </c>
      <c r="V307" s="86">
        <v>21</v>
      </c>
      <c r="W307" s="70" t="s">
        <v>724</v>
      </c>
      <c r="X307" s="73" t="s">
        <v>682</v>
      </c>
      <c r="Y307" s="70"/>
      <c r="Z307" s="88"/>
      <c r="AA307" s="87"/>
    </row>
    <row r="308" spans="2:27" ht="24.95" customHeight="1" x14ac:dyDescent="0.25">
      <c r="B308" s="69"/>
      <c r="C308" s="70" t="s">
        <v>652</v>
      </c>
      <c r="D308" s="70" t="s">
        <v>561</v>
      </c>
      <c r="E308" s="70" t="s">
        <v>748</v>
      </c>
      <c r="F308" s="70">
        <v>5459</v>
      </c>
      <c r="G308" s="70">
        <v>2380</v>
      </c>
      <c r="H308" s="70">
        <v>120</v>
      </c>
      <c r="I308" s="70" t="s">
        <v>18</v>
      </c>
      <c r="J308" s="70"/>
      <c r="K308" s="70"/>
      <c r="L308" s="71" t="s">
        <v>47</v>
      </c>
      <c r="M308" s="60">
        <v>45827</v>
      </c>
      <c r="N308" s="70">
        <v>0</v>
      </c>
      <c r="O308" s="60"/>
      <c r="P308" s="72">
        <v>1.5580000000000001</v>
      </c>
      <c r="Q308" s="72">
        <v>3.8959999999999999</v>
      </c>
      <c r="R308" s="72"/>
      <c r="S308" s="72"/>
      <c r="T308" s="58">
        <v>45846</v>
      </c>
      <c r="U308" s="60">
        <v>45846</v>
      </c>
      <c r="V308" s="86">
        <v>21</v>
      </c>
      <c r="W308" s="70" t="s">
        <v>720</v>
      </c>
      <c r="X308" s="73"/>
      <c r="Y308" s="70"/>
      <c r="Z308" s="88"/>
      <c r="AA308" s="87"/>
    </row>
    <row r="309" spans="2:27" ht="24.95" customHeight="1" x14ac:dyDescent="0.25">
      <c r="B309" s="69"/>
      <c r="C309" s="70" t="s">
        <v>653</v>
      </c>
      <c r="D309" s="70" t="s">
        <v>561</v>
      </c>
      <c r="E309" s="70" t="s">
        <v>748</v>
      </c>
      <c r="F309" s="70">
        <v>400</v>
      </c>
      <c r="G309" s="70">
        <v>3180</v>
      </c>
      <c r="H309" s="70">
        <v>300</v>
      </c>
      <c r="I309" s="70" t="s">
        <v>46</v>
      </c>
      <c r="J309" s="70" t="s">
        <v>53</v>
      </c>
      <c r="K309" s="70" t="s">
        <v>168</v>
      </c>
      <c r="L309" s="71" t="s">
        <v>47</v>
      </c>
      <c r="M309" s="60">
        <v>45827</v>
      </c>
      <c r="N309" s="70">
        <v>0</v>
      </c>
      <c r="O309" s="60"/>
      <c r="P309" s="72">
        <v>0.78700000000000003</v>
      </c>
      <c r="Q309" s="72">
        <v>1.968</v>
      </c>
      <c r="R309" s="72"/>
      <c r="S309" s="72"/>
      <c r="T309" s="58">
        <v>45846</v>
      </c>
      <c r="U309" s="60">
        <v>45847</v>
      </c>
      <c r="V309" s="86">
        <v>21</v>
      </c>
      <c r="W309" s="70" t="s">
        <v>725</v>
      </c>
      <c r="X309" s="73"/>
      <c r="Y309" s="70"/>
      <c r="Z309" s="88"/>
      <c r="AA309" s="87"/>
    </row>
    <row r="310" spans="2:27" ht="24.95" customHeight="1" x14ac:dyDescent="0.25">
      <c r="B310" s="26"/>
      <c r="C310" s="27" t="s">
        <v>654</v>
      </c>
      <c r="D310" s="27" t="s">
        <v>561</v>
      </c>
      <c r="E310" s="27" t="s">
        <v>748</v>
      </c>
      <c r="F310" s="28">
        <v>400</v>
      </c>
      <c r="G310" s="28">
        <v>3060</v>
      </c>
      <c r="H310" s="28">
        <v>300</v>
      </c>
      <c r="I310" s="28" t="s">
        <v>46</v>
      </c>
      <c r="J310" s="28" t="s">
        <v>170</v>
      </c>
      <c r="K310" s="28" t="s">
        <v>168</v>
      </c>
      <c r="L310" s="29" t="s">
        <v>47</v>
      </c>
      <c r="M310" s="30">
        <v>45827</v>
      </c>
      <c r="N310" s="28">
        <v>0</v>
      </c>
      <c r="O310" s="30"/>
      <c r="P310" s="31">
        <v>0.84099999999999997</v>
      </c>
      <c r="Q310" s="31">
        <v>2.1030000000000002</v>
      </c>
      <c r="R310" s="31"/>
      <c r="S310" s="31"/>
      <c r="T310" s="124">
        <v>45854</v>
      </c>
      <c r="U310" s="30">
        <v>45856</v>
      </c>
      <c r="V310" s="10">
        <v>21</v>
      </c>
      <c r="W310" s="28" t="s">
        <v>722</v>
      </c>
      <c r="X310" s="32"/>
      <c r="Y310" s="28"/>
      <c r="Z310" s="54"/>
    </row>
    <row r="311" spans="2:27" x14ac:dyDescent="0.25">
      <c r="B311" s="69"/>
      <c r="C311" s="70" t="s">
        <v>655</v>
      </c>
      <c r="D311" s="70" t="s">
        <v>561</v>
      </c>
      <c r="E311" s="70" t="s">
        <v>748</v>
      </c>
      <c r="F311" s="70">
        <v>5459</v>
      </c>
      <c r="G311" s="70">
        <v>1645</v>
      </c>
      <c r="H311" s="70">
        <v>120</v>
      </c>
      <c r="I311" s="70" t="s">
        <v>18</v>
      </c>
      <c r="J311" s="70"/>
      <c r="K311" s="70"/>
      <c r="L311" s="71" t="s">
        <v>47</v>
      </c>
      <c r="M311" s="60">
        <v>45827</v>
      </c>
      <c r="N311" s="70">
        <v>0</v>
      </c>
      <c r="O311" s="60"/>
      <c r="P311" s="72">
        <v>1.077</v>
      </c>
      <c r="Q311" s="72">
        <v>2.6930000000000001</v>
      </c>
      <c r="R311" s="72"/>
      <c r="S311" s="72"/>
      <c r="T311" s="58">
        <v>45846</v>
      </c>
      <c r="U311" s="60">
        <v>45846</v>
      </c>
      <c r="V311" s="86">
        <v>21</v>
      </c>
      <c r="W311" s="70" t="s">
        <v>721</v>
      </c>
      <c r="X311" s="73"/>
      <c r="Y311" s="70"/>
      <c r="Z311" s="88"/>
      <c r="AA311" s="87"/>
    </row>
    <row r="312" spans="2:27" x14ac:dyDescent="0.25">
      <c r="B312" s="26"/>
      <c r="C312" s="27" t="s">
        <v>656</v>
      </c>
      <c r="D312" s="27" t="s">
        <v>561</v>
      </c>
      <c r="E312" s="27" t="s">
        <v>749</v>
      </c>
      <c r="F312" s="28">
        <v>400</v>
      </c>
      <c r="G312" s="28">
        <v>3480</v>
      </c>
      <c r="H312" s="28">
        <v>300</v>
      </c>
      <c r="I312" s="28" t="s">
        <v>46</v>
      </c>
      <c r="J312" s="28" t="s">
        <v>532</v>
      </c>
      <c r="K312" s="28" t="s">
        <v>168</v>
      </c>
      <c r="L312" s="29" t="s">
        <v>47</v>
      </c>
      <c r="M312" s="30">
        <v>45827</v>
      </c>
      <c r="N312" s="28">
        <v>0</v>
      </c>
      <c r="O312" s="30"/>
      <c r="P312" s="31">
        <v>0.91300000000000003</v>
      </c>
      <c r="Q312" s="31">
        <v>2.2829999999999999</v>
      </c>
      <c r="R312" s="31"/>
      <c r="S312" s="31"/>
      <c r="T312" s="124">
        <v>45854</v>
      </c>
      <c r="U312" s="30">
        <v>45856</v>
      </c>
      <c r="V312" s="10">
        <v>21</v>
      </c>
      <c r="W312" s="28" t="s">
        <v>723</v>
      </c>
      <c r="X312" s="32"/>
      <c r="Y312" s="28"/>
      <c r="Z312" s="54"/>
    </row>
    <row r="313" spans="2:27" x14ac:dyDescent="0.25">
      <c r="B313" s="103"/>
      <c r="C313" s="104" t="s">
        <v>657</v>
      </c>
      <c r="D313" s="104" t="s">
        <v>561</v>
      </c>
      <c r="E313" s="104" t="s">
        <v>749</v>
      </c>
      <c r="F313" s="105">
        <v>400</v>
      </c>
      <c r="G313" s="105">
        <v>3560</v>
      </c>
      <c r="H313" s="105">
        <v>300</v>
      </c>
      <c r="I313" s="105" t="s">
        <v>46</v>
      </c>
      <c r="J313" s="105" t="s">
        <v>532</v>
      </c>
      <c r="K313" s="105" t="s">
        <v>168</v>
      </c>
      <c r="L313" s="106" t="s">
        <v>47</v>
      </c>
      <c r="M313" s="107">
        <v>45827</v>
      </c>
      <c r="N313" s="105">
        <v>0</v>
      </c>
      <c r="O313" s="107"/>
      <c r="P313" s="108">
        <v>0.91800000000000004</v>
      </c>
      <c r="Q313" s="108">
        <v>2.2949999999999999</v>
      </c>
      <c r="R313" s="108"/>
      <c r="S313" s="108"/>
      <c r="T313" s="58">
        <v>45853</v>
      </c>
      <c r="U313" s="107">
        <v>45853</v>
      </c>
      <c r="V313" s="101">
        <v>21</v>
      </c>
      <c r="W313" s="105" t="s">
        <v>722</v>
      </c>
      <c r="X313" s="109"/>
      <c r="Y313" s="105"/>
      <c r="Z313" s="110"/>
      <c r="AA313" s="59"/>
    </row>
    <row r="314" spans="2:27" x14ac:dyDescent="0.25">
      <c r="B314" s="26"/>
      <c r="C314" s="27" t="s">
        <v>658</v>
      </c>
      <c r="D314" s="27" t="s">
        <v>561</v>
      </c>
      <c r="E314" s="27" t="s">
        <v>749</v>
      </c>
      <c r="F314" s="28">
        <v>400</v>
      </c>
      <c r="G314" s="28">
        <v>3480</v>
      </c>
      <c r="H314" s="28">
        <v>300</v>
      </c>
      <c r="I314" s="28" t="s">
        <v>46</v>
      </c>
      <c r="J314" s="28" t="s">
        <v>683</v>
      </c>
      <c r="K314" s="28" t="s">
        <v>168</v>
      </c>
      <c r="L314" s="29" t="s">
        <v>47</v>
      </c>
      <c r="M314" s="30">
        <v>45827</v>
      </c>
      <c r="N314" s="28">
        <v>0</v>
      </c>
      <c r="O314" s="30"/>
      <c r="P314" s="31">
        <v>1.0509999999999999</v>
      </c>
      <c r="Q314" s="31">
        <v>2.6280000000000001</v>
      </c>
      <c r="R314" s="31"/>
      <c r="S314" s="31"/>
      <c r="T314" s="125">
        <v>45854</v>
      </c>
      <c r="U314" s="30">
        <v>45855</v>
      </c>
      <c r="V314" s="10">
        <v>21</v>
      </c>
      <c r="W314" s="28" t="s">
        <v>724</v>
      </c>
      <c r="X314" s="32"/>
      <c r="Y314" s="28"/>
      <c r="Z314" s="54"/>
    </row>
    <row r="315" spans="2:27" x14ac:dyDescent="0.25">
      <c r="B315" s="69"/>
      <c r="C315" s="70" t="s">
        <v>659</v>
      </c>
      <c r="D315" s="70" t="s">
        <v>561</v>
      </c>
      <c r="E315" s="70" t="s">
        <v>749</v>
      </c>
      <c r="F315" s="70">
        <v>4234</v>
      </c>
      <c r="G315" s="70">
        <v>2100</v>
      </c>
      <c r="H315" s="70">
        <v>120</v>
      </c>
      <c r="I315" s="70" t="s">
        <v>18</v>
      </c>
      <c r="J315" s="70"/>
      <c r="K315" s="70"/>
      <c r="L315" s="71" t="s">
        <v>47</v>
      </c>
      <c r="M315" s="60">
        <v>45827</v>
      </c>
      <c r="N315" s="70">
        <v>0</v>
      </c>
      <c r="O315" s="60"/>
      <c r="P315" s="72">
        <v>1.0649999999999999</v>
      </c>
      <c r="Q315" s="72">
        <v>2.6629999999999998</v>
      </c>
      <c r="R315" s="72"/>
      <c r="S315" s="72"/>
      <c r="T315" s="60">
        <v>45847</v>
      </c>
      <c r="U315" s="60">
        <v>45847</v>
      </c>
      <c r="V315" s="86">
        <v>21</v>
      </c>
      <c r="W315" s="70" t="s">
        <v>717</v>
      </c>
      <c r="X315" s="73"/>
      <c r="Y315" s="70"/>
      <c r="Z315" s="88"/>
      <c r="AA315" s="87"/>
    </row>
    <row r="316" spans="2:27" x14ac:dyDescent="0.25">
      <c r="B316" s="69"/>
      <c r="C316" s="70" t="s">
        <v>660</v>
      </c>
      <c r="D316" s="70" t="s">
        <v>561</v>
      </c>
      <c r="E316" s="70" t="s">
        <v>749</v>
      </c>
      <c r="F316" s="70">
        <v>4234</v>
      </c>
      <c r="G316" s="70">
        <v>2100</v>
      </c>
      <c r="H316" s="70">
        <v>120</v>
      </c>
      <c r="I316" s="70" t="s">
        <v>18</v>
      </c>
      <c r="J316" s="70"/>
      <c r="K316" s="70"/>
      <c r="L316" s="71" t="s">
        <v>47</v>
      </c>
      <c r="M316" s="60">
        <v>45827</v>
      </c>
      <c r="N316" s="70">
        <v>0</v>
      </c>
      <c r="O316" s="60"/>
      <c r="P316" s="72">
        <v>1.0660000000000001</v>
      </c>
      <c r="Q316" s="72">
        <v>2.665</v>
      </c>
      <c r="R316" s="72"/>
      <c r="S316" s="72"/>
      <c r="T316" s="60">
        <v>45847</v>
      </c>
      <c r="U316" s="60">
        <v>45847</v>
      </c>
      <c r="V316" s="86">
        <v>21</v>
      </c>
      <c r="W316" s="70" t="s">
        <v>718</v>
      </c>
      <c r="X316" s="73"/>
      <c r="Y316" s="70"/>
      <c r="Z316" s="88"/>
      <c r="AA316" s="87"/>
    </row>
    <row r="317" spans="2:27" x14ac:dyDescent="0.25">
      <c r="B317" s="103"/>
      <c r="C317" s="104" t="s">
        <v>661</v>
      </c>
      <c r="D317" s="104" t="s">
        <v>561</v>
      </c>
      <c r="E317" s="104" t="s">
        <v>749</v>
      </c>
      <c r="F317" s="105">
        <v>400</v>
      </c>
      <c r="G317" s="105">
        <v>3480</v>
      </c>
      <c r="H317" s="105">
        <v>300</v>
      </c>
      <c r="I317" s="105" t="s">
        <v>46</v>
      </c>
      <c r="J317" s="105" t="s">
        <v>536</v>
      </c>
      <c r="K317" s="105" t="s">
        <v>168</v>
      </c>
      <c r="L317" s="106" t="s">
        <v>47</v>
      </c>
      <c r="M317" s="107">
        <v>45827</v>
      </c>
      <c r="N317" s="105">
        <v>0</v>
      </c>
      <c r="O317" s="107"/>
      <c r="P317" s="108">
        <v>0.94499999999999995</v>
      </c>
      <c r="Q317" s="108">
        <v>2.363</v>
      </c>
      <c r="R317" s="108"/>
      <c r="S317" s="108"/>
      <c r="T317" s="58">
        <v>45853</v>
      </c>
      <c r="U317" s="107">
        <v>45853</v>
      </c>
      <c r="V317" s="101">
        <v>21</v>
      </c>
      <c r="W317" s="105" t="s">
        <v>724</v>
      </c>
      <c r="X317" s="109"/>
      <c r="Y317" s="105"/>
      <c r="Z317" s="110"/>
      <c r="AA317" s="59"/>
    </row>
    <row r="318" spans="2:27" x14ac:dyDescent="0.25">
      <c r="B318" s="69"/>
      <c r="C318" s="70" t="s">
        <v>662</v>
      </c>
      <c r="D318" s="70" t="s">
        <v>561</v>
      </c>
      <c r="E318" s="70" t="s">
        <v>749</v>
      </c>
      <c r="F318" s="70">
        <v>4924</v>
      </c>
      <c r="G318" s="70">
        <v>1840</v>
      </c>
      <c r="H318" s="70">
        <v>120</v>
      </c>
      <c r="I318" s="70" t="s">
        <v>18</v>
      </c>
      <c r="J318" s="70"/>
      <c r="K318" s="70"/>
      <c r="L318" s="71" t="s">
        <v>47</v>
      </c>
      <c r="M318" s="60">
        <v>45827</v>
      </c>
      <c r="N318" s="70">
        <v>0</v>
      </c>
      <c r="O318" s="60"/>
      <c r="P318" s="72">
        <v>1.087</v>
      </c>
      <c r="Q318" s="72">
        <v>2.718</v>
      </c>
      <c r="R318" s="72"/>
      <c r="S318" s="72"/>
      <c r="T318" s="60">
        <v>45847</v>
      </c>
      <c r="U318" s="60">
        <v>45847</v>
      </c>
      <c r="V318" s="86">
        <v>21</v>
      </c>
      <c r="W318" s="70" t="s">
        <v>719</v>
      </c>
      <c r="X318" s="73"/>
      <c r="Y318" s="70"/>
      <c r="Z318" s="88"/>
      <c r="AA318" s="87"/>
    </row>
    <row r="319" spans="2:27" x14ac:dyDescent="0.25">
      <c r="B319" s="69"/>
      <c r="C319" s="70" t="s">
        <v>663</v>
      </c>
      <c r="D319" s="70" t="s">
        <v>561</v>
      </c>
      <c r="E319" s="70" t="s">
        <v>749</v>
      </c>
      <c r="F319" s="70">
        <v>4234</v>
      </c>
      <c r="G319" s="70">
        <v>1940</v>
      </c>
      <c r="H319" s="70">
        <v>120</v>
      </c>
      <c r="I319" s="70" t="s">
        <v>18</v>
      </c>
      <c r="J319" s="70"/>
      <c r="K319" s="70"/>
      <c r="L319" s="71" t="s">
        <v>47</v>
      </c>
      <c r="M319" s="60">
        <v>45827</v>
      </c>
      <c r="N319" s="70">
        <v>0</v>
      </c>
      <c r="O319" s="60"/>
      <c r="P319" s="72">
        <v>0.98499999999999999</v>
      </c>
      <c r="Q319" s="72">
        <v>2.4630000000000001</v>
      </c>
      <c r="R319" s="72"/>
      <c r="S319" s="72"/>
      <c r="T319" s="60">
        <v>45847</v>
      </c>
      <c r="U319" s="60">
        <v>45847</v>
      </c>
      <c r="V319" s="86">
        <v>21</v>
      </c>
      <c r="W319" s="70" t="s">
        <v>720</v>
      </c>
      <c r="X319" s="73"/>
      <c r="Y319" s="70"/>
      <c r="Z319" s="88"/>
      <c r="AA319" s="87"/>
    </row>
    <row r="320" spans="2:27" x14ac:dyDescent="0.25">
      <c r="B320" s="103"/>
      <c r="C320" s="104" t="s">
        <v>664</v>
      </c>
      <c r="D320" s="104" t="s">
        <v>561</v>
      </c>
      <c r="E320" s="104" t="s">
        <v>749</v>
      </c>
      <c r="F320" s="105">
        <v>400</v>
      </c>
      <c r="G320" s="105">
        <v>3480</v>
      </c>
      <c r="H320" s="105">
        <v>300</v>
      </c>
      <c r="I320" s="105" t="s">
        <v>46</v>
      </c>
      <c r="J320" s="105" t="s">
        <v>164</v>
      </c>
      <c r="K320" s="105" t="s">
        <v>169</v>
      </c>
      <c r="L320" s="106" t="s">
        <v>47</v>
      </c>
      <c r="M320" s="107">
        <v>45827</v>
      </c>
      <c r="N320" s="105">
        <v>0</v>
      </c>
      <c r="O320" s="107"/>
      <c r="P320" s="108">
        <v>0.77400000000000002</v>
      </c>
      <c r="Q320" s="108">
        <v>1.9350000000000001</v>
      </c>
      <c r="R320" s="108"/>
      <c r="S320" s="108"/>
      <c r="T320" s="58">
        <v>45849</v>
      </c>
      <c r="U320" s="107">
        <v>45849</v>
      </c>
      <c r="V320" s="101">
        <v>21</v>
      </c>
      <c r="W320" s="105" t="s">
        <v>725</v>
      </c>
      <c r="X320" s="109"/>
      <c r="Y320" s="105"/>
      <c r="Z320" s="110"/>
      <c r="AA320" s="59"/>
    </row>
    <row r="321" spans="2:27" x14ac:dyDescent="0.25">
      <c r="B321" s="69"/>
      <c r="C321" s="70" t="s">
        <v>665</v>
      </c>
      <c r="D321" s="70" t="s">
        <v>561</v>
      </c>
      <c r="E321" s="70" t="s">
        <v>749</v>
      </c>
      <c r="F321" s="70">
        <v>4924</v>
      </c>
      <c r="G321" s="70">
        <v>2745</v>
      </c>
      <c r="H321" s="70">
        <v>120</v>
      </c>
      <c r="I321" s="70" t="s">
        <v>18</v>
      </c>
      <c r="J321" s="70"/>
      <c r="K321" s="70"/>
      <c r="L321" s="71" t="s">
        <v>47</v>
      </c>
      <c r="M321" s="60">
        <v>45827</v>
      </c>
      <c r="N321" s="70">
        <v>0</v>
      </c>
      <c r="O321" s="60"/>
      <c r="P321" s="72">
        <v>1.6220000000000001</v>
      </c>
      <c r="Q321" s="72">
        <v>4.0549999999999997</v>
      </c>
      <c r="R321" s="72"/>
      <c r="S321" s="72"/>
      <c r="T321" s="60">
        <v>45847</v>
      </c>
      <c r="U321" s="60">
        <v>45847</v>
      </c>
      <c r="V321" s="86">
        <v>21</v>
      </c>
      <c r="W321" s="70" t="s">
        <v>721</v>
      </c>
      <c r="X321" s="73"/>
      <c r="Y321" s="70"/>
      <c r="Z321" s="88"/>
      <c r="AA321" s="87"/>
    </row>
    <row r="322" spans="2:27" x14ac:dyDescent="0.25">
      <c r="B322" s="26"/>
      <c r="C322" s="27" t="s">
        <v>666</v>
      </c>
      <c r="D322" s="27" t="s">
        <v>561</v>
      </c>
      <c r="E322" s="27" t="s">
        <v>749</v>
      </c>
      <c r="F322" s="28">
        <v>400</v>
      </c>
      <c r="G322" s="28">
        <v>3480</v>
      </c>
      <c r="H322" s="28">
        <v>300</v>
      </c>
      <c r="I322" s="28" t="s">
        <v>46</v>
      </c>
      <c r="J322" s="28" t="s">
        <v>190</v>
      </c>
      <c r="K322" s="28" t="s">
        <v>168</v>
      </c>
      <c r="L322" s="29" t="s">
        <v>47</v>
      </c>
      <c r="M322" s="30">
        <v>45827</v>
      </c>
      <c r="N322" s="28">
        <v>0</v>
      </c>
      <c r="O322" s="30"/>
      <c r="P322" s="31">
        <v>0.94699999999999995</v>
      </c>
      <c r="Q322" s="31">
        <v>2.3679999999999999</v>
      </c>
      <c r="R322" s="31"/>
      <c r="S322" s="31"/>
      <c r="T322" s="36">
        <v>45860</v>
      </c>
      <c r="U322" s="30"/>
      <c r="V322" s="10">
        <v>21</v>
      </c>
      <c r="W322" s="28" t="s">
        <v>722</v>
      </c>
      <c r="X322" s="32"/>
      <c r="Y322" s="5"/>
      <c r="Z322" s="54"/>
    </row>
    <row r="323" spans="2:27" s="2" customFormat="1" ht="24.95" customHeight="1" x14ac:dyDescent="0.25">
      <c r="B323" s="43">
        <v>109</v>
      </c>
      <c r="C323" s="44" t="s">
        <v>363</v>
      </c>
      <c r="D323" s="44" t="s">
        <v>377</v>
      </c>
      <c r="E323" s="44" t="s">
        <v>470</v>
      </c>
      <c r="F323" s="45">
        <v>4538</v>
      </c>
      <c r="G323" s="45">
        <v>368</v>
      </c>
      <c r="H323" s="45">
        <v>120</v>
      </c>
      <c r="I323" s="45" t="s">
        <v>357</v>
      </c>
      <c r="J323" s="45" t="s">
        <v>132</v>
      </c>
      <c r="K323" s="45"/>
      <c r="L323" s="45" t="s">
        <v>378</v>
      </c>
      <c r="M323" s="46">
        <v>45806</v>
      </c>
      <c r="N323" s="45">
        <v>0</v>
      </c>
      <c r="O323" s="46"/>
      <c r="P323" s="47">
        <v>2.2069999999999999</v>
      </c>
      <c r="Q323" s="47">
        <v>5.5179999999999998</v>
      </c>
      <c r="R323" s="47"/>
      <c r="S323" s="47"/>
      <c r="T323" s="36">
        <v>45861</v>
      </c>
      <c r="U323" s="46"/>
      <c r="V323" s="45">
        <v>21</v>
      </c>
      <c r="W323" s="45"/>
      <c r="X323" s="48" t="s">
        <v>288</v>
      </c>
      <c r="Y323" s="5"/>
      <c r="Z323" s="35"/>
    </row>
    <row r="324" spans="2:27" s="2" customFormat="1" ht="24.95" customHeight="1" x14ac:dyDescent="0.25">
      <c r="B324" s="49">
        <v>110</v>
      </c>
      <c r="C324" s="50" t="s">
        <v>364</v>
      </c>
      <c r="D324" s="50" t="s">
        <v>377</v>
      </c>
      <c r="E324" s="50" t="s">
        <v>470</v>
      </c>
      <c r="F324" s="10">
        <v>4538</v>
      </c>
      <c r="G324" s="10">
        <v>3680</v>
      </c>
      <c r="H324" s="10">
        <v>120</v>
      </c>
      <c r="I324" s="10" t="s">
        <v>357</v>
      </c>
      <c r="J324" s="10" t="s">
        <v>132</v>
      </c>
      <c r="K324" s="10"/>
      <c r="L324" s="10" t="s">
        <v>378</v>
      </c>
      <c r="M324" s="51">
        <v>45806</v>
      </c>
      <c r="N324" s="10">
        <v>0</v>
      </c>
      <c r="O324" s="51"/>
      <c r="P324" s="52">
        <v>2.2069999999999999</v>
      </c>
      <c r="Q324" s="52">
        <v>5.5179999999999998</v>
      </c>
      <c r="R324" s="52"/>
      <c r="S324" s="52"/>
      <c r="T324" s="36">
        <v>45862</v>
      </c>
      <c r="U324" s="51"/>
      <c r="V324" s="10">
        <v>21</v>
      </c>
      <c r="W324" s="10"/>
      <c r="X324" s="17" t="s">
        <v>288</v>
      </c>
      <c r="Y324" s="5"/>
      <c r="Z324" s="35"/>
    </row>
    <row r="325" spans="2:27" s="2" customFormat="1" ht="24.95" customHeight="1" x14ac:dyDescent="0.25">
      <c r="B325" s="49">
        <v>111</v>
      </c>
      <c r="C325" s="50" t="s">
        <v>365</v>
      </c>
      <c r="D325" s="50" t="s">
        <v>377</v>
      </c>
      <c r="E325" s="50" t="s">
        <v>471</v>
      </c>
      <c r="F325" s="10">
        <v>2916</v>
      </c>
      <c r="G325" s="10">
        <v>3380</v>
      </c>
      <c r="H325" s="10">
        <v>120</v>
      </c>
      <c r="I325" s="10" t="s">
        <v>356</v>
      </c>
      <c r="J325" s="10" t="s">
        <v>110</v>
      </c>
      <c r="K325" s="10"/>
      <c r="L325" s="10" t="s">
        <v>378</v>
      </c>
      <c r="M325" s="51">
        <v>45806</v>
      </c>
      <c r="N325" s="10">
        <v>0</v>
      </c>
      <c r="O325" s="51"/>
      <c r="P325" s="52">
        <v>1.2390000000000001</v>
      </c>
      <c r="Q325" s="52">
        <v>3.0979999999999999</v>
      </c>
      <c r="R325" s="52"/>
      <c r="S325" s="52"/>
      <c r="T325" s="36">
        <v>45860</v>
      </c>
      <c r="U325" s="51"/>
      <c r="V325" s="10">
        <v>21</v>
      </c>
      <c r="W325" s="10" t="s">
        <v>437</v>
      </c>
      <c r="X325" s="17"/>
      <c r="Y325" s="5"/>
      <c r="Z325" s="35"/>
    </row>
    <row r="326" spans="2:27" s="2" customFormat="1" ht="24.95" customHeight="1" x14ac:dyDescent="0.25">
      <c r="B326" s="49">
        <v>112</v>
      </c>
      <c r="C326" s="50" t="s">
        <v>366</v>
      </c>
      <c r="D326" s="50" t="s">
        <v>377</v>
      </c>
      <c r="E326" s="50" t="s">
        <v>471</v>
      </c>
      <c r="F326" s="10">
        <v>2990</v>
      </c>
      <c r="G326" s="10">
        <v>3380</v>
      </c>
      <c r="H326" s="10">
        <v>120</v>
      </c>
      <c r="I326" s="10" t="s">
        <v>356</v>
      </c>
      <c r="J326" s="10" t="s">
        <v>110</v>
      </c>
      <c r="K326" s="10"/>
      <c r="L326" s="10" t="s">
        <v>378</v>
      </c>
      <c r="M326" s="51">
        <v>45806</v>
      </c>
      <c r="N326" s="10">
        <v>0</v>
      </c>
      <c r="O326" s="51"/>
      <c r="P326" s="52">
        <v>1.296</v>
      </c>
      <c r="Q326" s="52">
        <v>3.24</v>
      </c>
      <c r="R326" s="52"/>
      <c r="S326" s="52"/>
      <c r="T326" s="36">
        <v>45860</v>
      </c>
      <c r="U326" s="51"/>
      <c r="V326" s="10">
        <v>21</v>
      </c>
      <c r="W326" s="10" t="s">
        <v>438</v>
      </c>
      <c r="X326" s="17"/>
      <c r="Y326" s="5"/>
      <c r="Z326" s="35"/>
    </row>
    <row r="327" spans="2:27" s="2" customFormat="1" ht="24.95" customHeight="1" x14ac:dyDescent="0.25">
      <c r="B327" s="49">
        <v>113</v>
      </c>
      <c r="C327" s="50" t="s">
        <v>379</v>
      </c>
      <c r="D327" s="50" t="s">
        <v>377</v>
      </c>
      <c r="E327" s="50" t="s">
        <v>471</v>
      </c>
      <c r="F327" s="10">
        <v>2990</v>
      </c>
      <c r="G327" s="10">
        <v>3380</v>
      </c>
      <c r="H327" s="10">
        <v>120</v>
      </c>
      <c r="I327" s="10" t="s">
        <v>356</v>
      </c>
      <c r="J327" s="10" t="s">
        <v>110</v>
      </c>
      <c r="K327" s="10"/>
      <c r="L327" s="10" t="s">
        <v>378</v>
      </c>
      <c r="M327" s="51">
        <v>45806</v>
      </c>
      <c r="N327" s="10">
        <v>0</v>
      </c>
      <c r="O327" s="51"/>
      <c r="P327" s="52">
        <v>1.296</v>
      </c>
      <c r="Q327" s="52">
        <v>3.24</v>
      </c>
      <c r="R327" s="52"/>
      <c r="S327" s="52"/>
      <c r="T327" s="36">
        <v>45860</v>
      </c>
      <c r="U327" s="51"/>
      <c r="V327" s="10">
        <v>21</v>
      </c>
      <c r="W327" s="10" t="s">
        <v>714</v>
      </c>
      <c r="X327" s="17"/>
      <c r="Y327" s="5"/>
      <c r="Z327" s="35"/>
    </row>
    <row r="328" spans="2:27" s="2" customFormat="1" ht="24.95" customHeight="1" x14ac:dyDescent="0.25">
      <c r="B328" s="49">
        <v>114</v>
      </c>
      <c r="C328" s="50" t="s">
        <v>380</v>
      </c>
      <c r="D328" s="50" t="s">
        <v>377</v>
      </c>
      <c r="E328" s="50" t="s">
        <v>472</v>
      </c>
      <c r="F328" s="10">
        <v>2990</v>
      </c>
      <c r="G328" s="10">
        <v>3380</v>
      </c>
      <c r="H328" s="10">
        <v>120</v>
      </c>
      <c r="I328" s="10" t="s">
        <v>356</v>
      </c>
      <c r="J328" s="10" t="s">
        <v>110</v>
      </c>
      <c r="K328" s="10"/>
      <c r="L328" s="10" t="s">
        <v>378</v>
      </c>
      <c r="M328" s="51">
        <v>45806</v>
      </c>
      <c r="N328" s="10">
        <v>0</v>
      </c>
      <c r="O328" s="51"/>
      <c r="P328" s="52">
        <v>1.296</v>
      </c>
      <c r="Q328" s="52">
        <v>3.24</v>
      </c>
      <c r="R328" s="52"/>
      <c r="S328" s="52"/>
      <c r="T328" s="36">
        <v>45860</v>
      </c>
      <c r="U328" s="51"/>
      <c r="V328" s="10">
        <v>21</v>
      </c>
      <c r="W328" s="10" t="s">
        <v>439</v>
      </c>
      <c r="X328" s="17"/>
      <c r="Y328" s="5"/>
      <c r="Z328" s="35"/>
    </row>
    <row r="329" spans="2:27" s="2" customFormat="1" ht="24.95" customHeight="1" x14ac:dyDescent="0.25">
      <c r="B329" s="49">
        <v>115</v>
      </c>
      <c r="C329" s="50" t="s">
        <v>381</v>
      </c>
      <c r="D329" s="50" t="s">
        <v>377</v>
      </c>
      <c r="E329" s="50" t="s">
        <v>472</v>
      </c>
      <c r="F329" s="10">
        <v>2990</v>
      </c>
      <c r="G329" s="10">
        <v>3380</v>
      </c>
      <c r="H329" s="10">
        <v>120</v>
      </c>
      <c r="I329" s="10" t="s">
        <v>356</v>
      </c>
      <c r="J329" s="10" t="s">
        <v>110</v>
      </c>
      <c r="K329" s="10"/>
      <c r="L329" s="10" t="s">
        <v>378</v>
      </c>
      <c r="M329" s="51">
        <v>45806</v>
      </c>
      <c r="N329" s="10">
        <v>0</v>
      </c>
      <c r="O329" s="51"/>
      <c r="P329" s="52">
        <v>1.296</v>
      </c>
      <c r="Q329" s="52">
        <v>3.24</v>
      </c>
      <c r="R329" s="52"/>
      <c r="S329" s="52"/>
      <c r="T329" s="36">
        <v>45860</v>
      </c>
      <c r="U329" s="51"/>
      <c r="V329" s="10">
        <v>21</v>
      </c>
      <c r="W329" s="10" t="s">
        <v>715</v>
      </c>
      <c r="X329" s="17"/>
      <c r="Y329" s="5"/>
      <c r="Z329" s="35"/>
    </row>
    <row r="330" spans="2:27" s="2" customFormat="1" ht="24.95" customHeight="1" x14ac:dyDescent="0.25">
      <c r="B330" s="49">
        <v>116</v>
      </c>
      <c r="C330" s="50" t="s">
        <v>382</v>
      </c>
      <c r="D330" s="50" t="s">
        <v>377</v>
      </c>
      <c r="E330" s="50" t="s">
        <v>473</v>
      </c>
      <c r="F330" s="10">
        <v>2990</v>
      </c>
      <c r="G330" s="10">
        <v>3380</v>
      </c>
      <c r="H330" s="10">
        <v>120</v>
      </c>
      <c r="I330" s="10" t="s">
        <v>356</v>
      </c>
      <c r="J330" s="10" t="s">
        <v>110</v>
      </c>
      <c r="K330" s="10"/>
      <c r="L330" s="10" t="s">
        <v>378</v>
      </c>
      <c r="M330" s="51">
        <v>45806</v>
      </c>
      <c r="N330" s="10">
        <v>0</v>
      </c>
      <c r="O330" s="51"/>
      <c r="P330" s="52">
        <v>1.296</v>
      </c>
      <c r="Q330" s="52">
        <v>3.24</v>
      </c>
      <c r="R330" s="52"/>
      <c r="S330" s="52"/>
      <c r="T330" s="36">
        <v>45857</v>
      </c>
      <c r="U330" s="51"/>
      <c r="V330" s="10">
        <v>21</v>
      </c>
      <c r="W330" s="10" t="s">
        <v>714</v>
      </c>
      <c r="X330" s="17"/>
      <c r="Y330" s="5"/>
      <c r="Z330" s="35"/>
    </row>
    <row r="331" spans="2:27" s="2" customFormat="1" ht="24.95" customHeight="1" x14ac:dyDescent="0.25">
      <c r="B331" s="49">
        <v>117</v>
      </c>
      <c r="C331" s="50" t="s">
        <v>383</v>
      </c>
      <c r="D331" s="50" t="s">
        <v>377</v>
      </c>
      <c r="E331" s="50" t="s">
        <v>473</v>
      </c>
      <c r="F331" s="10">
        <v>2990</v>
      </c>
      <c r="G331" s="10">
        <v>3380</v>
      </c>
      <c r="H331" s="10">
        <v>120</v>
      </c>
      <c r="I331" s="10" t="s">
        <v>356</v>
      </c>
      <c r="J331" s="10" t="s">
        <v>110</v>
      </c>
      <c r="K331" s="10"/>
      <c r="L331" s="10" t="s">
        <v>378</v>
      </c>
      <c r="M331" s="51">
        <v>45806</v>
      </c>
      <c r="N331" s="10">
        <v>0</v>
      </c>
      <c r="O331" s="51"/>
      <c r="P331" s="52">
        <v>1.296</v>
      </c>
      <c r="Q331" s="52">
        <v>3.24</v>
      </c>
      <c r="R331" s="52"/>
      <c r="S331" s="52"/>
      <c r="T331" s="36">
        <v>45861</v>
      </c>
      <c r="U331" s="51"/>
      <c r="V331" s="10">
        <v>21</v>
      </c>
      <c r="W331" s="10" t="s">
        <v>171</v>
      </c>
      <c r="X331" s="17"/>
      <c r="Y331" s="5"/>
      <c r="Z331" s="35"/>
    </row>
    <row r="332" spans="2:27" s="2" customFormat="1" ht="24.95" customHeight="1" x14ac:dyDescent="0.25">
      <c r="B332" s="49">
        <v>118</v>
      </c>
      <c r="C332" s="50" t="s">
        <v>384</v>
      </c>
      <c r="D332" s="50" t="s">
        <v>377</v>
      </c>
      <c r="E332" s="50" t="s">
        <v>474</v>
      </c>
      <c r="F332" s="10">
        <v>2990</v>
      </c>
      <c r="G332" s="10">
        <v>3380</v>
      </c>
      <c r="H332" s="10">
        <v>120</v>
      </c>
      <c r="I332" s="10" t="s">
        <v>356</v>
      </c>
      <c r="J332" s="10" t="s">
        <v>110</v>
      </c>
      <c r="K332" s="10"/>
      <c r="L332" s="10" t="s">
        <v>378</v>
      </c>
      <c r="M332" s="51">
        <v>45806</v>
      </c>
      <c r="N332" s="10">
        <v>0</v>
      </c>
      <c r="O332" s="51"/>
      <c r="P332" s="52">
        <v>1.296</v>
      </c>
      <c r="Q332" s="52">
        <v>3.24</v>
      </c>
      <c r="R332" s="52"/>
      <c r="S332" s="52"/>
      <c r="T332" s="36">
        <v>45861</v>
      </c>
      <c r="U332" s="51"/>
      <c r="V332" s="10">
        <v>21</v>
      </c>
      <c r="W332" s="10" t="s">
        <v>172</v>
      </c>
      <c r="X332" s="17"/>
      <c r="Y332" s="5"/>
      <c r="Z332" s="35"/>
    </row>
    <row r="333" spans="2:27" s="2" customFormat="1" ht="24.95" customHeight="1" x14ac:dyDescent="0.25">
      <c r="B333" s="49">
        <v>119</v>
      </c>
      <c r="C333" s="50" t="s">
        <v>367</v>
      </c>
      <c r="D333" s="50" t="s">
        <v>377</v>
      </c>
      <c r="E333" s="50" t="s">
        <v>474</v>
      </c>
      <c r="F333" s="10">
        <v>2990</v>
      </c>
      <c r="G333" s="10">
        <v>3380</v>
      </c>
      <c r="H333" s="10">
        <v>120</v>
      </c>
      <c r="I333" s="10" t="s">
        <v>356</v>
      </c>
      <c r="J333" s="10" t="s">
        <v>110</v>
      </c>
      <c r="K333" s="10"/>
      <c r="L333" s="10" t="s">
        <v>378</v>
      </c>
      <c r="M333" s="51">
        <v>45806</v>
      </c>
      <c r="N333" s="10">
        <v>0</v>
      </c>
      <c r="O333" s="51"/>
      <c r="P333" s="52">
        <v>1.296</v>
      </c>
      <c r="Q333" s="52">
        <v>3.24</v>
      </c>
      <c r="R333" s="52"/>
      <c r="S333" s="52"/>
      <c r="T333" s="36">
        <v>45861</v>
      </c>
      <c r="U333" s="51"/>
      <c r="V333" s="10">
        <v>21</v>
      </c>
      <c r="W333" s="10" t="s">
        <v>713</v>
      </c>
      <c r="X333" s="17"/>
      <c r="Y333" s="5"/>
      <c r="Z333" s="35"/>
    </row>
    <row r="334" spans="2:27" s="2" customFormat="1" ht="24.95" customHeight="1" x14ac:dyDescent="0.25">
      <c r="B334" s="49">
        <v>120</v>
      </c>
      <c r="C334" s="50" t="s">
        <v>368</v>
      </c>
      <c r="D334" s="50" t="s">
        <v>377</v>
      </c>
      <c r="E334" s="50" t="s">
        <v>475</v>
      </c>
      <c r="F334" s="10">
        <v>2990</v>
      </c>
      <c r="G334" s="10">
        <v>3680</v>
      </c>
      <c r="H334" s="10">
        <v>120</v>
      </c>
      <c r="I334" s="10" t="s">
        <v>356</v>
      </c>
      <c r="J334" s="10" t="s">
        <v>110</v>
      </c>
      <c r="K334" s="10"/>
      <c r="L334" s="10" t="s">
        <v>378</v>
      </c>
      <c r="M334" s="51">
        <v>45806</v>
      </c>
      <c r="N334" s="10">
        <v>0</v>
      </c>
      <c r="O334" s="51"/>
      <c r="P334" s="52">
        <v>1.448</v>
      </c>
      <c r="Q334" s="52">
        <v>3.62</v>
      </c>
      <c r="R334" s="52"/>
      <c r="S334" s="52"/>
      <c r="T334" s="36">
        <v>45861</v>
      </c>
      <c r="U334" s="51"/>
      <c r="V334" s="10">
        <v>21</v>
      </c>
      <c r="W334" s="10" t="s">
        <v>437</v>
      </c>
      <c r="X334" s="17"/>
      <c r="Y334" s="5"/>
      <c r="Z334" s="35"/>
    </row>
    <row r="335" spans="2:27" s="2" customFormat="1" ht="24.95" customHeight="1" x14ac:dyDescent="0.25">
      <c r="B335" s="49">
        <v>121</v>
      </c>
      <c r="C335" s="50" t="s">
        <v>369</v>
      </c>
      <c r="D335" s="50" t="s">
        <v>377</v>
      </c>
      <c r="E335" s="50" t="s">
        <v>475</v>
      </c>
      <c r="F335" s="10">
        <v>2990</v>
      </c>
      <c r="G335" s="10">
        <v>3680</v>
      </c>
      <c r="H335" s="10">
        <v>120</v>
      </c>
      <c r="I335" s="10" t="s">
        <v>356</v>
      </c>
      <c r="J335" s="10" t="s">
        <v>127</v>
      </c>
      <c r="K335" s="10"/>
      <c r="L335" s="10" t="s">
        <v>378</v>
      </c>
      <c r="M335" s="51">
        <v>45806</v>
      </c>
      <c r="N335" s="10">
        <v>0</v>
      </c>
      <c r="O335" s="51"/>
      <c r="P335" s="52">
        <v>1.448</v>
      </c>
      <c r="Q335" s="52">
        <v>3.62</v>
      </c>
      <c r="R335" s="52"/>
      <c r="S335" s="52"/>
      <c r="T335" s="36">
        <v>45861</v>
      </c>
      <c r="U335" s="51"/>
      <c r="V335" s="10">
        <v>21</v>
      </c>
      <c r="W335" s="10" t="s">
        <v>438</v>
      </c>
      <c r="X335" s="17"/>
      <c r="Y335" s="5"/>
      <c r="Z335" s="35"/>
    </row>
    <row r="336" spans="2:27" s="2" customFormat="1" ht="24.95" customHeight="1" x14ac:dyDescent="0.25">
      <c r="B336" s="49">
        <v>122</v>
      </c>
      <c r="C336" s="50" t="s">
        <v>385</v>
      </c>
      <c r="D336" s="50" t="s">
        <v>377</v>
      </c>
      <c r="E336" s="50" t="s">
        <v>476</v>
      </c>
      <c r="F336" s="10">
        <v>2990</v>
      </c>
      <c r="G336" s="10">
        <v>3680</v>
      </c>
      <c r="H336" s="10">
        <v>120</v>
      </c>
      <c r="I336" s="10" t="s">
        <v>356</v>
      </c>
      <c r="J336" s="10" t="s">
        <v>127</v>
      </c>
      <c r="K336" s="10"/>
      <c r="L336" s="10" t="s">
        <v>378</v>
      </c>
      <c r="M336" s="51">
        <v>45806</v>
      </c>
      <c r="N336" s="10">
        <v>0</v>
      </c>
      <c r="O336" s="51"/>
      <c r="P336" s="52">
        <v>1.448</v>
      </c>
      <c r="Q336" s="52">
        <v>3.62</v>
      </c>
      <c r="R336" s="52"/>
      <c r="S336" s="52"/>
      <c r="T336" s="36">
        <v>45859</v>
      </c>
      <c r="U336" s="51"/>
      <c r="V336" s="10">
        <v>21</v>
      </c>
      <c r="W336" s="10" t="s">
        <v>438</v>
      </c>
      <c r="X336" s="17"/>
      <c r="Y336" s="5"/>
      <c r="Z336" s="35"/>
    </row>
    <row r="337" spans="2:26" s="2" customFormat="1" ht="24.95" customHeight="1" x14ac:dyDescent="0.25">
      <c r="B337" s="49">
        <v>123</v>
      </c>
      <c r="C337" s="50" t="s">
        <v>386</v>
      </c>
      <c r="D337" s="50" t="s">
        <v>377</v>
      </c>
      <c r="E337" s="50" t="s">
        <v>476</v>
      </c>
      <c r="F337" s="10">
        <v>2990</v>
      </c>
      <c r="G337" s="10">
        <v>3680</v>
      </c>
      <c r="H337" s="10">
        <v>120</v>
      </c>
      <c r="I337" s="10" t="s">
        <v>356</v>
      </c>
      <c r="J337" s="10" t="s">
        <v>127</v>
      </c>
      <c r="K337" s="10"/>
      <c r="L337" s="10" t="s">
        <v>378</v>
      </c>
      <c r="M337" s="51">
        <v>45806</v>
      </c>
      <c r="N337" s="10">
        <v>0</v>
      </c>
      <c r="O337" s="51"/>
      <c r="P337" s="52">
        <v>1.448</v>
      </c>
      <c r="Q337" s="52">
        <v>3.62</v>
      </c>
      <c r="R337" s="52"/>
      <c r="S337" s="52"/>
      <c r="T337" s="36">
        <v>45859</v>
      </c>
      <c r="U337" s="51"/>
      <c r="V337" s="10">
        <v>21</v>
      </c>
      <c r="W337" s="10" t="s">
        <v>714</v>
      </c>
      <c r="X337" s="17"/>
      <c r="Y337" s="5"/>
      <c r="Z337" s="35"/>
    </row>
    <row r="338" spans="2:26" s="2" customFormat="1" ht="24.95" customHeight="1" x14ac:dyDescent="0.25">
      <c r="B338" s="49">
        <v>124</v>
      </c>
      <c r="C338" s="50" t="s">
        <v>387</v>
      </c>
      <c r="D338" s="50" t="s">
        <v>377</v>
      </c>
      <c r="E338" s="50" t="s">
        <v>477</v>
      </c>
      <c r="F338" s="10">
        <v>2990</v>
      </c>
      <c r="G338" s="10">
        <v>3680</v>
      </c>
      <c r="H338" s="10">
        <v>120</v>
      </c>
      <c r="I338" s="10" t="s">
        <v>356</v>
      </c>
      <c r="J338" s="10" t="s">
        <v>127</v>
      </c>
      <c r="K338" s="10"/>
      <c r="L338" s="10" t="s">
        <v>378</v>
      </c>
      <c r="M338" s="51">
        <v>45806</v>
      </c>
      <c r="N338" s="10">
        <v>0</v>
      </c>
      <c r="O338" s="51"/>
      <c r="P338" s="52">
        <v>1.448</v>
      </c>
      <c r="Q338" s="52">
        <v>3.62</v>
      </c>
      <c r="R338" s="52"/>
      <c r="S338" s="52"/>
      <c r="T338" s="36">
        <v>45859</v>
      </c>
      <c r="U338" s="51"/>
      <c r="V338" s="10">
        <v>21</v>
      </c>
      <c r="W338" s="10" t="s">
        <v>439</v>
      </c>
      <c r="X338" s="17"/>
      <c r="Y338" s="5"/>
      <c r="Z338" s="35"/>
    </row>
    <row r="339" spans="2:26" s="2" customFormat="1" ht="24.95" customHeight="1" x14ac:dyDescent="0.25">
      <c r="B339" s="49">
        <v>125</v>
      </c>
      <c r="C339" s="50" t="s">
        <v>388</v>
      </c>
      <c r="D339" s="50" t="s">
        <v>377</v>
      </c>
      <c r="E339" s="50" t="s">
        <v>477</v>
      </c>
      <c r="F339" s="10">
        <v>2990</v>
      </c>
      <c r="G339" s="10">
        <v>3680</v>
      </c>
      <c r="H339" s="10">
        <v>120</v>
      </c>
      <c r="I339" s="10" t="s">
        <v>356</v>
      </c>
      <c r="J339" s="10" t="s">
        <v>127</v>
      </c>
      <c r="K339" s="10"/>
      <c r="L339" s="10" t="s">
        <v>378</v>
      </c>
      <c r="M339" s="51">
        <v>45806</v>
      </c>
      <c r="N339" s="10">
        <v>0</v>
      </c>
      <c r="O339" s="51"/>
      <c r="P339" s="52">
        <v>1.448</v>
      </c>
      <c r="Q339" s="52">
        <v>3.62</v>
      </c>
      <c r="R339" s="52"/>
      <c r="S339" s="52"/>
      <c r="T339" s="36">
        <v>45859</v>
      </c>
      <c r="U339" s="51"/>
      <c r="V339" s="10">
        <v>21</v>
      </c>
      <c r="W339" s="10" t="s">
        <v>715</v>
      </c>
      <c r="X339" s="17"/>
      <c r="Y339" s="5"/>
      <c r="Z339" s="35"/>
    </row>
    <row r="340" spans="2:26" s="2" customFormat="1" ht="24.95" customHeight="1" x14ac:dyDescent="0.25">
      <c r="B340" s="49">
        <v>126</v>
      </c>
      <c r="C340" s="50" t="s">
        <v>370</v>
      </c>
      <c r="D340" s="50" t="s">
        <v>377</v>
      </c>
      <c r="E340" s="50" t="s">
        <v>478</v>
      </c>
      <c r="F340" s="10">
        <v>4601</v>
      </c>
      <c r="G340" s="10">
        <v>3690</v>
      </c>
      <c r="H340" s="10">
        <v>120</v>
      </c>
      <c r="I340" s="10" t="s">
        <v>357</v>
      </c>
      <c r="J340" s="10" t="s">
        <v>132</v>
      </c>
      <c r="K340" s="10"/>
      <c r="L340" s="10" t="s">
        <v>378</v>
      </c>
      <c r="M340" s="51">
        <v>45806</v>
      </c>
      <c r="N340" s="10">
        <v>0</v>
      </c>
      <c r="O340" s="51"/>
      <c r="P340" s="52">
        <v>2.2069999999999999</v>
      </c>
      <c r="Q340" s="52">
        <v>5.5179999999999998</v>
      </c>
      <c r="R340" s="52"/>
      <c r="S340" s="52"/>
      <c r="T340" s="36">
        <v>45862</v>
      </c>
      <c r="U340" s="51"/>
      <c r="V340" s="10">
        <v>21</v>
      </c>
      <c r="W340" s="10"/>
      <c r="X340" s="17" t="s">
        <v>288</v>
      </c>
      <c r="Y340" s="5"/>
      <c r="Z340" s="35"/>
    </row>
    <row r="341" spans="2:26" s="2" customFormat="1" ht="24.95" customHeight="1" x14ac:dyDescent="0.25">
      <c r="B341" s="49">
        <v>127</v>
      </c>
      <c r="C341" s="50" t="s">
        <v>371</v>
      </c>
      <c r="D341" s="50" t="s">
        <v>377</v>
      </c>
      <c r="E341" s="50" t="s">
        <v>478</v>
      </c>
      <c r="F341" s="10">
        <v>4601</v>
      </c>
      <c r="G341" s="10">
        <v>3690</v>
      </c>
      <c r="H341" s="10">
        <v>120</v>
      </c>
      <c r="I341" s="10" t="s">
        <v>357</v>
      </c>
      <c r="J341" s="10" t="s">
        <v>132</v>
      </c>
      <c r="K341" s="10"/>
      <c r="L341" s="10" t="s">
        <v>378</v>
      </c>
      <c r="M341" s="51">
        <v>45806</v>
      </c>
      <c r="N341" s="10">
        <v>0</v>
      </c>
      <c r="O341" s="51"/>
      <c r="P341" s="52">
        <v>2.2069999999999999</v>
      </c>
      <c r="Q341" s="52">
        <v>5.5179999999999998</v>
      </c>
      <c r="R341" s="52"/>
      <c r="S341" s="52"/>
      <c r="T341" s="36">
        <v>45862</v>
      </c>
      <c r="U341" s="51"/>
      <c r="V341" s="10">
        <v>21</v>
      </c>
      <c r="W341" s="10"/>
      <c r="X341" s="17" t="s">
        <v>288</v>
      </c>
      <c r="Y341" s="5"/>
      <c r="Z341" s="35"/>
    </row>
    <row r="342" spans="2:26" s="2" customFormat="1" ht="24.95" customHeight="1" x14ac:dyDescent="0.25">
      <c r="B342" s="49">
        <v>128</v>
      </c>
      <c r="C342" s="50" t="s">
        <v>372</v>
      </c>
      <c r="D342" s="50" t="s">
        <v>377</v>
      </c>
      <c r="E342" s="50" t="s">
        <v>479</v>
      </c>
      <c r="F342" s="10">
        <v>4413</v>
      </c>
      <c r="G342" s="10">
        <v>3690</v>
      </c>
      <c r="H342" s="10">
        <v>120</v>
      </c>
      <c r="I342" s="10" t="s">
        <v>357</v>
      </c>
      <c r="J342" s="10" t="s">
        <v>132</v>
      </c>
      <c r="K342" s="10"/>
      <c r="L342" s="10" t="s">
        <v>378</v>
      </c>
      <c r="M342" s="51">
        <v>45806</v>
      </c>
      <c r="N342" s="10">
        <v>0</v>
      </c>
      <c r="O342" s="51"/>
      <c r="P342" s="52">
        <v>2.1680000000000001</v>
      </c>
      <c r="Q342" s="52">
        <v>5.42</v>
      </c>
      <c r="R342" s="52"/>
      <c r="S342" s="52"/>
      <c r="T342" s="36">
        <v>45863</v>
      </c>
      <c r="U342" s="51"/>
      <c r="V342" s="10">
        <v>21</v>
      </c>
      <c r="W342" s="10"/>
      <c r="X342" s="17" t="s">
        <v>288</v>
      </c>
      <c r="Y342" s="5"/>
      <c r="Z342" s="35"/>
    </row>
    <row r="343" spans="2:26" s="2" customFormat="1" ht="24.95" customHeight="1" x14ac:dyDescent="0.25">
      <c r="B343" s="49">
        <v>129</v>
      </c>
      <c r="C343" s="50" t="s">
        <v>373</v>
      </c>
      <c r="D343" s="50" t="s">
        <v>377</v>
      </c>
      <c r="E343" s="50" t="s">
        <v>479</v>
      </c>
      <c r="F343" s="10">
        <v>4412</v>
      </c>
      <c r="G343" s="10">
        <v>3690</v>
      </c>
      <c r="H343" s="10">
        <v>120</v>
      </c>
      <c r="I343" s="10" t="s">
        <v>357</v>
      </c>
      <c r="J343" s="10" t="s">
        <v>132</v>
      </c>
      <c r="K343" s="10"/>
      <c r="L343" s="10" t="s">
        <v>378</v>
      </c>
      <c r="M343" s="51">
        <v>45806</v>
      </c>
      <c r="N343" s="10">
        <v>0</v>
      </c>
      <c r="O343" s="51"/>
      <c r="P343" s="52">
        <v>2.1669999999999998</v>
      </c>
      <c r="Q343" s="52">
        <v>5.4180000000000001</v>
      </c>
      <c r="R343" s="52"/>
      <c r="S343" s="52"/>
      <c r="T343" s="36">
        <v>45863</v>
      </c>
      <c r="U343" s="51"/>
      <c r="V343" s="10">
        <v>21</v>
      </c>
      <c r="W343" s="10"/>
      <c r="X343" s="17" t="s">
        <v>288</v>
      </c>
      <c r="Y343" s="5"/>
      <c r="Z343" s="35"/>
    </row>
    <row r="344" spans="2:26" s="2" customFormat="1" ht="24.95" customHeight="1" x14ac:dyDescent="0.25">
      <c r="B344" s="49">
        <v>130</v>
      </c>
      <c r="C344" s="50" t="s">
        <v>374</v>
      </c>
      <c r="D344" s="50" t="s">
        <v>377</v>
      </c>
      <c r="E344" s="50" t="s">
        <v>478</v>
      </c>
      <c r="F344" s="10">
        <v>5975</v>
      </c>
      <c r="G344" s="10">
        <v>3000</v>
      </c>
      <c r="H344" s="10">
        <v>120</v>
      </c>
      <c r="I344" s="10" t="s">
        <v>389</v>
      </c>
      <c r="J344" s="10" t="s">
        <v>110</v>
      </c>
      <c r="K344" s="10"/>
      <c r="L344" s="10" t="s">
        <v>378</v>
      </c>
      <c r="M344" s="51">
        <v>45806</v>
      </c>
      <c r="N344" s="10">
        <v>0</v>
      </c>
      <c r="O344" s="51"/>
      <c r="P344" s="52">
        <v>2.282</v>
      </c>
      <c r="Q344" s="52">
        <v>5.7050000000000001</v>
      </c>
      <c r="R344" s="52"/>
      <c r="S344" s="52"/>
      <c r="T344" s="36"/>
      <c r="U344" s="51"/>
      <c r="V344" s="10">
        <v>21</v>
      </c>
      <c r="W344" s="10"/>
      <c r="X344" s="17"/>
      <c r="Y344" s="5"/>
      <c r="Z344" s="35"/>
    </row>
    <row r="345" spans="2:26" s="2" customFormat="1" ht="24.95" customHeight="1" x14ac:dyDescent="0.25">
      <c r="B345" s="49">
        <v>131</v>
      </c>
      <c r="C345" s="50" t="s">
        <v>390</v>
      </c>
      <c r="D345" s="50" t="s">
        <v>377</v>
      </c>
      <c r="E345" s="50" t="s">
        <v>478</v>
      </c>
      <c r="F345" s="10">
        <v>5975</v>
      </c>
      <c r="G345" s="10">
        <v>3000</v>
      </c>
      <c r="H345" s="10">
        <v>120</v>
      </c>
      <c r="I345" s="10" t="s">
        <v>389</v>
      </c>
      <c r="J345" s="10" t="s">
        <v>110</v>
      </c>
      <c r="K345" s="10"/>
      <c r="L345" s="10" t="s">
        <v>378</v>
      </c>
      <c r="M345" s="51">
        <v>45806</v>
      </c>
      <c r="N345" s="10">
        <v>0</v>
      </c>
      <c r="O345" s="51"/>
      <c r="P345" s="52">
        <v>2.282</v>
      </c>
      <c r="Q345" s="52">
        <v>5.7050000000000001</v>
      </c>
      <c r="R345" s="52"/>
      <c r="S345" s="52"/>
      <c r="T345" s="36"/>
      <c r="U345" s="51"/>
      <c r="V345" s="10">
        <v>21</v>
      </c>
      <c r="W345" s="10"/>
      <c r="X345" s="17"/>
      <c r="Y345" s="5"/>
      <c r="Z345" s="35"/>
    </row>
    <row r="346" spans="2:26" s="2" customFormat="1" ht="24.95" customHeight="1" x14ac:dyDescent="0.25">
      <c r="B346" s="49">
        <v>132</v>
      </c>
      <c r="C346" s="50" t="s">
        <v>375</v>
      </c>
      <c r="D346" s="50" t="s">
        <v>377</v>
      </c>
      <c r="E346" s="50" t="s">
        <v>481</v>
      </c>
      <c r="F346" s="10">
        <v>5975</v>
      </c>
      <c r="G346" s="10">
        <v>3010</v>
      </c>
      <c r="H346" s="10">
        <v>120</v>
      </c>
      <c r="I346" s="10" t="s">
        <v>389</v>
      </c>
      <c r="J346" s="10" t="s">
        <v>110</v>
      </c>
      <c r="K346" s="10"/>
      <c r="L346" s="10" t="s">
        <v>378</v>
      </c>
      <c r="M346" s="51">
        <v>45806</v>
      </c>
      <c r="N346" s="10">
        <v>0</v>
      </c>
      <c r="O346" s="51"/>
      <c r="P346" s="52">
        <v>2.2890000000000001</v>
      </c>
      <c r="Q346" s="52">
        <v>5.7229999999999999</v>
      </c>
      <c r="R346" s="52"/>
      <c r="S346" s="52"/>
      <c r="T346" s="36"/>
      <c r="U346" s="51"/>
      <c r="V346" s="10">
        <v>21</v>
      </c>
      <c r="W346" s="10"/>
      <c r="X346" s="17"/>
      <c r="Y346" s="5"/>
      <c r="Z346" s="35"/>
    </row>
    <row r="347" spans="2:26" s="2" customFormat="1" ht="24.95" customHeight="1" x14ac:dyDescent="0.25">
      <c r="B347" s="49">
        <v>133</v>
      </c>
      <c r="C347" s="50" t="s">
        <v>391</v>
      </c>
      <c r="D347" s="50" t="s">
        <v>377</v>
      </c>
      <c r="E347" s="50" t="s">
        <v>481</v>
      </c>
      <c r="F347" s="10">
        <v>5975</v>
      </c>
      <c r="G347" s="10">
        <v>3010</v>
      </c>
      <c r="H347" s="10">
        <v>120</v>
      </c>
      <c r="I347" s="10" t="s">
        <v>389</v>
      </c>
      <c r="J347" s="10" t="s">
        <v>110</v>
      </c>
      <c r="K347" s="10"/>
      <c r="L347" s="10" t="s">
        <v>378</v>
      </c>
      <c r="M347" s="51">
        <v>45806</v>
      </c>
      <c r="N347" s="10">
        <v>0</v>
      </c>
      <c r="O347" s="51"/>
      <c r="P347" s="52">
        <v>2.2890000000000001</v>
      </c>
      <c r="Q347" s="52">
        <v>5.7229999999999999</v>
      </c>
      <c r="R347" s="52"/>
      <c r="S347" s="52"/>
      <c r="T347" s="36"/>
      <c r="U347" s="51"/>
      <c r="V347" s="10">
        <v>21</v>
      </c>
      <c r="W347" s="10"/>
      <c r="X347" s="17"/>
      <c r="Y347" s="5"/>
      <c r="Z347" s="35"/>
    </row>
    <row r="348" spans="2:26" s="2" customFormat="1" ht="24.95" customHeight="1" x14ac:dyDescent="0.25">
      <c r="B348" s="49">
        <v>134</v>
      </c>
      <c r="C348" s="50" t="s">
        <v>376</v>
      </c>
      <c r="D348" s="50" t="s">
        <v>377</v>
      </c>
      <c r="E348" s="50" t="s">
        <v>480</v>
      </c>
      <c r="F348" s="10">
        <v>2990</v>
      </c>
      <c r="G348" s="10">
        <v>3690</v>
      </c>
      <c r="H348" s="10">
        <v>120</v>
      </c>
      <c r="I348" s="10" t="s">
        <v>356</v>
      </c>
      <c r="J348" s="10" t="s">
        <v>127</v>
      </c>
      <c r="K348" s="10"/>
      <c r="L348" s="10" t="s">
        <v>378</v>
      </c>
      <c r="M348" s="51">
        <v>45806</v>
      </c>
      <c r="N348" s="10">
        <v>0</v>
      </c>
      <c r="O348" s="51"/>
      <c r="P348" s="52">
        <v>1.452</v>
      </c>
      <c r="Q348" s="52">
        <v>3.63</v>
      </c>
      <c r="R348" s="52"/>
      <c r="S348" s="52"/>
      <c r="T348" s="36">
        <v>45859</v>
      </c>
      <c r="U348" s="51"/>
      <c r="V348" s="10">
        <v>21</v>
      </c>
      <c r="W348" s="10" t="s">
        <v>171</v>
      </c>
      <c r="X348" s="17"/>
      <c r="Y348" s="5"/>
      <c r="Z348" s="35"/>
    </row>
    <row r="349" spans="2:26" s="2" customFormat="1" ht="24.95" customHeight="1" x14ac:dyDescent="0.25">
      <c r="B349" s="49">
        <v>135</v>
      </c>
      <c r="C349" s="50" t="s">
        <v>392</v>
      </c>
      <c r="D349" s="50" t="s">
        <v>377</v>
      </c>
      <c r="E349" s="50" t="s">
        <v>480</v>
      </c>
      <c r="F349" s="10">
        <v>2990</v>
      </c>
      <c r="G349" s="10">
        <v>3690</v>
      </c>
      <c r="H349" s="10">
        <v>120</v>
      </c>
      <c r="I349" s="10" t="s">
        <v>356</v>
      </c>
      <c r="J349" s="10" t="s">
        <v>127</v>
      </c>
      <c r="K349" s="10"/>
      <c r="L349" s="10" t="s">
        <v>378</v>
      </c>
      <c r="M349" s="51">
        <v>45806</v>
      </c>
      <c r="N349" s="10">
        <v>0</v>
      </c>
      <c r="O349" s="51"/>
      <c r="P349" s="52">
        <v>1.452</v>
      </c>
      <c r="Q349" s="52">
        <v>3.63</v>
      </c>
      <c r="R349" s="52"/>
      <c r="S349" s="52"/>
      <c r="T349" s="36">
        <v>45859</v>
      </c>
      <c r="U349" s="51"/>
      <c r="V349" s="10">
        <v>21</v>
      </c>
      <c r="W349" s="10" t="s">
        <v>172</v>
      </c>
      <c r="X349" s="17"/>
      <c r="Y349" s="5"/>
      <c r="Z349" s="35"/>
    </row>
    <row r="350" spans="2:26" s="2" customFormat="1" ht="24.95" customHeight="1" x14ac:dyDescent="0.25">
      <c r="B350" s="49">
        <v>136</v>
      </c>
      <c r="C350" s="50" t="s">
        <v>393</v>
      </c>
      <c r="D350" s="50" t="s">
        <v>377</v>
      </c>
      <c r="E350" s="50" t="s">
        <v>482</v>
      </c>
      <c r="F350" s="10">
        <v>2990</v>
      </c>
      <c r="G350" s="10">
        <v>3690</v>
      </c>
      <c r="H350" s="10">
        <v>120</v>
      </c>
      <c r="I350" s="10" t="s">
        <v>356</v>
      </c>
      <c r="J350" s="10" t="s">
        <v>127</v>
      </c>
      <c r="K350" s="10"/>
      <c r="L350" s="10" t="s">
        <v>378</v>
      </c>
      <c r="M350" s="51">
        <v>45806</v>
      </c>
      <c r="N350" s="10">
        <v>0</v>
      </c>
      <c r="O350" s="51"/>
      <c r="P350" s="52">
        <v>1.452</v>
      </c>
      <c r="Q350" s="52">
        <v>3.63</v>
      </c>
      <c r="R350" s="52"/>
      <c r="S350" s="52"/>
      <c r="T350" s="36">
        <v>45859</v>
      </c>
      <c r="U350" s="51"/>
      <c r="V350" s="10">
        <v>21</v>
      </c>
      <c r="W350" s="10" t="s">
        <v>713</v>
      </c>
      <c r="X350" s="17"/>
      <c r="Y350" s="5"/>
      <c r="Z350" s="35"/>
    </row>
    <row r="351" spans="2:26" s="2" customFormat="1" ht="24.95" customHeight="1" x14ac:dyDescent="0.25">
      <c r="B351" s="49">
        <v>137</v>
      </c>
      <c r="C351" s="50" t="s">
        <v>394</v>
      </c>
      <c r="D351" s="50" t="s">
        <v>377</v>
      </c>
      <c r="E351" s="50" t="s">
        <v>482</v>
      </c>
      <c r="F351" s="10">
        <v>2990</v>
      </c>
      <c r="G351" s="10">
        <v>3690</v>
      </c>
      <c r="H351" s="10">
        <v>120</v>
      </c>
      <c r="I351" s="10" t="s">
        <v>356</v>
      </c>
      <c r="J351" s="10" t="s">
        <v>127</v>
      </c>
      <c r="K351" s="10"/>
      <c r="L351" s="10" t="s">
        <v>378</v>
      </c>
      <c r="M351" s="51">
        <v>45806</v>
      </c>
      <c r="N351" s="10">
        <v>0</v>
      </c>
      <c r="O351" s="51"/>
      <c r="P351" s="52">
        <v>1.452</v>
      </c>
      <c r="Q351" s="52">
        <v>3.63</v>
      </c>
      <c r="R351" s="52"/>
      <c r="S351" s="52"/>
      <c r="T351" s="36">
        <v>45859</v>
      </c>
      <c r="U351" s="51"/>
      <c r="V351" s="10">
        <v>21</v>
      </c>
      <c r="W351" s="10" t="s">
        <v>437</v>
      </c>
      <c r="X351" s="17"/>
      <c r="Y351" s="5"/>
      <c r="Z351" s="35"/>
    </row>
    <row r="352" spans="2:26" s="2" customFormat="1" ht="24.95" customHeight="1" x14ac:dyDescent="0.25">
      <c r="B352" s="49">
        <v>138</v>
      </c>
      <c r="C352" s="50" t="s">
        <v>395</v>
      </c>
      <c r="D352" s="50" t="s">
        <v>377</v>
      </c>
      <c r="E352" s="50" t="s">
        <v>483</v>
      </c>
      <c r="F352" s="10">
        <v>2990</v>
      </c>
      <c r="G352" s="10">
        <v>3690</v>
      </c>
      <c r="H352" s="10">
        <v>120</v>
      </c>
      <c r="I352" s="10" t="s">
        <v>356</v>
      </c>
      <c r="J352" s="10" t="s">
        <v>127</v>
      </c>
      <c r="K352" s="10"/>
      <c r="L352" s="10" t="s">
        <v>378</v>
      </c>
      <c r="M352" s="51">
        <v>45806</v>
      </c>
      <c r="N352" s="10">
        <v>0</v>
      </c>
      <c r="O352" s="51"/>
      <c r="P352" s="52">
        <v>1.452</v>
      </c>
      <c r="Q352" s="52">
        <v>3.63</v>
      </c>
      <c r="R352" s="52"/>
      <c r="S352" s="52"/>
      <c r="T352" s="36">
        <v>45861</v>
      </c>
      <c r="U352" s="51"/>
      <c r="V352" s="10">
        <v>21</v>
      </c>
      <c r="W352" s="10" t="s">
        <v>714</v>
      </c>
      <c r="X352" s="17"/>
      <c r="Y352" s="5"/>
      <c r="Z352" s="35"/>
    </row>
    <row r="353" spans="2:26" s="2" customFormat="1" ht="24.95" customHeight="1" x14ac:dyDescent="0.25">
      <c r="B353" s="49">
        <v>139</v>
      </c>
      <c r="C353" s="50" t="s">
        <v>396</v>
      </c>
      <c r="D353" s="50" t="s">
        <v>377</v>
      </c>
      <c r="E353" s="50" t="s">
        <v>483</v>
      </c>
      <c r="F353" s="10">
        <v>2990</v>
      </c>
      <c r="G353" s="10">
        <v>3690</v>
      </c>
      <c r="H353" s="10">
        <v>120</v>
      </c>
      <c r="I353" s="10" t="s">
        <v>356</v>
      </c>
      <c r="J353" s="10" t="s">
        <v>127</v>
      </c>
      <c r="K353" s="10"/>
      <c r="L353" s="10" t="s">
        <v>378</v>
      </c>
      <c r="M353" s="51">
        <v>45806</v>
      </c>
      <c r="N353" s="10">
        <v>0</v>
      </c>
      <c r="O353" s="51"/>
      <c r="P353" s="52">
        <v>1.452</v>
      </c>
      <c r="Q353" s="52">
        <v>3.63</v>
      </c>
      <c r="R353" s="52"/>
      <c r="S353" s="52"/>
      <c r="T353" s="36">
        <v>45861</v>
      </c>
      <c r="U353" s="51"/>
      <c r="V353" s="10">
        <v>21</v>
      </c>
      <c r="W353" s="10" t="s">
        <v>439</v>
      </c>
      <c r="X353" s="17"/>
      <c r="Y353" s="5"/>
      <c r="Z353" s="35"/>
    </row>
    <row r="354" spans="2:26" s="2" customFormat="1" ht="24.95" customHeight="1" x14ac:dyDescent="0.25">
      <c r="B354" s="49">
        <v>140</v>
      </c>
      <c r="C354" s="50" t="s">
        <v>397</v>
      </c>
      <c r="D354" s="50" t="s">
        <v>377</v>
      </c>
      <c r="E354" s="50" t="s">
        <v>484</v>
      </c>
      <c r="F354" s="10">
        <v>2990</v>
      </c>
      <c r="G354" s="10">
        <v>3690</v>
      </c>
      <c r="H354" s="10">
        <v>120</v>
      </c>
      <c r="I354" s="10" t="s">
        <v>356</v>
      </c>
      <c r="J354" s="10" t="s">
        <v>127</v>
      </c>
      <c r="K354" s="10"/>
      <c r="L354" s="10" t="s">
        <v>378</v>
      </c>
      <c r="M354" s="51">
        <v>45806</v>
      </c>
      <c r="N354" s="10">
        <v>0</v>
      </c>
      <c r="O354" s="51"/>
      <c r="P354" s="52">
        <v>1.452</v>
      </c>
      <c r="Q354" s="52">
        <v>3.63</v>
      </c>
      <c r="R354" s="52"/>
      <c r="S354" s="52"/>
      <c r="T354" s="36">
        <v>45861</v>
      </c>
      <c r="U354" s="51"/>
      <c r="V354" s="10">
        <v>21</v>
      </c>
      <c r="W354" s="10" t="s">
        <v>715</v>
      </c>
      <c r="X354" s="17"/>
      <c r="Y354" s="5"/>
      <c r="Z354" s="35"/>
    </row>
    <row r="355" spans="2:26" s="2" customFormat="1" ht="24.95" customHeight="1" x14ac:dyDescent="0.25">
      <c r="B355" s="49">
        <v>141</v>
      </c>
      <c r="C355" s="50" t="s">
        <v>398</v>
      </c>
      <c r="D355" s="50" t="s">
        <v>377</v>
      </c>
      <c r="E355" s="50" t="s">
        <v>484</v>
      </c>
      <c r="F355" s="10">
        <v>2990</v>
      </c>
      <c r="G355" s="10">
        <v>3690</v>
      </c>
      <c r="H355" s="10">
        <v>120</v>
      </c>
      <c r="I355" s="10" t="s">
        <v>356</v>
      </c>
      <c r="J355" s="10" t="s">
        <v>127</v>
      </c>
      <c r="K355" s="10"/>
      <c r="L355" s="10" t="s">
        <v>378</v>
      </c>
      <c r="M355" s="51">
        <v>45806</v>
      </c>
      <c r="N355" s="10">
        <v>0</v>
      </c>
      <c r="O355" s="51"/>
      <c r="P355" s="52">
        <v>1.452</v>
      </c>
      <c r="Q355" s="52">
        <v>3.63</v>
      </c>
      <c r="R355" s="52"/>
      <c r="S355" s="52"/>
      <c r="T355" s="36">
        <v>45862</v>
      </c>
      <c r="U355" s="51"/>
      <c r="V355" s="10">
        <v>21</v>
      </c>
      <c r="W355" s="10" t="s">
        <v>171</v>
      </c>
      <c r="X355" s="17"/>
      <c r="Y355" s="5"/>
      <c r="Z355" s="35"/>
    </row>
    <row r="356" spans="2:26" s="2" customFormat="1" ht="24.95" customHeight="1" x14ac:dyDescent="0.25">
      <c r="B356" s="49">
        <v>142</v>
      </c>
      <c r="C356" s="50" t="s">
        <v>399</v>
      </c>
      <c r="D356" s="50" t="s">
        <v>377</v>
      </c>
      <c r="E356" s="50" t="s">
        <v>485</v>
      </c>
      <c r="F356" s="10">
        <v>2990</v>
      </c>
      <c r="G356" s="10">
        <v>3690</v>
      </c>
      <c r="H356" s="10">
        <v>120</v>
      </c>
      <c r="I356" s="10" t="s">
        <v>356</v>
      </c>
      <c r="J356" s="10" t="s">
        <v>127</v>
      </c>
      <c r="K356" s="10"/>
      <c r="L356" s="10" t="s">
        <v>378</v>
      </c>
      <c r="M356" s="51">
        <v>45806</v>
      </c>
      <c r="N356" s="10">
        <v>0</v>
      </c>
      <c r="O356" s="51"/>
      <c r="P356" s="52">
        <v>1.452</v>
      </c>
      <c r="Q356" s="52">
        <v>3.63</v>
      </c>
      <c r="R356" s="52"/>
      <c r="S356" s="52"/>
      <c r="T356" s="36">
        <v>45862</v>
      </c>
      <c r="U356" s="51"/>
      <c r="V356" s="10">
        <v>21</v>
      </c>
      <c r="W356" s="10" t="s">
        <v>172</v>
      </c>
      <c r="X356" s="17"/>
      <c r="Y356" s="5"/>
      <c r="Z356" s="35"/>
    </row>
    <row r="357" spans="2:26" s="2" customFormat="1" ht="24.95" customHeight="1" x14ac:dyDescent="0.25">
      <c r="B357" s="49">
        <v>143</v>
      </c>
      <c r="C357" s="50" t="s">
        <v>400</v>
      </c>
      <c r="D357" s="50" t="s">
        <v>377</v>
      </c>
      <c r="E357" s="50" t="s">
        <v>485</v>
      </c>
      <c r="F357" s="10">
        <v>2990</v>
      </c>
      <c r="G357" s="10">
        <v>3690</v>
      </c>
      <c r="H357" s="10">
        <v>120</v>
      </c>
      <c r="I357" s="10" t="s">
        <v>356</v>
      </c>
      <c r="J357" s="10" t="s">
        <v>127</v>
      </c>
      <c r="K357" s="10"/>
      <c r="L357" s="10" t="s">
        <v>378</v>
      </c>
      <c r="M357" s="51">
        <v>45806</v>
      </c>
      <c r="N357" s="10">
        <v>0</v>
      </c>
      <c r="O357" s="51"/>
      <c r="P357" s="52">
        <v>1.452</v>
      </c>
      <c r="Q357" s="52">
        <v>3.63</v>
      </c>
      <c r="R357" s="52"/>
      <c r="S357" s="52"/>
      <c r="T357" s="36">
        <v>45862</v>
      </c>
      <c r="U357" s="51"/>
      <c r="V357" s="10">
        <v>21</v>
      </c>
      <c r="W357" s="10" t="s">
        <v>713</v>
      </c>
      <c r="X357" s="17"/>
      <c r="Y357" s="5"/>
      <c r="Z357" s="35"/>
    </row>
    <row r="358" spans="2:26" s="2" customFormat="1" ht="24.95" customHeight="1" x14ac:dyDescent="0.25">
      <c r="B358" s="49">
        <v>144</v>
      </c>
      <c r="C358" s="50" t="s">
        <v>401</v>
      </c>
      <c r="D358" s="50" t="s">
        <v>377</v>
      </c>
      <c r="E358" s="50" t="s">
        <v>486</v>
      </c>
      <c r="F358" s="10">
        <v>2990</v>
      </c>
      <c r="G358" s="10">
        <v>3690</v>
      </c>
      <c r="H358" s="10">
        <v>120</v>
      </c>
      <c r="I358" s="10" t="s">
        <v>356</v>
      </c>
      <c r="J358" s="10" t="s">
        <v>127</v>
      </c>
      <c r="K358" s="10"/>
      <c r="L358" s="10" t="s">
        <v>378</v>
      </c>
      <c r="M358" s="51">
        <v>45806</v>
      </c>
      <c r="N358" s="10">
        <v>0</v>
      </c>
      <c r="O358" s="51"/>
      <c r="P358" s="52">
        <v>1.452</v>
      </c>
      <c r="Q358" s="52">
        <v>3.63</v>
      </c>
      <c r="R358" s="52"/>
      <c r="S358" s="52"/>
      <c r="T358" s="36">
        <v>45862</v>
      </c>
      <c r="U358" s="51"/>
      <c r="V358" s="10">
        <v>21</v>
      </c>
      <c r="W358" s="10" t="s">
        <v>437</v>
      </c>
      <c r="X358" s="17"/>
      <c r="Y358" s="5"/>
      <c r="Z358" s="35"/>
    </row>
    <row r="359" spans="2:26" s="2" customFormat="1" ht="24.95" customHeight="1" x14ac:dyDescent="0.25">
      <c r="B359" s="49">
        <v>145</v>
      </c>
      <c r="C359" s="50" t="s">
        <v>402</v>
      </c>
      <c r="D359" s="50" t="s">
        <v>377</v>
      </c>
      <c r="E359" s="50" t="s">
        <v>486</v>
      </c>
      <c r="F359" s="10">
        <v>2990</v>
      </c>
      <c r="G359" s="10">
        <v>3690</v>
      </c>
      <c r="H359" s="10">
        <v>120</v>
      </c>
      <c r="I359" s="10" t="s">
        <v>356</v>
      </c>
      <c r="J359" s="10" t="s">
        <v>127</v>
      </c>
      <c r="K359" s="10"/>
      <c r="L359" s="10" t="s">
        <v>378</v>
      </c>
      <c r="M359" s="51">
        <v>45806</v>
      </c>
      <c r="N359" s="10">
        <v>0</v>
      </c>
      <c r="O359" s="51"/>
      <c r="P359" s="52">
        <v>1.452</v>
      </c>
      <c r="Q359" s="52">
        <v>3.63</v>
      </c>
      <c r="R359" s="52"/>
      <c r="S359" s="52"/>
      <c r="T359" s="36">
        <v>45862</v>
      </c>
      <c r="U359" s="51"/>
      <c r="V359" s="10">
        <v>21</v>
      </c>
      <c r="W359" s="10" t="s">
        <v>438</v>
      </c>
      <c r="X359" s="17"/>
      <c r="Y359" s="5"/>
      <c r="Z359" s="35"/>
    </row>
    <row r="360" spans="2:26" s="2" customFormat="1" ht="24.95" customHeight="1" x14ac:dyDescent="0.25">
      <c r="B360" s="49">
        <v>146</v>
      </c>
      <c r="C360" s="50" t="s">
        <v>404</v>
      </c>
      <c r="D360" s="50" t="s">
        <v>377</v>
      </c>
      <c r="E360" s="50" t="s">
        <v>487</v>
      </c>
      <c r="F360" s="10">
        <v>4070</v>
      </c>
      <c r="G360" s="10">
        <v>2950</v>
      </c>
      <c r="H360" s="10">
        <v>120</v>
      </c>
      <c r="I360" s="10" t="s">
        <v>356</v>
      </c>
      <c r="J360" s="10" t="s">
        <v>106</v>
      </c>
      <c r="K360" s="10"/>
      <c r="L360" s="53" t="s">
        <v>40</v>
      </c>
      <c r="M360" s="51">
        <v>45808</v>
      </c>
      <c r="N360" s="10">
        <v>0</v>
      </c>
      <c r="O360" s="51"/>
      <c r="P360" s="52">
        <v>1.504</v>
      </c>
      <c r="Q360" s="52">
        <v>3.76</v>
      </c>
      <c r="R360" s="52"/>
      <c r="S360" s="52"/>
      <c r="T360" s="36">
        <v>45862</v>
      </c>
      <c r="U360" s="51"/>
      <c r="V360" s="10">
        <v>21</v>
      </c>
      <c r="W360" s="10" t="s">
        <v>714</v>
      </c>
      <c r="X360" s="17"/>
      <c r="Y360" s="5"/>
      <c r="Z360" s="35"/>
    </row>
    <row r="361" spans="2:26" s="2" customFormat="1" ht="24.95" customHeight="1" x14ac:dyDescent="0.25">
      <c r="B361" s="49">
        <v>147</v>
      </c>
      <c r="C361" s="50" t="s">
        <v>405</v>
      </c>
      <c r="D361" s="50" t="s">
        <v>377</v>
      </c>
      <c r="E361" s="50" t="s">
        <v>488</v>
      </c>
      <c r="F361" s="10">
        <v>4070</v>
      </c>
      <c r="G361" s="10">
        <v>2950</v>
      </c>
      <c r="H361" s="10">
        <v>120</v>
      </c>
      <c r="I361" s="10" t="s">
        <v>356</v>
      </c>
      <c r="J361" s="10" t="s">
        <v>106</v>
      </c>
      <c r="K361" s="10"/>
      <c r="L361" s="53" t="s">
        <v>40</v>
      </c>
      <c r="M361" s="51">
        <v>45808</v>
      </c>
      <c r="N361" s="10">
        <v>0</v>
      </c>
      <c r="O361" s="51"/>
      <c r="P361" s="52">
        <v>1.504</v>
      </c>
      <c r="Q361" s="52">
        <v>3.76</v>
      </c>
      <c r="R361" s="52"/>
      <c r="S361" s="52"/>
      <c r="T361" s="36">
        <v>45862</v>
      </c>
      <c r="U361" s="51"/>
      <c r="V361" s="10">
        <v>21</v>
      </c>
      <c r="W361" s="10" t="s">
        <v>439</v>
      </c>
      <c r="X361" s="17"/>
      <c r="Y361" s="5"/>
      <c r="Z361" s="35"/>
    </row>
    <row r="362" spans="2:26" s="2" customFormat="1" ht="24.95" customHeight="1" x14ac:dyDescent="0.25">
      <c r="B362" s="49">
        <v>148</v>
      </c>
      <c r="C362" s="50" t="s">
        <v>406</v>
      </c>
      <c r="D362" s="50" t="s">
        <v>377</v>
      </c>
      <c r="E362" s="50" t="s">
        <v>489</v>
      </c>
      <c r="F362" s="10">
        <v>4420</v>
      </c>
      <c r="G362" s="10">
        <v>2950</v>
      </c>
      <c r="H362" s="10">
        <v>120</v>
      </c>
      <c r="I362" s="10" t="s">
        <v>356</v>
      </c>
      <c r="J362" s="10" t="s">
        <v>106</v>
      </c>
      <c r="K362" s="10"/>
      <c r="L362" s="53" t="s">
        <v>40</v>
      </c>
      <c r="M362" s="51">
        <v>45808</v>
      </c>
      <c r="N362" s="10">
        <v>0</v>
      </c>
      <c r="O362" s="51"/>
      <c r="P362" s="52">
        <v>1.5960000000000001</v>
      </c>
      <c r="Q362" s="52">
        <v>3.99</v>
      </c>
      <c r="R362" s="52"/>
      <c r="S362" s="52"/>
      <c r="T362" s="36">
        <v>45862</v>
      </c>
      <c r="U362" s="51"/>
      <c r="V362" s="10">
        <v>21</v>
      </c>
      <c r="W362" s="10" t="s">
        <v>715</v>
      </c>
      <c r="X362" s="17"/>
      <c r="Y362" s="5"/>
      <c r="Z362" s="35"/>
    </row>
    <row r="363" spans="2:26" s="2" customFormat="1" ht="24.95" customHeight="1" x14ac:dyDescent="0.25">
      <c r="B363" s="49">
        <v>149</v>
      </c>
      <c r="C363" s="50" t="s">
        <v>407</v>
      </c>
      <c r="D363" s="50" t="s">
        <v>377</v>
      </c>
      <c r="E363" s="50" t="s">
        <v>490</v>
      </c>
      <c r="F363" s="10">
        <v>4420</v>
      </c>
      <c r="G363" s="10">
        <v>2950</v>
      </c>
      <c r="H363" s="10">
        <v>120</v>
      </c>
      <c r="I363" s="10" t="s">
        <v>356</v>
      </c>
      <c r="J363" s="10" t="s">
        <v>106</v>
      </c>
      <c r="K363" s="10"/>
      <c r="L363" s="53" t="s">
        <v>40</v>
      </c>
      <c r="M363" s="51">
        <v>45808</v>
      </c>
      <c r="N363" s="10">
        <v>0</v>
      </c>
      <c r="O363" s="51"/>
      <c r="P363" s="52">
        <v>1.5960000000000001</v>
      </c>
      <c r="Q363" s="52">
        <v>3.99</v>
      </c>
      <c r="R363" s="52"/>
      <c r="S363" s="52"/>
      <c r="T363" s="36">
        <v>45863</v>
      </c>
      <c r="U363" s="51"/>
      <c r="V363" s="10">
        <v>21</v>
      </c>
      <c r="W363" s="10" t="s">
        <v>171</v>
      </c>
      <c r="X363" s="17"/>
      <c r="Y363" s="5"/>
      <c r="Z363" s="35"/>
    </row>
    <row r="364" spans="2:26" s="2" customFormat="1" ht="24.95" customHeight="1" x14ac:dyDescent="0.25">
      <c r="B364" s="49">
        <v>150</v>
      </c>
      <c r="C364" s="50" t="s">
        <v>408</v>
      </c>
      <c r="D364" s="50" t="s">
        <v>377</v>
      </c>
      <c r="E364" s="50" t="s">
        <v>491</v>
      </c>
      <c r="F364" s="10">
        <v>4420</v>
      </c>
      <c r="G364" s="10">
        <v>2950</v>
      </c>
      <c r="H364" s="10">
        <v>120</v>
      </c>
      <c r="I364" s="10" t="s">
        <v>356</v>
      </c>
      <c r="J364" s="10" t="s">
        <v>106</v>
      </c>
      <c r="K364" s="10"/>
      <c r="L364" s="53" t="s">
        <v>40</v>
      </c>
      <c r="M364" s="51">
        <v>45808</v>
      </c>
      <c r="N364" s="10">
        <v>0</v>
      </c>
      <c r="O364" s="51"/>
      <c r="P364" s="52">
        <v>1.5960000000000001</v>
      </c>
      <c r="Q364" s="52">
        <v>3.99</v>
      </c>
      <c r="R364" s="52"/>
      <c r="S364" s="52"/>
      <c r="T364" s="36">
        <v>45863</v>
      </c>
      <c r="U364" s="51"/>
      <c r="V364" s="10">
        <v>21</v>
      </c>
      <c r="W364" s="10" t="s">
        <v>172</v>
      </c>
      <c r="X364" s="17"/>
      <c r="Y364" s="5"/>
      <c r="Z364" s="35"/>
    </row>
    <row r="365" spans="2:26" s="2" customFormat="1" ht="24.95" customHeight="1" x14ac:dyDescent="0.25">
      <c r="B365" s="49">
        <v>151</v>
      </c>
      <c r="C365" s="50" t="s">
        <v>409</v>
      </c>
      <c r="D365" s="50" t="s">
        <v>377</v>
      </c>
      <c r="E365" s="50" t="s">
        <v>492</v>
      </c>
      <c r="F365" s="10">
        <v>3990</v>
      </c>
      <c r="G365" s="10">
        <v>2950</v>
      </c>
      <c r="H365" s="10">
        <v>120</v>
      </c>
      <c r="I365" s="10" t="s">
        <v>356</v>
      </c>
      <c r="J365" s="10" t="s">
        <v>106</v>
      </c>
      <c r="K365" s="10"/>
      <c r="L365" s="53" t="s">
        <v>40</v>
      </c>
      <c r="M365" s="51">
        <v>45808</v>
      </c>
      <c r="N365" s="10">
        <v>0</v>
      </c>
      <c r="O365" s="51"/>
      <c r="P365" s="52">
        <v>1.4830000000000001</v>
      </c>
      <c r="Q365" s="52">
        <v>3.7080000000000002</v>
      </c>
      <c r="R365" s="52"/>
      <c r="S365" s="52"/>
      <c r="T365" s="36">
        <v>45863</v>
      </c>
      <c r="U365" s="51"/>
      <c r="V365" s="10">
        <v>21</v>
      </c>
      <c r="W365" s="10" t="s">
        <v>713</v>
      </c>
      <c r="X365" s="17"/>
      <c r="Y365" s="5"/>
      <c r="Z365" s="35"/>
    </row>
    <row r="366" spans="2:26" s="2" customFormat="1" ht="24.95" customHeight="1" x14ac:dyDescent="0.25">
      <c r="B366" s="49">
        <v>152</v>
      </c>
      <c r="C366" s="50" t="s">
        <v>410</v>
      </c>
      <c r="D366" s="50" t="s">
        <v>377</v>
      </c>
      <c r="E366" s="50" t="s">
        <v>493</v>
      </c>
      <c r="F366" s="10">
        <v>3990</v>
      </c>
      <c r="G366" s="10">
        <v>2950</v>
      </c>
      <c r="H366" s="10">
        <v>120</v>
      </c>
      <c r="I366" s="10" t="s">
        <v>356</v>
      </c>
      <c r="J366" s="10" t="s">
        <v>106</v>
      </c>
      <c r="K366" s="10"/>
      <c r="L366" s="53" t="s">
        <v>40</v>
      </c>
      <c r="M366" s="51">
        <v>45808</v>
      </c>
      <c r="N366" s="10">
        <v>0</v>
      </c>
      <c r="O366" s="51"/>
      <c r="P366" s="52">
        <v>1.4830000000000001</v>
      </c>
      <c r="Q366" s="52">
        <v>3.7080000000000002</v>
      </c>
      <c r="R366" s="52"/>
      <c r="S366" s="52"/>
      <c r="T366" s="36">
        <v>45863</v>
      </c>
      <c r="U366" s="51"/>
      <c r="V366" s="10">
        <v>21</v>
      </c>
      <c r="W366" s="10" t="s">
        <v>437</v>
      </c>
      <c r="X366" s="17"/>
      <c r="Y366" s="5"/>
      <c r="Z366" s="35"/>
    </row>
    <row r="367" spans="2:26" s="2" customFormat="1" ht="24.95" customHeight="1" x14ac:dyDescent="0.25">
      <c r="B367" s="49">
        <v>153</v>
      </c>
      <c r="C367" s="50" t="s">
        <v>411</v>
      </c>
      <c r="D367" s="50" t="s">
        <v>377</v>
      </c>
      <c r="E367" s="50" t="s">
        <v>494</v>
      </c>
      <c r="F367" s="10">
        <v>3852</v>
      </c>
      <c r="G367" s="10">
        <v>2950</v>
      </c>
      <c r="H367" s="10">
        <v>120</v>
      </c>
      <c r="I367" s="10" t="s">
        <v>356</v>
      </c>
      <c r="J367" s="10" t="s">
        <v>106</v>
      </c>
      <c r="K367" s="10"/>
      <c r="L367" s="53" t="s">
        <v>40</v>
      </c>
      <c r="M367" s="51">
        <v>45808</v>
      </c>
      <c r="N367" s="10">
        <v>0</v>
      </c>
      <c r="O367" s="51"/>
      <c r="P367" s="52">
        <v>1.4470000000000001</v>
      </c>
      <c r="Q367" s="52">
        <v>3.6179999999999999</v>
      </c>
      <c r="R367" s="52"/>
      <c r="S367" s="52"/>
      <c r="T367" s="36">
        <v>45863</v>
      </c>
      <c r="U367" s="51"/>
      <c r="V367" s="10">
        <v>21</v>
      </c>
      <c r="W367" s="10" t="s">
        <v>438</v>
      </c>
      <c r="X367" s="17"/>
      <c r="Y367" s="5"/>
      <c r="Z367" s="35"/>
    </row>
    <row r="368" spans="2:26" s="2" customFormat="1" ht="24.95" customHeight="1" x14ac:dyDescent="0.25">
      <c r="B368" s="49">
        <v>154</v>
      </c>
      <c r="C368" s="50" t="s">
        <v>412</v>
      </c>
      <c r="D368" s="50" t="s">
        <v>377</v>
      </c>
      <c r="E368" s="50" t="s">
        <v>495</v>
      </c>
      <c r="F368" s="10">
        <v>3928</v>
      </c>
      <c r="G368" s="10">
        <v>2950</v>
      </c>
      <c r="H368" s="10">
        <v>120</v>
      </c>
      <c r="I368" s="10" t="s">
        <v>356</v>
      </c>
      <c r="J368" s="10" t="s">
        <v>106</v>
      </c>
      <c r="K368" s="10"/>
      <c r="L368" s="53" t="s">
        <v>40</v>
      </c>
      <c r="M368" s="51">
        <v>45808</v>
      </c>
      <c r="N368" s="10">
        <v>0</v>
      </c>
      <c r="O368" s="51"/>
      <c r="P368" s="52">
        <v>1.4670000000000001</v>
      </c>
      <c r="Q368" s="52">
        <v>3.6680000000000001</v>
      </c>
      <c r="R368" s="52"/>
      <c r="S368" s="52"/>
      <c r="T368" s="36">
        <v>45863</v>
      </c>
      <c r="U368" s="51"/>
      <c r="V368" s="10">
        <v>21</v>
      </c>
      <c r="W368" s="10" t="s">
        <v>714</v>
      </c>
      <c r="X368" s="17"/>
      <c r="Y368" s="5"/>
      <c r="Z368" s="35"/>
    </row>
    <row r="369" spans="2:26" s="2" customFormat="1" ht="24.95" customHeight="1" x14ac:dyDescent="0.25">
      <c r="B369" s="49">
        <v>155</v>
      </c>
      <c r="C369" s="50" t="s">
        <v>413</v>
      </c>
      <c r="D369" s="50" t="s">
        <v>377</v>
      </c>
      <c r="E369" s="50" t="s">
        <v>496</v>
      </c>
      <c r="F369" s="10">
        <v>4270</v>
      </c>
      <c r="G369" s="10">
        <v>2950</v>
      </c>
      <c r="H369" s="10">
        <v>120</v>
      </c>
      <c r="I369" s="10" t="s">
        <v>356</v>
      </c>
      <c r="J369" s="10" t="s">
        <v>106</v>
      </c>
      <c r="K369" s="10"/>
      <c r="L369" s="53" t="s">
        <v>40</v>
      </c>
      <c r="M369" s="51">
        <v>45808</v>
      </c>
      <c r="N369" s="10">
        <v>0</v>
      </c>
      <c r="O369" s="51"/>
      <c r="P369" s="52">
        <v>1.556</v>
      </c>
      <c r="Q369" s="52">
        <v>3.89</v>
      </c>
      <c r="R369" s="52"/>
      <c r="S369" s="52"/>
      <c r="T369" s="36">
        <v>45863</v>
      </c>
      <c r="U369" s="51"/>
      <c r="V369" s="10">
        <v>21</v>
      </c>
      <c r="W369" s="10" t="s">
        <v>439</v>
      </c>
      <c r="X369" s="17"/>
      <c r="Y369" s="5"/>
      <c r="Z369" s="35"/>
    </row>
    <row r="370" spans="2:26" s="2" customFormat="1" ht="24.95" customHeight="1" x14ac:dyDescent="0.25">
      <c r="B370" s="49">
        <v>156</v>
      </c>
      <c r="C370" s="50" t="s">
        <v>414</v>
      </c>
      <c r="D370" s="50" t="s">
        <v>377</v>
      </c>
      <c r="E370" s="50" t="s">
        <v>497</v>
      </c>
      <c r="F370" s="10">
        <v>3914</v>
      </c>
      <c r="G370" s="10">
        <v>2950</v>
      </c>
      <c r="H370" s="10">
        <v>120</v>
      </c>
      <c r="I370" s="10" t="s">
        <v>356</v>
      </c>
      <c r="J370" s="10" t="s">
        <v>106</v>
      </c>
      <c r="K370" s="10"/>
      <c r="L370" s="53" t="s">
        <v>40</v>
      </c>
      <c r="M370" s="51">
        <v>45808</v>
      </c>
      <c r="N370" s="10">
        <v>0</v>
      </c>
      <c r="O370" s="51"/>
      <c r="P370" s="52">
        <v>1.464</v>
      </c>
      <c r="Q370" s="52">
        <v>3.66</v>
      </c>
      <c r="R370" s="52"/>
      <c r="S370" s="52"/>
      <c r="T370" s="36">
        <v>45863</v>
      </c>
      <c r="U370" s="51"/>
      <c r="V370" s="10">
        <v>21</v>
      </c>
      <c r="W370" s="10" t="s">
        <v>715</v>
      </c>
      <c r="X370" s="17"/>
      <c r="Y370" s="5"/>
      <c r="Z370" s="35"/>
    </row>
    <row r="371" spans="2:26" s="2" customFormat="1" ht="24.95" customHeight="1" x14ac:dyDescent="0.25">
      <c r="B371" s="49">
        <v>157</v>
      </c>
      <c r="C371" s="50" t="s">
        <v>415</v>
      </c>
      <c r="D371" s="50" t="s">
        <v>377</v>
      </c>
      <c r="E371" s="50" t="s">
        <v>498</v>
      </c>
      <c r="F371" s="10">
        <v>4258</v>
      </c>
      <c r="G371" s="10">
        <v>3250</v>
      </c>
      <c r="H371" s="10">
        <v>120</v>
      </c>
      <c r="I371" s="10" t="s">
        <v>356</v>
      </c>
      <c r="J371" s="10" t="s">
        <v>106</v>
      </c>
      <c r="K371" s="10"/>
      <c r="L371" s="53" t="s">
        <v>40</v>
      </c>
      <c r="M371" s="51">
        <v>45808</v>
      </c>
      <c r="N371" s="10">
        <v>0</v>
      </c>
      <c r="O371" s="51"/>
      <c r="P371" s="52">
        <v>1.7070000000000001</v>
      </c>
      <c r="Q371" s="52">
        <v>4.2679999999999998</v>
      </c>
      <c r="R371" s="52"/>
      <c r="S371" s="52"/>
      <c r="T371" s="36">
        <v>45864</v>
      </c>
      <c r="U371" s="51"/>
      <c r="V371" s="10">
        <v>21</v>
      </c>
      <c r="W371" s="10" t="s">
        <v>171</v>
      </c>
      <c r="X371" s="17"/>
      <c r="Y371" s="5"/>
      <c r="Z371" s="35"/>
    </row>
    <row r="372" spans="2:26" s="2" customFormat="1" ht="24.95" customHeight="1" x14ac:dyDescent="0.25">
      <c r="B372" s="49">
        <v>158</v>
      </c>
      <c r="C372" s="50" t="s">
        <v>416</v>
      </c>
      <c r="D372" s="50" t="s">
        <v>377</v>
      </c>
      <c r="E372" s="50" t="s">
        <v>499</v>
      </c>
      <c r="F372" s="10">
        <v>3902</v>
      </c>
      <c r="G372" s="10">
        <v>2950</v>
      </c>
      <c r="H372" s="10">
        <v>120</v>
      </c>
      <c r="I372" s="10" t="s">
        <v>356</v>
      </c>
      <c r="J372" s="10" t="s">
        <v>106</v>
      </c>
      <c r="K372" s="10"/>
      <c r="L372" s="53" t="s">
        <v>40</v>
      </c>
      <c r="M372" s="51">
        <v>45808</v>
      </c>
      <c r="N372" s="10">
        <v>0</v>
      </c>
      <c r="O372" s="51"/>
      <c r="P372" s="52">
        <v>1.46</v>
      </c>
      <c r="Q372" s="52">
        <v>3.65</v>
      </c>
      <c r="R372" s="52"/>
      <c r="S372" s="52"/>
      <c r="T372" s="36">
        <v>45864</v>
      </c>
      <c r="U372" s="51"/>
      <c r="V372" s="10">
        <v>21</v>
      </c>
      <c r="W372" s="10" t="s">
        <v>172</v>
      </c>
      <c r="X372" s="17"/>
      <c r="Y372" s="5"/>
      <c r="Z372" s="35"/>
    </row>
    <row r="373" spans="2:26" s="2" customFormat="1" ht="24.95" customHeight="1" x14ac:dyDescent="0.25">
      <c r="B373" s="49">
        <v>159</v>
      </c>
      <c r="C373" s="50" t="s">
        <v>417</v>
      </c>
      <c r="D373" s="50" t="s">
        <v>377</v>
      </c>
      <c r="E373" s="50" t="s">
        <v>500</v>
      </c>
      <c r="F373" s="10">
        <v>4246</v>
      </c>
      <c r="G373" s="10">
        <v>2950</v>
      </c>
      <c r="H373" s="10">
        <v>120</v>
      </c>
      <c r="I373" s="10" t="s">
        <v>356</v>
      </c>
      <c r="J373" s="10" t="s">
        <v>106</v>
      </c>
      <c r="K373" s="10"/>
      <c r="L373" s="53" t="s">
        <v>40</v>
      </c>
      <c r="M373" s="51">
        <v>45808</v>
      </c>
      <c r="N373" s="10">
        <v>0</v>
      </c>
      <c r="O373" s="51"/>
      <c r="P373" s="52">
        <v>1.55</v>
      </c>
      <c r="Q373" s="52">
        <v>3.875</v>
      </c>
      <c r="R373" s="52"/>
      <c r="S373" s="52"/>
      <c r="T373" s="36">
        <v>45864</v>
      </c>
      <c r="U373" s="51"/>
      <c r="V373" s="10">
        <v>21</v>
      </c>
      <c r="W373" s="10" t="s">
        <v>713</v>
      </c>
      <c r="X373" s="17"/>
      <c r="Y373" s="5"/>
      <c r="Z373" s="35"/>
    </row>
    <row r="374" spans="2:26" s="2" customFormat="1" ht="24.95" customHeight="1" x14ac:dyDescent="0.25">
      <c r="B374" s="49">
        <v>160</v>
      </c>
      <c r="C374" s="50" t="s">
        <v>418</v>
      </c>
      <c r="D374" s="50" t="s">
        <v>377</v>
      </c>
      <c r="E374" s="50" t="s">
        <v>501</v>
      </c>
      <c r="F374" s="10">
        <v>3810</v>
      </c>
      <c r="G374" s="10">
        <v>2950</v>
      </c>
      <c r="H374" s="10">
        <v>120</v>
      </c>
      <c r="I374" s="10" t="s">
        <v>356</v>
      </c>
      <c r="J374" s="10" t="s">
        <v>106</v>
      </c>
      <c r="K374" s="10"/>
      <c r="L374" s="53" t="s">
        <v>40</v>
      </c>
      <c r="M374" s="51">
        <v>45808</v>
      </c>
      <c r="N374" s="10">
        <v>0</v>
      </c>
      <c r="O374" s="51"/>
      <c r="P374" s="52">
        <v>1.4359999999999999</v>
      </c>
      <c r="Q374" s="52">
        <v>3.59</v>
      </c>
      <c r="R374" s="52"/>
      <c r="S374" s="52"/>
      <c r="T374" s="36">
        <v>45864</v>
      </c>
      <c r="U374" s="51"/>
      <c r="V374" s="10">
        <v>21</v>
      </c>
      <c r="W374" s="10" t="s">
        <v>437</v>
      </c>
      <c r="X374" s="17"/>
      <c r="Y374" s="5"/>
      <c r="Z374" s="35"/>
    </row>
    <row r="375" spans="2:26" s="2" customFormat="1" ht="24.95" customHeight="1" x14ac:dyDescent="0.25">
      <c r="B375" s="49">
        <v>161</v>
      </c>
      <c r="C375" s="50" t="s">
        <v>419</v>
      </c>
      <c r="D375" s="50" t="s">
        <v>377</v>
      </c>
      <c r="E375" s="50" t="s">
        <v>470</v>
      </c>
      <c r="F375" s="10">
        <v>3990</v>
      </c>
      <c r="G375" s="10">
        <v>2950</v>
      </c>
      <c r="H375" s="10">
        <v>120</v>
      </c>
      <c r="I375" s="10" t="s">
        <v>356</v>
      </c>
      <c r="J375" s="10" t="s">
        <v>106</v>
      </c>
      <c r="K375" s="10"/>
      <c r="L375" s="53" t="s">
        <v>40</v>
      </c>
      <c r="M375" s="51">
        <v>45808</v>
      </c>
      <c r="N375" s="10">
        <v>0</v>
      </c>
      <c r="O375" s="51"/>
      <c r="P375" s="52">
        <v>1.4830000000000001</v>
      </c>
      <c r="Q375" s="52">
        <v>3.7080000000000002</v>
      </c>
      <c r="R375" s="52"/>
      <c r="S375" s="52"/>
      <c r="T375" s="36">
        <v>45864</v>
      </c>
      <c r="U375" s="51"/>
      <c r="V375" s="10">
        <v>21</v>
      </c>
      <c r="W375" s="10" t="s">
        <v>438</v>
      </c>
      <c r="X375" s="17"/>
      <c r="Y375" s="5"/>
      <c r="Z375" s="35"/>
    </row>
    <row r="376" spans="2:26" s="2" customFormat="1" ht="24.95" customHeight="1" x14ac:dyDescent="0.25">
      <c r="B376" s="49">
        <v>162</v>
      </c>
      <c r="C376" s="50" t="s">
        <v>420</v>
      </c>
      <c r="D376" s="50" t="s">
        <v>377</v>
      </c>
      <c r="E376" s="50" t="s">
        <v>480</v>
      </c>
      <c r="F376" s="10">
        <v>3990</v>
      </c>
      <c r="G376" s="10">
        <v>2950</v>
      </c>
      <c r="H376" s="10">
        <v>120</v>
      </c>
      <c r="I376" s="10" t="s">
        <v>356</v>
      </c>
      <c r="J376" s="10" t="s">
        <v>106</v>
      </c>
      <c r="K376" s="10"/>
      <c r="L376" s="53" t="s">
        <v>40</v>
      </c>
      <c r="M376" s="51">
        <v>45808</v>
      </c>
      <c r="N376" s="10">
        <v>0</v>
      </c>
      <c r="O376" s="51"/>
      <c r="P376" s="52">
        <v>1.4830000000000001</v>
      </c>
      <c r="Q376" s="52">
        <v>3.7080000000000002</v>
      </c>
      <c r="R376" s="52"/>
      <c r="S376" s="52"/>
      <c r="T376" s="36">
        <v>45864</v>
      </c>
      <c r="U376" s="51"/>
      <c r="V376" s="10">
        <v>21</v>
      </c>
      <c r="W376" s="10" t="s">
        <v>714</v>
      </c>
      <c r="X376" s="17"/>
      <c r="Y376" s="5"/>
      <c r="Z376" s="35"/>
    </row>
    <row r="377" spans="2:26" s="2" customFormat="1" ht="24.95" customHeight="1" x14ac:dyDescent="0.25">
      <c r="B377" s="49">
        <v>163</v>
      </c>
      <c r="C377" s="50" t="s">
        <v>421</v>
      </c>
      <c r="D377" s="50" t="s">
        <v>377</v>
      </c>
      <c r="E377" s="50" t="s">
        <v>479</v>
      </c>
      <c r="F377" s="10">
        <v>3990</v>
      </c>
      <c r="G377" s="10">
        <v>2950</v>
      </c>
      <c r="H377" s="10">
        <v>120</v>
      </c>
      <c r="I377" s="10" t="s">
        <v>356</v>
      </c>
      <c r="J377" s="10" t="s">
        <v>106</v>
      </c>
      <c r="K377" s="10"/>
      <c r="L377" s="53" t="s">
        <v>40</v>
      </c>
      <c r="M377" s="51">
        <v>45808</v>
      </c>
      <c r="N377" s="10">
        <v>0</v>
      </c>
      <c r="O377" s="51"/>
      <c r="P377" s="52">
        <v>1.4830000000000001</v>
      </c>
      <c r="Q377" s="52">
        <v>3.7080000000000002</v>
      </c>
      <c r="R377" s="52"/>
      <c r="S377" s="52"/>
      <c r="T377" s="36">
        <v>45864</v>
      </c>
      <c r="U377" s="51"/>
      <c r="V377" s="10">
        <v>21</v>
      </c>
      <c r="W377" s="10" t="s">
        <v>439</v>
      </c>
      <c r="X377" s="17"/>
      <c r="Y377" s="5"/>
      <c r="Z377" s="35"/>
    </row>
    <row r="378" spans="2:26" s="2" customFormat="1" ht="24.95" customHeight="1" x14ac:dyDescent="0.25">
      <c r="B378" s="49">
        <v>164</v>
      </c>
      <c r="C378" s="50" t="s">
        <v>422</v>
      </c>
      <c r="D378" s="50" t="s">
        <v>377</v>
      </c>
      <c r="E378" s="50" t="s">
        <v>483</v>
      </c>
      <c r="F378" s="10">
        <v>4070</v>
      </c>
      <c r="G378" s="10">
        <v>2950</v>
      </c>
      <c r="H378" s="10">
        <v>120</v>
      </c>
      <c r="I378" s="10" t="s">
        <v>356</v>
      </c>
      <c r="J378" s="10" t="s">
        <v>106</v>
      </c>
      <c r="K378" s="10"/>
      <c r="L378" s="53" t="s">
        <v>40</v>
      </c>
      <c r="M378" s="51">
        <v>45808</v>
      </c>
      <c r="N378" s="10">
        <v>0</v>
      </c>
      <c r="O378" s="51"/>
      <c r="P378" s="52">
        <v>1.504</v>
      </c>
      <c r="Q378" s="52">
        <v>3.76</v>
      </c>
      <c r="R378" s="52"/>
      <c r="S378" s="52"/>
      <c r="T378" s="36">
        <v>45864</v>
      </c>
      <c r="U378" s="51"/>
      <c r="V378" s="10">
        <v>21</v>
      </c>
      <c r="W378" s="10" t="s">
        <v>715</v>
      </c>
      <c r="X378" s="17"/>
      <c r="Y378" s="5"/>
      <c r="Z378" s="35"/>
    </row>
    <row r="379" spans="2:26" s="2" customFormat="1" ht="24.95" customHeight="1" x14ac:dyDescent="0.25">
      <c r="B379" s="49">
        <v>165</v>
      </c>
      <c r="C379" s="50" t="s">
        <v>423</v>
      </c>
      <c r="D379" s="50" t="s">
        <v>377</v>
      </c>
      <c r="E379" s="50" t="s">
        <v>485</v>
      </c>
      <c r="F379" s="10">
        <v>4070</v>
      </c>
      <c r="G379" s="10">
        <v>2950</v>
      </c>
      <c r="H379" s="10">
        <v>120</v>
      </c>
      <c r="I379" s="10" t="s">
        <v>356</v>
      </c>
      <c r="J379" s="10" t="s">
        <v>106</v>
      </c>
      <c r="K379" s="10"/>
      <c r="L379" s="53" t="s">
        <v>40</v>
      </c>
      <c r="M379" s="51">
        <v>45808</v>
      </c>
      <c r="N379" s="10">
        <v>0</v>
      </c>
      <c r="O379" s="51"/>
      <c r="P379" s="52">
        <v>1.504</v>
      </c>
      <c r="Q379" s="52">
        <v>3.76</v>
      </c>
      <c r="R379" s="52"/>
      <c r="S379" s="52"/>
      <c r="T379" s="36"/>
      <c r="U379" s="51"/>
      <c r="V379" s="10">
        <v>21</v>
      </c>
      <c r="W379" s="10"/>
      <c r="X379" s="17"/>
      <c r="Y379" s="5"/>
      <c r="Z379" s="35"/>
    </row>
    <row r="380" spans="2:26" s="2" customFormat="1" ht="24.95" customHeight="1" x14ac:dyDescent="0.25">
      <c r="B380" s="49">
        <v>166</v>
      </c>
      <c r="C380" s="50" t="s">
        <v>424</v>
      </c>
      <c r="D380" s="50" t="s">
        <v>377</v>
      </c>
      <c r="E380" s="50" t="s">
        <v>486</v>
      </c>
      <c r="F380" s="10">
        <v>4420</v>
      </c>
      <c r="G380" s="10">
        <v>2950</v>
      </c>
      <c r="H380" s="10">
        <v>120</v>
      </c>
      <c r="I380" s="10" t="s">
        <v>356</v>
      </c>
      <c r="J380" s="10" t="s">
        <v>106</v>
      </c>
      <c r="K380" s="10"/>
      <c r="L380" s="53" t="s">
        <v>40</v>
      </c>
      <c r="M380" s="51">
        <v>45808</v>
      </c>
      <c r="N380" s="10">
        <v>0</v>
      </c>
      <c r="O380" s="51"/>
      <c r="P380" s="52">
        <v>1.5960000000000001</v>
      </c>
      <c r="Q380" s="52">
        <v>3.99</v>
      </c>
      <c r="R380" s="52"/>
      <c r="S380" s="52"/>
      <c r="T380" s="36"/>
      <c r="U380" s="51"/>
      <c r="V380" s="10">
        <v>21</v>
      </c>
      <c r="W380" s="10"/>
      <c r="X380" s="17"/>
      <c r="Y380" s="5"/>
      <c r="Z380" s="35"/>
    </row>
    <row r="381" spans="2:26" s="2" customFormat="1" ht="24.95" customHeight="1" x14ac:dyDescent="0.25">
      <c r="B381" s="49">
        <v>167</v>
      </c>
      <c r="C381" s="50" t="s">
        <v>425</v>
      </c>
      <c r="D381" s="50" t="s">
        <v>377</v>
      </c>
      <c r="E381" s="50" t="s">
        <v>484</v>
      </c>
      <c r="F381" s="10">
        <v>4420</v>
      </c>
      <c r="G381" s="10">
        <v>2950</v>
      </c>
      <c r="H381" s="10">
        <v>120</v>
      </c>
      <c r="I381" s="10" t="s">
        <v>356</v>
      </c>
      <c r="J381" s="10" t="s">
        <v>106</v>
      </c>
      <c r="K381" s="10"/>
      <c r="L381" s="53" t="s">
        <v>40</v>
      </c>
      <c r="M381" s="51">
        <v>45808</v>
      </c>
      <c r="N381" s="10">
        <v>0</v>
      </c>
      <c r="O381" s="51"/>
      <c r="P381" s="52">
        <v>1.5960000000000001</v>
      </c>
      <c r="Q381" s="52">
        <v>3.99</v>
      </c>
      <c r="R381" s="52"/>
      <c r="S381" s="52"/>
      <c r="T381" s="36"/>
      <c r="U381" s="51"/>
      <c r="V381" s="10">
        <v>21</v>
      </c>
      <c r="W381" s="10"/>
      <c r="X381" s="17"/>
      <c r="Y381" s="5"/>
      <c r="Z381" s="35"/>
    </row>
    <row r="382" spans="2:26" s="2" customFormat="1" ht="24.95" customHeight="1" x14ac:dyDescent="0.25">
      <c r="B382" s="49">
        <v>168</v>
      </c>
      <c r="C382" s="50" t="s">
        <v>426</v>
      </c>
      <c r="D382" s="50" t="s">
        <v>377</v>
      </c>
      <c r="E382" s="50" t="s">
        <v>482</v>
      </c>
      <c r="F382" s="10">
        <v>4420</v>
      </c>
      <c r="G382" s="10">
        <v>2950</v>
      </c>
      <c r="H382" s="10">
        <v>120</v>
      </c>
      <c r="I382" s="10" t="s">
        <v>356</v>
      </c>
      <c r="J382" s="10" t="s">
        <v>106</v>
      </c>
      <c r="K382" s="10"/>
      <c r="L382" s="53" t="s">
        <v>40</v>
      </c>
      <c r="M382" s="51">
        <v>45808</v>
      </c>
      <c r="N382" s="10">
        <v>0</v>
      </c>
      <c r="O382" s="51"/>
      <c r="P382" s="52">
        <v>1.5960000000000001</v>
      </c>
      <c r="Q382" s="52">
        <v>3.99</v>
      </c>
      <c r="R382" s="52"/>
      <c r="S382" s="52"/>
      <c r="T382" s="36"/>
      <c r="U382" s="51"/>
      <c r="V382" s="10">
        <v>21</v>
      </c>
      <c r="W382" s="10"/>
      <c r="X382" s="17"/>
      <c r="Y382" s="5"/>
      <c r="Z382" s="35"/>
    </row>
    <row r="383" spans="2:26" s="2" customFormat="1" ht="24.95" customHeight="1" x14ac:dyDescent="0.25">
      <c r="B383" s="49">
        <v>169</v>
      </c>
      <c r="C383" s="50" t="s">
        <v>427</v>
      </c>
      <c r="D383" s="50" t="s">
        <v>377</v>
      </c>
      <c r="E383" s="50" t="s">
        <v>470</v>
      </c>
      <c r="F383" s="10">
        <v>5975</v>
      </c>
      <c r="G383" s="10">
        <v>3000</v>
      </c>
      <c r="H383" s="10">
        <v>120</v>
      </c>
      <c r="I383" s="10" t="s">
        <v>389</v>
      </c>
      <c r="J383" s="10" t="s">
        <v>110</v>
      </c>
      <c r="K383" s="10"/>
      <c r="L383" s="53" t="s">
        <v>40</v>
      </c>
      <c r="M383" s="51">
        <v>45808</v>
      </c>
      <c r="N383" s="10">
        <v>0</v>
      </c>
      <c r="O383" s="51"/>
      <c r="P383" s="52">
        <v>2.282</v>
      </c>
      <c r="Q383" s="52">
        <v>5.7050000000000001</v>
      </c>
      <c r="R383" s="52"/>
      <c r="S383" s="52"/>
      <c r="T383" s="36"/>
      <c r="U383" s="51"/>
      <c r="V383" s="10">
        <v>21</v>
      </c>
      <c r="W383" s="10"/>
      <c r="X383" s="17"/>
      <c r="Y383" s="5"/>
      <c r="Z383" s="35"/>
    </row>
    <row r="384" spans="2:26" s="2" customFormat="1" ht="24.95" customHeight="1" x14ac:dyDescent="0.25">
      <c r="B384" s="49">
        <v>170</v>
      </c>
      <c r="C384" s="50" t="s">
        <v>428</v>
      </c>
      <c r="D384" s="50" t="s">
        <v>377</v>
      </c>
      <c r="E384" s="50" t="s">
        <v>478</v>
      </c>
      <c r="F384" s="10">
        <v>5975</v>
      </c>
      <c r="G384" s="10">
        <v>3000</v>
      </c>
      <c r="H384" s="10">
        <v>120</v>
      </c>
      <c r="I384" s="10" t="s">
        <v>389</v>
      </c>
      <c r="J384" s="10" t="s">
        <v>110</v>
      </c>
      <c r="K384" s="10"/>
      <c r="L384" s="53" t="s">
        <v>40</v>
      </c>
      <c r="M384" s="51">
        <v>45808</v>
      </c>
      <c r="N384" s="10">
        <v>0</v>
      </c>
      <c r="O384" s="51"/>
      <c r="P384" s="52">
        <v>2.282</v>
      </c>
      <c r="Q384" s="52">
        <v>5.7050000000000001</v>
      </c>
      <c r="R384" s="52"/>
      <c r="S384" s="52"/>
      <c r="T384" s="36"/>
      <c r="U384" s="51"/>
      <c r="V384" s="10">
        <v>21</v>
      </c>
      <c r="W384" s="10"/>
      <c r="X384" s="17"/>
      <c r="Y384" s="5"/>
      <c r="Z384" s="35"/>
    </row>
    <row r="385" spans="2:27" s="2" customFormat="1" ht="24.95" customHeight="1" x14ac:dyDescent="0.25">
      <c r="B385" s="49">
        <v>171</v>
      </c>
      <c r="C385" s="50" t="s">
        <v>429</v>
      </c>
      <c r="D385" s="50" t="s">
        <v>377</v>
      </c>
      <c r="E385" s="50" t="s">
        <v>478</v>
      </c>
      <c r="F385" s="10">
        <v>5975</v>
      </c>
      <c r="G385" s="10">
        <v>3010</v>
      </c>
      <c r="H385" s="10">
        <v>120</v>
      </c>
      <c r="I385" s="10" t="s">
        <v>389</v>
      </c>
      <c r="J385" s="10" t="s">
        <v>110</v>
      </c>
      <c r="K385" s="10"/>
      <c r="L385" s="53" t="s">
        <v>40</v>
      </c>
      <c r="M385" s="51">
        <v>45808</v>
      </c>
      <c r="N385" s="10">
        <v>0</v>
      </c>
      <c r="O385" s="51"/>
      <c r="P385" s="52">
        <v>2.2890000000000001</v>
      </c>
      <c r="Q385" s="52">
        <v>5.7229999999999999</v>
      </c>
      <c r="R385" s="52"/>
      <c r="S385" s="52"/>
      <c r="T385" s="36"/>
      <c r="U385" s="51"/>
      <c r="V385" s="10">
        <v>21</v>
      </c>
      <c r="W385" s="10"/>
      <c r="X385" s="17"/>
      <c r="Y385" s="5"/>
      <c r="Z385" s="35"/>
    </row>
    <row r="386" spans="2:27" s="2" customFormat="1" ht="24.95" customHeight="1" x14ac:dyDescent="0.25">
      <c r="B386" s="49">
        <v>172</v>
      </c>
      <c r="C386" s="50" t="s">
        <v>430</v>
      </c>
      <c r="D386" s="50" t="s">
        <v>377</v>
      </c>
      <c r="E386" s="50" t="s">
        <v>481</v>
      </c>
      <c r="F386" s="10">
        <v>5975</v>
      </c>
      <c r="G386" s="10">
        <v>3010</v>
      </c>
      <c r="H386" s="10">
        <v>120</v>
      </c>
      <c r="I386" s="10" t="s">
        <v>389</v>
      </c>
      <c r="J386" s="10" t="s">
        <v>110</v>
      </c>
      <c r="K386" s="10"/>
      <c r="L386" s="53" t="s">
        <v>40</v>
      </c>
      <c r="M386" s="51">
        <v>45808</v>
      </c>
      <c r="N386" s="10">
        <v>0</v>
      </c>
      <c r="O386" s="51"/>
      <c r="P386" s="52">
        <v>2.2890000000000001</v>
      </c>
      <c r="Q386" s="52">
        <v>5.7229999999999999</v>
      </c>
      <c r="R386" s="52"/>
      <c r="S386" s="52"/>
      <c r="T386" s="36"/>
      <c r="U386" s="51"/>
      <c r="V386" s="10">
        <v>21</v>
      </c>
      <c r="W386" s="10"/>
      <c r="X386" s="17"/>
      <c r="Y386" s="5"/>
      <c r="Z386" s="35"/>
    </row>
    <row r="387" spans="2:27" s="2" customFormat="1" ht="24.95" customHeight="1" x14ac:dyDescent="0.25">
      <c r="B387" s="89">
        <v>173</v>
      </c>
      <c r="C387" s="86" t="s">
        <v>442</v>
      </c>
      <c r="D387" s="86" t="s">
        <v>377</v>
      </c>
      <c r="E387" s="86" t="s">
        <v>492</v>
      </c>
      <c r="F387" s="86">
        <v>4233</v>
      </c>
      <c r="G387" s="86">
        <v>1585</v>
      </c>
      <c r="H387" s="86">
        <v>120</v>
      </c>
      <c r="I387" s="86" t="s">
        <v>18</v>
      </c>
      <c r="J387" s="86"/>
      <c r="K387" s="86"/>
      <c r="L387" s="91" t="s">
        <v>47</v>
      </c>
      <c r="M387" s="92">
        <v>45810</v>
      </c>
      <c r="N387" s="86">
        <v>0</v>
      </c>
      <c r="O387" s="92"/>
      <c r="P387" s="93">
        <v>0.80500000000000005</v>
      </c>
      <c r="Q387" s="93">
        <v>2.0129999999999999</v>
      </c>
      <c r="R387" s="93"/>
      <c r="S387" s="93"/>
      <c r="T387" s="92">
        <v>45819</v>
      </c>
      <c r="U387" s="92">
        <v>45819</v>
      </c>
      <c r="V387" s="86">
        <v>21</v>
      </c>
      <c r="W387" s="86" t="s">
        <v>195</v>
      </c>
      <c r="X387" s="90"/>
      <c r="Y387" s="86"/>
      <c r="Z387" s="85"/>
      <c r="AA387" s="68" t="s">
        <v>504</v>
      </c>
    </row>
    <row r="388" spans="2:27" s="2" customFormat="1" ht="24.95" customHeight="1" x14ac:dyDescent="0.25">
      <c r="B388" s="89">
        <v>174</v>
      </c>
      <c r="C388" s="86" t="s">
        <v>443</v>
      </c>
      <c r="D388" s="86" t="s">
        <v>377</v>
      </c>
      <c r="E388" s="86" t="s">
        <v>479</v>
      </c>
      <c r="F388" s="86">
        <v>4230</v>
      </c>
      <c r="G388" s="86">
        <v>1757</v>
      </c>
      <c r="H388" s="86">
        <v>120</v>
      </c>
      <c r="I388" s="86" t="s">
        <v>18</v>
      </c>
      <c r="J388" s="86"/>
      <c r="K388" s="86"/>
      <c r="L388" s="91" t="s">
        <v>47</v>
      </c>
      <c r="M388" s="92">
        <v>45810</v>
      </c>
      <c r="N388" s="86">
        <v>0</v>
      </c>
      <c r="O388" s="92"/>
      <c r="P388" s="93">
        <v>0.89100000000000001</v>
      </c>
      <c r="Q388" s="93">
        <v>2.2280000000000002</v>
      </c>
      <c r="R388" s="93"/>
      <c r="S388" s="93"/>
      <c r="T388" s="92">
        <v>45819</v>
      </c>
      <c r="U388" s="92">
        <v>45819</v>
      </c>
      <c r="V388" s="86">
        <v>21</v>
      </c>
      <c r="W388" s="86" t="s">
        <v>196</v>
      </c>
      <c r="X388" s="90"/>
      <c r="Y388" s="86"/>
      <c r="Z388" s="85"/>
      <c r="AA388" s="68" t="s">
        <v>504</v>
      </c>
    </row>
    <row r="389" spans="2:27" s="2" customFormat="1" ht="24.95" customHeight="1" x14ac:dyDescent="0.25">
      <c r="B389" s="89">
        <v>175</v>
      </c>
      <c r="C389" s="86" t="s">
        <v>444</v>
      </c>
      <c r="D389" s="86" t="s">
        <v>377</v>
      </c>
      <c r="E389" s="86" t="s">
        <v>492</v>
      </c>
      <c r="F389" s="86">
        <v>4234</v>
      </c>
      <c r="G389" s="86">
        <v>1670</v>
      </c>
      <c r="H389" s="86">
        <v>120</v>
      </c>
      <c r="I389" s="86" t="s">
        <v>18</v>
      </c>
      <c r="J389" s="86"/>
      <c r="K389" s="86"/>
      <c r="L389" s="91" t="s">
        <v>47</v>
      </c>
      <c r="M389" s="92">
        <v>45810</v>
      </c>
      <c r="N389" s="86">
        <v>0</v>
      </c>
      <c r="O389" s="92"/>
      <c r="P389" s="93">
        <v>0.84799999999999998</v>
      </c>
      <c r="Q389" s="93">
        <v>2.12</v>
      </c>
      <c r="R389" s="93"/>
      <c r="S389" s="93"/>
      <c r="T389" s="92">
        <v>45819</v>
      </c>
      <c r="U389" s="92">
        <v>45819</v>
      </c>
      <c r="V389" s="86">
        <v>21</v>
      </c>
      <c r="W389" s="86" t="s">
        <v>505</v>
      </c>
      <c r="X389" s="90"/>
      <c r="Y389" s="86"/>
      <c r="Z389" s="85"/>
      <c r="AA389" s="68" t="s">
        <v>504</v>
      </c>
    </row>
    <row r="390" spans="2:27" s="2" customFormat="1" ht="24.95" customHeight="1" x14ac:dyDescent="0.25">
      <c r="B390" s="89">
        <v>176</v>
      </c>
      <c r="C390" s="86" t="s">
        <v>445</v>
      </c>
      <c r="D390" s="86" t="s">
        <v>377</v>
      </c>
      <c r="E390" s="86" t="s">
        <v>492</v>
      </c>
      <c r="F390" s="86">
        <v>4923</v>
      </c>
      <c r="G390" s="86">
        <v>1490</v>
      </c>
      <c r="H390" s="86">
        <v>120</v>
      </c>
      <c r="I390" s="86" t="s">
        <v>18</v>
      </c>
      <c r="J390" s="86"/>
      <c r="K390" s="86"/>
      <c r="L390" s="91" t="s">
        <v>47</v>
      </c>
      <c r="M390" s="92">
        <v>45810</v>
      </c>
      <c r="N390" s="86">
        <v>0</v>
      </c>
      <c r="O390" s="92"/>
      <c r="P390" s="93">
        <v>0.88</v>
      </c>
      <c r="Q390" s="93">
        <v>2.2000000000000002</v>
      </c>
      <c r="R390" s="93"/>
      <c r="S390" s="93"/>
      <c r="T390" s="92">
        <v>45819</v>
      </c>
      <c r="U390" s="92">
        <v>45819</v>
      </c>
      <c r="V390" s="86">
        <v>21</v>
      </c>
      <c r="W390" s="86" t="s">
        <v>506</v>
      </c>
      <c r="X390" s="90"/>
      <c r="Y390" s="86"/>
      <c r="Z390" s="85"/>
      <c r="AA390" s="68" t="s">
        <v>504</v>
      </c>
    </row>
    <row r="391" spans="2:27" s="2" customFormat="1" ht="24.95" customHeight="1" x14ac:dyDescent="0.25">
      <c r="B391" s="89">
        <v>177</v>
      </c>
      <c r="C391" s="86" t="s">
        <v>446</v>
      </c>
      <c r="D391" s="86" t="s">
        <v>377</v>
      </c>
      <c r="E391" s="86" t="s">
        <v>492</v>
      </c>
      <c r="F391" s="86">
        <v>4923</v>
      </c>
      <c r="G391" s="86">
        <v>2419</v>
      </c>
      <c r="H391" s="86">
        <v>120</v>
      </c>
      <c r="I391" s="86" t="s">
        <v>18</v>
      </c>
      <c r="J391" s="86"/>
      <c r="K391" s="86"/>
      <c r="L391" s="91" t="s">
        <v>47</v>
      </c>
      <c r="M391" s="92">
        <v>45810</v>
      </c>
      <c r="N391" s="86">
        <v>0</v>
      </c>
      <c r="O391" s="92"/>
      <c r="P391" s="93">
        <v>1.429</v>
      </c>
      <c r="Q391" s="93">
        <v>3.573</v>
      </c>
      <c r="R391" s="93"/>
      <c r="S391" s="93"/>
      <c r="T391" s="92">
        <v>45819</v>
      </c>
      <c r="U391" s="92">
        <v>45819</v>
      </c>
      <c r="V391" s="86">
        <v>21</v>
      </c>
      <c r="W391" s="86" t="s">
        <v>507</v>
      </c>
      <c r="X391" s="90"/>
      <c r="Y391" s="86"/>
      <c r="Z391" s="85"/>
      <c r="AA391" s="68" t="s">
        <v>504</v>
      </c>
    </row>
    <row r="392" spans="2:27" s="2" customFormat="1" ht="24.95" customHeight="1" x14ac:dyDescent="0.25">
      <c r="B392" s="89">
        <v>178</v>
      </c>
      <c r="C392" s="86" t="s">
        <v>447</v>
      </c>
      <c r="D392" s="86" t="s">
        <v>377</v>
      </c>
      <c r="E392" s="86" t="s">
        <v>502</v>
      </c>
      <c r="F392" s="86">
        <v>4153</v>
      </c>
      <c r="G392" s="86">
        <v>1790</v>
      </c>
      <c r="H392" s="86">
        <v>120</v>
      </c>
      <c r="I392" s="86" t="s">
        <v>18</v>
      </c>
      <c r="J392" s="86"/>
      <c r="K392" s="86"/>
      <c r="L392" s="91" t="s">
        <v>47</v>
      </c>
      <c r="M392" s="92">
        <v>45810</v>
      </c>
      <c r="N392" s="86">
        <v>0</v>
      </c>
      <c r="O392" s="92"/>
      <c r="P392" s="93">
        <v>0.89200000000000002</v>
      </c>
      <c r="Q392" s="93">
        <v>2.23</v>
      </c>
      <c r="R392" s="93"/>
      <c r="S392" s="93"/>
      <c r="T392" s="58">
        <v>45820</v>
      </c>
      <c r="U392" s="92">
        <v>45821</v>
      </c>
      <c r="V392" s="86">
        <v>21</v>
      </c>
      <c r="W392" s="86" t="s">
        <v>195</v>
      </c>
      <c r="X392" s="90"/>
      <c r="Y392" s="86"/>
      <c r="Z392" s="85"/>
      <c r="AA392" s="68" t="s">
        <v>504</v>
      </c>
    </row>
    <row r="393" spans="2:27" s="2" customFormat="1" ht="24.95" customHeight="1" x14ac:dyDescent="0.25">
      <c r="B393" s="89">
        <v>179</v>
      </c>
      <c r="C393" s="86" t="s">
        <v>448</v>
      </c>
      <c r="D393" s="86" t="s">
        <v>377</v>
      </c>
      <c r="E393" s="86" t="s">
        <v>502</v>
      </c>
      <c r="F393" s="86">
        <v>4152</v>
      </c>
      <c r="G393" s="86">
        <v>1836</v>
      </c>
      <c r="H393" s="86">
        <v>120</v>
      </c>
      <c r="I393" s="86" t="s">
        <v>18</v>
      </c>
      <c r="J393" s="86"/>
      <c r="K393" s="86"/>
      <c r="L393" s="91" t="s">
        <v>47</v>
      </c>
      <c r="M393" s="92">
        <v>45810</v>
      </c>
      <c r="N393" s="86">
        <v>0</v>
      </c>
      <c r="O393" s="92"/>
      <c r="P393" s="93">
        <v>0.91400000000000003</v>
      </c>
      <c r="Q393" s="93">
        <v>2.2850000000000001</v>
      </c>
      <c r="R393" s="93"/>
      <c r="S393" s="93"/>
      <c r="T393" s="58">
        <v>45819</v>
      </c>
      <c r="U393" s="58">
        <v>45819</v>
      </c>
      <c r="V393" s="86">
        <v>21</v>
      </c>
      <c r="W393" s="86" t="s">
        <v>435</v>
      </c>
      <c r="X393" s="90"/>
      <c r="Y393" s="86"/>
      <c r="Z393" s="85"/>
      <c r="AA393" s="68"/>
    </row>
    <row r="394" spans="2:27" s="2" customFormat="1" ht="24.95" customHeight="1" x14ac:dyDescent="0.25">
      <c r="B394" s="89">
        <v>180</v>
      </c>
      <c r="C394" s="86" t="s">
        <v>449</v>
      </c>
      <c r="D394" s="86" t="s">
        <v>377</v>
      </c>
      <c r="E394" s="86" t="s">
        <v>502</v>
      </c>
      <c r="F394" s="86">
        <v>4149</v>
      </c>
      <c r="G394" s="86">
        <v>1895</v>
      </c>
      <c r="H394" s="86">
        <v>120</v>
      </c>
      <c r="I394" s="86" t="s">
        <v>18</v>
      </c>
      <c r="J394" s="86"/>
      <c r="K394" s="86"/>
      <c r="L394" s="91" t="s">
        <v>47</v>
      </c>
      <c r="M394" s="92">
        <v>45810</v>
      </c>
      <c r="N394" s="86">
        <v>0</v>
      </c>
      <c r="O394" s="92"/>
      <c r="P394" s="93">
        <v>0.94199999999999995</v>
      </c>
      <c r="Q394" s="93">
        <v>2.355</v>
      </c>
      <c r="R394" s="93"/>
      <c r="S394" s="93"/>
      <c r="T394" s="58">
        <v>45820</v>
      </c>
      <c r="U394" s="92">
        <v>45821</v>
      </c>
      <c r="V394" s="86">
        <v>21</v>
      </c>
      <c r="W394" s="86" t="s">
        <v>196</v>
      </c>
      <c r="X394" s="90"/>
      <c r="Y394" s="86"/>
      <c r="Z394" s="85"/>
      <c r="AA394" s="68" t="s">
        <v>504</v>
      </c>
    </row>
    <row r="395" spans="2:27" s="2" customFormat="1" ht="24.95" customHeight="1" x14ac:dyDescent="0.25">
      <c r="B395" s="89">
        <v>181</v>
      </c>
      <c r="C395" s="86" t="s">
        <v>450</v>
      </c>
      <c r="D395" s="86" t="s">
        <v>377</v>
      </c>
      <c r="E395" s="86" t="s">
        <v>502</v>
      </c>
      <c r="F395" s="86">
        <v>4149</v>
      </c>
      <c r="G395" s="86">
        <v>1895</v>
      </c>
      <c r="H395" s="86">
        <v>120</v>
      </c>
      <c r="I395" s="86" t="s">
        <v>18</v>
      </c>
      <c r="J395" s="86"/>
      <c r="K395" s="86"/>
      <c r="L395" s="91" t="s">
        <v>47</v>
      </c>
      <c r="M395" s="92">
        <v>45810</v>
      </c>
      <c r="N395" s="86">
        <v>0</v>
      </c>
      <c r="O395" s="92"/>
      <c r="P395" s="93">
        <v>0.94199999999999995</v>
      </c>
      <c r="Q395" s="93">
        <v>2.355</v>
      </c>
      <c r="R395" s="93"/>
      <c r="S395" s="93"/>
      <c r="T395" s="58">
        <v>45819</v>
      </c>
      <c r="U395" s="58">
        <v>45819</v>
      </c>
      <c r="V395" s="86">
        <v>21</v>
      </c>
      <c r="W395" s="86" t="s">
        <v>434</v>
      </c>
      <c r="X395" s="90"/>
      <c r="Y395" s="86"/>
      <c r="Z395" s="85"/>
      <c r="AA395" s="68" t="s">
        <v>504</v>
      </c>
    </row>
    <row r="396" spans="2:27" s="2" customFormat="1" ht="24.95" customHeight="1" x14ac:dyDescent="0.25">
      <c r="B396" s="89">
        <v>182</v>
      </c>
      <c r="C396" s="86" t="s">
        <v>451</v>
      </c>
      <c r="D396" s="86" t="s">
        <v>377</v>
      </c>
      <c r="E396" s="86" t="s">
        <v>502</v>
      </c>
      <c r="F396" s="86">
        <v>4766</v>
      </c>
      <c r="G396" s="86">
        <v>2677</v>
      </c>
      <c r="H396" s="86">
        <v>120</v>
      </c>
      <c r="I396" s="86" t="s">
        <v>18</v>
      </c>
      <c r="J396" s="86"/>
      <c r="K396" s="86"/>
      <c r="L396" s="91" t="s">
        <v>47</v>
      </c>
      <c r="M396" s="92">
        <v>45810</v>
      </c>
      <c r="N396" s="86">
        <v>0</v>
      </c>
      <c r="O396" s="92"/>
      <c r="P396" s="93">
        <v>1.53</v>
      </c>
      <c r="Q396" s="93">
        <v>3.8250000000000002</v>
      </c>
      <c r="R396" s="93"/>
      <c r="S396" s="93"/>
      <c r="T396" s="58">
        <v>45819</v>
      </c>
      <c r="U396" s="58">
        <v>45819</v>
      </c>
      <c r="V396" s="86">
        <v>21</v>
      </c>
      <c r="W396" s="86" t="s">
        <v>508</v>
      </c>
      <c r="X396" s="90"/>
      <c r="Y396" s="86"/>
      <c r="Z396" s="85"/>
      <c r="AA396" s="68" t="s">
        <v>504</v>
      </c>
    </row>
    <row r="397" spans="2:27" s="2" customFormat="1" ht="24.95" customHeight="1" x14ac:dyDescent="0.25">
      <c r="B397" s="89">
        <v>183</v>
      </c>
      <c r="C397" s="86" t="s">
        <v>452</v>
      </c>
      <c r="D397" s="86" t="s">
        <v>377</v>
      </c>
      <c r="E397" s="86" t="s">
        <v>502</v>
      </c>
      <c r="F397" s="86">
        <v>5650</v>
      </c>
      <c r="G397" s="86">
        <v>1926</v>
      </c>
      <c r="H397" s="86">
        <v>120</v>
      </c>
      <c r="I397" s="86" t="s">
        <v>18</v>
      </c>
      <c r="J397" s="86"/>
      <c r="K397" s="86"/>
      <c r="L397" s="91" t="s">
        <v>47</v>
      </c>
      <c r="M397" s="92">
        <v>45810</v>
      </c>
      <c r="N397" s="86">
        <v>0</v>
      </c>
      <c r="O397" s="92"/>
      <c r="P397" s="93">
        <v>1.0389999999999999</v>
      </c>
      <c r="Q397" s="93">
        <v>2.5979999999999999</v>
      </c>
      <c r="R397" s="93"/>
      <c r="S397" s="93"/>
      <c r="T397" s="58">
        <v>45820</v>
      </c>
      <c r="U397" s="92">
        <v>45821</v>
      </c>
      <c r="V397" s="86">
        <v>21</v>
      </c>
      <c r="W397" s="86" t="s">
        <v>505</v>
      </c>
      <c r="X397" s="90"/>
      <c r="Y397" s="86"/>
      <c r="Z397" s="85"/>
      <c r="AA397" s="68" t="s">
        <v>504</v>
      </c>
    </row>
    <row r="398" spans="2:27" s="2" customFormat="1" ht="24.95" customHeight="1" x14ac:dyDescent="0.25">
      <c r="B398" s="89">
        <v>184</v>
      </c>
      <c r="C398" s="86" t="s">
        <v>453</v>
      </c>
      <c r="D398" s="86" t="s">
        <v>377</v>
      </c>
      <c r="E398" s="86" t="s">
        <v>471</v>
      </c>
      <c r="F398" s="86">
        <v>4287</v>
      </c>
      <c r="G398" s="86">
        <v>1795</v>
      </c>
      <c r="H398" s="86">
        <v>120</v>
      </c>
      <c r="I398" s="86" t="s">
        <v>18</v>
      </c>
      <c r="J398" s="86"/>
      <c r="K398" s="86"/>
      <c r="L398" s="91" t="s">
        <v>47</v>
      </c>
      <c r="M398" s="92">
        <v>45810</v>
      </c>
      <c r="N398" s="86">
        <v>0</v>
      </c>
      <c r="O398" s="92"/>
      <c r="P398" s="93">
        <v>0.92300000000000004</v>
      </c>
      <c r="Q398" s="93">
        <v>2.3079999999999998</v>
      </c>
      <c r="R398" s="93"/>
      <c r="S398" s="93"/>
      <c r="T398" s="58">
        <v>45820</v>
      </c>
      <c r="U398" s="92">
        <v>45821</v>
      </c>
      <c r="V398" s="86">
        <v>21</v>
      </c>
      <c r="W398" s="86" t="s">
        <v>506</v>
      </c>
      <c r="X398" s="90"/>
      <c r="Y398" s="86"/>
      <c r="Z398" s="85"/>
      <c r="AA398" s="68" t="s">
        <v>504</v>
      </c>
    </row>
    <row r="399" spans="2:27" s="2" customFormat="1" ht="24.95" customHeight="1" x14ac:dyDescent="0.25">
      <c r="B399" s="89">
        <v>185</v>
      </c>
      <c r="C399" s="86" t="s">
        <v>454</v>
      </c>
      <c r="D399" s="86" t="s">
        <v>377</v>
      </c>
      <c r="E399" s="86" t="s">
        <v>471</v>
      </c>
      <c r="F399" s="86">
        <v>4287</v>
      </c>
      <c r="G399" s="86">
        <v>1731</v>
      </c>
      <c r="H399" s="86">
        <v>120</v>
      </c>
      <c r="I399" s="86" t="s">
        <v>18</v>
      </c>
      <c r="J399" s="86"/>
      <c r="K399" s="86"/>
      <c r="L399" s="91" t="s">
        <v>47</v>
      </c>
      <c r="M399" s="92">
        <v>45810</v>
      </c>
      <c r="N399" s="86">
        <v>0</v>
      </c>
      <c r="O399" s="92"/>
      <c r="P399" s="93">
        <v>0.89</v>
      </c>
      <c r="Q399" s="93">
        <v>2.2250000000000001</v>
      </c>
      <c r="R399" s="93"/>
      <c r="S399" s="93"/>
      <c r="T399" s="58">
        <v>45820</v>
      </c>
      <c r="U399" s="92">
        <v>45821</v>
      </c>
      <c r="V399" s="86">
        <v>21</v>
      </c>
      <c r="W399" s="86" t="s">
        <v>507</v>
      </c>
      <c r="X399" s="90"/>
      <c r="Y399" s="86"/>
      <c r="Z399" s="85"/>
      <c r="AA399" s="68" t="s">
        <v>504</v>
      </c>
    </row>
    <row r="400" spans="2:27" s="2" customFormat="1" ht="24.95" customHeight="1" x14ac:dyDescent="0.25">
      <c r="B400" s="89">
        <v>186</v>
      </c>
      <c r="C400" s="86" t="s">
        <v>455</v>
      </c>
      <c r="D400" s="86" t="s">
        <v>377</v>
      </c>
      <c r="E400" s="86" t="s">
        <v>471</v>
      </c>
      <c r="F400" s="86">
        <v>4290</v>
      </c>
      <c r="G400" s="86">
        <v>1665</v>
      </c>
      <c r="H400" s="86">
        <v>120</v>
      </c>
      <c r="I400" s="86" t="s">
        <v>18</v>
      </c>
      <c r="J400" s="86"/>
      <c r="K400" s="86"/>
      <c r="L400" s="91" t="s">
        <v>47</v>
      </c>
      <c r="M400" s="92">
        <v>45810</v>
      </c>
      <c r="N400" s="86">
        <v>0</v>
      </c>
      <c r="O400" s="92"/>
      <c r="P400" s="93">
        <v>0.85699999999999998</v>
      </c>
      <c r="Q400" s="93">
        <v>2.1429999999999998</v>
      </c>
      <c r="R400" s="93"/>
      <c r="S400" s="93"/>
      <c r="T400" s="58">
        <v>45820</v>
      </c>
      <c r="U400" s="58">
        <v>45820</v>
      </c>
      <c r="V400" s="86">
        <v>21</v>
      </c>
      <c r="W400" s="86" t="s">
        <v>435</v>
      </c>
      <c r="X400" s="90"/>
      <c r="Y400" s="86"/>
      <c r="Z400" s="85"/>
      <c r="AA400" s="68" t="s">
        <v>504</v>
      </c>
    </row>
    <row r="401" spans="2:27" s="2" customFormat="1" ht="24.95" customHeight="1" x14ac:dyDescent="0.25">
      <c r="B401" s="89">
        <v>187</v>
      </c>
      <c r="C401" s="86" t="s">
        <v>456</v>
      </c>
      <c r="D401" s="86" t="s">
        <v>377</v>
      </c>
      <c r="E401" s="86" t="s">
        <v>471</v>
      </c>
      <c r="F401" s="86">
        <v>5518</v>
      </c>
      <c r="G401" s="86">
        <v>1570</v>
      </c>
      <c r="H401" s="86">
        <v>120</v>
      </c>
      <c r="I401" s="86" t="s">
        <v>18</v>
      </c>
      <c r="J401" s="86"/>
      <c r="K401" s="86"/>
      <c r="L401" s="91" t="s">
        <v>47</v>
      </c>
      <c r="M401" s="92">
        <v>45810</v>
      </c>
      <c r="N401" s="86">
        <v>0</v>
      </c>
      <c r="O401" s="92"/>
      <c r="P401" s="93">
        <v>1.0389999999999999</v>
      </c>
      <c r="Q401" s="93">
        <v>2.5979999999999999</v>
      </c>
      <c r="R401" s="93"/>
      <c r="S401" s="93"/>
      <c r="T401" s="58">
        <v>45820</v>
      </c>
      <c r="U401" s="92">
        <v>45821</v>
      </c>
      <c r="V401" s="86">
        <v>21</v>
      </c>
      <c r="W401" s="86" t="s">
        <v>508</v>
      </c>
      <c r="X401" s="90"/>
      <c r="Y401" s="86"/>
      <c r="Z401" s="85"/>
      <c r="AA401" s="68" t="s">
        <v>504</v>
      </c>
    </row>
    <row r="402" spans="2:27" s="2" customFormat="1" ht="24.95" customHeight="1" x14ac:dyDescent="0.25">
      <c r="B402" s="89">
        <v>188</v>
      </c>
      <c r="C402" s="86" t="s">
        <v>457</v>
      </c>
      <c r="D402" s="86" t="s">
        <v>377</v>
      </c>
      <c r="E402" s="86" t="s">
        <v>471</v>
      </c>
      <c r="F402" s="86">
        <v>5515</v>
      </c>
      <c r="G402" s="86">
        <v>2680</v>
      </c>
      <c r="H402" s="86">
        <v>120</v>
      </c>
      <c r="I402" s="86" t="s">
        <v>18</v>
      </c>
      <c r="J402" s="86"/>
      <c r="K402" s="86"/>
      <c r="L402" s="91" t="s">
        <v>47</v>
      </c>
      <c r="M402" s="92">
        <v>45810</v>
      </c>
      <c r="N402" s="86">
        <v>0</v>
      </c>
      <c r="O402" s="92"/>
      <c r="P402" s="93">
        <v>1.7729999999999999</v>
      </c>
      <c r="Q402" s="93">
        <v>4.4329999999999998</v>
      </c>
      <c r="R402" s="93"/>
      <c r="S402" s="93"/>
      <c r="T402" s="58">
        <v>45848</v>
      </c>
      <c r="U402" s="92">
        <v>45849</v>
      </c>
      <c r="V402" s="86">
        <v>9</v>
      </c>
      <c r="W402" s="86" t="s">
        <v>717</v>
      </c>
      <c r="X402" s="90"/>
      <c r="Y402" s="86"/>
      <c r="Z402" s="85"/>
      <c r="AA402" s="68"/>
    </row>
    <row r="403" spans="2:27" s="2" customFormat="1" ht="24.95" customHeight="1" x14ac:dyDescent="0.25">
      <c r="B403" s="49">
        <v>189</v>
      </c>
      <c r="C403" s="50" t="s">
        <v>458</v>
      </c>
      <c r="D403" s="50" t="s">
        <v>377</v>
      </c>
      <c r="E403" s="50" t="s">
        <v>472</v>
      </c>
      <c r="F403" s="10">
        <v>3954</v>
      </c>
      <c r="G403" s="10">
        <v>2950</v>
      </c>
      <c r="H403" s="10">
        <v>120</v>
      </c>
      <c r="I403" s="10" t="s">
        <v>356</v>
      </c>
      <c r="J403" s="10" t="s">
        <v>106</v>
      </c>
      <c r="K403" s="10"/>
      <c r="L403" s="53" t="s">
        <v>47</v>
      </c>
      <c r="M403" s="51">
        <v>45810</v>
      </c>
      <c r="N403" s="10">
        <v>0</v>
      </c>
      <c r="O403" s="51"/>
      <c r="P403" s="52">
        <v>1.474</v>
      </c>
      <c r="Q403" s="52">
        <v>3.6850000000000001</v>
      </c>
      <c r="R403" s="52"/>
      <c r="S403" s="52"/>
      <c r="T403" s="36"/>
      <c r="U403" s="51"/>
      <c r="V403" s="10">
        <v>21</v>
      </c>
      <c r="W403" s="10"/>
      <c r="X403" s="17"/>
      <c r="Y403" s="5"/>
      <c r="Z403" s="35"/>
      <c r="AA403" s="2" t="s">
        <v>504</v>
      </c>
    </row>
    <row r="404" spans="2:27" s="2" customFormat="1" ht="24.95" customHeight="1" x14ac:dyDescent="0.25">
      <c r="B404" s="49">
        <v>190</v>
      </c>
      <c r="C404" s="50" t="s">
        <v>459</v>
      </c>
      <c r="D404" s="50" t="s">
        <v>377</v>
      </c>
      <c r="E404" s="50" t="s">
        <v>473</v>
      </c>
      <c r="F404" s="10">
        <v>4392</v>
      </c>
      <c r="G404" s="10">
        <v>2950</v>
      </c>
      <c r="H404" s="10">
        <v>120</v>
      </c>
      <c r="I404" s="10" t="s">
        <v>356</v>
      </c>
      <c r="J404" s="10" t="s">
        <v>106</v>
      </c>
      <c r="K404" s="10"/>
      <c r="L404" s="53" t="s">
        <v>47</v>
      </c>
      <c r="M404" s="51">
        <v>45810</v>
      </c>
      <c r="N404" s="10">
        <v>0</v>
      </c>
      <c r="O404" s="51"/>
      <c r="P404" s="52">
        <v>1.5880000000000001</v>
      </c>
      <c r="Q404" s="52">
        <v>3.97</v>
      </c>
      <c r="R404" s="52"/>
      <c r="S404" s="52"/>
      <c r="T404" s="36"/>
      <c r="U404" s="51"/>
      <c r="V404" s="10">
        <v>21</v>
      </c>
      <c r="W404" s="10"/>
      <c r="X404" s="17"/>
      <c r="Y404" s="5"/>
      <c r="Z404" s="35"/>
    </row>
    <row r="405" spans="2:27" s="2" customFormat="1" ht="24.95" customHeight="1" x14ac:dyDescent="0.25">
      <c r="B405" s="49">
        <v>191</v>
      </c>
      <c r="C405" s="50" t="s">
        <v>460</v>
      </c>
      <c r="D405" s="50" t="s">
        <v>377</v>
      </c>
      <c r="E405" s="50" t="s">
        <v>474</v>
      </c>
      <c r="F405" s="10">
        <v>4046</v>
      </c>
      <c r="G405" s="10">
        <v>2950</v>
      </c>
      <c r="H405" s="10">
        <v>120</v>
      </c>
      <c r="I405" s="10" t="s">
        <v>356</v>
      </c>
      <c r="J405" s="10" t="s">
        <v>106</v>
      </c>
      <c r="K405" s="10"/>
      <c r="L405" s="53" t="s">
        <v>47</v>
      </c>
      <c r="M405" s="51">
        <v>45810</v>
      </c>
      <c r="N405" s="10">
        <v>0</v>
      </c>
      <c r="O405" s="51"/>
      <c r="P405" s="52">
        <v>1.498</v>
      </c>
      <c r="Q405" s="52">
        <v>3.7450000000000001</v>
      </c>
      <c r="R405" s="52"/>
      <c r="S405" s="52"/>
      <c r="T405" s="36"/>
      <c r="U405" s="51"/>
      <c r="V405" s="10">
        <v>21</v>
      </c>
      <c r="W405" s="10"/>
      <c r="X405" s="17"/>
      <c r="Y405" s="5"/>
      <c r="Z405" s="35"/>
    </row>
    <row r="406" spans="2:27" s="2" customFormat="1" ht="24.95" customHeight="1" x14ac:dyDescent="0.25">
      <c r="B406" s="49">
        <v>192</v>
      </c>
      <c r="C406" s="50" t="s">
        <v>461</v>
      </c>
      <c r="D406" s="50" t="s">
        <v>377</v>
      </c>
      <c r="E406" s="50" t="s">
        <v>475</v>
      </c>
      <c r="F406" s="10">
        <v>4402</v>
      </c>
      <c r="G406" s="10">
        <v>2950</v>
      </c>
      <c r="H406" s="10">
        <v>120</v>
      </c>
      <c r="I406" s="10" t="s">
        <v>356</v>
      </c>
      <c r="J406" s="10" t="s">
        <v>106</v>
      </c>
      <c r="K406" s="10"/>
      <c r="L406" s="53" t="s">
        <v>47</v>
      </c>
      <c r="M406" s="51">
        <v>45810</v>
      </c>
      <c r="N406" s="10">
        <v>0</v>
      </c>
      <c r="O406" s="51"/>
      <c r="P406" s="52">
        <v>1.591</v>
      </c>
      <c r="Q406" s="52">
        <v>3.9780000000000002</v>
      </c>
      <c r="R406" s="52"/>
      <c r="S406" s="52"/>
      <c r="T406" s="36"/>
      <c r="U406" s="51"/>
      <c r="V406" s="10">
        <v>21</v>
      </c>
      <c r="W406" s="10"/>
      <c r="X406" s="17"/>
      <c r="Y406" s="5"/>
      <c r="Z406" s="35"/>
      <c r="AA406" s="2" t="s">
        <v>504</v>
      </c>
    </row>
    <row r="407" spans="2:27" s="2" customFormat="1" ht="24.95" customHeight="1" x14ac:dyDescent="0.25">
      <c r="B407" s="49">
        <v>193</v>
      </c>
      <c r="C407" s="50" t="s">
        <v>462</v>
      </c>
      <c r="D407" s="50" t="s">
        <v>377</v>
      </c>
      <c r="E407" s="50" t="s">
        <v>476</v>
      </c>
      <c r="F407" s="10">
        <v>4058</v>
      </c>
      <c r="G407" s="10">
        <v>2950</v>
      </c>
      <c r="H407" s="10">
        <v>120</v>
      </c>
      <c r="I407" s="10" t="s">
        <v>356</v>
      </c>
      <c r="J407" s="10" t="s">
        <v>106</v>
      </c>
      <c r="K407" s="10"/>
      <c r="L407" s="53" t="s">
        <v>47</v>
      </c>
      <c r="M407" s="51">
        <v>45810</v>
      </c>
      <c r="N407" s="10">
        <v>0</v>
      </c>
      <c r="O407" s="51"/>
      <c r="P407" s="52">
        <v>1.5009999999999999</v>
      </c>
      <c r="Q407" s="52">
        <v>3.7530000000000001</v>
      </c>
      <c r="R407" s="52"/>
      <c r="S407" s="52"/>
      <c r="T407" s="36"/>
      <c r="U407" s="51"/>
      <c r="V407" s="10">
        <v>21</v>
      </c>
      <c r="W407" s="10"/>
      <c r="X407" s="17"/>
      <c r="Y407" s="5"/>
      <c r="Z407" s="35"/>
      <c r="AA407" s="2" t="s">
        <v>504</v>
      </c>
    </row>
    <row r="408" spans="2:27" s="2" customFormat="1" ht="24.95" customHeight="1" x14ac:dyDescent="0.25">
      <c r="B408" s="49">
        <v>194</v>
      </c>
      <c r="C408" s="50" t="s">
        <v>463</v>
      </c>
      <c r="D408" s="50" t="s">
        <v>377</v>
      </c>
      <c r="E408" s="50" t="s">
        <v>477</v>
      </c>
      <c r="F408" s="10">
        <v>4414</v>
      </c>
      <c r="G408" s="10">
        <v>2950</v>
      </c>
      <c r="H408" s="10">
        <v>120</v>
      </c>
      <c r="I408" s="10" t="s">
        <v>356</v>
      </c>
      <c r="J408" s="10" t="s">
        <v>106</v>
      </c>
      <c r="K408" s="10"/>
      <c r="L408" s="53" t="s">
        <v>47</v>
      </c>
      <c r="M408" s="51">
        <v>45810</v>
      </c>
      <c r="N408" s="10">
        <v>0</v>
      </c>
      <c r="O408" s="51"/>
      <c r="P408" s="52">
        <v>1.5960000000000001</v>
      </c>
      <c r="Q408" s="52">
        <v>3.99</v>
      </c>
      <c r="R408" s="52"/>
      <c r="S408" s="52"/>
      <c r="T408" s="36"/>
      <c r="U408" s="51"/>
      <c r="V408" s="10">
        <v>21</v>
      </c>
      <c r="W408" s="10"/>
      <c r="X408" s="17"/>
      <c r="Y408" s="5"/>
      <c r="Z408" s="35"/>
      <c r="AA408" s="2" t="s">
        <v>504</v>
      </c>
    </row>
    <row r="409" spans="2:27" s="2" customFormat="1" ht="24.95" customHeight="1" x14ac:dyDescent="0.25">
      <c r="B409" s="89">
        <v>195</v>
      </c>
      <c r="C409" s="86" t="s">
        <v>464</v>
      </c>
      <c r="D409" s="86" t="s">
        <v>377</v>
      </c>
      <c r="E409" s="86" t="s">
        <v>479</v>
      </c>
      <c r="F409" s="86">
        <v>4236</v>
      </c>
      <c r="G409" s="86">
        <v>1418</v>
      </c>
      <c r="H409" s="86">
        <v>120</v>
      </c>
      <c r="I409" s="86" t="s">
        <v>18</v>
      </c>
      <c r="J409" s="86"/>
      <c r="K409" s="86"/>
      <c r="L409" s="91" t="s">
        <v>47</v>
      </c>
      <c r="M409" s="92">
        <v>45810</v>
      </c>
      <c r="N409" s="86">
        <v>0</v>
      </c>
      <c r="O409" s="92"/>
      <c r="P409" s="93">
        <v>0.72140000000000004</v>
      </c>
      <c r="Q409" s="93">
        <v>1.8029999999999999</v>
      </c>
      <c r="R409" s="93"/>
      <c r="S409" s="93"/>
      <c r="T409" s="58">
        <v>45848</v>
      </c>
      <c r="U409" s="92">
        <v>45849</v>
      </c>
      <c r="V409" s="86">
        <v>9</v>
      </c>
      <c r="W409" s="86" t="s">
        <v>718</v>
      </c>
      <c r="X409" s="90"/>
      <c r="Y409" s="86"/>
      <c r="Z409" s="85"/>
      <c r="AA409" s="68"/>
    </row>
    <row r="410" spans="2:27" s="2" customFormat="1" ht="24.95" customHeight="1" x14ac:dyDescent="0.25">
      <c r="B410" s="89">
        <v>196</v>
      </c>
      <c r="C410" s="86" t="s">
        <v>465</v>
      </c>
      <c r="D410" s="86" t="s">
        <v>377</v>
      </c>
      <c r="E410" s="86" t="s">
        <v>479</v>
      </c>
      <c r="F410" s="86">
        <v>4230</v>
      </c>
      <c r="G410" s="86">
        <v>1700</v>
      </c>
      <c r="H410" s="86">
        <v>120</v>
      </c>
      <c r="I410" s="86" t="s">
        <v>18</v>
      </c>
      <c r="J410" s="86"/>
      <c r="K410" s="86"/>
      <c r="L410" s="91" t="s">
        <v>47</v>
      </c>
      <c r="M410" s="92">
        <v>45810</v>
      </c>
      <c r="N410" s="86">
        <v>0</v>
      </c>
      <c r="O410" s="92"/>
      <c r="P410" s="93">
        <v>0.86199999999999999</v>
      </c>
      <c r="Q410" s="93">
        <v>2.1549999999999998</v>
      </c>
      <c r="R410" s="93"/>
      <c r="S410" s="93"/>
      <c r="T410" s="58">
        <v>45848</v>
      </c>
      <c r="U410" s="92">
        <v>45849</v>
      </c>
      <c r="V410" s="86">
        <v>9</v>
      </c>
      <c r="W410" s="86" t="s">
        <v>719</v>
      </c>
      <c r="X410" s="90"/>
      <c r="Y410" s="86"/>
      <c r="Z410" s="85"/>
      <c r="AA410" s="68"/>
    </row>
    <row r="411" spans="2:27" s="2" customFormat="1" ht="24.95" customHeight="1" x14ac:dyDescent="0.25">
      <c r="B411" s="111">
        <v>197</v>
      </c>
      <c r="C411" s="112" t="s">
        <v>466</v>
      </c>
      <c r="D411" s="112" t="s">
        <v>377</v>
      </c>
      <c r="E411" s="112" t="s">
        <v>479</v>
      </c>
      <c r="F411" s="101">
        <v>4237</v>
      </c>
      <c r="G411" s="101">
        <v>1700</v>
      </c>
      <c r="H411" s="101">
        <v>120</v>
      </c>
      <c r="I411" s="101" t="s">
        <v>18</v>
      </c>
      <c r="J411" s="101"/>
      <c r="K411" s="101"/>
      <c r="L411" s="113" t="s">
        <v>47</v>
      </c>
      <c r="M411" s="114">
        <v>45810</v>
      </c>
      <c r="N411" s="101">
        <v>0</v>
      </c>
      <c r="O411" s="114"/>
      <c r="P411" s="115">
        <v>0.86399999999999999</v>
      </c>
      <c r="Q411" s="115">
        <v>2.16</v>
      </c>
      <c r="R411" s="115"/>
      <c r="S411" s="115"/>
      <c r="T411" s="58">
        <v>45849</v>
      </c>
      <c r="U411" s="114">
        <v>45850</v>
      </c>
      <c r="V411" s="101">
        <v>9</v>
      </c>
      <c r="W411" s="101" t="s">
        <v>718</v>
      </c>
      <c r="X411" s="116"/>
      <c r="Y411" s="101"/>
      <c r="Z411" s="98"/>
      <c r="AA411" s="99"/>
    </row>
    <row r="412" spans="2:27" s="2" customFormat="1" ht="24.95" customHeight="1" x14ac:dyDescent="0.25">
      <c r="B412" s="111">
        <v>198</v>
      </c>
      <c r="C412" s="112" t="s">
        <v>467</v>
      </c>
      <c r="D412" s="112" t="s">
        <v>377</v>
      </c>
      <c r="E412" s="112" t="s">
        <v>479</v>
      </c>
      <c r="F412" s="101">
        <v>4927</v>
      </c>
      <c r="G412" s="101">
        <v>2354</v>
      </c>
      <c r="H412" s="101">
        <v>120</v>
      </c>
      <c r="I412" s="101" t="s">
        <v>18</v>
      </c>
      <c r="J412" s="101"/>
      <c r="K412" s="101"/>
      <c r="L412" s="113" t="s">
        <v>47</v>
      </c>
      <c r="M412" s="114">
        <v>45810</v>
      </c>
      <c r="N412" s="101">
        <v>0</v>
      </c>
      <c r="O412" s="114"/>
      <c r="P412" s="115">
        <v>1.391</v>
      </c>
      <c r="Q412" s="115">
        <v>3.4780000000000002</v>
      </c>
      <c r="R412" s="115"/>
      <c r="S412" s="115"/>
      <c r="T412" s="58">
        <v>45849</v>
      </c>
      <c r="U412" s="114">
        <v>45850</v>
      </c>
      <c r="V412" s="101">
        <v>9</v>
      </c>
      <c r="W412" s="101" t="s">
        <v>719</v>
      </c>
      <c r="X412" s="116"/>
      <c r="Y412" s="101"/>
      <c r="Z412" s="98"/>
      <c r="AA412" s="99"/>
    </row>
    <row r="413" spans="2:27" s="2" customFormat="1" ht="24.95" customHeight="1" x14ac:dyDescent="0.25">
      <c r="B413" s="117">
        <v>199</v>
      </c>
      <c r="C413" s="118" t="s">
        <v>468</v>
      </c>
      <c r="D413" s="118" t="s">
        <v>377</v>
      </c>
      <c r="E413" s="118" t="s">
        <v>479</v>
      </c>
      <c r="F413" s="119">
        <v>4927</v>
      </c>
      <c r="G413" s="119">
        <v>1513</v>
      </c>
      <c r="H413" s="119">
        <v>120</v>
      </c>
      <c r="I413" s="119" t="s">
        <v>18</v>
      </c>
      <c r="J413" s="119"/>
      <c r="K413" s="119"/>
      <c r="L413" s="120" t="s">
        <v>47</v>
      </c>
      <c r="M413" s="121">
        <v>45810</v>
      </c>
      <c r="N413" s="119">
        <v>0</v>
      </c>
      <c r="O413" s="121"/>
      <c r="P413" s="122">
        <v>0.89400000000000002</v>
      </c>
      <c r="Q413" s="122">
        <v>2.2349999999999999</v>
      </c>
      <c r="R413" s="122"/>
      <c r="S413" s="122"/>
      <c r="T413" s="58">
        <v>45849</v>
      </c>
      <c r="U413" s="121">
        <v>45850</v>
      </c>
      <c r="V413" s="101">
        <v>9</v>
      </c>
      <c r="W413" s="119" t="s">
        <v>717</v>
      </c>
      <c r="X413" s="123"/>
      <c r="Y413" s="119"/>
      <c r="Z413" s="98"/>
      <c r="AA413" s="99"/>
    </row>
    <row r="414" spans="2:27" s="2" customFormat="1" ht="24.95" customHeight="1" x14ac:dyDescent="0.25">
      <c r="B414" s="26"/>
      <c r="C414" s="27" t="s">
        <v>533</v>
      </c>
      <c r="D414" s="27" t="s">
        <v>377</v>
      </c>
      <c r="E414" s="27"/>
      <c r="F414" s="28">
        <v>400</v>
      </c>
      <c r="G414" s="28">
        <v>2920</v>
      </c>
      <c r="H414" s="28">
        <v>300</v>
      </c>
      <c r="I414" s="28" t="s">
        <v>46</v>
      </c>
      <c r="J414" s="28" t="s">
        <v>190</v>
      </c>
      <c r="K414" s="28" t="s">
        <v>168</v>
      </c>
      <c r="L414" s="29" t="s">
        <v>531</v>
      </c>
      <c r="M414" s="30">
        <v>45820</v>
      </c>
      <c r="N414" s="28">
        <v>0</v>
      </c>
      <c r="O414" s="30"/>
      <c r="P414" s="31">
        <v>0.88600000000000001</v>
      </c>
      <c r="Q414" s="31">
        <v>2.2149999999999999</v>
      </c>
      <c r="R414" s="31"/>
      <c r="S414" s="31"/>
      <c r="T414" s="36">
        <v>45857</v>
      </c>
      <c r="U414" s="30">
        <v>45861</v>
      </c>
      <c r="V414" s="10">
        <v>21</v>
      </c>
      <c r="W414" s="28" t="s">
        <v>722</v>
      </c>
      <c r="X414" s="32"/>
      <c r="Y414" s="5"/>
      <c r="Z414" s="35"/>
    </row>
    <row r="415" spans="2:27" s="2" customFormat="1" ht="24.95" customHeight="1" x14ac:dyDescent="0.25">
      <c r="B415" s="24"/>
      <c r="C415" s="8" t="s">
        <v>516</v>
      </c>
      <c r="D415" s="8" t="s">
        <v>377</v>
      </c>
      <c r="E415" s="8" t="s">
        <v>492</v>
      </c>
      <c r="F415" s="5">
        <v>400</v>
      </c>
      <c r="G415" s="5">
        <v>3110</v>
      </c>
      <c r="H415" s="5">
        <v>300</v>
      </c>
      <c r="I415" s="5" t="s">
        <v>46</v>
      </c>
      <c r="J415" s="5" t="s">
        <v>45</v>
      </c>
      <c r="K415" s="5" t="s">
        <v>168</v>
      </c>
      <c r="L415" s="9" t="s">
        <v>531</v>
      </c>
      <c r="M415" s="6">
        <v>45820</v>
      </c>
      <c r="N415" s="5">
        <v>0</v>
      </c>
      <c r="O415" s="6"/>
      <c r="P415" s="7">
        <v>0.753</v>
      </c>
      <c r="Q415" s="7">
        <v>1.883</v>
      </c>
      <c r="R415" s="7"/>
      <c r="S415" s="7"/>
      <c r="T415" s="36">
        <v>45857</v>
      </c>
      <c r="U415" s="6">
        <v>45861</v>
      </c>
      <c r="V415" s="10">
        <v>21</v>
      </c>
      <c r="W415" s="5" t="s">
        <v>723</v>
      </c>
      <c r="X415" s="25"/>
      <c r="Y415" s="5"/>
      <c r="Z415" s="35"/>
    </row>
    <row r="416" spans="2:27" s="2" customFormat="1" ht="24.95" customHeight="1" x14ac:dyDescent="0.25">
      <c r="B416" s="24"/>
      <c r="C416" s="8" t="s">
        <v>514</v>
      </c>
      <c r="D416" s="8" t="s">
        <v>377</v>
      </c>
      <c r="E416" s="8" t="s">
        <v>479</v>
      </c>
      <c r="F416" s="5">
        <v>400</v>
      </c>
      <c r="G416" s="5">
        <v>3440</v>
      </c>
      <c r="H416" s="5">
        <v>300</v>
      </c>
      <c r="I416" s="5" t="s">
        <v>46</v>
      </c>
      <c r="J416" s="5" t="s">
        <v>532</v>
      </c>
      <c r="K416" s="5" t="s">
        <v>168</v>
      </c>
      <c r="L416" s="9" t="s">
        <v>531</v>
      </c>
      <c r="M416" s="6">
        <v>45820</v>
      </c>
      <c r="N416" s="5">
        <v>0</v>
      </c>
      <c r="O416" s="6"/>
      <c r="P416" s="7">
        <v>0.9</v>
      </c>
      <c r="Q416" s="7">
        <v>2.25</v>
      </c>
      <c r="R416" s="7"/>
      <c r="S416" s="7"/>
      <c r="T416" s="36">
        <v>45857</v>
      </c>
      <c r="U416" s="6"/>
      <c r="V416" s="10">
        <v>21</v>
      </c>
      <c r="W416" s="5" t="s">
        <v>724</v>
      </c>
      <c r="X416" s="25"/>
      <c r="Y416" s="5"/>
      <c r="Z416" s="35"/>
    </row>
    <row r="417" spans="2:26" s="2" customFormat="1" ht="24.95" customHeight="1" x14ac:dyDescent="0.25">
      <c r="B417" s="24"/>
      <c r="C417" s="8" t="s">
        <v>515</v>
      </c>
      <c r="D417" s="8" t="s">
        <v>377</v>
      </c>
      <c r="E417" s="8" t="s">
        <v>492</v>
      </c>
      <c r="F417" s="5">
        <v>400</v>
      </c>
      <c r="G417" s="5">
        <v>3195</v>
      </c>
      <c r="H417" s="5">
        <v>300</v>
      </c>
      <c r="I417" s="5" t="s">
        <v>46</v>
      </c>
      <c r="J417" s="5" t="s">
        <v>532</v>
      </c>
      <c r="K417" s="5" t="s">
        <v>168</v>
      </c>
      <c r="L417" s="9" t="s">
        <v>531</v>
      </c>
      <c r="M417" s="6">
        <v>45820</v>
      </c>
      <c r="N417" s="5">
        <v>0</v>
      </c>
      <c r="O417" s="6"/>
      <c r="P417" s="7">
        <v>0.878</v>
      </c>
      <c r="Q417" s="7">
        <v>2.1949999999999998</v>
      </c>
      <c r="R417" s="7"/>
      <c r="S417" s="7"/>
      <c r="T417" s="36">
        <v>45860</v>
      </c>
      <c r="U417" s="6"/>
      <c r="V417" s="10">
        <v>21</v>
      </c>
      <c r="W417" s="5" t="s">
        <v>723</v>
      </c>
      <c r="X417" s="25"/>
      <c r="Y417" s="5"/>
      <c r="Z417" s="35"/>
    </row>
    <row r="418" spans="2:26" s="2" customFormat="1" ht="24.95" customHeight="1" x14ac:dyDescent="0.25">
      <c r="B418" s="24"/>
      <c r="C418" s="8" t="s">
        <v>517</v>
      </c>
      <c r="D418" s="8" t="s">
        <v>377</v>
      </c>
      <c r="E418" s="8" t="s">
        <v>492</v>
      </c>
      <c r="F418" s="5">
        <v>400</v>
      </c>
      <c r="G418" s="5">
        <v>3020</v>
      </c>
      <c r="H418" s="5">
        <v>300</v>
      </c>
      <c r="I418" s="5" t="s">
        <v>46</v>
      </c>
      <c r="J418" s="5" t="s">
        <v>53</v>
      </c>
      <c r="K418" s="5" t="s">
        <v>168</v>
      </c>
      <c r="L418" s="9" t="s">
        <v>531</v>
      </c>
      <c r="M418" s="6">
        <v>45820</v>
      </c>
      <c r="N418" s="5">
        <v>0</v>
      </c>
      <c r="O418" s="6"/>
      <c r="P418" s="7">
        <v>0.77200000000000002</v>
      </c>
      <c r="Q418" s="7">
        <v>1.93</v>
      </c>
      <c r="R418" s="7"/>
      <c r="S418" s="7"/>
      <c r="T418" s="36">
        <v>45860</v>
      </c>
      <c r="U418" s="6"/>
      <c r="V418" s="10">
        <v>21</v>
      </c>
      <c r="W418" s="5" t="s">
        <v>724</v>
      </c>
      <c r="X418" s="25"/>
      <c r="Y418" s="5"/>
      <c r="Z418" s="35"/>
    </row>
    <row r="419" spans="2:26" s="2" customFormat="1" ht="24.95" customHeight="1" x14ac:dyDescent="0.25">
      <c r="B419" s="24"/>
      <c r="C419" s="8" t="s">
        <v>518</v>
      </c>
      <c r="D419" s="8" t="s">
        <v>377</v>
      </c>
      <c r="E419" s="8" t="s">
        <v>492</v>
      </c>
      <c r="F419" s="5">
        <v>400</v>
      </c>
      <c r="G419" s="5">
        <v>2820</v>
      </c>
      <c r="H419" s="5">
        <v>300</v>
      </c>
      <c r="I419" s="5" t="s">
        <v>46</v>
      </c>
      <c r="J419" s="5" t="s">
        <v>164</v>
      </c>
      <c r="K419" s="5" t="s">
        <v>167</v>
      </c>
      <c r="L419" s="9" t="s">
        <v>531</v>
      </c>
      <c r="M419" s="6">
        <v>45820</v>
      </c>
      <c r="N419" s="5">
        <v>0</v>
      </c>
      <c r="O419" s="6"/>
      <c r="P419" s="7">
        <v>0.7</v>
      </c>
      <c r="Q419" s="7">
        <v>1.75</v>
      </c>
      <c r="R419" s="7"/>
      <c r="S419" s="7"/>
      <c r="T419" s="36">
        <v>45857</v>
      </c>
      <c r="U419" s="6">
        <v>45861</v>
      </c>
      <c r="V419" s="10">
        <v>21</v>
      </c>
      <c r="W419" s="5" t="s">
        <v>725</v>
      </c>
      <c r="X419" s="25"/>
      <c r="Y419" s="5"/>
      <c r="Z419" s="35"/>
    </row>
    <row r="420" spans="2:26" s="2" customFormat="1" ht="24.95" customHeight="1" x14ac:dyDescent="0.25">
      <c r="B420" s="24"/>
      <c r="C420" s="8" t="s">
        <v>522</v>
      </c>
      <c r="D420" s="8" t="s">
        <v>377</v>
      </c>
      <c r="E420" s="8" t="s">
        <v>502</v>
      </c>
      <c r="F420" s="5">
        <v>400</v>
      </c>
      <c r="G420" s="5">
        <v>3305</v>
      </c>
      <c r="H420" s="5">
        <v>300</v>
      </c>
      <c r="I420" s="5" t="s">
        <v>46</v>
      </c>
      <c r="J420" s="5" t="s">
        <v>532</v>
      </c>
      <c r="K420" s="5" t="s">
        <v>168</v>
      </c>
      <c r="L420" s="9" t="s">
        <v>531</v>
      </c>
      <c r="M420" s="6">
        <v>45820</v>
      </c>
      <c r="N420" s="5">
        <v>0</v>
      </c>
      <c r="O420" s="6"/>
      <c r="P420" s="7">
        <v>0.89</v>
      </c>
      <c r="Q420" s="7">
        <v>2.25</v>
      </c>
      <c r="R420" s="7"/>
      <c r="S420" s="7"/>
      <c r="T420" s="36">
        <v>45860</v>
      </c>
      <c r="U420" s="6"/>
      <c r="V420" s="10">
        <v>21</v>
      </c>
      <c r="W420" s="5" t="s">
        <v>725</v>
      </c>
      <c r="X420" s="25"/>
      <c r="Y420" s="5"/>
      <c r="Z420" s="35"/>
    </row>
    <row r="421" spans="2:26" s="2" customFormat="1" ht="24.95" customHeight="1" x14ac:dyDescent="0.25">
      <c r="B421" s="24"/>
      <c r="C421" s="8" t="s">
        <v>523</v>
      </c>
      <c r="D421" s="8" t="s">
        <v>377</v>
      </c>
      <c r="E421" s="8" t="s">
        <v>502</v>
      </c>
      <c r="F421" s="5">
        <v>400</v>
      </c>
      <c r="G421" s="5">
        <v>3360</v>
      </c>
      <c r="H421" s="5">
        <v>300</v>
      </c>
      <c r="I421" s="5" t="s">
        <v>46</v>
      </c>
      <c r="J421" s="5" t="s">
        <v>532</v>
      </c>
      <c r="K421" s="5" t="s">
        <v>168</v>
      </c>
      <c r="L421" s="9" t="s">
        <v>531</v>
      </c>
      <c r="M421" s="6">
        <v>45820</v>
      </c>
      <c r="N421" s="5">
        <v>0</v>
      </c>
      <c r="O421" s="6"/>
      <c r="P421" s="7">
        <v>0.89700000000000002</v>
      </c>
      <c r="Q421" s="7">
        <v>2.2429999999999999</v>
      </c>
      <c r="R421" s="7"/>
      <c r="S421" s="7"/>
      <c r="T421" s="36">
        <v>45861</v>
      </c>
      <c r="U421" s="6"/>
      <c r="V421" s="10">
        <v>21</v>
      </c>
      <c r="W421" s="5" t="s">
        <v>722</v>
      </c>
      <c r="X421" s="25"/>
      <c r="Y421" s="5"/>
      <c r="Z421" s="35"/>
    </row>
    <row r="422" spans="2:26" s="2" customFormat="1" ht="24.95" customHeight="1" x14ac:dyDescent="0.25">
      <c r="B422" s="24"/>
      <c r="C422" s="8" t="s">
        <v>524</v>
      </c>
      <c r="D422" s="8" t="s">
        <v>377</v>
      </c>
      <c r="E422" s="8" t="s">
        <v>502</v>
      </c>
      <c r="F422" s="5">
        <v>400</v>
      </c>
      <c r="G422" s="5">
        <v>3405</v>
      </c>
      <c r="H422" s="5">
        <v>300</v>
      </c>
      <c r="I422" s="5" t="s">
        <v>46</v>
      </c>
      <c r="J422" s="5" t="s">
        <v>319</v>
      </c>
      <c r="K422" s="5" t="s">
        <v>169</v>
      </c>
      <c r="L422" s="9" t="s">
        <v>531</v>
      </c>
      <c r="M422" s="6">
        <v>45820</v>
      </c>
      <c r="N422" s="5">
        <v>0</v>
      </c>
      <c r="O422" s="6"/>
      <c r="P422" s="7">
        <v>0.88900000000000001</v>
      </c>
      <c r="Q422" s="7">
        <v>2.2229999999999999</v>
      </c>
      <c r="R422" s="7"/>
      <c r="S422" s="7"/>
      <c r="T422" s="36">
        <v>45857</v>
      </c>
      <c r="U422" s="6"/>
      <c r="V422" s="10">
        <v>21</v>
      </c>
      <c r="W422" s="5" t="s">
        <v>726</v>
      </c>
      <c r="X422" s="25"/>
      <c r="Y422" s="5"/>
      <c r="Z422" s="35"/>
    </row>
    <row r="423" spans="2:26" s="2" customFormat="1" ht="24.95" customHeight="1" x14ac:dyDescent="0.25">
      <c r="B423" s="24"/>
      <c r="C423" s="8" t="s">
        <v>519</v>
      </c>
      <c r="D423" s="8" t="s">
        <v>377</v>
      </c>
      <c r="E423" s="8" t="s">
        <v>502</v>
      </c>
      <c r="F423" s="5">
        <v>400</v>
      </c>
      <c r="G423" s="5">
        <v>3090</v>
      </c>
      <c r="H423" s="5">
        <v>300</v>
      </c>
      <c r="I423" s="5" t="s">
        <v>46</v>
      </c>
      <c r="J423" s="5" t="s">
        <v>53</v>
      </c>
      <c r="K423" s="5" t="s">
        <v>169</v>
      </c>
      <c r="L423" s="9" t="s">
        <v>531</v>
      </c>
      <c r="M423" s="6">
        <v>45820</v>
      </c>
      <c r="N423" s="5">
        <v>0</v>
      </c>
      <c r="O423" s="6"/>
      <c r="P423" s="7">
        <v>0.78900000000000003</v>
      </c>
      <c r="Q423" s="7">
        <v>1.9730000000000001</v>
      </c>
      <c r="R423" s="7"/>
      <c r="S423" s="7"/>
      <c r="T423" s="36">
        <v>45862</v>
      </c>
      <c r="U423" s="6"/>
      <c r="V423" s="10">
        <v>21</v>
      </c>
      <c r="W423" s="5" t="s">
        <v>722</v>
      </c>
      <c r="X423" s="25"/>
      <c r="Y423" s="5"/>
      <c r="Z423" s="35"/>
    </row>
    <row r="424" spans="2:26" s="2" customFormat="1" ht="24.95" customHeight="1" x14ac:dyDescent="0.25">
      <c r="B424" s="24"/>
      <c r="C424" s="8" t="s">
        <v>534</v>
      </c>
      <c r="D424" s="8" t="s">
        <v>377</v>
      </c>
      <c r="E424" s="8"/>
      <c r="F424" s="5">
        <v>400</v>
      </c>
      <c r="G424" s="5">
        <v>3160</v>
      </c>
      <c r="H424" s="5">
        <v>300</v>
      </c>
      <c r="I424" s="5" t="s">
        <v>46</v>
      </c>
      <c r="J424" s="5" t="s">
        <v>535</v>
      </c>
      <c r="K424" s="5" t="s">
        <v>168</v>
      </c>
      <c r="L424" s="9" t="s">
        <v>531</v>
      </c>
      <c r="M424" s="6">
        <v>45820</v>
      </c>
      <c r="N424" s="5">
        <v>0</v>
      </c>
      <c r="O424" s="6"/>
      <c r="P424" s="7">
        <v>0.83299999999999996</v>
      </c>
      <c r="Q424" s="7">
        <v>2.0830000000000002</v>
      </c>
      <c r="R424" s="7"/>
      <c r="S424" s="7"/>
      <c r="T424" s="36">
        <v>45861</v>
      </c>
      <c r="U424" s="6"/>
      <c r="V424" s="10">
        <v>21</v>
      </c>
      <c r="W424" s="5" t="s">
        <v>723</v>
      </c>
      <c r="X424" s="25"/>
      <c r="Y424" s="5"/>
      <c r="Z424" s="35"/>
    </row>
    <row r="425" spans="2:26" s="2" customFormat="1" ht="24.95" customHeight="1" x14ac:dyDescent="0.25">
      <c r="B425" s="24"/>
      <c r="C425" s="8" t="s">
        <v>520</v>
      </c>
      <c r="D425" s="8" t="s">
        <v>377</v>
      </c>
      <c r="E425" s="8" t="s">
        <v>502</v>
      </c>
      <c r="F425" s="5"/>
      <c r="G425" s="5"/>
      <c r="H425" s="5"/>
      <c r="I425" s="5"/>
      <c r="J425" s="5"/>
      <c r="K425" s="5"/>
      <c r="L425" s="9"/>
      <c r="M425" s="6"/>
      <c r="N425" s="5"/>
      <c r="O425" s="6"/>
      <c r="P425" s="7"/>
      <c r="Q425" s="7"/>
      <c r="R425" s="7"/>
      <c r="S425" s="7"/>
      <c r="T425" s="36"/>
      <c r="U425" s="6"/>
      <c r="V425" s="10">
        <v>21</v>
      </c>
      <c r="W425" s="5"/>
      <c r="X425" s="25"/>
      <c r="Y425" s="5"/>
      <c r="Z425" s="35"/>
    </row>
    <row r="426" spans="2:26" s="2" customFormat="1" ht="24.95" customHeight="1" x14ac:dyDescent="0.25">
      <c r="B426" s="24"/>
      <c r="C426" s="8" t="s">
        <v>521</v>
      </c>
      <c r="D426" s="8" t="s">
        <v>377</v>
      </c>
      <c r="E426" s="8" t="s">
        <v>502</v>
      </c>
      <c r="F426" s="5">
        <v>400</v>
      </c>
      <c r="G426" s="5">
        <v>3240</v>
      </c>
      <c r="H426" s="5">
        <v>300</v>
      </c>
      <c r="I426" s="5" t="s">
        <v>46</v>
      </c>
      <c r="J426" s="5" t="s">
        <v>536</v>
      </c>
      <c r="K426" s="5" t="s">
        <v>168</v>
      </c>
      <c r="L426" s="9" t="s">
        <v>531</v>
      </c>
      <c r="M426" s="6">
        <v>45820</v>
      </c>
      <c r="N426" s="5">
        <v>0</v>
      </c>
      <c r="O426" s="6"/>
      <c r="P426" s="7">
        <v>0.91500000000000004</v>
      </c>
      <c r="Q426" s="7">
        <v>2.2879999999999998</v>
      </c>
      <c r="R426" s="7"/>
      <c r="S426" s="7"/>
      <c r="T426" s="36">
        <v>45861</v>
      </c>
      <c r="U426" s="6"/>
      <c r="V426" s="10">
        <v>21</v>
      </c>
      <c r="W426" s="5" t="s">
        <v>724</v>
      </c>
      <c r="X426" s="25"/>
      <c r="Y426" s="5"/>
      <c r="Z426" s="35"/>
    </row>
    <row r="427" spans="2:26" s="2" customFormat="1" ht="24.95" customHeight="1" x14ac:dyDescent="0.25">
      <c r="B427" s="24"/>
      <c r="C427" s="8" t="s">
        <v>528</v>
      </c>
      <c r="D427" s="8" t="s">
        <v>377</v>
      </c>
      <c r="E427" s="8" t="s">
        <v>471</v>
      </c>
      <c r="F427" s="5">
        <v>400</v>
      </c>
      <c r="G427" s="5">
        <v>3300</v>
      </c>
      <c r="H427" s="5">
        <v>300</v>
      </c>
      <c r="I427" s="5" t="s">
        <v>46</v>
      </c>
      <c r="J427" s="5" t="s">
        <v>170</v>
      </c>
      <c r="K427" s="5" t="s">
        <v>168</v>
      </c>
      <c r="L427" s="9" t="s">
        <v>531</v>
      </c>
      <c r="M427" s="6">
        <v>45820</v>
      </c>
      <c r="N427" s="5">
        <v>0</v>
      </c>
      <c r="O427" s="6"/>
      <c r="P427" s="7">
        <v>0.878</v>
      </c>
      <c r="Q427" s="7">
        <v>2.1949999999999998</v>
      </c>
      <c r="R427" s="7"/>
      <c r="S427" s="7"/>
      <c r="T427" s="36">
        <v>45861</v>
      </c>
      <c r="U427" s="6"/>
      <c r="V427" s="10">
        <v>21</v>
      </c>
      <c r="W427" s="5" t="s">
        <v>725</v>
      </c>
      <c r="X427" s="25"/>
      <c r="Y427" s="5"/>
      <c r="Z427" s="35"/>
    </row>
    <row r="428" spans="2:26" s="2" customFormat="1" ht="24.95" customHeight="1" x14ac:dyDescent="0.25">
      <c r="B428" s="24"/>
      <c r="C428" s="8" t="s">
        <v>529</v>
      </c>
      <c r="D428" s="8" t="s">
        <v>377</v>
      </c>
      <c r="E428" s="8" t="s">
        <v>502</v>
      </c>
      <c r="F428" s="5"/>
      <c r="G428" s="5"/>
      <c r="H428" s="5"/>
      <c r="I428" s="5"/>
      <c r="J428" s="5"/>
      <c r="K428" s="5"/>
      <c r="L428" s="9"/>
      <c r="M428" s="6"/>
      <c r="N428" s="5"/>
      <c r="O428" s="6"/>
      <c r="P428" s="7"/>
      <c r="Q428" s="7"/>
      <c r="R428" s="7"/>
      <c r="S428" s="7"/>
      <c r="T428" s="36"/>
      <c r="U428" s="6"/>
      <c r="V428" s="10">
        <v>21</v>
      </c>
      <c r="W428" s="5"/>
      <c r="X428" s="25"/>
      <c r="Y428" s="5"/>
      <c r="Z428" s="35"/>
    </row>
    <row r="429" spans="2:26" s="2" customFormat="1" ht="24.95" customHeight="1" x14ac:dyDescent="0.25">
      <c r="B429" s="24"/>
      <c r="C429" s="8" t="s">
        <v>530</v>
      </c>
      <c r="D429" s="8" t="s">
        <v>377</v>
      </c>
      <c r="E429" s="8" t="s">
        <v>471</v>
      </c>
      <c r="F429" s="5">
        <v>400</v>
      </c>
      <c r="G429" s="5">
        <v>3180</v>
      </c>
      <c r="H429" s="5">
        <v>300</v>
      </c>
      <c r="I429" s="5" t="s">
        <v>46</v>
      </c>
      <c r="J429" s="5" t="s">
        <v>538</v>
      </c>
      <c r="K429" s="5" t="s">
        <v>167</v>
      </c>
      <c r="L429" s="9" t="s">
        <v>531</v>
      </c>
      <c r="M429" s="6">
        <v>45820</v>
      </c>
      <c r="N429" s="5">
        <v>0</v>
      </c>
      <c r="O429" s="6"/>
      <c r="P429" s="7">
        <v>0.72299999999999998</v>
      </c>
      <c r="Q429" s="7">
        <v>1.8080000000000001</v>
      </c>
      <c r="R429" s="7"/>
      <c r="S429" s="7"/>
      <c r="T429" s="36">
        <v>45863</v>
      </c>
      <c r="U429" s="6"/>
      <c r="V429" s="10">
        <v>21</v>
      </c>
      <c r="W429" s="5" t="s">
        <v>722</v>
      </c>
      <c r="X429" s="25"/>
      <c r="Y429" s="5"/>
      <c r="Z429" s="35"/>
    </row>
    <row r="430" spans="2:26" s="2" customFormat="1" ht="24.95" customHeight="1" x14ac:dyDescent="0.25">
      <c r="B430" s="24"/>
      <c r="C430" s="8" t="s">
        <v>525</v>
      </c>
      <c r="D430" s="8" t="s">
        <v>377</v>
      </c>
      <c r="E430" s="8" t="s">
        <v>471</v>
      </c>
      <c r="F430" s="5">
        <v>400</v>
      </c>
      <c r="G430" s="5">
        <v>3405</v>
      </c>
      <c r="H430" s="5">
        <v>300</v>
      </c>
      <c r="I430" s="5" t="s">
        <v>46</v>
      </c>
      <c r="J430" s="5" t="s">
        <v>301</v>
      </c>
      <c r="K430" s="5" t="s">
        <v>167</v>
      </c>
      <c r="L430" s="9" t="s">
        <v>531</v>
      </c>
      <c r="M430" s="6">
        <v>45820</v>
      </c>
      <c r="N430" s="5">
        <v>0</v>
      </c>
      <c r="O430" s="6"/>
      <c r="P430" s="7">
        <v>1.0269999999999999</v>
      </c>
      <c r="Q430" s="7">
        <v>2.5680000000000001</v>
      </c>
      <c r="R430" s="7"/>
      <c r="S430" s="7"/>
      <c r="T430" s="36">
        <v>45864</v>
      </c>
      <c r="U430" s="6"/>
      <c r="V430" s="10">
        <v>21</v>
      </c>
      <c r="W430" s="5" t="s">
        <v>722</v>
      </c>
      <c r="X430" s="25"/>
      <c r="Y430" s="5"/>
      <c r="Z430" s="35"/>
    </row>
    <row r="431" spans="2:26" s="2" customFormat="1" ht="24.95" customHeight="1" x14ac:dyDescent="0.25">
      <c r="B431" s="24"/>
      <c r="C431" s="8" t="s">
        <v>526</v>
      </c>
      <c r="D431" s="8" t="s">
        <v>377</v>
      </c>
      <c r="E431" s="8" t="s">
        <v>471</v>
      </c>
      <c r="F431" s="5">
        <v>400</v>
      </c>
      <c r="G431" s="5">
        <v>3180</v>
      </c>
      <c r="H431" s="5">
        <v>300</v>
      </c>
      <c r="I431" s="5" t="s">
        <v>46</v>
      </c>
      <c r="J431" s="5" t="s">
        <v>53</v>
      </c>
      <c r="K431" s="5" t="s">
        <v>168</v>
      </c>
      <c r="L431" s="9" t="s">
        <v>531</v>
      </c>
      <c r="M431" s="6">
        <v>45820</v>
      </c>
      <c r="N431" s="5">
        <v>0</v>
      </c>
      <c r="O431" s="6"/>
      <c r="P431" s="7">
        <v>0.78800000000000003</v>
      </c>
      <c r="Q431" s="7">
        <v>1.97</v>
      </c>
      <c r="R431" s="7"/>
      <c r="S431" s="7"/>
      <c r="T431" s="36">
        <v>45862</v>
      </c>
      <c r="U431" s="6"/>
      <c r="V431" s="10">
        <v>21</v>
      </c>
      <c r="W431" s="5" t="s">
        <v>723</v>
      </c>
      <c r="X431" s="25"/>
      <c r="Y431" s="5"/>
      <c r="Z431" s="35"/>
    </row>
    <row r="432" spans="2:26" s="2" customFormat="1" ht="24.95" customHeight="1" x14ac:dyDescent="0.25">
      <c r="B432" s="24"/>
      <c r="C432" s="8" t="s">
        <v>527</v>
      </c>
      <c r="D432" s="8" t="s">
        <v>377</v>
      </c>
      <c r="E432" s="8" t="s">
        <v>471</v>
      </c>
      <c r="F432" s="5">
        <v>400</v>
      </c>
      <c r="G432" s="5">
        <v>3240</v>
      </c>
      <c r="H432" s="5">
        <v>300</v>
      </c>
      <c r="I432" s="5" t="s">
        <v>46</v>
      </c>
      <c r="J432" s="5" t="s">
        <v>53</v>
      </c>
      <c r="K432" s="5" t="s">
        <v>168</v>
      </c>
      <c r="L432" s="9" t="s">
        <v>531</v>
      </c>
      <c r="M432" s="6">
        <v>45820</v>
      </c>
      <c r="N432" s="5">
        <v>0</v>
      </c>
      <c r="O432" s="6"/>
      <c r="P432" s="7">
        <v>0.79400000000000004</v>
      </c>
      <c r="Q432" s="7">
        <v>1.9850000000000001</v>
      </c>
      <c r="R432" s="7"/>
      <c r="S432" s="7"/>
      <c r="T432" s="36">
        <v>45862</v>
      </c>
      <c r="U432" s="6"/>
      <c r="V432" s="10">
        <v>21</v>
      </c>
      <c r="W432" s="5" t="s">
        <v>724</v>
      </c>
      <c r="X432" s="25"/>
      <c r="Y432" s="5"/>
      <c r="Z432" s="35"/>
    </row>
    <row r="433" spans="2:26" ht="24.95" customHeight="1" x14ac:dyDescent="0.25">
      <c r="B433" s="24"/>
      <c r="C433" s="8" t="s">
        <v>537</v>
      </c>
      <c r="D433" s="8" t="s">
        <v>377</v>
      </c>
      <c r="E433" s="8"/>
      <c r="F433" s="5">
        <v>400</v>
      </c>
      <c r="G433" s="5">
        <v>3090</v>
      </c>
      <c r="H433" s="5">
        <v>300</v>
      </c>
      <c r="I433" s="5" t="s">
        <v>46</v>
      </c>
      <c r="J433" s="5" t="s">
        <v>53</v>
      </c>
      <c r="K433" s="5" t="s">
        <v>168</v>
      </c>
      <c r="L433" s="9" t="s">
        <v>531</v>
      </c>
      <c r="M433" s="6">
        <v>45820</v>
      </c>
      <c r="N433" s="5">
        <v>0</v>
      </c>
      <c r="O433" s="6"/>
      <c r="P433" s="7">
        <v>0.77100000000000002</v>
      </c>
      <c r="Q433" s="7">
        <v>1.9279999999999999</v>
      </c>
      <c r="R433" s="7"/>
      <c r="S433" s="7"/>
      <c r="T433" s="36">
        <v>45862</v>
      </c>
      <c r="U433" s="6"/>
      <c r="V433" s="10">
        <v>21</v>
      </c>
      <c r="W433" s="5" t="s">
        <v>725</v>
      </c>
      <c r="X433" s="25"/>
      <c r="Y433" s="5"/>
      <c r="Z433" s="35"/>
    </row>
    <row r="434" spans="2:26" ht="24.95" customHeight="1" x14ac:dyDescent="0.25">
      <c r="B434" s="24"/>
      <c r="C434" s="8" t="s">
        <v>512</v>
      </c>
      <c r="D434" s="8" t="s">
        <v>377</v>
      </c>
      <c r="E434" s="8" t="s">
        <v>479</v>
      </c>
      <c r="F434" s="5">
        <v>400</v>
      </c>
      <c r="G434" s="5">
        <v>3140</v>
      </c>
      <c r="H434" s="5">
        <v>300</v>
      </c>
      <c r="I434" s="5" t="s">
        <v>46</v>
      </c>
      <c r="J434" s="5" t="s">
        <v>45</v>
      </c>
      <c r="K434" s="5" t="s">
        <v>168</v>
      </c>
      <c r="L434" s="9" t="s">
        <v>531</v>
      </c>
      <c r="M434" s="6">
        <v>45820</v>
      </c>
      <c r="N434" s="5">
        <v>0</v>
      </c>
      <c r="O434" s="6"/>
      <c r="P434" s="7">
        <v>0.75600000000000001</v>
      </c>
      <c r="Q434" s="7">
        <v>1.89</v>
      </c>
      <c r="R434" s="7"/>
      <c r="S434" s="7"/>
      <c r="T434" s="36">
        <v>45863</v>
      </c>
      <c r="U434" s="6"/>
      <c r="V434" s="10">
        <v>21</v>
      </c>
      <c r="W434" s="5" t="s">
        <v>723</v>
      </c>
      <c r="X434" s="25"/>
      <c r="Y434" s="5"/>
      <c r="Z434" s="35" t="e">
        <f>VLOOKUP(#REF!,#REF!,1,0)</f>
        <v>#REF!</v>
      </c>
    </row>
    <row r="435" spans="2:26" ht="24.95" customHeight="1" x14ac:dyDescent="0.25">
      <c r="B435" s="24"/>
      <c r="C435" s="8" t="s">
        <v>513</v>
      </c>
      <c r="D435" s="8" t="s">
        <v>377</v>
      </c>
      <c r="E435" s="8" t="s">
        <v>502</v>
      </c>
      <c r="F435" s="5">
        <v>400</v>
      </c>
      <c r="G435" s="5">
        <v>3140</v>
      </c>
      <c r="H435" s="5">
        <v>300</v>
      </c>
      <c r="I435" s="5" t="s">
        <v>46</v>
      </c>
      <c r="J435" s="5" t="s">
        <v>45</v>
      </c>
      <c r="K435" s="5" t="s">
        <v>168</v>
      </c>
      <c r="L435" s="9" t="s">
        <v>531</v>
      </c>
      <c r="M435" s="6">
        <v>45820</v>
      </c>
      <c r="N435" s="5">
        <v>0</v>
      </c>
      <c r="O435" s="6"/>
      <c r="P435" s="7">
        <v>0.753</v>
      </c>
      <c r="Q435" s="7">
        <v>1.883</v>
      </c>
      <c r="R435" s="7"/>
      <c r="S435" s="7"/>
      <c r="T435" s="36">
        <v>45863</v>
      </c>
      <c r="U435" s="7"/>
      <c r="V435" s="10">
        <v>21</v>
      </c>
      <c r="W435" s="5" t="s">
        <v>724</v>
      </c>
      <c r="X435" s="25"/>
      <c r="Y435" s="5"/>
      <c r="Z435" s="35" t="e">
        <f>VLOOKUP(#REF!,#REF!,1,0)</f>
        <v>#REF!</v>
      </c>
    </row>
    <row r="436" spans="2:26" ht="24.95" customHeight="1" x14ac:dyDescent="0.25">
      <c r="B436" s="24"/>
      <c r="C436" s="8" t="s">
        <v>511</v>
      </c>
      <c r="D436" s="8" t="s">
        <v>377</v>
      </c>
      <c r="E436" s="8" t="s">
        <v>502</v>
      </c>
      <c r="F436" s="5">
        <v>400</v>
      </c>
      <c r="G436" s="5">
        <v>2945</v>
      </c>
      <c r="H436" s="5">
        <v>300</v>
      </c>
      <c r="I436" s="5" t="s">
        <v>46</v>
      </c>
      <c r="J436" s="5" t="s">
        <v>60</v>
      </c>
      <c r="K436" s="5" t="s">
        <v>168</v>
      </c>
      <c r="L436" s="9" t="s">
        <v>531</v>
      </c>
      <c r="M436" s="6">
        <v>45820</v>
      </c>
      <c r="N436" s="5">
        <v>0</v>
      </c>
      <c r="O436" s="6"/>
      <c r="P436" s="7">
        <v>0.66100000000000003</v>
      </c>
      <c r="Q436" s="7">
        <v>1.653</v>
      </c>
      <c r="R436" s="7"/>
      <c r="S436" s="7"/>
      <c r="T436" s="36">
        <v>45863</v>
      </c>
      <c r="U436" s="7"/>
      <c r="V436" s="10">
        <v>21</v>
      </c>
      <c r="W436" s="5" t="s">
        <v>725</v>
      </c>
      <c r="X436" s="25"/>
      <c r="Y436" s="5"/>
      <c r="Z436" s="35" t="e">
        <f>VLOOKUP(#REF!,#REF!,1,0)</f>
        <v>#REF!</v>
      </c>
    </row>
    <row r="437" spans="2:26" ht="24.95" customHeight="1" x14ac:dyDescent="0.25">
      <c r="B437" s="24"/>
      <c r="C437" s="8" t="s">
        <v>509</v>
      </c>
      <c r="D437" s="8" t="s">
        <v>377</v>
      </c>
      <c r="E437" s="8" t="s">
        <v>502</v>
      </c>
      <c r="F437" s="5">
        <v>400</v>
      </c>
      <c r="G437" s="5">
        <v>2850</v>
      </c>
      <c r="H437" s="5">
        <v>300</v>
      </c>
      <c r="I437" s="5" t="s">
        <v>46</v>
      </c>
      <c r="J437" s="5" t="s">
        <v>164</v>
      </c>
      <c r="K437" s="5" t="s">
        <v>168</v>
      </c>
      <c r="L437" s="9" t="s">
        <v>531</v>
      </c>
      <c r="M437" s="6">
        <v>45820</v>
      </c>
      <c r="N437" s="5">
        <v>0</v>
      </c>
      <c r="O437" s="6"/>
      <c r="P437" s="7">
        <v>0.70299999999999996</v>
      </c>
      <c r="Q437" s="7">
        <v>1.758</v>
      </c>
      <c r="R437" s="7"/>
      <c r="S437" s="7"/>
      <c r="T437" s="36">
        <v>45864</v>
      </c>
      <c r="U437" s="7"/>
      <c r="V437" s="10">
        <v>21</v>
      </c>
      <c r="W437" s="5" t="s">
        <v>723</v>
      </c>
      <c r="X437" s="25"/>
      <c r="Y437" s="5"/>
      <c r="Z437" s="35" t="e">
        <f>VLOOKUP(#REF!,#REF!,1,0)</f>
        <v>#REF!</v>
      </c>
    </row>
    <row r="438" spans="2:26" ht="24.95" customHeight="1" x14ac:dyDescent="0.25">
      <c r="B438" s="24"/>
      <c r="C438" s="8" t="s">
        <v>539</v>
      </c>
      <c r="D438" s="8" t="s">
        <v>377</v>
      </c>
      <c r="E438" s="8" t="s">
        <v>502</v>
      </c>
      <c r="F438" s="5">
        <v>400</v>
      </c>
      <c r="G438" s="5">
        <v>3045</v>
      </c>
      <c r="H438" s="5">
        <v>300</v>
      </c>
      <c r="I438" s="5" t="s">
        <v>46</v>
      </c>
      <c r="J438" s="5" t="s">
        <v>53</v>
      </c>
      <c r="K438" s="5" t="s">
        <v>168</v>
      </c>
      <c r="L438" s="9" t="s">
        <v>531</v>
      </c>
      <c r="M438" s="6">
        <v>45820</v>
      </c>
      <c r="N438" s="5">
        <v>0</v>
      </c>
      <c r="O438" s="6"/>
      <c r="P438" s="7">
        <v>0.76400000000000001</v>
      </c>
      <c r="Q438" s="7">
        <v>1.91</v>
      </c>
      <c r="R438" s="7"/>
      <c r="S438" s="7"/>
      <c r="T438" s="36">
        <v>45859</v>
      </c>
      <c r="U438" s="7"/>
      <c r="V438" s="10">
        <v>21</v>
      </c>
      <c r="W438" s="5" t="s">
        <v>722</v>
      </c>
      <c r="X438" s="25"/>
      <c r="Y438" s="5"/>
      <c r="Z438" s="35"/>
    </row>
    <row r="439" spans="2:26" ht="24.95" customHeight="1" x14ac:dyDescent="0.25">
      <c r="B439" s="24"/>
      <c r="C439" s="8" t="s">
        <v>510</v>
      </c>
      <c r="D439" s="8" t="s">
        <v>377</v>
      </c>
      <c r="E439" s="8" t="s">
        <v>479</v>
      </c>
      <c r="F439" s="5"/>
      <c r="G439" s="5"/>
      <c r="H439" s="5"/>
      <c r="I439" s="5"/>
      <c r="J439" s="5"/>
      <c r="K439" s="5"/>
      <c r="L439" s="9"/>
      <c r="M439" s="6"/>
      <c r="N439" s="5"/>
      <c r="O439" s="6"/>
      <c r="P439" s="7"/>
      <c r="Q439" s="7"/>
      <c r="R439" s="7"/>
      <c r="S439" s="7"/>
      <c r="T439" s="36"/>
      <c r="U439" s="6"/>
      <c r="V439" s="10">
        <v>21</v>
      </c>
      <c r="W439" s="5"/>
      <c r="X439" s="25"/>
      <c r="Y439" s="5"/>
      <c r="Z439" s="35" t="e">
        <f>VLOOKUP(#REF!,#REF!,1,0)</f>
        <v>#REF!</v>
      </c>
    </row>
    <row r="440" spans="2:26" ht="24.95" customHeight="1" x14ac:dyDescent="0.25">
      <c r="B440" s="26"/>
      <c r="C440" s="27" t="s">
        <v>618</v>
      </c>
      <c r="D440" s="27" t="s">
        <v>633</v>
      </c>
      <c r="E440" s="8" t="s">
        <v>929</v>
      </c>
      <c r="F440" s="28">
        <v>4780</v>
      </c>
      <c r="G440" s="28">
        <v>3520</v>
      </c>
      <c r="H440" s="28">
        <v>120</v>
      </c>
      <c r="I440" s="28" t="s">
        <v>357</v>
      </c>
      <c r="J440" s="28" t="s">
        <v>132</v>
      </c>
      <c r="K440" s="28"/>
      <c r="L440" s="29" t="s">
        <v>378</v>
      </c>
      <c r="M440" s="30">
        <v>45825</v>
      </c>
      <c r="N440" s="28">
        <v>0</v>
      </c>
      <c r="O440" s="30"/>
      <c r="P440" s="31">
        <v>2.202</v>
      </c>
      <c r="Q440" s="31">
        <v>5.5049999999999999</v>
      </c>
      <c r="R440" s="31"/>
      <c r="S440" s="31"/>
      <c r="T440" s="36"/>
      <c r="U440" s="30"/>
      <c r="V440" s="10">
        <v>21</v>
      </c>
      <c r="W440" s="28"/>
      <c r="X440" s="32"/>
      <c r="Y440" s="5"/>
      <c r="Z440" s="54"/>
    </row>
    <row r="441" spans="2:26" ht="24.95" customHeight="1" x14ac:dyDescent="0.25">
      <c r="B441" s="26"/>
      <c r="C441" s="27" t="s">
        <v>619</v>
      </c>
      <c r="D441" s="27" t="s">
        <v>633</v>
      </c>
      <c r="E441" s="8" t="s">
        <v>929</v>
      </c>
      <c r="F441" s="28">
        <v>4780</v>
      </c>
      <c r="G441" s="28">
        <v>3520</v>
      </c>
      <c r="H441" s="28">
        <v>120</v>
      </c>
      <c r="I441" s="28" t="s">
        <v>357</v>
      </c>
      <c r="J441" s="28" t="s">
        <v>132</v>
      </c>
      <c r="K441" s="28"/>
      <c r="L441" s="29" t="s">
        <v>378</v>
      </c>
      <c r="M441" s="30">
        <v>45825</v>
      </c>
      <c r="N441" s="28">
        <v>0</v>
      </c>
      <c r="O441" s="30"/>
      <c r="P441" s="31">
        <v>2.202</v>
      </c>
      <c r="Q441" s="31">
        <v>5.5049999999999999</v>
      </c>
      <c r="R441" s="31"/>
      <c r="S441" s="31"/>
      <c r="T441" s="36"/>
      <c r="U441" s="30"/>
      <c r="V441" s="10">
        <v>21</v>
      </c>
      <c r="W441" s="28"/>
      <c r="X441" s="32"/>
      <c r="Y441" s="5"/>
      <c r="Z441" s="54"/>
    </row>
    <row r="442" spans="2:26" ht="24.95" customHeight="1" x14ac:dyDescent="0.25">
      <c r="B442" s="26"/>
      <c r="C442" s="27" t="s">
        <v>667</v>
      </c>
      <c r="D442" s="27" t="s">
        <v>633</v>
      </c>
      <c r="E442" s="8" t="s">
        <v>929</v>
      </c>
      <c r="F442" s="28">
        <v>4780</v>
      </c>
      <c r="G442" s="28">
        <v>3520</v>
      </c>
      <c r="H442" s="28">
        <v>120</v>
      </c>
      <c r="I442" s="28" t="s">
        <v>357</v>
      </c>
      <c r="J442" s="28" t="s">
        <v>132</v>
      </c>
      <c r="K442" s="28"/>
      <c r="L442" s="29" t="s">
        <v>378</v>
      </c>
      <c r="M442" s="30">
        <v>45825</v>
      </c>
      <c r="N442" s="28">
        <v>0</v>
      </c>
      <c r="O442" s="30"/>
      <c r="P442" s="31">
        <v>2.202</v>
      </c>
      <c r="Q442" s="31">
        <v>5.5049999999999999</v>
      </c>
      <c r="R442" s="31"/>
      <c r="S442" s="31"/>
      <c r="T442" s="36"/>
      <c r="U442" s="30"/>
      <c r="V442" s="10">
        <v>21</v>
      </c>
      <c r="W442" s="28"/>
      <c r="X442" s="32"/>
      <c r="Y442" s="5"/>
      <c r="Z442" s="54"/>
    </row>
    <row r="443" spans="2:26" ht="24.95" customHeight="1" x14ac:dyDescent="0.25">
      <c r="B443" s="26"/>
      <c r="C443" s="27" t="s">
        <v>668</v>
      </c>
      <c r="D443" s="27" t="s">
        <v>633</v>
      </c>
      <c r="E443" s="8" t="s">
        <v>929</v>
      </c>
      <c r="F443" s="28">
        <v>4780</v>
      </c>
      <c r="G443" s="28">
        <v>3520</v>
      </c>
      <c r="H443" s="28">
        <v>120</v>
      </c>
      <c r="I443" s="28" t="s">
        <v>357</v>
      </c>
      <c r="J443" s="28" t="s">
        <v>132</v>
      </c>
      <c r="K443" s="28"/>
      <c r="L443" s="29" t="s">
        <v>378</v>
      </c>
      <c r="M443" s="30">
        <v>45825</v>
      </c>
      <c r="N443" s="28">
        <v>0</v>
      </c>
      <c r="O443" s="30"/>
      <c r="P443" s="31">
        <v>2.202</v>
      </c>
      <c r="Q443" s="31">
        <v>5.5049999999999999</v>
      </c>
      <c r="R443" s="31"/>
      <c r="S443" s="31"/>
      <c r="T443" s="36"/>
      <c r="U443" s="30"/>
      <c r="V443" s="10">
        <v>21</v>
      </c>
      <c r="W443" s="28"/>
      <c r="X443" s="32"/>
      <c r="Y443" s="5"/>
      <c r="Z443" s="54"/>
    </row>
    <row r="444" spans="2:26" ht="24.95" customHeight="1" x14ac:dyDescent="0.25">
      <c r="B444" s="26"/>
      <c r="C444" s="27" t="s">
        <v>620</v>
      </c>
      <c r="D444" s="27" t="s">
        <v>633</v>
      </c>
      <c r="E444" s="8" t="s">
        <v>929</v>
      </c>
      <c r="F444" s="28">
        <v>4770</v>
      </c>
      <c r="G444" s="28">
        <v>3520</v>
      </c>
      <c r="H444" s="28">
        <v>120</v>
      </c>
      <c r="I444" s="28" t="s">
        <v>357</v>
      </c>
      <c r="J444" s="28" t="s">
        <v>132</v>
      </c>
      <c r="K444" s="28"/>
      <c r="L444" s="29" t="s">
        <v>378</v>
      </c>
      <c r="M444" s="30">
        <v>45825</v>
      </c>
      <c r="N444" s="28">
        <v>0</v>
      </c>
      <c r="O444" s="30"/>
      <c r="P444" s="31">
        <v>2.1989999999999998</v>
      </c>
      <c r="Q444" s="31">
        <v>5.4980000000000002</v>
      </c>
      <c r="R444" s="31"/>
      <c r="S444" s="31"/>
      <c r="T444" s="36"/>
      <c r="U444" s="30"/>
      <c r="V444" s="10">
        <v>21</v>
      </c>
      <c r="W444" s="28"/>
      <c r="X444" s="32"/>
      <c r="Y444" s="5"/>
      <c r="Z444" s="54"/>
    </row>
    <row r="445" spans="2:26" ht="24.95" customHeight="1" x14ac:dyDescent="0.25">
      <c r="B445" s="26"/>
      <c r="C445" s="27" t="s">
        <v>621</v>
      </c>
      <c r="D445" s="27" t="s">
        <v>633</v>
      </c>
      <c r="E445" s="27" t="s">
        <v>930</v>
      </c>
      <c r="F445" s="28">
        <v>2990</v>
      </c>
      <c r="G445" s="28">
        <v>3700</v>
      </c>
      <c r="H445" s="28">
        <v>120</v>
      </c>
      <c r="I445" s="28" t="s">
        <v>356</v>
      </c>
      <c r="J445" s="28" t="s">
        <v>127</v>
      </c>
      <c r="K445" s="28"/>
      <c r="L445" s="29" t="s">
        <v>378</v>
      </c>
      <c r="M445" s="30">
        <v>45825</v>
      </c>
      <c r="N445" s="28">
        <v>0</v>
      </c>
      <c r="O445" s="30"/>
      <c r="P445" s="31">
        <v>1.4550000000000001</v>
      </c>
      <c r="Q445" s="31">
        <v>3.6379999999999999</v>
      </c>
      <c r="R445" s="31"/>
      <c r="S445" s="31"/>
      <c r="T445" s="36"/>
      <c r="U445" s="30"/>
      <c r="V445" s="10">
        <v>21</v>
      </c>
      <c r="W445" s="28"/>
      <c r="X445" s="32"/>
      <c r="Y445" s="5"/>
      <c r="Z445" s="54"/>
    </row>
    <row r="446" spans="2:26" ht="24.95" customHeight="1" x14ac:dyDescent="0.25">
      <c r="B446" s="26"/>
      <c r="C446" s="27" t="s">
        <v>669</v>
      </c>
      <c r="D446" s="27" t="s">
        <v>633</v>
      </c>
      <c r="E446" s="27" t="s">
        <v>930</v>
      </c>
      <c r="F446" s="28">
        <v>2990</v>
      </c>
      <c r="G446" s="28">
        <v>3700</v>
      </c>
      <c r="H446" s="28">
        <v>120</v>
      </c>
      <c r="I446" s="28" t="s">
        <v>356</v>
      </c>
      <c r="J446" s="28" t="s">
        <v>127</v>
      </c>
      <c r="K446" s="28"/>
      <c r="L446" s="29" t="s">
        <v>378</v>
      </c>
      <c r="M446" s="30">
        <v>45825</v>
      </c>
      <c r="N446" s="28">
        <v>0</v>
      </c>
      <c r="O446" s="30"/>
      <c r="P446" s="31">
        <v>1.4550000000000001</v>
      </c>
      <c r="Q446" s="31">
        <v>3.6379999999999999</v>
      </c>
      <c r="R446" s="31"/>
      <c r="S446" s="31"/>
      <c r="T446" s="36"/>
      <c r="U446" s="30"/>
      <c r="V446" s="10">
        <v>21</v>
      </c>
      <c r="W446" s="28"/>
      <c r="X446" s="32"/>
      <c r="Y446" s="5"/>
      <c r="Z446" s="54"/>
    </row>
    <row r="447" spans="2:26" ht="24.95" customHeight="1" x14ac:dyDescent="0.25">
      <c r="B447" s="26"/>
      <c r="C447" s="27" t="s">
        <v>670</v>
      </c>
      <c r="D447" s="27" t="s">
        <v>633</v>
      </c>
      <c r="E447" s="27" t="s">
        <v>931</v>
      </c>
      <c r="F447" s="28">
        <v>2990</v>
      </c>
      <c r="G447" s="28">
        <v>3700</v>
      </c>
      <c r="H447" s="28">
        <v>120</v>
      </c>
      <c r="I447" s="28" t="s">
        <v>356</v>
      </c>
      <c r="J447" s="28" t="s">
        <v>127</v>
      </c>
      <c r="K447" s="28"/>
      <c r="L447" s="29" t="s">
        <v>378</v>
      </c>
      <c r="M447" s="30">
        <v>45825</v>
      </c>
      <c r="N447" s="28">
        <v>0</v>
      </c>
      <c r="O447" s="30"/>
      <c r="P447" s="31">
        <v>1.4550000000000001</v>
      </c>
      <c r="Q447" s="31">
        <v>3.6379999999999999</v>
      </c>
      <c r="R447" s="31"/>
      <c r="S447" s="31"/>
      <c r="T447" s="36"/>
      <c r="U447" s="30"/>
      <c r="V447" s="10">
        <v>21</v>
      </c>
      <c r="W447" s="28"/>
      <c r="X447" s="32"/>
      <c r="Y447" s="5"/>
      <c r="Z447" s="54"/>
    </row>
    <row r="448" spans="2:26" ht="24.95" customHeight="1" x14ac:dyDescent="0.25">
      <c r="B448" s="26"/>
      <c r="C448" s="27" t="s">
        <v>671</v>
      </c>
      <c r="D448" s="27" t="s">
        <v>633</v>
      </c>
      <c r="E448" s="27" t="s">
        <v>931</v>
      </c>
      <c r="F448" s="28">
        <v>2990</v>
      </c>
      <c r="G448" s="28">
        <v>3700</v>
      </c>
      <c r="H448" s="28">
        <v>120</v>
      </c>
      <c r="I448" s="28" t="s">
        <v>356</v>
      </c>
      <c r="J448" s="28" t="s">
        <v>127</v>
      </c>
      <c r="K448" s="28"/>
      <c r="L448" s="29" t="s">
        <v>378</v>
      </c>
      <c r="M448" s="30">
        <v>45825</v>
      </c>
      <c r="N448" s="28">
        <v>0</v>
      </c>
      <c r="O448" s="30"/>
      <c r="P448" s="31">
        <v>1.4550000000000001</v>
      </c>
      <c r="Q448" s="31">
        <v>3.6379999999999999</v>
      </c>
      <c r="R448" s="31"/>
      <c r="S448" s="31"/>
      <c r="T448" s="36"/>
      <c r="U448" s="30"/>
      <c r="V448" s="10">
        <v>21</v>
      </c>
      <c r="W448" s="28"/>
      <c r="X448" s="32"/>
      <c r="Y448" s="5"/>
      <c r="Z448" s="54"/>
    </row>
    <row r="449" spans="2:26" ht="24.95" customHeight="1" x14ac:dyDescent="0.25">
      <c r="B449" s="26"/>
      <c r="C449" s="27" t="s">
        <v>672</v>
      </c>
      <c r="D449" s="27" t="s">
        <v>633</v>
      </c>
      <c r="E449" s="27"/>
      <c r="F449" s="28">
        <v>2990</v>
      </c>
      <c r="G449" s="28">
        <v>3700</v>
      </c>
      <c r="H449" s="28">
        <v>120</v>
      </c>
      <c r="I449" s="28" t="s">
        <v>356</v>
      </c>
      <c r="J449" s="28" t="s">
        <v>127</v>
      </c>
      <c r="K449" s="28"/>
      <c r="L449" s="29" t="s">
        <v>378</v>
      </c>
      <c r="M449" s="30">
        <v>45825</v>
      </c>
      <c r="N449" s="28">
        <v>0</v>
      </c>
      <c r="O449" s="30"/>
      <c r="P449" s="31">
        <v>1.4550000000000001</v>
      </c>
      <c r="Q449" s="31">
        <v>3.6379999999999999</v>
      </c>
      <c r="R449" s="31"/>
      <c r="S449" s="31"/>
      <c r="T449" s="36"/>
      <c r="U449" s="30"/>
      <c r="V449" s="10">
        <v>21</v>
      </c>
      <c r="W449" s="28"/>
      <c r="X449" s="32"/>
      <c r="Y449" s="5"/>
      <c r="Z449" s="54"/>
    </row>
    <row r="450" spans="2:26" ht="24.95" customHeight="1" x14ac:dyDescent="0.25">
      <c r="B450" s="26"/>
      <c r="C450" s="27" t="s">
        <v>673</v>
      </c>
      <c r="D450" s="27" t="s">
        <v>633</v>
      </c>
      <c r="E450" s="27"/>
      <c r="F450" s="28">
        <v>2990</v>
      </c>
      <c r="G450" s="28">
        <v>3700</v>
      </c>
      <c r="H450" s="28">
        <v>120</v>
      </c>
      <c r="I450" s="28" t="s">
        <v>356</v>
      </c>
      <c r="J450" s="28" t="s">
        <v>127</v>
      </c>
      <c r="K450" s="28"/>
      <c r="L450" s="29" t="s">
        <v>378</v>
      </c>
      <c r="M450" s="30">
        <v>45825</v>
      </c>
      <c r="N450" s="28">
        <v>0</v>
      </c>
      <c r="O450" s="30"/>
      <c r="P450" s="31">
        <v>1.4550000000000001</v>
      </c>
      <c r="Q450" s="31">
        <v>3.6379999999999999</v>
      </c>
      <c r="R450" s="31"/>
      <c r="S450" s="31"/>
      <c r="T450" s="36"/>
      <c r="U450" s="30"/>
      <c r="V450" s="10">
        <v>21</v>
      </c>
      <c r="W450" s="28"/>
      <c r="X450" s="32"/>
      <c r="Y450" s="5"/>
      <c r="Z450" s="54"/>
    </row>
    <row r="451" spans="2:26" ht="24.95" customHeight="1" x14ac:dyDescent="0.25">
      <c r="B451" s="26"/>
      <c r="C451" s="27" t="s">
        <v>674</v>
      </c>
      <c r="D451" s="27" t="s">
        <v>633</v>
      </c>
      <c r="E451" s="27"/>
      <c r="F451" s="28">
        <v>2990</v>
      </c>
      <c r="G451" s="28">
        <v>3700</v>
      </c>
      <c r="H451" s="28">
        <v>120</v>
      </c>
      <c r="I451" s="28" t="s">
        <v>356</v>
      </c>
      <c r="J451" s="28" t="s">
        <v>127</v>
      </c>
      <c r="K451" s="28"/>
      <c r="L451" s="29" t="s">
        <v>378</v>
      </c>
      <c r="M451" s="30">
        <v>45825</v>
      </c>
      <c r="N451" s="28">
        <v>0</v>
      </c>
      <c r="O451" s="30"/>
      <c r="P451" s="31">
        <v>1.4550000000000001</v>
      </c>
      <c r="Q451" s="31">
        <v>3.6379999999999999</v>
      </c>
      <c r="R451" s="31"/>
      <c r="S451" s="31"/>
      <c r="T451" s="36"/>
      <c r="U451" s="30"/>
      <c r="V451" s="10">
        <v>21</v>
      </c>
      <c r="W451" s="28"/>
      <c r="X451" s="32"/>
      <c r="Y451" s="5"/>
      <c r="Z451" s="54"/>
    </row>
    <row r="452" spans="2:26" ht="24.95" customHeight="1" x14ac:dyDescent="0.25">
      <c r="B452" s="26"/>
      <c r="C452" s="27" t="s">
        <v>675</v>
      </c>
      <c r="D452" s="27" t="s">
        <v>633</v>
      </c>
      <c r="E452" s="27"/>
      <c r="F452" s="28">
        <v>2990</v>
      </c>
      <c r="G452" s="28">
        <v>3700</v>
      </c>
      <c r="H452" s="28">
        <v>120</v>
      </c>
      <c r="I452" s="28" t="s">
        <v>356</v>
      </c>
      <c r="J452" s="28" t="s">
        <v>127</v>
      </c>
      <c r="K452" s="28"/>
      <c r="L452" s="29" t="s">
        <v>378</v>
      </c>
      <c r="M452" s="30">
        <v>45825</v>
      </c>
      <c r="N452" s="28">
        <v>0</v>
      </c>
      <c r="O452" s="30"/>
      <c r="P452" s="31">
        <v>1.4550000000000001</v>
      </c>
      <c r="Q452" s="31">
        <v>3.6379999999999999</v>
      </c>
      <c r="R452" s="31"/>
      <c r="S452" s="31"/>
      <c r="T452" s="36"/>
      <c r="U452" s="30"/>
      <c r="V452" s="10">
        <v>21</v>
      </c>
      <c r="W452" s="28"/>
      <c r="X452" s="32"/>
      <c r="Y452" s="5"/>
      <c r="Z452" s="54"/>
    </row>
    <row r="453" spans="2:26" ht="24.95" customHeight="1" x14ac:dyDescent="0.25">
      <c r="B453" s="26"/>
      <c r="C453" s="27" t="s">
        <v>622</v>
      </c>
      <c r="D453" s="27" t="s">
        <v>633</v>
      </c>
      <c r="E453" s="27"/>
      <c r="F453" s="28">
        <v>3023</v>
      </c>
      <c r="G453" s="28">
        <v>3700</v>
      </c>
      <c r="H453" s="28">
        <v>120</v>
      </c>
      <c r="I453" s="28" t="s">
        <v>356</v>
      </c>
      <c r="J453" s="28" t="s">
        <v>127</v>
      </c>
      <c r="K453" s="28"/>
      <c r="L453" s="29" t="s">
        <v>378</v>
      </c>
      <c r="M453" s="30">
        <v>45825</v>
      </c>
      <c r="N453" s="28">
        <v>0</v>
      </c>
      <c r="O453" s="30"/>
      <c r="P453" s="31">
        <v>1.4670000000000001</v>
      </c>
      <c r="Q453" s="31">
        <v>3.6680000000000001</v>
      </c>
      <c r="R453" s="31"/>
      <c r="S453" s="31"/>
      <c r="T453" s="36"/>
      <c r="U453" s="30"/>
      <c r="V453" s="10">
        <v>21</v>
      </c>
      <c r="W453" s="28"/>
      <c r="X453" s="32"/>
      <c r="Y453" s="5"/>
      <c r="Z453" s="54"/>
    </row>
    <row r="454" spans="2:26" ht="24.95" customHeight="1" x14ac:dyDescent="0.25">
      <c r="B454" s="26"/>
      <c r="C454" s="27" t="s">
        <v>623</v>
      </c>
      <c r="D454" s="27" t="s">
        <v>633</v>
      </c>
      <c r="E454" s="27"/>
      <c r="F454" s="28">
        <v>3023</v>
      </c>
      <c r="G454" s="28">
        <v>3700</v>
      </c>
      <c r="H454" s="28">
        <v>120</v>
      </c>
      <c r="I454" s="28" t="s">
        <v>356</v>
      </c>
      <c r="J454" s="28" t="s">
        <v>127</v>
      </c>
      <c r="K454" s="28"/>
      <c r="L454" s="29" t="s">
        <v>378</v>
      </c>
      <c r="M454" s="30">
        <v>45825</v>
      </c>
      <c r="N454" s="28">
        <v>0</v>
      </c>
      <c r="O454" s="30"/>
      <c r="P454" s="31">
        <v>1.4670000000000001</v>
      </c>
      <c r="Q454" s="31">
        <v>3.6680000000000001</v>
      </c>
      <c r="R454" s="31"/>
      <c r="S454" s="31"/>
      <c r="T454" s="36"/>
      <c r="U454" s="30"/>
      <c r="V454" s="10">
        <v>21</v>
      </c>
      <c r="W454" s="28"/>
      <c r="X454" s="32"/>
      <c r="Y454" s="5"/>
      <c r="Z454" s="54"/>
    </row>
    <row r="455" spans="2:26" ht="24.95" customHeight="1" x14ac:dyDescent="0.25">
      <c r="B455" s="26"/>
      <c r="C455" s="27" t="s">
        <v>624</v>
      </c>
      <c r="D455" s="27" t="s">
        <v>633</v>
      </c>
      <c r="E455" s="27"/>
      <c r="F455" s="28">
        <v>2958</v>
      </c>
      <c r="G455" s="28">
        <v>3700</v>
      </c>
      <c r="H455" s="28">
        <v>120</v>
      </c>
      <c r="I455" s="28" t="s">
        <v>356</v>
      </c>
      <c r="J455" s="28" t="s">
        <v>127</v>
      </c>
      <c r="K455" s="28"/>
      <c r="L455" s="29" t="s">
        <v>378</v>
      </c>
      <c r="M455" s="30">
        <v>45825</v>
      </c>
      <c r="N455" s="28">
        <v>0</v>
      </c>
      <c r="O455" s="30"/>
      <c r="P455" s="31">
        <v>1.44</v>
      </c>
      <c r="Q455" s="31">
        <v>3.61</v>
      </c>
      <c r="R455" s="31"/>
      <c r="S455" s="31"/>
      <c r="T455" s="36"/>
      <c r="U455" s="30"/>
      <c r="V455" s="10">
        <v>21</v>
      </c>
      <c r="W455" s="28"/>
      <c r="X455" s="32"/>
      <c r="Y455" s="5"/>
      <c r="Z455" s="54"/>
    </row>
    <row r="456" spans="2:26" ht="24.95" customHeight="1" x14ac:dyDescent="0.25">
      <c r="B456" s="26"/>
      <c r="C456" s="27" t="s">
        <v>676</v>
      </c>
      <c r="D456" s="27" t="s">
        <v>633</v>
      </c>
      <c r="E456" s="27"/>
      <c r="F456" s="28">
        <v>2958</v>
      </c>
      <c r="G456" s="28">
        <v>3700</v>
      </c>
      <c r="H456" s="28">
        <v>120</v>
      </c>
      <c r="I456" s="28" t="s">
        <v>356</v>
      </c>
      <c r="J456" s="28" t="s">
        <v>127</v>
      </c>
      <c r="K456" s="28"/>
      <c r="L456" s="29" t="s">
        <v>378</v>
      </c>
      <c r="M456" s="30">
        <v>45825</v>
      </c>
      <c r="N456" s="28">
        <v>0</v>
      </c>
      <c r="O456" s="30"/>
      <c r="P456" s="31">
        <v>1.44</v>
      </c>
      <c r="Q456" s="31">
        <v>3.61</v>
      </c>
      <c r="R456" s="31"/>
      <c r="S456" s="31"/>
      <c r="T456" s="36"/>
      <c r="U456" s="30"/>
      <c r="V456" s="10">
        <v>21</v>
      </c>
      <c r="W456" s="28"/>
      <c r="X456" s="32"/>
      <c r="Y456" s="5"/>
      <c r="Z456" s="54"/>
    </row>
    <row r="457" spans="2:26" ht="24.95" customHeight="1" x14ac:dyDescent="0.25">
      <c r="B457" s="26"/>
      <c r="C457" s="27" t="s">
        <v>625</v>
      </c>
      <c r="D457" s="27" t="s">
        <v>633</v>
      </c>
      <c r="E457" s="27"/>
      <c r="F457" s="28">
        <v>4770</v>
      </c>
      <c r="G457" s="28">
        <v>3480</v>
      </c>
      <c r="H457" s="28">
        <v>120</v>
      </c>
      <c r="I457" s="28" t="s">
        <v>357</v>
      </c>
      <c r="J457" s="28" t="s">
        <v>132</v>
      </c>
      <c r="K457" s="28"/>
      <c r="L457" s="29" t="s">
        <v>378</v>
      </c>
      <c r="M457" s="30">
        <v>45825</v>
      </c>
      <c r="N457" s="28">
        <v>0</v>
      </c>
      <c r="O457" s="30"/>
      <c r="P457" s="31">
        <v>2.1760000000000002</v>
      </c>
      <c r="Q457" s="31">
        <v>5.44</v>
      </c>
      <c r="R457" s="31"/>
      <c r="S457" s="31"/>
      <c r="T457" s="36"/>
      <c r="U457" s="30"/>
      <c r="V457" s="10">
        <v>21</v>
      </c>
      <c r="W457" s="28"/>
      <c r="X457" s="32"/>
      <c r="Y457" s="5"/>
      <c r="Z457" s="54"/>
    </row>
    <row r="458" spans="2:26" ht="24.95" customHeight="1" x14ac:dyDescent="0.25">
      <c r="B458" s="26"/>
      <c r="C458" s="27" t="s">
        <v>626</v>
      </c>
      <c r="D458" s="27" t="s">
        <v>633</v>
      </c>
      <c r="E458" s="27"/>
      <c r="F458" s="28">
        <v>4780</v>
      </c>
      <c r="G458" s="28">
        <v>3480</v>
      </c>
      <c r="H458" s="28">
        <v>120</v>
      </c>
      <c r="I458" s="28" t="s">
        <v>357</v>
      </c>
      <c r="J458" s="28" t="s">
        <v>132</v>
      </c>
      <c r="K458" s="28"/>
      <c r="L458" s="29" t="s">
        <v>378</v>
      </c>
      <c r="M458" s="30">
        <v>45825</v>
      </c>
      <c r="N458" s="28">
        <v>0</v>
      </c>
      <c r="O458" s="30"/>
      <c r="P458" s="31">
        <v>2.1789999999999998</v>
      </c>
      <c r="Q458" s="31">
        <v>5.4480000000000004</v>
      </c>
      <c r="R458" s="31"/>
      <c r="S458" s="31"/>
      <c r="T458" s="36"/>
      <c r="U458" s="30"/>
      <c r="V458" s="10">
        <v>21</v>
      </c>
      <c r="W458" s="28"/>
      <c r="X458" s="32"/>
      <c r="Y458" s="5"/>
      <c r="Z458" s="54"/>
    </row>
    <row r="459" spans="2:26" ht="24.95" customHeight="1" x14ac:dyDescent="0.25">
      <c r="B459" s="26"/>
      <c r="C459" s="27" t="s">
        <v>677</v>
      </c>
      <c r="D459" s="27" t="s">
        <v>633</v>
      </c>
      <c r="E459" s="27"/>
      <c r="F459" s="28">
        <v>4780</v>
      </c>
      <c r="G459" s="28">
        <v>3480</v>
      </c>
      <c r="H459" s="28">
        <v>120</v>
      </c>
      <c r="I459" s="28" t="s">
        <v>357</v>
      </c>
      <c r="J459" s="28" t="s">
        <v>132</v>
      </c>
      <c r="K459" s="28"/>
      <c r="L459" s="29" t="s">
        <v>378</v>
      </c>
      <c r="M459" s="30">
        <v>45825</v>
      </c>
      <c r="N459" s="28">
        <v>0</v>
      </c>
      <c r="O459" s="30"/>
      <c r="P459" s="31">
        <v>2.1789999999999998</v>
      </c>
      <c r="Q459" s="31">
        <v>5.4480000000000004</v>
      </c>
      <c r="R459" s="31"/>
      <c r="S459" s="31"/>
      <c r="T459" s="36"/>
      <c r="U459" s="30"/>
      <c r="V459" s="10">
        <v>21</v>
      </c>
      <c r="W459" s="28"/>
      <c r="X459" s="32"/>
      <c r="Y459" s="5"/>
      <c r="Z459" s="54"/>
    </row>
    <row r="460" spans="2:26" ht="24.95" customHeight="1" x14ac:dyDescent="0.25">
      <c r="B460" s="26"/>
      <c r="C460" s="27" t="s">
        <v>678</v>
      </c>
      <c r="D460" s="27" t="s">
        <v>633</v>
      </c>
      <c r="E460" s="27"/>
      <c r="F460" s="28">
        <v>4780</v>
      </c>
      <c r="G460" s="28">
        <v>3480</v>
      </c>
      <c r="H460" s="28">
        <v>120</v>
      </c>
      <c r="I460" s="28" t="s">
        <v>357</v>
      </c>
      <c r="J460" s="28" t="s">
        <v>132</v>
      </c>
      <c r="K460" s="28"/>
      <c r="L460" s="29" t="s">
        <v>378</v>
      </c>
      <c r="M460" s="30">
        <v>45825</v>
      </c>
      <c r="N460" s="28">
        <v>0</v>
      </c>
      <c r="O460" s="30"/>
      <c r="P460" s="31">
        <v>2.1789999999999998</v>
      </c>
      <c r="Q460" s="31">
        <v>5.4480000000000004</v>
      </c>
      <c r="R460" s="31"/>
      <c r="S460" s="31"/>
      <c r="T460" s="36"/>
      <c r="U460" s="30"/>
      <c r="V460" s="10">
        <v>21</v>
      </c>
      <c r="W460" s="28"/>
      <c r="X460" s="32"/>
      <c r="Y460" s="5"/>
      <c r="Z460" s="54"/>
    </row>
    <row r="461" spans="2:26" ht="24.95" customHeight="1" x14ac:dyDescent="0.25">
      <c r="B461" s="26"/>
      <c r="C461" s="27" t="s">
        <v>627</v>
      </c>
      <c r="D461" s="27" t="s">
        <v>633</v>
      </c>
      <c r="E461" s="27"/>
      <c r="F461" s="28">
        <v>4780</v>
      </c>
      <c r="G461" s="28">
        <v>3480</v>
      </c>
      <c r="H461" s="28">
        <v>120</v>
      </c>
      <c r="I461" s="28" t="s">
        <v>357</v>
      </c>
      <c r="J461" s="28" t="s">
        <v>132</v>
      </c>
      <c r="K461" s="28"/>
      <c r="L461" s="29" t="s">
        <v>378</v>
      </c>
      <c r="M461" s="30">
        <v>45825</v>
      </c>
      <c r="N461" s="28">
        <v>0</v>
      </c>
      <c r="O461" s="30"/>
      <c r="P461" s="31">
        <v>2.1789999999999998</v>
      </c>
      <c r="Q461" s="31">
        <v>5.4480000000000004</v>
      </c>
      <c r="R461" s="31"/>
      <c r="S461" s="31"/>
      <c r="T461" s="36"/>
      <c r="U461" s="30"/>
      <c r="V461" s="10">
        <v>21</v>
      </c>
      <c r="W461" s="28"/>
      <c r="X461" s="32"/>
      <c r="Y461" s="5"/>
      <c r="Z461" s="54"/>
    </row>
    <row r="462" spans="2:26" ht="24.95" customHeight="1" x14ac:dyDescent="0.25">
      <c r="B462" s="26"/>
      <c r="C462" s="27" t="s">
        <v>628</v>
      </c>
      <c r="D462" s="27" t="s">
        <v>633</v>
      </c>
      <c r="E462" s="27"/>
      <c r="F462" s="28">
        <v>3023</v>
      </c>
      <c r="G462" s="28">
        <v>3660</v>
      </c>
      <c r="H462" s="28">
        <v>120</v>
      </c>
      <c r="I462" s="28" t="s">
        <v>356</v>
      </c>
      <c r="J462" s="28" t="s">
        <v>127</v>
      </c>
      <c r="K462" s="28"/>
      <c r="L462" s="29" t="s">
        <v>378</v>
      </c>
      <c r="M462" s="30">
        <v>45825</v>
      </c>
      <c r="N462" s="28">
        <v>0</v>
      </c>
      <c r="O462" s="30"/>
      <c r="P462" s="31">
        <v>1.4530000000000001</v>
      </c>
      <c r="Q462" s="31">
        <v>3.633</v>
      </c>
      <c r="R462" s="31"/>
      <c r="S462" s="31"/>
      <c r="T462" s="36"/>
      <c r="U462" s="30"/>
      <c r="V462" s="10">
        <v>21</v>
      </c>
      <c r="W462" s="28"/>
      <c r="X462" s="32"/>
      <c r="Y462" s="5"/>
      <c r="Z462" s="54"/>
    </row>
    <row r="463" spans="2:26" ht="24.95" customHeight="1" x14ac:dyDescent="0.25">
      <c r="B463" s="26"/>
      <c r="C463" s="27" t="s">
        <v>629</v>
      </c>
      <c r="D463" s="27" t="s">
        <v>633</v>
      </c>
      <c r="E463" s="27"/>
      <c r="F463" s="28">
        <v>3023</v>
      </c>
      <c r="G463" s="28">
        <v>3660</v>
      </c>
      <c r="H463" s="28">
        <v>120</v>
      </c>
      <c r="I463" s="28" t="s">
        <v>356</v>
      </c>
      <c r="J463" s="28" t="s">
        <v>127</v>
      </c>
      <c r="K463" s="28"/>
      <c r="L463" s="29" t="s">
        <v>378</v>
      </c>
      <c r="M463" s="30">
        <v>45825</v>
      </c>
      <c r="N463" s="28">
        <v>0</v>
      </c>
      <c r="O463" s="30"/>
      <c r="P463" s="31">
        <v>1.4530000000000001</v>
      </c>
      <c r="Q463" s="31">
        <v>3.633</v>
      </c>
      <c r="R463" s="31"/>
      <c r="S463" s="31"/>
      <c r="T463" s="36"/>
      <c r="U463" s="30"/>
      <c r="V463" s="10">
        <v>21</v>
      </c>
      <c r="W463" s="28"/>
      <c r="X463" s="32"/>
      <c r="Y463" s="5"/>
      <c r="Z463" s="54"/>
    </row>
    <row r="464" spans="2:26" ht="24.95" customHeight="1" x14ac:dyDescent="0.25">
      <c r="B464" s="26"/>
      <c r="C464" s="27" t="s">
        <v>630</v>
      </c>
      <c r="D464" s="27" t="s">
        <v>633</v>
      </c>
      <c r="E464" s="27"/>
      <c r="F464" s="28">
        <v>2958</v>
      </c>
      <c r="G464" s="28">
        <v>3560</v>
      </c>
      <c r="H464" s="28">
        <v>120</v>
      </c>
      <c r="I464" s="28" t="s">
        <v>356</v>
      </c>
      <c r="J464" s="28" t="s">
        <v>127</v>
      </c>
      <c r="K464" s="28"/>
      <c r="L464" s="29" t="s">
        <v>378</v>
      </c>
      <c r="M464" s="30">
        <v>45825</v>
      </c>
      <c r="N464" s="28">
        <v>0</v>
      </c>
      <c r="O464" s="30"/>
      <c r="P464" s="31">
        <v>1.3939999999999999</v>
      </c>
      <c r="Q464" s="31">
        <v>3.4849999999999999</v>
      </c>
      <c r="R464" s="31"/>
      <c r="S464" s="31"/>
      <c r="T464" s="36"/>
      <c r="U464" s="30"/>
      <c r="V464" s="10">
        <v>21</v>
      </c>
      <c r="W464" s="28"/>
      <c r="X464" s="32"/>
      <c r="Y464" s="5"/>
      <c r="Z464" s="54"/>
    </row>
    <row r="465" spans="2:26" ht="24.95" customHeight="1" x14ac:dyDescent="0.25">
      <c r="B465" s="26"/>
      <c r="C465" s="27" t="s">
        <v>679</v>
      </c>
      <c r="D465" s="27" t="s">
        <v>633</v>
      </c>
      <c r="E465" s="27"/>
      <c r="F465" s="28">
        <v>2958</v>
      </c>
      <c r="G465" s="28">
        <v>3560</v>
      </c>
      <c r="H465" s="28">
        <v>120</v>
      </c>
      <c r="I465" s="28" t="s">
        <v>356</v>
      </c>
      <c r="J465" s="28" t="s">
        <v>127</v>
      </c>
      <c r="K465" s="28"/>
      <c r="L465" s="29" t="s">
        <v>378</v>
      </c>
      <c r="M465" s="30">
        <v>45825</v>
      </c>
      <c r="N465" s="28">
        <v>0</v>
      </c>
      <c r="O465" s="30"/>
      <c r="P465" s="31">
        <v>1.3939999999999999</v>
      </c>
      <c r="Q465" s="31">
        <v>3.4849999999999999</v>
      </c>
      <c r="R465" s="31"/>
      <c r="S465" s="31"/>
      <c r="T465" s="36"/>
      <c r="U465" s="30"/>
      <c r="V465" s="10">
        <v>21</v>
      </c>
      <c r="W465" s="28"/>
      <c r="X465" s="32"/>
      <c r="Y465" s="5"/>
      <c r="Z465" s="54"/>
    </row>
    <row r="466" spans="2:26" ht="24.95" customHeight="1" x14ac:dyDescent="0.25">
      <c r="B466" s="26"/>
      <c r="C466" s="27" t="s">
        <v>631</v>
      </c>
      <c r="D466" s="27" t="s">
        <v>633</v>
      </c>
      <c r="E466" s="27"/>
      <c r="F466" s="28">
        <v>2990</v>
      </c>
      <c r="G466" s="28">
        <v>3910</v>
      </c>
      <c r="H466" s="28">
        <v>120</v>
      </c>
      <c r="I466" s="28" t="s">
        <v>357</v>
      </c>
      <c r="J466" s="28" t="s">
        <v>127</v>
      </c>
      <c r="K466" s="28"/>
      <c r="L466" s="29" t="s">
        <v>378</v>
      </c>
      <c r="M466" s="30">
        <v>45825</v>
      </c>
      <c r="N466" s="28">
        <v>0</v>
      </c>
      <c r="O466" s="30"/>
      <c r="P466" s="31">
        <v>1.6759999999999999</v>
      </c>
      <c r="Q466" s="31">
        <v>4.1900000000000004</v>
      </c>
      <c r="R466" s="31"/>
      <c r="S466" s="31"/>
      <c r="T466" s="36"/>
      <c r="U466" s="30"/>
      <c r="V466" s="10">
        <v>21</v>
      </c>
      <c r="W466" s="28"/>
      <c r="X466" s="32"/>
      <c r="Y466" s="5"/>
      <c r="Z466" s="54"/>
    </row>
    <row r="467" spans="2:26" ht="24.95" customHeight="1" x14ac:dyDescent="0.25">
      <c r="B467" s="26"/>
      <c r="C467" s="27" t="s">
        <v>680</v>
      </c>
      <c r="D467" s="27" t="s">
        <v>633</v>
      </c>
      <c r="E467" s="27"/>
      <c r="F467" s="28">
        <v>2990</v>
      </c>
      <c r="G467" s="28">
        <v>3910</v>
      </c>
      <c r="H467" s="28">
        <v>120</v>
      </c>
      <c r="I467" s="28" t="s">
        <v>357</v>
      </c>
      <c r="J467" s="28" t="s">
        <v>127</v>
      </c>
      <c r="K467" s="28"/>
      <c r="L467" s="29" t="s">
        <v>378</v>
      </c>
      <c r="M467" s="30">
        <v>45825</v>
      </c>
      <c r="N467" s="28">
        <v>0</v>
      </c>
      <c r="O467" s="30"/>
      <c r="P467" s="31">
        <v>1.6759999999999999</v>
      </c>
      <c r="Q467" s="31">
        <v>4.1900000000000004</v>
      </c>
      <c r="R467" s="31"/>
      <c r="S467" s="31"/>
      <c r="T467" s="36"/>
      <c r="U467" s="30"/>
      <c r="V467" s="10">
        <v>21</v>
      </c>
      <c r="W467" s="28"/>
      <c r="X467" s="32"/>
      <c r="Y467" s="5"/>
      <c r="Z467" s="54"/>
    </row>
    <row r="468" spans="2:26" x14ac:dyDescent="0.25">
      <c r="B468" s="26"/>
      <c r="C468" s="27" t="s">
        <v>684</v>
      </c>
      <c r="D468" s="27" t="s">
        <v>633</v>
      </c>
      <c r="E468" s="27"/>
      <c r="F468" s="28">
        <v>4413</v>
      </c>
      <c r="G468" s="28">
        <v>3700</v>
      </c>
      <c r="H468" s="28">
        <v>120</v>
      </c>
      <c r="I468" s="28" t="s">
        <v>357</v>
      </c>
      <c r="J468" s="28" t="s">
        <v>693</v>
      </c>
      <c r="K468" s="28"/>
      <c r="L468" s="29" t="s">
        <v>40</v>
      </c>
      <c r="M468" s="30">
        <v>45826</v>
      </c>
      <c r="N468" s="28">
        <v>0</v>
      </c>
      <c r="O468" s="30"/>
      <c r="P468" s="31">
        <v>2.173</v>
      </c>
      <c r="Q468" s="31">
        <v>5.4349999999999996</v>
      </c>
      <c r="R468" s="31"/>
      <c r="S468" s="31"/>
      <c r="T468" s="36"/>
      <c r="U468" s="30"/>
      <c r="V468" s="10">
        <v>21</v>
      </c>
      <c r="W468" s="28"/>
      <c r="X468" s="32"/>
      <c r="Y468" s="5"/>
      <c r="Z468" s="54"/>
    </row>
    <row r="469" spans="2:26" x14ac:dyDescent="0.25">
      <c r="B469" s="26"/>
      <c r="C469" s="27" t="s">
        <v>685</v>
      </c>
      <c r="D469" s="27" t="s">
        <v>633</v>
      </c>
      <c r="E469" s="27"/>
      <c r="F469" s="28">
        <v>4413</v>
      </c>
      <c r="G469" s="28">
        <v>3700</v>
      </c>
      <c r="H469" s="28">
        <v>120</v>
      </c>
      <c r="I469" s="28" t="s">
        <v>357</v>
      </c>
      <c r="J469" s="28" t="s">
        <v>693</v>
      </c>
      <c r="K469" s="28"/>
      <c r="L469" s="29" t="s">
        <v>40</v>
      </c>
      <c r="M469" s="30">
        <v>45826</v>
      </c>
      <c r="N469" s="28">
        <v>0</v>
      </c>
      <c r="O469" s="30"/>
      <c r="P469" s="31">
        <v>2.173</v>
      </c>
      <c r="Q469" s="31">
        <v>5.4329999999999998</v>
      </c>
      <c r="R469" s="31"/>
      <c r="S469" s="31"/>
      <c r="T469" s="36"/>
      <c r="U469" s="30"/>
      <c r="V469" s="10">
        <v>21</v>
      </c>
      <c r="W469" s="28"/>
      <c r="X469" s="32"/>
      <c r="Y469" s="5"/>
      <c r="Z469" s="54"/>
    </row>
    <row r="470" spans="2:26" x14ac:dyDescent="0.25">
      <c r="B470" s="24"/>
      <c r="C470" s="8" t="s">
        <v>686</v>
      </c>
      <c r="D470" s="8" t="s">
        <v>633</v>
      </c>
      <c r="E470" s="8"/>
      <c r="F470" s="5">
        <v>4538</v>
      </c>
      <c r="G470" s="5">
        <v>3660</v>
      </c>
      <c r="H470" s="5">
        <v>120</v>
      </c>
      <c r="I470" s="28" t="s">
        <v>357</v>
      </c>
      <c r="J470" s="28" t="s">
        <v>693</v>
      </c>
      <c r="K470" s="5"/>
      <c r="L470" s="29" t="s">
        <v>40</v>
      </c>
      <c r="M470" s="30">
        <v>45826</v>
      </c>
      <c r="N470" s="28">
        <v>0</v>
      </c>
      <c r="O470" s="6"/>
      <c r="P470" s="7">
        <v>2.1970000000000001</v>
      </c>
      <c r="Q470" s="7">
        <v>5.4930000000000003</v>
      </c>
      <c r="R470" s="7"/>
      <c r="S470" s="7"/>
      <c r="T470" s="36"/>
      <c r="U470" s="6"/>
      <c r="V470" s="10">
        <v>21</v>
      </c>
      <c r="W470" s="5"/>
      <c r="X470" s="25"/>
      <c r="Y470" s="5"/>
      <c r="Z470" s="35"/>
    </row>
    <row r="471" spans="2:26" x14ac:dyDescent="0.25">
      <c r="B471" s="24"/>
      <c r="C471" s="8" t="s">
        <v>687</v>
      </c>
      <c r="D471" s="8" t="s">
        <v>633</v>
      </c>
      <c r="E471" s="8"/>
      <c r="F471" s="5">
        <v>4413</v>
      </c>
      <c r="G471" s="5">
        <v>3560</v>
      </c>
      <c r="H471" s="5">
        <v>120</v>
      </c>
      <c r="I471" s="28" t="s">
        <v>357</v>
      </c>
      <c r="J471" s="28" t="s">
        <v>693</v>
      </c>
      <c r="K471" s="5"/>
      <c r="L471" s="29" t="s">
        <v>40</v>
      </c>
      <c r="M471" s="30">
        <v>45826</v>
      </c>
      <c r="N471" s="28">
        <v>0</v>
      </c>
      <c r="O471" s="6"/>
      <c r="P471" s="7">
        <v>2.0990000000000002</v>
      </c>
      <c r="Q471" s="7">
        <v>5.2460000000000004</v>
      </c>
      <c r="R471" s="7"/>
      <c r="S471" s="7"/>
      <c r="T471" s="36"/>
      <c r="U471" s="6"/>
      <c r="V471" s="10">
        <v>21</v>
      </c>
      <c r="W471" s="5"/>
      <c r="X471" s="25"/>
      <c r="Y471" s="5"/>
      <c r="Z471" s="35"/>
    </row>
    <row r="472" spans="2:26" x14ac:dyDescent="0.25">
      <c r="B472" s="24"/>
      <c r="C472" s="8" t="s">
        <v>688</v>
      </c>
      <c r="D472" s="8" t="s">
        <v>633</v>
      </c>
      <c r="E472" s="8"/>
      <c r="F472" s="5">
        <v>4413</v>
      </c>
      <c r="G472" s="5">
        <v>3560</v>
      </c>
      <c r="H472" s="5">
        <v>120</v>
      </c>
      <c r="I472" s="28" t="s">
        <v>357</v>
      </c>
      <c r="J472" s="28" t="s">
        <v>693</v>
      </c>
      <c r="K472" s="5"/>
      <c r="L472" s="29" t="s">
        <v>40</v>
      </c>
      <c r="M472" s="30">
        <v>45826</v>
      </c>
      <c r="N472" s="28">
        <v>0</v>
      </c>
      <c r="O472" s="6"/>
      <c r="P472" s="7">
        <v>2.0990000000000002</v>
      </c>
      <c r="Q472" s="7">
        <v>5.2460000000000004</v>
      </c>
      <c r="R472" s="7"/>
      <c r="S472" s="7"/>
      <c r="T472" s="36"/>
      <c r="U472" s="6"/>
      <c r="V472" s="10">
        <v>21</v>
      </c>
      <c r="W472" s="5"/>
      <c r="X472" s="25"/>
      <c r="Y472" s="5"/>
      <c r="Z472" s="35"/>
    </row>
    <row r="473" spans="2:26" x14ac:dyDescent="0.25">
      <c r="B473" s="24"/>
      <c r="C473" s="8" t="s">
        <v>689</v>
      </c>
      <c r="D473" s="8" t="s">
        <v>633</v>
      </c>
      <c r="E473" s="8"/>
      <c r="F473" s="5">
        <v>2958</v>
      </c>
      <c r="G473" s="5">
        <v>3310</v>
      </c>
      <c r="H473" s="5">
        <v>120</v>
      </c>
      <c r="I473" s="5" t="s">
        <v>356</v>
      </c>
      <c r="J473" s="5" t="s">
        <v>110</v>
      </c>
      <c r="K473" s="5"/>
      <c r="L473" s="29" t="s">
        <v>40</v>
      </c>
      <c r="M473" s="30">
        <v>45826</v>
      </c>
      <c r="N473" s="28">
        <v>0</v>
      </c>
      <c r="O473" s="6"/>
      <c r="P473" s="7">
        <v>1.242</v>
      </c>
      <c r="Q473" s="7">
        <v>3.105</v>
      </c>
      <c r="R473" s="7"/>
      <c r="S473" s="7"/>
      <c r="T473" s="36"/>
      <c r="U473" s="6"/>
      <c r="V473" s="10">
        <v>21</v>
      </c>
      <c r="W473" s="5"/>
      <c r="X473" s="25"/>
      <c r="Y473" s="5"/>
      <c r="Z473" s="35"/>
    </row>
    <row r="474" spans="2:26" x14ac:dyDescent="0.25">
      <c r="B474" s="24"/>
      <c r="C474" s="8" t="s">
        <v>694</v>
      </c>
      <c r="D474" s="8" t="s">
        <v>633</v>
      </c>
      <c r="E474" s="8"/>
      <c r="F474" s="5">
        <v>2958</v>
      </c>
      <c r="G474" s="5">
        <v>3310</v>
      </c>
      <c r="H474" s="5">
        <v>120</v>
      </c>
      <c r="I474" s="5" t="s">
        <v>356</v>
      </c>
      <c r="J474" s="5" t="s">
        <v>110</v>
      </c>
      <c r="K474" s="5"/>
      <c r="L474" s="29" t="s">
        <v>40</v>
      </c>
      <c r="M474" s="30">
        <v>45826</v>
      </c>
      <c r="N474" s="28">
        <v>0</v>
      </c>
      <c r="O474" s="6"/>
      <c r="P474" s="7">
        <v>1.242</v>
      </c>
      <c r="Q474" s="7">
        <v>3.105</v>
      </c>
      <c r="R474" s="7"/>
      <c r="S474" s="7"/>
      <c r="T474" s="36"/>
      <c r="U474" s="6"/>
      <c r="V474" s="10">
        <v>21</v>
      </c>
      <c r="W474" s="5"/>
      <c r="X474" s="25"/>
      <c r="Y474" s="5"/>
      <c r="Z474" s="35"/>
    </row>
    <row r="475" spans="2:26" x14ac:dyDescent="0.25">
      <c r="B475" s="24"/>
      <c r="C475" s="8" t="s">
        <v>690</v>
      </c>
      <c r="D475" s="8" t="s">
        <v>633</v>
      </c>
      <c r="E475" s="8"/>
      <c r="F475" s="5">
        <v>2990</v>
      </c>
      <c r="G475" s="5">
        <v>3310</v>
      </c>
      <c r="H475" s="5">
        <v>120</v>
      </c>
      <c r="I475" s="5" t="s">
        <v>356</v>
      </c>
      <c r="J475" s="5" t="s">
        <v>110</v>
      </c>
      <c r="K475" s="5"/>
      <c r="L475" s="29" t="s">
        <v>40</v>
      </c>
      <c r="M475" s="30">
        <v>45826</v>
      </c>
      <c r="N475" s="28">
        <v>0</v>
      </c>
      <c r="O475" s="6"/>
      <c r="P475" s="7">
        <v>1.2529999999999999</v>
      </c>
      <c r="Q475" s="7">
        <v>3.133</v>
      </c>
      <c r="R475" s="7"/>
      <c r="S475" s="7"/>
      <c r="T475" s="36"/>
      <c r="U475" s="6"/>
      <c r="V475" s="10">
        <v>21</v>
      </c>
      <c r="W475" s="5"/>
      <c r="X475" s="25"/>
      <c r="Y475" s="5"/>
      <c r="Z475" s="35"/>
    </row>
    <row r="476" spans="2:26" x14ac:dyDescent="0.25">
      <c r="B476" s="24"/>
      <c r="C476" s="8" t="s">
        <v>695</v>
      </c>
      <c r="D476" s="8" t="s">
        <v>633</v>
      </c>
      <c r="E476" s="8"/>
      <c r="F476" s="5">
        <v>2990</v>
      </c>
      <c r="G476" s="5">
        <v>3310</v>
      </c>
      <c r="H476" s="5">
        <v>120</v>
      </c>
      <c r="I476" s="5" t="s">
        <v>356</v>
      </c>
      <c r="J476" s="5" t="s">
        <v>110</v>
      </c>
      <c r="K476" s="5"/>
      <c r="L476" s="29" t="s">
        <v>40</v>
      </c>
      <c r="M476" s="30">
        <v>45826</v>
      </c>
      <c r="N476" s="28">
        <v>0</v>
      </c>
      <c r="O476" s="6"/>
      <c r="P476" s="7">
        <v>1.2529999999999999</v>
      </c>
      <c r="Q476" s="7">
        <v>3.133</v>
      </c>
      <c r="R476" s="7"/>
      <c r="S476" s="7"/>
      <c r="T476" s="36"/>
      <c r="U476" s="6"/>
      <c r="V476" s="10">
        <v>21</v>
      </c>
      <c r="W476" s="5"/>
      <c r="X476" s="25"/>
      <c r="Y476" s="5"/>
      <c r="Z476" s="35"/>
    </row>
    <row r="477" spans="2:26" x14ac:dyDescent="0.25">
      <c r="B477" s="24"/>
      <c r="C477" s="8" t="s">
        <v>691</v>
      </c>
      <c r="D477" s="8" t="s">
        <v>633</v>
      </c>
      <c r="E477" s="8"/>
      <c r="F477" s="5">
        <v>3023</v>
      </c>
      <c r="G477" s="5">
        <v>3910</v>
      </c>
      <c r="H477" s="5">
        <v>120</v>
      </c>
      <c r="I477" s="5" t="s">
        <v>356</v>
      </c>
      <c r="J477" s="5" t="s">
        <v>696</v>
      </c>
      <c r="K477" s="5"/>
      <c r="L477" s="29" t="s">
        <v>40</v>
      </c>
      <c r="M477" s="30">
        <v>45826</v>
      </c>
      <c r="N477" s="28">
        <v>0</v>
      </c>
      <c r="O477" s="6"/>
      <c r="P477" s="7">
        <v>1.6890000000000001</v>
      </c>
      <c r="Q477" s="7">
        <v>4.2229999999999999</v>
      </c>
      <c r="R477" s="7"/>
      <c r="S477" s="7"/>
      <c r="T477" s="36"/>
      <c r="U477" s="6"/>
      <c r="V477" s="10">
        <v>21</v>
      </c>
      <c r="W477" s="5"/>
      <c r="X477" s="25"/>
      <c r="Y477" s="5"/>
      <c r="Z477" s="35"/>
    </row>
    <row r="478" spans="2:26" x14ac:dyDescent="0.25">
      <c r="B478" s="24"/>
      <c r="C478" s="8" t="s">
        <v>692</v>
      </c>
      <c r="D478" s="8" t="s">
        <v>633</v>
      </c>
      <c r="E478" s="8"/>
      <c r="F478" s="5">
        <v>3023</v>
      </c>
      <c r="G478" s="5">
        <v>3910</v>
      </c>
      <c r="H478" s="5">
        <v>120</v>
      </c>
      <c r="I478" s="28" t="s">
        <v>357</v>
      </c>
      <c r="J478" s="5" t="s">
        <v>696</v>
      </c>
      <c r="K478" s="5"/>
      <c r="L478" s="29" t="s">
        <v>40</v>
      </c>
      <c r="M478" s="30">
        <v>45826</v>
      </c>
      <c r="N478" s="28">
        <v>0</v>
      </c>
      <c r="O478" s="6"/>
      <c r="P478" s="7">
        <v>1.6890000000000001</v>
      </c>
      <c r="Q478" s="7">
        <v>4.2229999999999999</v>
      </c>
      <c r="R478" s="7"/>
      <c r="S478" s="7"/>
      <c r="T478" s="36"/>
      <c r="U478" s="6"/>
      <c r="V478" s="10">
        <v>21</v>
      </c>
      <c r="W478" s="5"/>
      <c r="X478" s="25"/>
      <c r="Y478" s="5"/>
      <c r="Z478" s="35"/>
    </row>
    <row r="479" spans="2:26" x14ac:dyDescent="0.25">
      <c r="B479" s="24"/>
      <c r="C479" s="8" t="s">
        <v>697</v>
      </c>
      <c r="D479" s="8" t="s">
        <v>633</v>
      </c>
      <c r="E479" s="8"/>
      <c r="F479" s="5">
        <v>3920</v>
      </c>
      <c r="G479" s="5">
        <v>2950</v>
      </c>
      <c r="H479" s="5">
        <v>120</v>
      </c>
      <c r="I479" s="5" t="s">
        <v>356</v>
      </c>
      <c r="J479" s="5" t="s">
        <v>750</v>
      </c>
      <c r="K479" s="5"/>
      <c r="L479" s="29" t="s">
        <v>47</v>
      </c>
      <c r="M479" s="6">
        <v>45834</v>
      </c>
      <c r="N479" s="28">
        <v>0</v>
      </c>
      <c r="O479" s="6"/>
      <c r="P479" s="7">
        <v>1.4650000000000001</v>
      </c>
      <c r="Q479" s="7">
        <v>4.2229999999999999</v>
      </c>
      <c r="R479" s="7"/>
      <c r="S479" s="7"/>
      <c r="T479" s="36"/>
      <c r="U479" s="6"/>
      <c r="V479" s="10">
        <v>21</v>
      </c>
      <c r="W479" s="5"/>
      <c r="X479" s="25"/>
      <c r="Y479" s="5"/>
      <c r="Z479" s="35"/>
    </row>
    <row r="480" spans="2:26" x14ac:dyDescent="0.25">
      <c r="B480" s="24"/>
      <c r="C480" s="8" t="s">
        <v>698</v>
      </c>
      <c r="D480" s="8" t="s">
        <v>633</v>
      </c>
      <c r="E480" s="8"/>
      <c r="F480" s="5">
        <v>3990</v>
      </c>
      <c r="G480" s="5">
        <v>2950</v>
      </c>
      <c r="H480" s="5">
        <v>120</v>
      </c>
      <c r="I480" s="5" t="s">
        <v>356</v>
      </c>
      <c r="J480" s="5" t="s">
        <v>750</v>
      </c>
      <c r="K480" s="5"/>
      <c r="L480" s="29" t="s">
        <v>47</v>
      </c>
      <c r="M480" s="6">
        <v>45834</v>
      </c>
      <c r="N480" s="28">
        <v>0</v>
      </c>
      <c r="O480" s="6"/>
      <c r="P480" s="7">
        <v>1.4830000000000001</v>
      </c>
      <c r="Q480" s="7">
        <v>4.2229999999999999</v>
      </c>
      <c r="R480" s="7"/>
      <c r="S480" s="7"/>
      <c r="T480" s="36"/>
      <c r="U480" s="6"/>
      <c r="V480" s="10">
        <v>21</v>
      </c>
      <c r="W480" s="5"/>
      <c r="X480" s="25"/>
      <c r="Y480" s="5"/>
      <c r="Z480" s="35"/>
    </row>
    <row r="481" spans="2:26" x14ac:dyDescent="0.25">
      <c r="B481" s="24"/>
      <c r="C481" s="8" t="s">
        <v>699</v>
      </c>
      <c r="D481" s="8" t="s">
        <v>633</v>
      </c>
      <c r="E481" s="8"/>
      <c r="F481" s="5">
        <v>3953</v>
      </c>
      <c r="G481" s="5">
        <v>2950</v>
      </c>
      <c r="H481" s="5">
        <v>120</v>
      </c>
      <c r="I481" s="5" t="s">
        <v>356</v>
      </c>
      <c r="J481" s="5" t="s">
        <v>750</v>
      </c>
      <c r="K481" s="5"/>
      <c r="L481" s="29" t="s">
        <v>47</v>
      </c>
      <c r="M481" s="6">
        <v>45834</v>
      </c>
      <c r="N481" s="28">
        <v>0</v>
      </c>
      <c r="O481" s="6"/>
      <c r="P481" s="7">
        <v>1.474</v>
      </c>
      <c r="Q481" s="7">
        <v>4.2229999999999999</v>
      </c>
      <c r="R481" s="7"/>
      <c r="S481" s="7"/>
      <c r="T481" s="36"/>
      <c r="U481" s="6"/>
      <c r="V481" s="10">
        <v>21</v>
      </c>
      <c r="W481" s="5"/>
      <c r="X481" s="25"/>
      <c r="Y481" s="5"/>
      <c r="Z481" s="35"/>
    </row>
    <row r="482" spans="2:26" x14ac:dyDescent="0.25">
      <c r="B482" s="24"/>
      <c r="C482" s="8" t="s">
        <v>700</v>
      </c>
      <c r="D482" s="8" t="s">
        <v>633</v>
      </c>
      <c r="E482" s="8"/>
      <c r="F482" s="5">
        <v>3900</v>
      </c>
      <c r="G482" s="5">
        <v>2950</v>
      </c>
      <c r="H482" s="5">
        <v>120</v>
      </c>
      <c r="I482" s="5" t="s">
        <v>356</v>
      </c>
      <c r="J482" s="5" t="s">
        <v>750</v>
      </c>
      <c r="K482" s="5"/>
      <c r="L482" s="29" t="s">
        <v>47</v>
      </c>
      <c r="M482" s="6">
        <v>45834</v>
      </c>
      <c r="N482" s="28">
        <v>0</v>
      </c>
      <c r="O482" s="6"/>
      <c r="P482" s="7">
        <v>1.46</v>
      </c>
      <c r="Q482" s="7">
        <v>4.2229999999999999</v>
      </c>
      <c r="R482" s="7"/>
      <c r="S482" s="7"/>
      <c r="T482" s="36"/>
      <c r="U482" s="6"/>
      <c r="V482" s="10">
        <v>21</v>
      </c>
      <c r="W482" s="5"/>
      <c r="X482" s="25"/>
      <c r="Y482" s="5"/>
      <c r="Z482" s="35"/>
    </row>
    <row r="483" spans="2:26" x14ac:dyDescent="0.25">
      <c r="B483" s="24"/>
      <c r="C483" s="8" t="s">
        <v>701</v>
      </c>
      <c r="D483" s="8" t="s">
        <v>633</v>
      </c>
      <c r="E483" s="8"/>
      <c r="F483" s="5">
        <v>4026</v>
      </c>
      <c r="G483" s="5">
        <v>2950</v>
      </c>
      <c r="H483" s="5">
        <v>120</v>
      </c>
      <c r="I483" s="5" t="s">
        <v>356</v>
      </c>
      <c r="J483" s="5" t="s">
        <v>750</v>
      </c>
      <c r="K483" s="5"/>
      <c r="L483" s="29" t="s">
        <v>47</v>
      </c>
      <c r="M483" s="6">
        <v>45834</v>
      </c>
      <c r="N483" s="28">
        <v>0</v>
      </c>
      <c r="O483" s="6"/>
      <c r="P483" s="7">
        <v>1.4930000000000001</v>
      </c>
      <c r="Q483" s="7">
        <v>4.2229999999999999</v>
      </c>
      <c r="R483" s="7"/>
      <c r="S483" s="7"/>
      <c r="T483" s="36"/>
      <c r="U483" s="6"/>
      <c r="V483" s="10">
        <v>21</v>
      </c>
      <c r="W483" s="5"/>
      <c r="X483" s="25"/>
      <c r="Y483" s="5"/>
      <c r="Z483" s="35"/>
    </row>
    <row r="484" spans="2:26" x14ac:dyDescent="0.25">
      <c r="B484" s="24"/>
      <c r="C484" s="8" t="s">
        <v>702</v>
      </c>
      <c r="D484" s="8" t="s">
        <v>633</v>
      </c>
      <c r="E484" s="8"/>
      <c r="F484" s="5">
        <v>4450</v>
      </c>
      <c r="G484" s="5">
        <v>2950</v>
      </c>
      <c r="H484" s="5">
        <v>120</v>
      </c>
      <c r="I484" s="5" t="s">
        <v>356</v>
      </c>
      <c r="J484" s="5" t="s">
        <v>750</v>
      </c>
      <c r="K484" s="5"/>
      <c r="L484" s="29" t="s">
        <v>47</v>
      </c>
      <c r="M484" s="6">
        <v>45834</v>
      </c>
      <c r="N484" s="28">
        <v>0</v>
      </c>
      <c r="O484" s="6"/>
      <c r="P484" s="7">
        <v>1.603</v>
      </c>
      <c r="Q484" s="7">
        <v>4.2229999999999999</v>
      </c>
      <c r="R484" s="7"/>
      <c r="S484" s="7"/>
      <c r="T484" s="36"/>
      <c r="U484" s="6"/>
      <c r="V484" s="10">
        <v>21</v>
      </c>
      <c r="W484" s="5"/>
      <c r="X484" s="25"/>
      <c r="Y484" s="5"/>
      <c r="Z484" s="35"/>
    </row>
    <row r="485" spans="2:26" x14ac:dyDescent="0.25">
      <c r="B485" s="24"/>
      <c r="C485" s="8" t="s">
        <v>703</v>
      </c>
      <c r="D485" s="8" t="s">
        <v>633</v>
      </c>
      <c r="E485" s="8"/>
      <c r="F485" s="5">
        <v>4082</v>
      </c>
      <c r="G485" s="5">
        <v>2950</v>
      </c>
      <c r="H485" s="5">
        <v>120</v>
      </c>
      <c r="I485" s="5" t="s">
        <v>356</v>
      </c>
      <c r="J485" s="5" t="s">
        <v>750</v>
      </c>
      <c r="K485" s="5"/>
      <c r="L485" s="29" t="s">
        <v>47</v>
      </c>
      <c r="M485" s="6">
        <v>45834</v>
      </c>
      <c r="N485" s="28">
        <v>0</v>
      </c>
      <c r="O485" s="6"/>
      <c r="P485" s="7">
        <v>1.5069999999999999</v>
      </c>
      <c r="Q485" s="7">
        <v>4.2229999999999999</v>
      </c>
      <c r="R485" s="7"/>
      <c r="S485" s="7"/>
      <c r="T485" s="36"/>
      <c r="U485" s="6"/>
      <c r="V485" s="10">
        <v>21</v>
      </c>
      <c r="W485" s="5"/>
      <c r="X485" s="25"/>
      <c r="Y485" s="5"/>
      <c r="Z485" s="35"/>
    </row>
    <row r="486" spans="2:26" x14ac:dyDescent="0.25">
      <c r="B486" s="24"/>
      <c r="C486" s="8" t="s">
        <v>704</v>
      </c>
      <c r="D486" s="8" t="s">
        <v>633</v>
      </c>
      <c r="E486" s="8"/>
      <c r="F486" s="5">
        <v>4425</v>
      </c>
      <c r="G486" s="5">
        <v>2950</v>
      </c>
      <c r="H486" s="5">
        <v>120</v>
      </c>
      <c r="I486" s="5" t="s">
        <v>356</v>
      </c>
      <c r="J486" s="5" t="s">
        <v>750</v>
      </c>
      <c r="K486" s="5"/>
      <c r="L486" s="29" t="s">
        <v>47</v>
      </c>
      <c r="M486" s="6">
        <v>45834</v>
      </c>
      <c r="N486" s="28">
        <v>0</v>
      </c>
      <c r="O486" s="6"/>
      <c r="P486" s="7">
        <v>1.597</v>
      </c>
      <c r="Q486" s="7">
        <v>4.2229999999999999</v>
      </c>
      <c r="R486" s="7"/>
      <c r="S486" s="7"/>
      <c r="T486" s="36"/>
      <c r="U486" s="6"/>
      <c r="V486" s="10">
        <v>21</v>
      </c>
      <c r="W486" s="5"/>
      <c r="X486" s="25"/>
      <c r="Y486" s="5"/>
      <c r="Z486" s="35"/>
    </row>
    <row r="487" spans="2:26" x14ac:dyDescent="0.25">
      <c r="B487" s="24"/>
      <c r="C487" s="8" t="s">
        <v>705</v>
      </c>
      <c r="D487" s="8" t="s">
        <v>633</v>
      </c>
      <c r="E487" s="8"/>
      <c r="F487" s="5">
        <v>3900</v>
      </c>
      <c r="G487" s="5">
        <v>2950</v>
      </c>
      <c r="H487" s="5">
        <v>120</v>
      </c>
      <c r="I487" s="5" t="s">
        <v>356</v>
      </c>
      <c r="J487" s="5" t="s">
        <v>750</v>
      </c>
      <c r="K487" s="5"/>
      <c r="L487" s="29" t="s">
        <v>47</v>
      </c>
      <c r="M487" s="6">
        <v>45834</v>
      </c>
      <c r="N487" s="28">
        <v>0</v>
      </c>
      <c r="O487" s="6"/>
      <c r="P487" s="7">
        <v>1.46</v>
      </c>
      <c r="Q487" s="7">
        <v>4.2229999999999999</v>
      </c>
      <c r="R487" s="7"/>
      <c r="S487" s="7"/>
      <c r="T487" s="36"/>
      <c r="U487" s="6"/>
      <c r="V487" s="10">
        <v>21</v>
      </c>
      <c r="W487" s="5"/>
      <c r="X487" s="25"/>
      <c r="Y487" s="5"/>
      <c r="Z487" s="35"/>
    </row>
    <row r="488" spans="2:26" x14ac:dyDescent="0.25">
      <c r="B488" s="24"/>
      <c r="C488" s="8" t="s">
        <v>706</v>
      </c>
      <c r="D488" s="8" t="s">
        <v>633</v>
      </c>
      <c r="E488" s="8"/>
      <c r="F488" s="5">
        <v>4437</v>
      </c>
      <c r="G488" s="5">
        <v>3400</v>
      </c>
      <c r="H488" s="5">
        <v>120</v>
      </c>
      <c r="I488" s="5" t="s">
        <v>356</v>
      </c>
      <c r="J488" s="5" t="s">
        <v>750</v>
      </c>
      <c r="K488" s="5"/>
      <c r="L488" s="29" t="s">
        <v>47</v>
      </c>
      <c r="M488" s="6">
        <v>45834</v>
      </c>
      <c r="N488" s="28">
        <v>0</v>
      </c>
      <c r="O488" s="6"/>
      <c r="P488" s="7">
        <v>1.851</v>
      </c>
      <c r="Q488" s="7">
        <v>4.2229999999999999</v>
      </c>
      <c r="R488" s="7"/>
      <c r="S488" s="7"/>
      <c r="T488" s="36"/>
      <c r="U488" s="6"/>
      <c r="V488" s="10">
        <v>21</v>
      </c>
      <c r="W488" s="5"/>
      <c r="X488" s="25"/>
      <c r="Y488" s="5"/>
      <c r="Z488" s="35"/>
    </row>
    <row r="489" spans="2:26" x14ac:dyDescent="0.25">
      <c r="B489" s="24"/>
      <c r="C489" s="8" t="s">
        <v>707</v>
      </c>
      <c r="D489" s="8" t="s">
        <v>633</v>
      </c>
      <c r="E489" s="8"/>
      <c r="F489" s="5">
        <v>4597</v>
      </c>
      <c r="G489" s="5">
        <v>3700</v>
      </c>
      <c r="H489" s="5">
        <v>120</v>
      </c>
      <c r="I489" s="5" t="s">
        <v>356</v>
      </c>
      <c r="J489" s="5" t="s">
        <v>693</v>
      </c>
      <c r="K489" s="5"/>
      <c r="L489" s="29" t="s">
        <v>47</v>
      </c>
      <c r="M489" s="6">
        <v>45834</v>
      </c>
      <c r="N489" s="28">
        <v>0</v>
      </c>
      <c r="O489" s="6"/>
      <c r="P489" s="7">
        <v>2.2400000000000002</v>
      </c>
      <c r="Q489" s="7">
        <v>4.2229999999999999</v>
      </c>
      <c r="R489" s="7"/>
      <c r="S489" s="7"/>
      <c r="T489" s="36"/>
      <c r="U489" s="6"/>
      <c r="V489" s="10">
        <v>21</v>
      </c>
      <c r="W489" s="5"/>
      <c r="X489" s="25"/>
      <c r="Y489" s="5"/>
      <c r="Z489" s="35"/>
    </row>
    <row r="490" spans="2:26" x14ac:dyDescent="0.25">
      <c r="B490" s="24"/>
      <c r="C490" s="8" t="s">
        <v>708</v>
      </c>
      <c r="D490" s="8" t="s">
        <v>633</v>
      </c>
      <c r="E490" s="8"/>
      <c r="F490" s="5">
        <v>4597</v>
      </c>
      <c r="G490" s="5">
        <v>3700</v>
      </c>
      <c r="H490" s="5">
        <v>120</v>
      </c>
      <c r="I490" s="5" t="s">
        <v>356</v>
      </c>
      <c r="J490" s="5" t="s">
        <v>693</v>
      </c>
      <c r="K490" s="5"/>
      <c r="L490" s="29" t="s">
        <v>47</v>
      </c>
      <c r="M490" s="6">
        <v>45834</v>
      </c>
      <c r="N490" s="28">
        <v>0</v>
      </c>
      <c r="O490" s="6"/>
      <c r="P490" s="7">
        <v>2.2400000000000002</v>
      </c>
      <c r="Q490" s="7">
        <v>4.2229999999999999</v>
      </c>
      <c r="R490" s="7"/>
      <c r="S490" s="7"/>
      <c r="T490" s="36"/>
      <c r="U490" s="6"/>
      <c r="V490" s="10">
        <v>21</v>
      </c>
      <c r="W490" s="5"/>
      <c r="X490" s="25"/>
      <c r="Y490" s="5"/>
      <c r="Z490" s="35"/>
    </row>
    <row r="491" spans="2:26" x14ac:dyDescent="0.25">
      <c r="B491" s="24"/>
      <c r="C491" s="8" t="s">
        <v>709</v>
      </c>
      <c r="D491" s="8" t="s">
        <v>633</v>
      </c>
      <c r="E491" s="8"/>
      <c r="F491" s="5">
        <v>4480</v>
      </c>
      <c r="G491" s="5">
        <v>2950</v>
      </c>
      <c r="H491" s="5">
        <v>120</v>
      </c>
      <c r="I491" s="5" t="s">
        <v>356</v>
      </c>
      <c r="J491" s="5" t="s">
        <v>750</v>
      </c>
      <c r="K491" s="5"/>
      <c r="L491" s="29" t="s">
        <v>47</v>
      </c>
      <c r="M491" s="6">
        <v>45834</v>
      </c>
      <c r="N491" s="28">
        <v>0</v>
      </c>
      <c r="O491" s="6"/>
      <c r="P491" s="7">
        <v>1.611</v>
      </c>
      <c r="Q491" s="7">
        <v>4.2229999999999999</v>
      </c>
      <c r="R491" s="7"/>
      <c r="S491" s="7"/>
      <c r="T491" s="36"/>
      <c r="U491" s="6"/>
      <c r="V491" s="10">
        <v>21</v>
      </c>
      <c r="W491" s="5"/>
      <c r="X491" s="25"/>
      <c r="Y491" s="5"/>
      <c r="Z491" s="35"/>
    </row>
    <row r="492" spans="2:26" x14ac:dyDescent="0.25">
      <c r="B492" s="24"/>
      <c r="C492" s="8" t="s">
        <v>710</v>
      </c>
      <c r="D492" s="8" t="s">
        <v>633</v>
      </c>
      <c r="E492" s="8"/>
      <c r="F492" s="5">
        <v>4430</v>
      </c>
      <c r="G492" s="5">
        <v>2950</v>
      </c>
      <c r="H492" s="5">
        <v>120</v>
      </c>
      <c r="I492" s="5" t="s">
        <v>356</v>
      </c>
      <c r="J492" s="5" t="s">
        <v>750</v>
      </c>
      <c r="K492" s="5"/>
      <c r="L492" s="29" t="s">
        <v>47</v>
      </c>
      <c r="M492" s="6">
        <v>45834</v>
      </c>
      <c r="N492" s="28">
        <v>0</v>
      </c>
      <c r="O492" s="6"/>
      <c r="P492" s="7">
        <v>1.5980000000000001</v>
      </c>
      <c r="Q492" s="7">
        <v>4.2229999999999999</v>
      </c>
      <c r="R492" s="7"/>
      <c r="S492" s="7"/>
      <c r="T492" s="36"/>
      <c r="U492" s="6"/>
      <c r="V492" s="10">
        <v>21</v>
      </c>
      <c r="W492" s="5"/>
      <c r="X492" s="25"/>
      <c r="Y492" s="5"/>
      <c r="Z492" s="35"/>
    </row>
    <row r="493" spans="2:26" x14ac:dyDescent="0.25">
      <c r="B493" s="24"/>
      <c r="C493" s="8" t="s">
        <v>711</v>
      </c>
      <c r="D493" s="8" t="s">
        <v>633</v>
      </c>
      <c r="E493" s="8"/>
      <c r="F493" s="5">
        <v>3990</v>
      </c>
      <c r="G493" s="5">
        <v>2950</v>
      </c>
      <c r="H493" s="5">
        <v>120</v>
      </c>
      <c r="I493" s="5" t="s">
        <v>356</v>
      </c>
      <c r="J493" s="5" t="s">
        <v>750</v>
      </c>
      <c r="K493" s="5"/>
      <c r="L493" s="29" t="s">
        <v>47</v>
      </c>
      <c r="M493" s="6">
        <v>45834</v>
      </c>
      <c r="N493" s="28">
        <v>0</v>
      </c>
      <c r="O493" s="6"/>
      <c r="P493" s="7">
        <v>1.4830000000000001</v>
      </c>
      <c r="Q493" s="7">
        <v>4.2229999999999999</v>
      </c>
      <c r="R493" s="7"/>
      <c r="S493" s="7"/>
      <c r="T493" s="36"/>
      <c r="U493" s="6"/>
      <c r="V493" s="10">
        <v>21</v>
      </c>
      <c r="W493" s="5"/>
      <c r="X493" s="25"/>
      <c r="Y493" s="5"/>
      <c r="Z493" s="35"/>
    </row>
    <row r="494" spans="2:26" x14ac:dyDescent="0.25">
      <c r="B494" s="26"/>
      <c r="C494" s="27" t="s">
        <v>712</v>
      </c>
      <c r="D494" s="8" t="s">
        <v>633</v>
      </c>
      <c r="E494" s="27"/>
      <c r="F494" s="28">
        <v>4538</v>
      </c>
      <c r="G494" s="28">
        <v>3660</v>
      </c>
      <c r="H494" s="28">
        <v>120</v>
      </c>
      <c r="I494" s="5" t="s">
        <v>357</v>
      </c>
      <c r="J494" s="5" t="s">
        <v>693</v>
      </c>
      <c r="K494" s="28"/>
      <c r="L494" s="29" t="s">
        <v>47</v>
      </c>
      <c r="M494" s="30">
        <v>45834</v>
      </c>
      <c r="N494" s="28">
        <v>0</v>
      </c>
      <c r="O494" s="30"/>
      <c r="P494" s="31">
        <v>2.1970000000000001</v>
      </c>
      <c r="Q494" s="7">
        <v>4.2229999999999999</v>
      </c>
      <c r="R494" s="31"/>
      <c r="S494" s="31"/>
      <c r="T494" s="36"/>
      <c r="U494" s="30"/>
      <c r="V494" s="10">
        <v>21</v>
      </c>
      <c r="W494" s="28"/>
      <c r="X494" s="32"/>
      <c r="Y494" s="5"/>
      <c r="Z494" s="54"/>
    </row>
    <row r="495" spans="2:26" x14ac:dyDescent="0.25">
      <c r="B495" s="24"/>
      <c r="C495" s="8" t="s">
        <v>802</v>
      </c>
      <c r="D495" s="8" t="s">
        <v>633</v>
      </c>
      <c r="E495" s="8"/>
      <c r="F495" s="5">
        <v>4022</v>
      </c>
      <c r="G495" s="5">
        <v>2950</v>
      </c>
      <c r="H495" s="5">
        <v>120</v>
      </c>
      <c r="I495" s="5" t="s">
        <v>356</v>
      </c>
      <c r="J495" s="5" t="s">
        <v>750</v>
      </c>
      <c r="K495" s="5"/>
      <c r="L495" s="29" t="s">
        <v>531</v>
      </c>
      <c r="M495" s="6">
        <v>45835</v>
      </c>
      <c r="N495" s="28">
        <v>0</v>
      </c>
      <c r="O495" s="6"/>
      <c r="P495" s="7">
        <v>1.4910000000000001</v>
      </c>
      <c r="Q495" s="7">
        <v>3.7280000000000002</v>
      </c>
      <c r="R495" s="7"/>
      <c r="S495" s="7"/>
      <c r="T495" s="36"/>
      <c r="U495" s="6"/>
      <c r="V495" s="5">
        <v>21</v>
      </c>
      <c r="W495" s="5"/>
      <c r="X495" s="25"/>
      <c r="Y495" s="5"/>
      <c r="Z495" s="35"/>
    </row>
    <row r="496" spans="2:26" x14ac:dyDescent="0.25">
      <c r="B496" s="24"/>
      <c r="C496" s="8" t="s">
        <v>803</v>
      </c>
      <c r="D496" s="8" t="s">
        <v>633</v>
      </c>
      <c r="E496" s="8"/>
      <c r="F496" s="5">
        <v>4385</v>
      </c>
      <c r="G496" s="5">
        <v>2950</v>
      </c>
      <c r="H496" s="5">
        <v>120</v>
      </c>
      <c r="I496" s="5" t="s">
        <v>356</v>
      </c>
      <c r="J496" s="5" t="s">
        <v>750</v>
      </c>
      <c r="K496" s="5"/>
      <c r="L496" s="29" t="s">
        <v>531</v>
      </c>
      <c r="M496" s="6">
        <v>45835</v>
      </c>
      <c r="N496" s="28">
        <v>0</v>
      </c>
      <c r="O496" s="6"/>
      <c r="P496" s="7">
        <v>1.5860000000000001</v>
      </c>
      <c r="Q496" s="7">
        <v>3.9649999999999999</v>
      </c>
      <c r="R496" s="7"/>
      <c r="S496" s="7"/>
      <c r="T496" s="36"/>
      <c r="U496" s="6"/>
      <c r="V496" s="5">
        <v>21</v>
      </c>
      <c r="W496" s="5"/>
      <c r="X496" s="25"/>
      <c r="Y496" s="5"/>
      <c r="Z496" s="35"/>
    </row>
    <row r="497" spans="2:27" x14ac:dyDescent="0.25">
      <c r="B497" s="24"/>
      <c r="C497" s="8" t="s">
        <v>804</v>
      </c>
      <c r="D497" s="8" t="s">
        <v>633</v>
      </c>
      <c r="E497" s="8"/>
      <c r="F497" s="5">
        <v>4047</v>
      </c>
      <c r="G497" s="5">
        <v>2950</v>
      </c>
      <c r="H497" s="5">
        <v>120</v>
      </c>
      <c r="I497" s="5" t="s">
        <v>356</v>
      </c>
      <c r="J497" s="5" t="s">
        <v>750</v>
      </c>
      <c r="K497" s="5"/>
      <c r="L497" s="29" t="s">
        <v>531</v>
      </c>
      <c r="M497" s="6">
        <v>45835</v>
      </c>
      <c r="N497" s="28">
        <v>0</v>
      </c>
      <c r="O497" s="6"/>
      <c r="P497" s="7">
        <v>1.498</v>
      </c>
      <c r="Q497" s="7">
        <v>3.7450000000000001</v>
      </c>
      <c r="R497" s="7"/>
      <c r="S497" s="7"/>
      <c r="T497" s="36"/>
      <c r="U497" s="6"/>
      <c r="V497" s="5">
        <v>21</v>
      </c>
      <c r="W497" s="5"/>
      <c r="X497" s="25"/>
      <c r="Y497" s="5"/>
      <c r="Z497" s="35"/>
    </row>
    <row r="498" spans="2:27" x14ac:dyDescent="0.25">
      <c r="B498" s="24"/>
      <c r="C498" s="8" t="s">
        <v>805</v>
      </c>
      <c r="D498" s="8" t="s">
        <v>633</v>
      </c>
      <c r="E498" s="8"/>
      <c r="F498" s="5">
        <v>4410</v>
      </c>
      <c r="G498" s="5">
        <v>3300</v>
      </c>
      <c r="H498" s="5">
        <v>120</v>
      </c>
      <c r="I498" s="5" t="s">
        <v>356</v>
      </c>
      <c r="J498" s="5" t="s">
        <v>750</v>
      </c>
      <c r="K498" s="5"/>
      <c r="L498" s="29" t="s">
        <v>531</v>
      </c>
      <c r="M498" s="6">
        <v>45835</v>
      </c>
      <c r="N498" s="28">
        <v>0</v>
      </c>
      <c r="O498" s="6"/>
      <c r="P498" s="7">
        <v>1.778</v>
      </c>
      <c r="Q498" s="7">
        <v>4.4450000000000003</v>
      </c>
      <c r="R498" s="7"/>
      <c r="S498" s="7"/>
      <c r="T498" s="36"/>
      <c r="U498" s="6"/>
      <c r="V498" s="5">
        <v>21</v>
      </c>
      <c r="W498" s="5"/>
      <c r="X498" s="25"/>
      <c r="Y498" s="5"/>
      <c r="Z498" s="35"/>
    </row>
    <row r="499" spans="2:27" x14ac:dyDescent="0.25">
      <c r="B499" s="24"/>
      <c r="C499" s="8" t="s">
        <v>806</v>
      </c>
      <c r="D499" s="8" t="s">
        <v>633</v>
      </c>
      <c r="E499" s="8"/>
      <c r="F499" s="5">
        <v>4390</v>
      </c>
      <c r="G499" s="5">
        <v>2950</v>
      </c>
      <c r="H499" s="5">
        <v>120</v>
      </c>
      <c r="I499" s="5" t="s">
        <v>356</v>
      </c>
      <c r="J499" s="5" t="s">
        <v>750</v>
      </c>
      <c r="K499" s="5"/>
      <c r="L499" s="29" t="s">
        <v>531</v>
      </c>
      <c r="M499" s="6">
        <v>45835</v>
      </c>
      <c r="N499" s="28">
        <v>0</v>
      </c>
      <c r="O499" s="6"/>
      <c r="P499" s="7">
        <v>1.5880000000000001</v>
      </c>
      <c r="Q499" s="7">
        <v>3.97</v>
      </c>
      <c r="R499" s="7"/>
      <c r="S499" s="7"/>
      <c r="T499" s="36"/>
      <c r="U499" s="6"/>
      <c r="V499" s="5">
        <v>21</v>
      </c>
      <c r="W499" s="5"/>
      <c r="X499" s="25"/>
      <c r="Y499" s="5"/>
      <c r="Z499" s="35"/>
    </row>
    <row r="500" spans="2:27" x14ac:dyDescent="0.25">
      <c r="B500" s="24"/>
      <c r="C500" s="8" t="s">
        <v>807</v>
      </c>
      <c r="D500" s="8" t="s">
        <v>633</v>
      </c>
      <c r="E500" s="8"/>
      <c r="F500" s="5">
        <v>4045</v>
      </c>
      <c r="G500" s="5">
        <v>2950</v>
      </c>
      <c r="H500" s="5">
        <v>120</v>
      </c>
      <c r="I500" s="5" t="s">
        <v>356</v>
      </c>
      <c r="J500" s="5" t="s">
        <v>750</v>
      </c>
      <c r="K500" s="5"/>
      <c r="L500" s="29" t="s">
        <v>531</v>
      </c>
      <c r="M500" s="6">
        <v>45835</v>
      </c>
      <c r="N500" s="28">
        <v>0</v>
      </c>
      <c r="O500" s="6"/>
      <c r="P500" s="7">
        <v>1.498</v>
      </c>
      <c r="Q500" s="7">
        <v>3.7450000000000001</v>
      </c>
      <c r="R500" s="7"/>
      <c r="S500" s="7"/>
      <c r="T500" s="36"/>
      <c r="U500" s="6"/>
      <c r="V500" s="5">
        <v>21</v>
      </c>
      <c r="W500" s="5"/>
      <c r="X500" s="25"/>
      <c r="Y500" s="5"/>
      <c r="Z500" s="35"/>
    </row>
    <row r="501" spans="2:27" x14ac:dyDescent="0.25">
      <c r="B501" s="24"/>
      <c r="C501" s="8" t="s">
        <v>808</v>
      </c>
      <c r="D501" s="8" t="s">
        <v>633</v>
      </c>
      <c r="E501" s="8"/>
      <c r="F501" s="5">
        <v>4058</v>
      </c>
      <c r="G501" s="5">
        <v>2950</v>
      </c>
      <c r="H501" s="5">
        <v>120</v>
      </c>
      <c r="I501" s="5" t="s">
        <v>356</v>
      </c>
      <c r="J501" s="5" t="s">
        <v>750</v>
      </c>
      <c r="K501" s="5"/>
      <c r="L501" s="29" t="s">
        <v>531</v>
      </c>
      <c r="M501" s="6">
        <v>45835</v>
      </c>
      <c r="N501" s="28">
        <v>0</v>
      </c>
      <c r="O501" s="6"/>
      <c r="P501" s="7">
        <v>1.5009999999999999</v>
      </c>
      <c r="Q501" s="7">
        <v>3.7530000000000001</v>
      </c>
      <c r="R501" s="7"/>
      <c r="S501" s="7"/>
      <c r="T501" s="36"/>
      <c r="U501" s="6"/>
      <c r="V501" s="5">
        <v>21</v>
      </c>
      <c r="W501" s="5"/>
      <c r="X501" s="25"/>
      <c r="Y501" s="5"/>
      <c r="Z501" s="35"/>
    </row>
    <row r="502" spans="2:27" x14ac:dyDescent="0.25">
      <c r="B502" s="24"/>
      <c r="C502" s="8" t="s">
        <v>809</v>
      </c>
      <c r="D502" s="8" t="s">
        <v>633</v>
      </c>
      <c r="E502" s="8"/>
      <c r="F502" s="5">
        <v>4415</v>
      </c>
      <c r="G502" s="5">
        <v>2950</v>
      </c>
      <c r="H502" s="5">
        <v>120</v>
      </c>
      <c r="I502" s="5" t="s">
        <v>356</v>
      </c>
      <c r="J502" s="5" t="s">
        <v>750</v>
      </c>
      <c r="K502" s="5"/>
      <c r="L502" s="29" t="s">
        <v>531</v>
      </c>
      <c r="M502" s="6">
        <v>45835</v>
      </c>
      <c r="N502" s="28">
        <v>0</v>
      </c>
      <c r="O502" s="6"/>
      <c r="P502" s="7">
        <v>1.5940000000000001</v>
      </c>
      <c r="Q502" s="7">
        <v>3.9849999999999999</v>
      </c>
      <c r="R502" s="7"/>
      <c r="S502" s="7"/>
      <c r="T502" s="36"/>
      <c r="U502" s="6"/>
      <c r="V502" s="5">
        <v>21</v>
      </c>
      <c r="W502" s="5"/>
      <c r="X502" s="25"/>
      <c r="Y502" s="5"/>
      <c r="Z502" s="35"/>
    </row>
    <row r="503" spans="2:27" x14ac:dyDescent="0.25">
      <c r="B503" s="24"/>
      <c r="C503" s="8" t="s">
        <v>810</v>
      </c>
      <c r="D503" s="8" t="s">
        <v>633</v>
      </c>
      <c r="E503" s="8"/>
      <c r="F503" s="5">
        <v>4402</v>
      </c>
      <c r="G503" s="5">
        <v>3400</v>
      </c>
      <c r="H503" s="5">
        <v>120</v>
      </c>
      <c r="I503" s="5" t="s">
        <v>356</v>
      </c>
      <c r="J503" s="5" t="s">
        <v>750</v>
      </c>
      <c r="K503" s="5"/>
      <c r="L503" s="29" t="s">
        <v>531</v>
      </c>
      <c r="M503" s="6">
        <v>45835</v>
      </c>
      <c r="N503" s="28">
        <v>0</v>
      </c>
      <c r="O503" s="6"/>
      <c r="P503" s="7">
        <v>1.829</v>
      </c>
      <c r="Q503" s="7">
        <v>4.5730000000000004</v>
      </c>
      <c r="R503" s="7"/>
      <c r="S503" s="7"/>
      <c r="T503" s="36"/>
      <c r="U503" s="6"/>
      <c r="V503" s="5">
        <v>21</v>
      </c>
      <c r="W503" s="5"/>
      <c r="X503" s="25"/>
      <c r="Y503" s="5"/>
      <c r="Z503" s="35"/>
    </row>
    <row r="504" spans="2:27" x14ac:dyDescent="0.25">
      <c r="B504" s="24"/>
      <c r="C504" s="8" t="s">
        <v>811</v>
      </c>
      <c r="D504" s="8" t="s">
        <v>633</v>
      </c>
      <c r="E504" s="8"/>
      <c r="F504" s="5">
        <v>4060</v>
      </c>
      <c r="G504" s="5">
        <v>2950</v>
      </c>
      <c r="H504" s="5">
        <v>120</v>
      </c>
      <c r="I504" s="5" t="s">
        <v>356</v>
      </c>
      <c r="J504" s="5" t="s">
        <v>750</v>
      </c>
      <c r="K504" s="5"/>
      <c r="L504" s="29" t="s">
        <v>531</v>
      </c>
      <c r="M504" s="6">
        <v>45835</v>
      </c>
      <c r="N504" s="28">
        <v>0</v>
      </c>
      <c r="O504" s="6"/>
      <c r="P504" s="7">
        <v>1.502</v>
      </c>
      <c r="Q504" s="7">
        <v>3.7549999999999999</v>
      </c>
      <c r="R504" s="7"/>
      <c r="S504" s="7"/>
      <c r="T504" s="36"/>
      <c r="U504" s="6"/>
      <c r="V504" s="5">
        <v>21</v>
      </c>
      <c r="W504" s="5"/>
      <c r="X504" s="25"/>
      <c r="Y504" s="5"/>
      <c r="Z504" s="35"/>
    </row>
    <row r="505" spans="2:27" x14ac:dyDescent="0.25">
      <c r="B505" s="24"/>
      <c r="C505" s="8" t="s">
        <v>812</v>
      </c>
      <c r="D505" s="8" t="s">
        <v>633</v>
      </c>
      <c r="E505" s="8"/>
      <c r="F505" s="5">
        <v>4095</v>
      </c>
      <c r="G505" s="5">
        <v>2950</v>
      </c>
      <c r="H505" s="5">
        <v>120</v>
      </c>
      <c r="I505" s="5" t="s">
        <v>356</v>
      </c>
      <c r="J505" s="5" t="s">
        <v>750</v>
      </c>
      <c r="K505" s="5"/>
      <c r="L505" s="29" t="s">
        <v>531</v>
      </c>
      <c r="M505" s="6">
        <v>45835</v>
      </c>
      <c r="N505" s="28">
        <v>0</v>
      </c>
      <c r="O505" s="6"/>
      <c r="P505" s="7">
        <v>1.5109999999999999</v>
      </c>
      <c r="Q505" s="7">
        <v>3.778</v>
      </c>
      <c r="R505" s="7"/>
      <c r="S505" s="7"/>
      <c r="T505" s="36"/>
      <c r="U505" s="6"/>
      <c r="V505" s="5">
        <v>21</v>
      </c>
      <c r="W505" s="5"/>
      <c r="X505" s="25"/>
      <c r="Y505" s="5"/>
      <c r="Z505" s="35"/>
    </row>
    <row r="506" spans="2:27" x14ac:dyDescent="0.25">
      <c r="B506" s="24"/>
      <c r="C506" s="8" t="s">
        <v>813</v>
      </c>
      <c r="D506" s="8" t="s">
        <v>633</v>
      </c>
      <c r="E506" s="8" t="s">
        <v>928</v>
      </c>
      <c r="F506" s="28">
        <v>400</v>
      </c>
      <c r="G506" s="28">
        <v>3730</v>
      </c>
      <c r="H506" s="28">
        <v>300</v>
      </c>
      <c r="I506" s="28" t="s">
        <v>46</v>
      </c>
      <c r="J506" s="28" t="s">
        <v>858</v>
      </c>
      <c r="K506" s="28" t="s">
        <v>168</v>
      </c>
      <c r="L506" s="29" t="s">
        <v>787</v>
      </c>
      <c r="M506" s="30">
        <v>45845</v>
      </c>
      <c r="N506" s="28">
        <v>0</v>
      </c>
      <c r="O506" s="6"/>
      <c r="P506" s="7">
        <v>1.071</v>
      </c>
      <c r="Q506" s="7">
        <v>2.6779999999999999</v>
      </c>
      <c r="R506" s="7"/>
      <c r="S506" s="7"/>
      <c r="T506" s="36">
        <v>45859</v>
      </c>
      <c r="U506" s="6"/>
      <c r="V506" s="5">
        <v>21</v>
      </c>
      <c r="W506" s="5" t="s">
        <v>723</v>
      </c>
      <c r="X506" s="25"/>
      <c r="Y506" s="5"/>
      <c r="Z506" s="35"/>
    </row>
    <row r="507" spans="2:27" x14ac:dyDescent="0.25">
      <c r="B507" s="24"/>
      <c r="C507" s="8" t="s">
        <v>814</v>
      </c>
      <c r="D507" s="8" t="s">
        <v>633</v>
      </c>
      <c r="E507" s="8" t="s">
        <v>928</v>
      </c>
      <c r="F507" s="28">
        <v>400</v>
      </c>
      <c r="G507" s="28">
        <v>3730</v>
      </c>
      <c r="H507" s="28">
        <v>300</v>
      </c>
      <c r="I507" s="28" t="s">
        <v>46</v>
      </c>
      <c r="J507" s="28" t="s">
        <v>858</v>
      </c>
      <c r="K507" s="28" t="s">
        <v>168</v>
      </c>
      <c r="L507" s="29" t="s">
        <v>787</v>
      </c>
      <c r="M507" s="30">
        <v>45845</v>
      </c>
      <c r="N507" s="28">
        <v>0</v>
      </c>
      <c r="O507" s="6"/>
      <c r="P507" s="7">
        <v>1.071</v>
      </c>
      <c r="Q507" s="7">
        <v>2.6779999999999999</v>
      </c>
      <c r="R507" s="7"/>
      <c r="S507" s="7"/>
      <c r="T507" s="36">
        <v>45859</v>
      </c>
      <c r="U507" s="6"/>
      <c r="V507" s="5">
        <v>21</v>
      </c>
      <c r="W507" s="5" t="s">
        <v>724</v>
      </c>
      <c r="X507" s="25"/>
      <c r="Y507" s="5"/>
      <c r="Z507" s="35"/>
    </row>
    <row r="508" spans="2:27" x14ac:dyDescent="0.25">
      <c r="B508" s="24"/>
      <c r="C508" s="8" t="s">
        <v>815</v>
      </c>
      <c r="D508" s="8" t="s">
        <v>633</v>
      </c>
      <c r="E508" s="8" t="s">
        <v>927</v>
      </c>
      <c r="F508" s="28">
        <v>400</v>
      </c>
      <c r="G508" s="5">
        <v>3605</v>
      </c>
      <c r="H508" s="5">
        <v>300</v>
      </c>
      <c r="I508" s="28" t="s">
        <v>46</v>
      </c>
      <c r="J508" s="28" t="s">
        <v>858</v>
      </c>
      <c r="K508" s="28" t="s">
        <v>168</v>
      </c>
      <c r="L508" s="29" t="s">
        <v>787</v>
      </c>
      <c r="M508" s="30">
        <v>45845</v>
      </c>
      <c r="N508" s="28">
        <v>0</v>
      </c>
      <c r="O508" s="6"/>
      <c r="P508" s="7">
        <v>1.0660000000000001</v>
      </c>
      <c r="Q508" s="7">
        <v>2.665</v>
      </c>
      <c r="R508" s="7"/>
      <c r="S508" s="7"/>
      <c r="T508" s="36">
        <v>45859</v>
      </c>
      <c r="U508" s="6"/>
      <c r="V508" s="5">
        <v>21</v>
      </c>
      <c r="W508" s="5" t="s">
        <v>725</v>
      </c>
      <c r="X508" s="25"/>
      <c r="Y508" s="5"/>
      <c r="Z508" s="35"/>
    </row>
    <row r="509" spans="2:27" x14ac:dyDescent="0.25">
      <c r="B509" s="100"/>
      <c r="C509" s="12" t="s">
        <v>816</v>
      </c>
      <c r="D509" s="12" t="s">
        <v>633</v>
      </c>
      <c r="E509" s="12" t="s">
        <v>927</v>
      </c>
      <c r="F509" s="13">
        <v>4238</v>
      </c>
      <c r="G509" s="13">
        <v>2218</v>
      </c>
      <c r="H509" s="13">
        <v>120</v>
      </c>
      <c r="I509" s="13" t="s">
        <v>18</v>
      </c>
      <c r="J509" s="13"/>
      <c r="K509" s="13"/>
      <c r="L509" s="106" t="s">
        <v>787</v>
      </c>
      <c r="M509" s="107">
        <v>45845</v>
      </c>
      <c r="N509" s="105">
        <v>0</v>
      </c>
      <c r="O509" s="15"/>
      <c r="P509" s="16">
        <v>1.127</v>
      </c>
      <c r="Q509" s="16">
        <v>2.8180000000000001</v>
      </c>
      <c r="R509" s="16"/>
      <c r="S509" s="16"/>
      <c r="T509" s="58">
        <v>45849</v>
      </c>
      <c r="U509" s="15">
        <v>45850</v>
      </c>
      <c r="V509" s="13">
        <v>9</v>
      </c>
      <c r="W509" s="13" t="s">
        <v>720</v>
      </c>
      <c r="X509" s="102"/>
      <c r="Y509" s="13"/>
      <c r="Z509" s="98"/>
      <c r="AA509" s="59"/>
    </row>
    <row r="510" spans="2:27" x14ac:dyDescent="0.25">
      <c r="B510" s="100"/>
      <c r="C510" s="12" t="s">
        <v>817</v>
      </c>
      <c r="D510" s="12" t="s">
        <v>633</v>
      </c>
      <c r="E510" s="12" t="s">
        <v>927</v>
      </c>
      <c r="F510" s="13">
        <v>4239</v>
      </c>
      <c r="G510" s="13">
        <v>2155</v>
      </c>
      <c r="H510" s="13">
        <v>120</v>
      </c>
      <c r="I510" s="13" t="s">
        <v>18</v>
      </c>
      <c r="J510" s="13"/>
      <c r="K510" s="13"/>
      <c r="L510" s="106" t="s">
        <v>787</v>
      </c>
      <c r="M510" s="107">
        <v>45845</v>
      </c>
      <c r="N510" s="105">
        <v>0</v>
      </c>
      <c r="O510" s="15"/>
      <c r="P510" s="16">
        <v>1.0960000000000001</v>
      </c>
      <c r="Q510" s="16">
        <v>2.74</v>
      </c>
      <c r="R510" s="16"/>
      <c r="S510" s="16"/>
      <c r="T510" s="58">
        <v>45849</v>
      </c>
      <c r="U510" s="15">
        <v>45850</v>
      </c>
      <c r="V510" s="13">
        <v>9</v>
      </c>
      <c r="W510" s="13" t="s">
        <v>721</v>
      </c>
      <c r="X510" s="102"/>
      <c r="Y510" s="13"/>
      <c r="Z510" s="98"/>
      <c r="AA510" s="59"/>
    </row>
    <row r="511" spans="2:27" x14ac:dyDescent="0.25">
      <c r="B511" s="100"/>
      <c r="C511" s="12" t="s">
        <v>818</v>
      </c>
      <c r="D511" s="12" t="s">
        <v>633</v>
      </c>
      <c r="E511" s="12" t="s">
        <v>927</v>
      </c>
      <c r="F511" s="13">
        <v>4239</v>
      </c>
      <c r="G511" s="13">
        <v>2093</v>
      </c>
      <c r="H511" s="13">
        <v>120</v>
      </c>
      <c r="I511" s="13" t="s">
        <v>18</v>
      </c>
      <c r="J511" s="13"/>
      <c r="K511" s="13"/>
      <c r="L511" s="106" t="s">
        <v>787</v>
      </c>
      <c r="M511" s="107">
        <v>45845</v>
      </c>
      <c r="N511" s="105">
        <v>0</v>
      </c>
      <c r="O511" s="15"/>
      <c r="P511" s="16">
        <v>1.0640000000000001</v>
      </c>
      <c r="Q511" s="16">
        <v>2.66</v>
      </c>
      <c r="R511" s="16"/>
      <c r="S511" s="16"/>
      <c r="T511" s="58">
        <v>45853</v>
      </c>
      <c r="U511" s="15">
        <v>45853</v>
      </c>
      <c r="V511" s="13">
        <v>9</v>
      </c>
      <c r="W511" s="13" t="s">
        <v>717</v>
      </c>
      <c r="X511" s="102"/>
      <c r="Y511" s="13"/>
      <c r="Z511" s="98"/>
      <c r="AA511" s="59"/>
    </row>
    <row r="512" spans="2:27" x14ac:dyDescent="0.25">
      <c r="B512" s="24"/>
      <c r="C512" s="8" t="s">
        <v>819</v>
      </c>
      <c r="D512" s="8" t="s">
        <v>633</v>
      </c>
      <c r="E512" s="8" t="s">
        <v>927</v>
      </c>
      <c r="F512" s="5">
        <v>400</v>
      </c>
      <c r="G512" s="5">
        <v>3605</v>
      </c>
      <c r="H512" s="5">
        <v>300</v>
      </c>
      <c r="I512" s="5" t="s">
        <v>46</v>
      </c>
      <c r="J512" s="28" t="s">
        <v>859</v>
      </c>
      <c r="K512" s="5" t="s">
        <v>168</v>
      </c>
      <c r="L512" s="29" t="s">
        <v>787</v>
      </c>
      <c r="M512" s="30">
        <v>45845</v>
      </c>
      <c r="N512" s="28">
        <v>0</v>
      </c>
      <c r="O512" s="6"/>
      <c r="P512" s="7">
        <v>1.1040000000000001</v>
      </c>
      <c r="Q512" s="7">
        <v>2.76</v>
      </c>
      <c r="R512" s="7"/>
      <c r="S512" s="7"/>
      <c r="T512" s="36">
        <v>45864</v>
      </c>
      <c r="U512" s="6"/>
      <c r="V512" s="5">
        <v>21</v>
      </c>
      <c r="W512" s="5" t="s">
        <v>724</v>
      </c>
      <c r="X512" s="25"/>
      <c r="Y512" s="5"/>
      <c r="Z512" s="35"/>
    </row>
    <row r="513" spans="2:27" x14ac:dyDescent="0.25">
      <c r="B513" s="24"/>
      <c r="C513" s="8" t="s">
        <v>820</v>
      </c>
      <c r="D513" s="8" t="s">
        <v>633</v>
      </c>
      <c r="E513" s="8" t="s">
        <v>927</v>
      </c>
      <c r="F513" s="5">
        <v>400</v>
      </c>
      <c r="G513" s="5">
        <v>3400</v>
      </c>
      <c r="H513" s="5">
        <v>300</v>
      </c>
      <c r="I513" s="5" t="s">
        <v>46</v>
      </c>
      <c r="J513" s="28" t="s">
        <v>858</v>
      </c>
      <c r="K513" s="5" t="s">
        <v>167</v>
      </c>
      <c r="L513" s="29" t="s">
        <v>787</v>
      </c>
      <c r="M513" s="30">
        <v>45845</v>
      </c>
      <c r="N513" s="28">
        <v>0</v>
      </c>
      <c r="O513" s="6"/>
      <c r="P513" s="7">
        <v>1.048</v>
      </c>
      <c r="Q513" s="7">
        <v>2.62</v>
      </c>
      <c r="R513" s="7"/>
      <c r="S513" s="7"/>
      <c r="T513" s="36">
        <v>45864</v>
      </c>
      <c r="U513" s="6"/>
      <c r="V513" s="5">
        <v>21</v>
      </c>
      <c r="W513" s="5" t="s">
        <v>726</v>
      </c>
      <c r="X513" s="25"/>
      <c r="Y513" s="5"/>
      <c r="Z513" s="35"/>
    </row>
    <row r="514" spans="2:27" x14ac:dyDescent="0.25">
      <c r="B514" s="100"/>
      <c r="C514" s="12" t="s">
        <v>821</v>
      </c>
      <c r="D514" s="12" t="s">
        <v>633</v>
      </c>
      <c r="E514" s="12" t="s">
        <v>927</v>
      </c>
      <c r="F514" s="13">
        <v>4916</v>
      </c>
      <c r="G514" s="13">
        <v>2027</v>
      </c>
      <c r="H514" s="13">
        <v>120</v>
      </c>
      <c r="I514" s="13" t="s">
        <v>18</v>
      </c>
      <c r="J514" s="13"/>
      <c r="K514" s="13"/>
      <c r="L514" s="106" t="s">
        <v>787</v>
      </c>
      <c r="M514" s="107">
        <v>45845</v>
      </c>
      <c r="N514" s="105">
        <v>0</v>
      </c>
      <c r="O514" s="15"/>
      <c r="P514" s="16">
        <v>1.1950000000000001</v>
      </c>
      <c r="Q514" s="16">
        <v>2.988</v>
      </c>
      <c r="R514" s="16"/>
      <c r="S514" s="16"/>
      <c r="T514" s="58">
        <v>45853</v>
      </c>
      <c r="U514" s="15">
        <v>45853</v>
      </c>
      <c r="V514" s="13">
        <v>9</v>
      </c>
      <c r="W514" s="13" t="s">
        <v>718</v>
      </c>
      <c r="X514" s="102"/>
      <c r="Y514" s="13"/>
      <c r="Z514" s="98"/>
      <c r="AA514" s="59"/>
    </row>
    <row r="515" spans="2:27" x14ac:dyDescent="0.25">
      <c r="B515" s="100"/>
      <c r="C515" s="12" t="s">
        <v>822</v>
      </c>
      <c r="D515" s="12" t="s">
        <v>633</v>
      </c>
      <c r="E515" s="12" t="s">
        <v>927</v>
      </c>
      <c r="F515" s="13">
        <v>4916</v>
      </c>
      <c r="G515" s="13">
        <v>2985</v>
      </c>
      <c r="H515" s="13">
        <v>120</v>
      </c>
      <c r="I515" s="13" t="s">
        <v>18</v>
      </c>
      <c r="J515" s="13"/>
      <c r="K515" s="13"/>
      <c r="L515" s="106" t="s">
        <v>787</v>
      </c>
      <c r="M515" s="107">
        <v>45845</v>
      </c>
      <c r="N515" s="105">
        <v>0</v>
      </c>
      <c r="O515" s="15"/>
      <c r="P515" s="16">
        <v>1.7609999999999999</v>
      </c>
      <c r="Q515" s="16">
        <v>4.4029999999999996</v>
      </c>
      <c r="R515" s="16"/>
      <c r="S515" s="16"/>
      <c r="T515" s="58">
        <v>45853</v>
      </c>
      <c r="U515" s="15">
        <v>45853</v>
      </c>
      <c r="V515" s="13">
        <v>9</v>
      </c>
      <c r="W515" s="13" t="s">
        <v>719</v>
      </c>
      <c r="X515" s="102"/>
      <c r="Y515" s="13"/>
      <c r="Z515" s="98"/>
      <c r="AA515" s="59"/>
    </row>
    <row r="516" spans="2:27" x14ac:dyDescent="0.25">
      <c r="B516" s="24"/>
      <c r="C516" s="8" t="s">
        <v>823</v>
      </c>
      <c r="D516" s="8" t="s">
        <v>633</v>
      </c>
      <c r="E516" s="8" t="s">
        <v>927</v>
      </c>
      <c r="F516" s="5">
        <v>400</v>
      </c>
      <c r="G516" s="5">
        <v>3475</v>
      </c>
      <c r="H516" s="5">
        <v>300</v>
      </c>
      <c r="I516" s="5" t="s">
        <v>46</v>
      </c>
      <c r="J516" s="28" t="s">
        <v>860</v>
      </c>
      <c r="K516" s="5" t="s">
        <v>168</v>
      </c>
      <c r="L516" s="29" t="s">
        <v>787</v>
      </c>
      <c r="M516" s="30">
        <v>45845</v>
      </c>
      <c r="N516" s="28">
        <v>0</v>
      </c>
      <c r="O516" s="6"/>
      <c r="P516" s="7">
        <v>1.1100000000000001</v>
      </c>
      <c r="Q516" s="7">
        <v>2.778</v>
      </c>
      <c r="R516" s="7"/>
      <c r="S516" s="7"/>
      <c r="T516" s="36">
        <v>45864</v>
      </c>
      <c r="U516" s="6"/>
      <c r="V516" s="5">
        <v>21</v>
      </c>
      <c r="W516" s="5" t="s">
        <v>725</v>
      </c>
      <c r="X516" s="25"/>
      <c r="Y516" s="5"/>
      <c r="Z516" s="35"/>
    </row>
    <row r="517" spans="2:27" x14ac:dyDescent="0.25">
      <c r="B517" s="24"/>
      <c r="C517" s="8" t="s">
        <v>824</v>
      </c>
      <c r="D517" s="8" t="s">
        <v>633</v>
      </c>
      <c r="E517" s="8"/>
      <c r="F517" s="5">
        <v>4360</v>
      </c>
      <c r="G517" s="5">
        <v>3300</v>
      </c>
      <c r="H517" s="5">
        <v>120</v>
      </c>
      <c r="I517" s="5" t="s">
        <v>356</v>
      </c>
      <c r="J517" s="5" t="s">
        <v>750</v>
      </c>
      <c r="K517" s="5"/>
      <c r="L517" s="29" t="s">
        <v>787</v>
      </c>
      <c r="M517" s="30">
        <v>45845</v>
      </c>
      <c r="N517" s="28">
        <v>0</v>
      </c>
      <c r="O517" s="6"/>
      <c r="P517" s="7">
        <v>1.7629999999999999</v>
      </c>
      <c r="Q517" s="7">
        <v>4.4080000000000004</v>
      </c>
      <c r="R517" s="7"/>
      <c r="S517" s="7"/>
      <c r="T517" s="36"/>
      <c r="U517" s="6"/>
      <c r="V517" s="5">
        <v>21</v>
      </c>
      <c r="W517" s="5"/>
      <c r="X517" s="25"/>
      <c r="Y517" s="5"/>
      <c r="Z517" s="35"/>
    </row>
    <row r="518" spans="2:27" x14ac:dyDescent="0.25">
      <c r="B518" s="24"/>
      <c r="C518" s="8" t="s">
        <v>825</v>
      </c>
      <c r="D518" s="8" t="s">
        <v>633</v>
      </c>
      <c r="E518" s="8" t="s">
        <v>925</v>
      </c>
      <c r="F518" s="5">
        <v>400</v>
      </c>
      <c r="G518" s="5">
        <v>3040</v>
      </c>
      <c r="H518" s="5">
        <v>300</v>
      </c>
      <c r="I518" s="5" t="s">
        <v>46</v>
      </c>
      <c r="J518" s="28" t="s">
        <v>45</v>
      </c>
      <c r="K518" s="5" t="s">
        <v>168</v>
      </c>
      <c r="L518" s="29" t="s">
        <v>787</v>
      </c>
      <c r="M518" s="30">
        <v>45845</v>
      </c>
      <c r="N518" s="28">
        <v>0</v>
      </c>
      <c r="O518" s="6"/>
      <c r="P518" s="7">
        <v>0.745</v>
      </c>
      <c r="Q518" s="7">
        <v>1.863</v>
      </c>
      <c r="R518" s="7"/>
      <c r="S518" s="7"/>
      <c r="T518" s="36"/>
      <c r="U518" s="6"/>
      <c r="V518" s="5"/>
      <c r="W518" s="5"/>
      <c r="X518" s="25"/>
      <c r="Y518" s="5"/>
      <c r="Z518" s="35"/>
    </row>
    <row r="519" spans="2:27" x14ac:dyDescent="0.25">
      <c r="B519" s="24"/>
      <c r="C519" s="8" t="s">
        <v>826</v>
      </c>
      <c r="D519" s="8" t="s">
        <v>633</v>
      </c>
      <c r="E519" s="8" t="s">
        <v>925</v>
      </c>
      <c r="F519" s="5">
        <v>400</v>
      </c>
      <c r="G519" s="5">
        <v>3040</v>
      </c>
      <c r="H519" s="5">
        <v>300</v>
      </c>
      <c r="I519" s="5" t="s">
        <v>46</v>
      </c>
      <c r="J519" s="28" t="s">
        <v>45</v>
      </c>
      <c r="K519" s="5" t="s">
        <v>168</v>
      </c>
      <c r="L519" s="29" t="s">
        <v>787</v>
      </c>
      <c r="M519" s="30">
        <v>45845</v>
      </c>
      <c r="N519" s="28">
        <v>0</v>
      </c>
      <c r="O519" s="6"/>
      <c r="P519" s="7">
        <v>0.745</v>
      </c>
      <c r="Q519" s="7">
        <v>1.863</v>
      </c>
      <c r="R519" s="7"/>
      <c r="S519" s="7"/>
      <c r="T519" s="36"/>
      <c r="U519" s="6"/>
      <c r="V519" s="5"/>
      <c r="W519" s="5"/>
      <c r="X519" s="25"/>
      <c r="Y519" s="5"/>
      <c r="Z519" s="35"/>
    </row>
    <row r="520" spans="2:27" x14ac:dyDescent="0.25">
      <c r="B520" s="100"/>
      <c r="C520" s="12" t="s">
        <v>827</v>
      </c>
      <c r="D520" s="12" t="s">
        <v>633</v>
      </c>
      <c r="E520" s="12" t="s">
        <v>925</v>
      </c>
      <c r="F520" s="13">
        <v>4219</v>
      </c>
      <c r="G520" s="13">
        <v>1439</v>
      </c>
      <c r="H520" s="13">
        <v>120</v>
      </c>
      <c r="I520" s="13" t="s">
        <v>861</v>
      </c>
      <c r="J520" s="13"/>
      <c r="K520" s="13"/>
      <c r="L520" s="106" t="s">
        <v>787</v>
      </c>
      <c r="M520" s="107">
        <v>45845</v>
      </c>
      <c r="N520" s="105">
        <v>0</v>
      </c>
      <c r="O520" s="15"/>
      <c r="P520" s="16">
        <v>0.72799999999999998</v>
      </c>
      <c r="Q520" s="16">
        <v>1.82</v>
      </c>
      <c r="R520" s="16"/>
      <c r="S520" s="16"/>
      <c r="T520" s="58">
        <v>45853</v>
      </c>
      <c r="U520" s="15">
        <v>45853</v>
      </c>
      <c r="V520" s="13">
        <v>9</v>
      </c>
      <c r="W520" s="13" t="s">
        <v>720</v>
      </c>
      <c r="X520" s="102"/>
      <c r="Y520" s="13"/>
      <c r="Z520" s="98"/>
      <c r="AA520" s="59"/>
    </row>
    <row r="521" spans="2:27" x14ac:dyDescent="0.25">
      <c r="B521" s="100"/>
      <c r="C521" s="12" t="s">
        <v>828</v>
      </c>
      <c r="D521" s="12" t="s">
        <v>633</v>
      </c>
      <c r="E521" s="12" t="s">
        <v>925</v>
      </c>
      <c r="F521" s="13">
        <v>4219</v>
      </c>
      <c r="G521" s="13">
        <v>1519</v>
      </c>
      <c r="H521" s="13">
        <v>120</v>
      </c>
      <c r="I521" s="13" t="s">
        <v>861</v>
      </c>
      <c r="J521" s="13"/>
      <c r="K521" s="13"/>
      <c r="L521" s="106" t="s">
        <v>787</v>
      </c>
      <c r="M521" s="107">
        <v>45845</v>
      </c>
      <c r="N521" s="105">
        <v>0</v>
      </c>
      <c r="O521" s="15"/>
      <c r="P521" s="16">
        <v>0.76900000000000002</v>
      </c>
      <c r="Q521" s="16">
        <v>1.923</v>
      </c>
      <c r="R521" s="16"/>
      <c r="S521" s="16"/>
      <c r="T521" s="58">
        <v>45853</v>
      </c>
      <c r="U521" s="15">
        <v>45853</v>
      </c>
      <c r="V521" s="13">
        <v>9</v>
      </c>
      <c r="W521" s="13" t="s">
        <v>721</v>
      </c>
      <c r="X521" s="102"/>
      <c r="Y521" s="13"/>
      <c r="Z521" s="98"/>
      <c r="AA521" s="59"/>
    </row>
    <row r="522" spans="2:27" x14ac:dyDescent="0.25">
      <c r="B522" s="100"/>
      <c r="C522" s="12" t="s">
        <v>829</v>
      </c>
      <c r="D522" s="12" t="s">
        <v>633</v>
      </c>
      <c r="E522" s="12" t="s">
        <v>925</v>
      </c>
      <c r="F522" s="13">
        <v>4219</v>
      </c>
      <c r="G522" s="13">
        <v>1598</v>
      </c>
      <c r="H522" s="13">
        <v>120</v>
      </c>
      <c r="I522" s="13" t="s">
        <v>861</v>
      </c>
      <c r="J522" s="13"/>
      <c r="K522" s="13"/>
      <c r="L522" s="106" t="s">
        <v>787</v>
      </c>
      <c r="M522" s="107">
        <v>45845</v>
      </c>
      <c r="N522" s="105">
        <v>0</v>
      </c>
      <c r="O522" s="15"/>
      <c r="P522" s="16">
        <v>0.80900000000000005</v>
      </c>
      <c r="Q522" s="16">
        <v>2.0230000000000001</v>
      </c>
      <c r="R522" s="16"/>
      <c r="S522" s="16"/>
      <c r="T522" s="58">
        <v>45854</v>
      </c>
      <c r="U522" s="15">
        <v>45854</v>
      </c>
      <c r="V522" s="13">
        <v>9</v>
      </c>
      <c r="W522" s="13" t="s">
        <v>717</v>
      </c>
      <c r="X522" s="102"/>
      <c r="Y522" s="13"/>
      <c r="Z522" s="98"/>
      <c r="AA522" s="59"/>
    </row>
    <row r="523" spans="2:27" x14ac:dyDescent="0.25">
      <c r="B523" s="24"/>
      <c r="C523" s="8" t="s">
        <v>830</v>
      </c>
      <c r="D523" s="8" t="s">
        <v>633</v>
      </c>
      <c r="E523" s="8" t="s">
        <v>926</v>
      </c>
      <c r="F523" s="5">
        <v>400</v>
      </c>
      <c r="G523" s="5">
        <v>3450</v>
      </c>
      <c r="H523" s="5">
        <v>300</v>
      </c>
      <c r="I523" s="5" t="s">
        <v>46</v>
      </c>
      <c r="J523" s="28" t="s">
        <v>532</v>
      </c>
      <c r="K523" s="5" t="s">
        <v>168</v>
      </c>
      <c r="L523" s="29" t="s">
        <v>787</v>
      </c>
      <c r="M523" s="30">
        <v>45845</v>
      </c>
      <c r="N523" s="28">
        <v>0</v>
      </c>
      <c r="O523" s="6"/>
      <c r="P523" s="7">
        <v>0.745</v>
      </c>
      <c r="Q523" s="7">
        <v>1.863</v>
      </c>
      <c r="R523" s="7"/>
      <c r="S523" s="7"/>
      <c r="T523" s="36"/>
      <c r="U523" s="6"/>
      <c r="V523" s="5"/>
      <c r="W523" s="5"/>
      <c r="X523" s="25"/>
      <c r="Y523" s="5"/>
      <c r="Z523" s="35"/>
    </row>
    <row r="524" spans="2:27" x14ac:dyDescent="0.25">
      <c r="B524" s="24"/>
      <c r="C524" s="8" t="s">
        <v>831</v>
      </c>
      <c r="D524" s="8" t="s">
        <v>633</v>
      </c>
      <c r="E524" s="8" t="s">
        <v>925</v>
      </c>
      <c r="F524" s="5">
        <v>400</v>
      </c>
      <c r="G524" s="5">
        <v>2880</v>
      </c>
      <c r="H524" s="5">
        <v>300</v>
      </c>
      <c r="I524" s="5" t="s">
        <v>46</v>
      </c>
      <c r="J524" s="28" t="s">
        <v>53</v>
      </c>
      <c r="K524" s="5" t="s">
        <v>168</v>
      </c>
      <c r="L524" s="29" t="s">
        <v>787</v>
      </c>
      <c r="M524" s="30">
        <v>45845</v>
      </c>
      <c r="N524" s="28">
        <v>0</v>
      </c>
      <c r="O524" s="6"/>
      <c r="P524" s="7">
        <v>0.752</v>
      </c>
      <c r="Q524" s="7">
        <v>1.88</v>
      </c>
      <c r="R524" s="7"/>
      <c r="S524" s="7"/>
      <c r="T524" s="36"/>
      <c r="U524" s="6"/>
      <c r="V524" s="5"/>
      <c r="W524" s="5"/>
      <c r="X524" s="25"/>
      <c r="Y524" s="5"/>
      <c r="Z524" s="35"/>
    </row>
    <row r="525" spans="2:27" x14ac:dyDescent="0.25">
      <c r="B525" s="24"/>
      <c r="C525" s="8" t="s">
        <v>832</v>
      </c>
      <c r="D525" s="8" t="s">
        <v>633</v>
      </c>
      <c r="E525" s="8" t="s">
        <v>925</v>
      </c>
      <c r="F525" s="5">
        <v>400</v>
      </c>
      <c r="G525" s="5">
        <v>2695</v>
      </c>
      <c r="H525" s="5">
        <v>300</v>
      </c>
      <c r="I525" s="5" t="s">
        <v>46</v>
      </c>
      <c r="J525" s="28" t="s">
        <v>164</v>
      </c>
      <c r="K525" s="5" t="s">
        <v>169</v>
      </c>
      <c r="L525" s="29" t="s">
        <v>787</v>
      </c>
      <c r="M525" s="30">
        <v>45845</v>
      </c>
      <c r="N525" s="28">
        <v>0</v>
      </c>
      <c r="O525" s="6"/>
      <c r="P525" s="7">
        <v>0.68899999999999995</v>
      </c>
      <c r="Q525" s="7">
        <v>1.7230000000000001</v>
      </c>
      <c r="R525" s="7"/>
      <c r="S525" s="7"/>
      <c r="T525" s="36"/>
      <c r="U525" s="6"/>
      <c r="V525" s="5"/>
      <c r="W525" s="5"/>
      <c r="X525" s="25"/>
      <c r="Y525" s="5"/>
      <c r="Z525" s="35"/>
    </row>
    <row r="526" spans="2:27" x14ac:dyDescent="0.25">
      <c r="B526" s="100"/>
      <c r="C526" s="12" t="s">
        <v>833</v>
      </c>
      <c r="D526" s="12" t="s">
        <v>633</v>
      </c>
      <c r="E526" s="12" t="s">
        <v>925</v>
      </c>
      <c r="F526" s="13">
        <v>4947</v>
      </c>
      <c r="G526" s="13">
        <v>2290</v>
      </c>
      <c r="H526" s="13">
        <v>120</v>
      </c>
      <c r="I526" s="13" t="s">
        <v>18</v>
      </c>
      <c r="J526" s="13"/>
      <c r="K526" s="13"/>
      <c r="L526" s="106" t="s">
        <v>787</v>
      </c>
      <c r="M526" s="107">
        <v>45845</v>
      </c>
      <c r="N526" s="105">
        <v>0</v>
      </c>
      <c r="O526" s="15"/>
      <c r="P526" s="16">
        <v>1.359</v>
      </c>
      <c r="Q526" s="16">
        <v>3.3980000000000001</v>
      </c>
      <c r="R526" s="16"/>
      <c r="S526" s="16"/>
      <c r="T526" s="58">
        <v>45854</v>
      </c>
      <c r="U526" s="15">
        <v>45854</v>
      </c>
      <c r="V526" s="13">
        <v>9</v>
      </c>
      <c r="W526" s="13" t="s">
        <v>718</v>
      </c>
      <c r="X526" s="102"/>
      <c r="Y526" s="13"/>
      <c r="Z526" s="98"/>
      <c r="AA526" s="59"/>
    </row>
    <row r="527" spans="2:27" x14ac:dyDescent="0.25">
      <c r="B527" s="100"/>
      <c r="C527" s="12" t="s">
        <v>834</v>
      </c>
      <c r="D527" s="12" t="s">
        <v>633</v>
      </c>
      <c r="E527" s="12" t="s">
        <v>925</v>
      </c>
      <c r="F527" s="13">
        <v>4948</v>
      </c>
      <c r="G527" s="13">
        <v>1354</v>
      </c>
      <c r="H527" s="13">
        <v>120</v>
      </c>
      <c r="I527" s="13" t="s">
        <v>18</v>
      </c>
      <c r="J527" s="13"/>
      <c r="K527" s="13"/>
      <c r="L527" s="106" t="s">
        <v>787</v>
      </c>
      <c r="M527" s="107">
        <v>45845</v>
      </c>
      <c r="N527" s="105">
        <v>0</v>
      </c>
      <c r="O527" s="15"/>
      <c r="P527" s="16">
        <v>0.80300000000000005</v>
      </c>
      <c r="Q527" s="16">
        <v>2.008</v>
      </c>
      <c r="R527" s="16"/>
      <c r="S527" s="16"/>
      <c r="T527" s="58">
        <v>45854</v>
      </c>
      <c r="U527" s="15">
        <v>45854</v>
      </c>
      <c r="V527" s="13">
        <v>9</v>
      </c>
      <c r="W527" s="13" t="s">
        <v>719</v>
      </c>
      <c r="X527" s="102"/>
      <c r="Y527" s="13"/>
      <c r="Z527" s="98"/>
      <c r="AA527" s="59"/>
    </row>
    <row r="528" spans="2:27" x14ac:dyDescent="0.25">
      <c r="B528" s="24"/>
      <c r="C528" s="8" t="s">
        <v>835</v>
      </c>
      <c r="D528" s="8" t="s">
        <v>633</v>
      </c>
      <c r="E528" s="8"/>
      <c r="F528" s="5">
        <v>400</v>
      </c>
      <c r="G528" s="5">
        <v>2880</v>
      </c>
      <c r="H528" s="5">
        <v>300</v>
      </c>
      <c r="I528" s="5" t="s">
        <v>46</v>
      </c>
      <c r="J528" s="5" t="s">
        <v>53</v>
      </c>
      <c r="K528" s="5" t="s">
        <v>168</v>
      </c>
      <c r="L528" s="29" t="s">
        <v>787</v>
      </c>
      <c r="M528" s="30">
        <v>45845</v>
      </c>
      <c r="N528" s="28">
        <v>0</v>
      </c>
      <c r="O528" s="6"/>
      <c r="P528" s="7">
        <v>0.747</v>
      </c>
      <c r="Q528" s="7">
        <v>1.8680000000000001</v>
      </c>
      <c r="R528" s="7"/>
      <c r="S528" s="7"/>
      <c r="T528" s="36"/>
      <c r="U528" s="6"/>
      <c r="V528" s="5"/>
      <c r="W528" s="5"/>
      <c r="X528" s="25"/>
      <c r="Y528" s="5"/>
      <c r="Z528" s="35"/>
    </row>
    <row r="529" spans="2:26" x14ac:dyDescent="0.25">
      <c r="B529" s="24"/>
      <c r="C529" s="8" t="s">
        <v>836</v>
      </c>
      <c r="D529" s="8" t="s">
        <v>633</v>
      </c>
      <c r="E529" s="8"/>
      <c r="F529" s="5">
        <v>400</v>
      </c>
      <c r="G529" s="5">
        <v>3060</v>
      </c>
      <c r="H529" s="5">
        <v>300</v>
      </c>
      <c r="I529" s="5" t="s">
        <v>46</v>
      </c>
      <c r="J529" s="5" t="s">
        <v>49</v>
      </c>
      <c r="K529" s="5" t="s">
        <v>168</v>
      </c>
      <c r="L529" s="29" t="s">
        <v>787</v>
      </c>
      <c r="M529" s="30">
        <v>45845</v>
      </c>
      <c r="N529" s="28">
        <v>0</v>
      </c>
      <c r="O529" s="6"/>
      <c r="P529" s="7">
        <v>0.65300000000000002</v>
      </c>
      <c r="Q529" s="7">
        <v>1.633</v>
      </c>
      <c r="R529" s="7"/>
      <c r="S529" s="7"/>
      <c r="T529" s="36"/>
      <c r="U529" s="6"/>
      <c r="V529" s="5"/>
      <c r="W529" s="5"/>
      <c r="X529" s="25"/>
      <c r="Y529" s="5"/>
      <c r="Z529" s="35"/>
    </row>
    <row r="530" spans="2:26" x14ac:dyDescent="0.25">
      <c r="B530" s="24"/>
      <c r="C530" s="8" t="s">
        <v>837</v>
      </c>
      <c r="D530" s="8" t="s">
        <v>633</v>
      </c>
      <c r="E530" s="8" t="s">
        <v>926</v>
      </c>
      <c r="F530" s="5">
        <v>4248</v>
      </c>
      <c r="G530" s="5">
        <v>1580</v>
      </c>
      <c r="H530" s="5">
        <v>120</v>
      </c>
      <c r="I530" s="5" t="s">
        <v>18</v>
      </c>
      <c r="J530" s="5"/>
      <c r="K530" s="5"/>
      <c r="L530" s="29" t="s">
        <v>787</v>
      </c>
      <c r="M530" s="30">
        <v>45845</v>
      </c>
      <c r="N530" s="28">
        <v>0</v>
      </c>
      <c r="O530" s="6"/>
      <c r="P530" s="7">
        <v>0.80500000000000005</v>
      </c>
      <c r="Q530" s="7">
        <v>2.0129999999999999</v>
      </c>
      <c r="R530" s="7"/>
      <c r="S530" s="7"/>
      <c r="T530" s="124">
        <v>45854</v>
      </c>
      <c r="U530" s="6">
        <v>45856</v>
      </c>
      <c r="V530" s="5">
        <v>9</v>
      </c>
      <c r="W530" s="5" t="s">
        <v>720</v>
      </c>
      <c r="X530" s="25"/>
      <c r="Y530" s="5"/>
      <c r="Z530" s="35"/>
    </row>
    <row r="531" spans="2:26" x14ac:dyDescent="0.25">
      <c r="B531" s="24"/>
      <c r="C531" s="8" t="s">
        <v>887</v>
      </c>
      <c r="D531" s="8" t="s">
        <v>633</v>
      </c>
      <c r="E531" s="8" t="s">
        <v>926</v>
      </c>
      <c r="F531" s="5">
        <v>4248</v>
      </c>
      <c r="G531" s="5">
        <v>1580</v>
      </c>
      <c r="H531" s="5">
        <v>120</v>
      </c>
      <c r="I531" s="5" t="s">
        <v>18</v>
      </c>
      <c r="J531" s="5"/>
      <c r="K531" s="5"/>
      <c r="L531" s="29" t="s">
        <v>787</v>
      </c>
      <c r="M531" s="30">
        <v>45845</v>
      </c>
      <c r="N531" s="28">
        <v>0</v>
      </c>
      <c r="O531" s="6"/>
      <c r="P531" s="7">
        <v>0.80500000000000005</v>
      </c>
      <c r="Q531" s="7">
        <v>2.0129999999999999</v>
      </c>
      <c r="R531" s="7"/>
      <c r="S531" s="7"/>
      <c r="T531" s="124">
        <v>45854</v>
      </c>
      <c r="U531" s="6">
        <v>45856</v>
      </c>
      <c r="V531" s="5">
        <v>9</v>
      </c>
      <c r="W531" s="5" t="s">
        <v>721</v>
      </c>
      <c r="X531" s="25"/>
      <c r="Y531" s="5"/>
      <c r="Z531" s="35"/>
    </row>
    <row r="532" spans="2:26" x14ac:dyDescent="0.25">
      <c r="B532" s="24"/>
      <c r="C532" s="8" t="s">
        <v>838</v>
      </c>
      <c r="D532" s="8" t="s">
        <v>633</v>
      </c>
      <c r="E532" s="8" t="s">
        <v>926</v>
      </c>
      <c r="F532" s="5">
        <v>4248</v>
      </c>
      <c r="G532" s="5">
        <v>1200</v>
      </c>
      <c r="H532" s="5">
        <v>120</v>
      </c>
      <c r="I532" s="5" t="s">
        <v>18</v>
      </c>
      <c r="J532" s="5"/>
      <c r="K532" s="5"/>
      <c r="L532" s="29" t="s">
        <v>787</v>
      </c>
      <c r="M532" s="30">
        <v>45845</v>
      </c>
      <c r="N532" s="28">
        <v>0</v>
      </c>
      <c r="O532" s="6"/>
      <c r="P532" s="7">
        <v>0.61099999999999999</v>
      </c>
      <c r="Q532" s="7">
        <v>1.528</v>
      </c>
      <c r="R532" s="7"/>
      <c r="S532" s="7"/>
      <c r="T532" s="36">
        <v>45857</v>
      </c>
      <c r="U532" s="36">
        <v>45857</v>
      </c>
      <c r="V532" s="5">
        <v>9</v>
      </c>
      <c r="W532" s="5" t="s">
        <v>717</v>
      </c>
      <c r="X532" s="25"/>
      <c r="Y532" s="5"/>
      <c r="Z532" s="35"/>
    </row>
    <row r="533" spans="2:26" x14ac:dyDescent="0.25">
      <c r="B533" s="24"/>
      <c r="C533" s="8" t="s">
        <v>839</v>
      </c>
      <c r="D533" s="8" t="s">
        <v>633</v>
      </c>
      <c r="E533" s="8"/>
      <c r="F533" s="5">
        <v>400</v>
      </c>
      <c r="G533" s="5">
        <v>3060</v>
      </c>
      <c r="H533" s="5">
        <v>300</v>
      </c>
      <c r="I533" s="5" t="s">
        <v>46</v>
      </c>
      <c r="J533" s="5" t="s">
        <v>45</v>
      </c>
      <c r="K533" s="5" t="s">
        <v>168</v>
      </c>
      <c r="L533" s="29" t="s">
        <v>787</v>
      </c>
      <c r="M533" s="30">
        <v>45845</v>
      </c>
      <c r="N533" s="28">
        <v>0</v>
      </c>
      <c r="O533" s="6"/>
      <c r="P533" s="7">
        <v>0.74299999999999999</v>
      </c>
      <c r="Q533" s="7">
        <v>1.8580000000000001</v>
      </c>
      <c r="R533" s="7"/>
      <c r="S533" s="7"/>
      <c r="T533" s="36"/>
      <c r="U533" s="6"/>
      <c r="V533" s="5"/>
      <c r="W533" s="5"/>
      <c r="X533" s="25"/>
      <c r="Y533" s="5"/>
      <c r="Z533" s="35"/>
    </row>
    <row r="534" spans="2:26" x14ac:dyDescent="0.25">
      <c r="B534" s="24"/>
      <c r="C534" s="8" t="s">
        <v>840</v>
      </c>
      <c r="D534" s="8" t="s">
        <v>633</v>
      </c>
      <c r="E534" s="8"/>
      <c r="F534" s="5">
        <v>400</v>
      </c>
      <c r="G534" s="5">
        <v>2680</v>
      </c>
      <c r="H534" s="5">
        <v>300</v>
      </c>
      <c r="I534" s="5" t="s">
        <v>46</v>
      </c>
      <c r="J534" s="5" t="s">
        <v>60</v>
      </c>
      <c r="K534" s="5" t="s">
        <v>168</v>
      </c>
      <c r="L534" s="29" t="s">
        <v>787</v>
      </c>
      <c r="M534" s="30">
        <v>45845</v>
      </c>
      <c r="N534" s="28">
        <v>0</v>
      </c>
      <c r="O534" s="6"/>
      <c r="P534" s="7">
        <v>0.63</v>
      </c>
      <c r="Q534" s="7">
        <v>1.575</v>
      </c>
      <c r="R534" s="7"/>
      <c r="S534" s="7"/>
      <c r="T534" s="36"/>
      <c r="U534" s="6"/>
      <c r="V534" s="5"/>
      <c r="W534" s="5"/>
      <c r="X534" s="25"/>
      <c r="Y534" s="5"/>
      <c r="Z534" s="35"/>
    </row>
    <row r="535" spans="2:26" x14ac:dyDescent="0.25">
      <c r="B535" s="24"/>
      <c r="C535" s="8" t="s">
        <v>841</v>
      </c>
      <c r="D535" s="8" t="s">
        <v>633</v>
      </c>
      <c r="E535" s="8"/>
      <c r="F535" s="5">
        <v>400</v>
      </c>
      <c r="G535" s="5">
        <v>2775</v>
      </c>
      <c r="H535" s="5">
        <v>300</v>
      </c>
      <c r="I535" s="5" t="s">
        <v>46</v>
      </c>
      <c r="J535" s="5" t="s">
        <v>164</v>
      </c>
      <c r="K535" s="5" t="s">
        <v>167</v>
      </c>
      <c r="L535" s="29" t="s">
        <v>787</v>
      </c>
      <c r="M535" s="30">
        <v>45845</v>
      </c>
      <c r="N535" s="28">
        <v>0</v>
      </c>
      <c r="O535" s="6"/>
      <c r="P535" s="7">
        <v>0.69499999999999995</v>
      </c>
      <c r="Q535" s="7">
        <v>1.738</v>
      </c>
      <c r="R535" s="7"/>
      <c r="S535" s="7"/>
      <c r="T535" s="36"/>
      <c r="U535" s="6"/>
      <c r="V535" s="5"/>
      <c r="W535" s="5"/>
      <c r="X535" s="25"/>
      <c r="Y535" s="5"/>
      <c r="Z535" s="35"/>
    </row>
    <row r="536" spans="2:26" x14ac:dyDescent="0.25">
      <c r="B536" s="24"/>
      <c r="C536" s="8" t="s">
        <v>842</v>
      </c>
      <c r="D536" s="8" t="s">
        <v>633</v>
      </c>
      <c r="E536" s="8" t="s">
        <v>926</v>
      </c>
      <c r="F536" s="5">
        <v>4903</v>
      </c>
      <c r="G536" s="5">
        <v>1200</v>
      </c>
      <c r="H536" s="5">
        <v>120</v>
      </c>
      <c r="I536" s="5" t="s">
        <v>18</v>
      </c>
      <c r="J536" s="5"/>
      <c r="K536" s="5"/>
      <c r="L536" s="29" t="s">
        <v>787</v>
      </c>
      <c r="M536" s="30">
        <v>45845</v>
      </c>
      <c r="N536" s="28">
        <v>0</v>
      </c>
      <c r="O536" s="6"/>
      <c r="P536" s="7">
        <v>0.70599999999999996</v>
      </c>
      <c r="Q536" s="7">
        <v>1.7649999999999999</v>
      </c>
      <c r="R536" s="7"/>
      <c r="S536" s="7"/>
      <c r="T536" s="36">
        <v>45857</v>
      </c>
      <c r="U536" s="36">
        <v>45857</v>
      </c>
      <c r="V536" s="5">
        <v>9</v>
      </c>
      <c r="W536" s="5" t="s">
        <v>718</v>
      </c>
      <c r="X536" s="25"/>
      <c r="Y536" s="5"/>
      <c r="Z536" s="35"/>
    </row>
    <row r="537" spans="2:26" x14ac:dyDescent="0.25">
      <c r="B537" s="24"/>
      <c r="C537" s="8" t="s">
        <v>843</v>
      </c>
      <c r="D537" s="8" t="s">
        <v>633</v>
      </c>
      <c r="E537" s="8" t="s">
        <v>926</v>
      </c>
      <c r="F537" s="5">
        <v>4903</v>
      </c>
      <c r="G537" s="5">
        <v>2275</v>
      </c>
      <c r="H537" s="5">
        <v>120</v>
      </c>
      <c r="I537" s="5" t="s">
        <v>18</v>
      </c>
      <c r="J537" s="5"/>
      <c r="K537" s="5"/>
      <c r="L537" s="29" t="s">
        <v>787</v>
      </c>
      <c r="M537" s="30">
        <v>45845</v>
      </c>
      <c r="N537" s="28">
        <v>0</v>
      </c>
      <c r="O537" s="6"/>
      <c r="P537" s="7">
        <v>1.3380000000000001</v>
      </c>
      <c r="Q537" s="7">
        <v>3.3450000000000002</v>
      </c>
      <c r="R537" s="7"/>
      <c r="S537" s="7"/>
      <c r="T537" s="36">
        <v>45857</v>
      </c>
      <c r="U537" s="36">
        <v>45857</v>
      </c>
      <c r="V537" s="5">
        <v>9</v>
      </c>
      <c r="W537" s="5" t="s">
        <v>719</v>
      </c>
      <c r="X537" s="25"/>
      <c r="Y537" s="5"/>
      <c r="Z537" s="35"/>
    </row>
    <row r="538" spans="2:26" x14ac:dyDescent="0.25">
      <c r="B538" s="24"/>
      <c r="C538" s="8" t="s">
        <v>844</v>
      </c>
      <c r="D538" s="8" t="s">
        <v>633</v>
      </c>
      <c r="E538" s="8"/>
      <c r="F538" s="5">
        <v>400</v>
      </c>
      <c r="G538" s="5">
        <v>2680</v>
      </c>
      <c r="H538" s="5">
        <v>300</v>
      </c>
      <c r="I538" s="5" t="s">
        <v>46</v>
      </c>
      <c r="J538" s="5" t="s">
        <v>53</v>
      </c>
      <c r="K538" s="5" t="s">
        <v>168</v>
      </c>
      <c r="L538" s="29" t="s">
        <v>787</v>
      </c>
      <c r="M538" s="30">
        <v>45845</v>
      </c>
      <c r="N538" s="28">
        <v>0</v>
      </c>
      <c r="O538" s="6"/>
      <c r="P538" s="7">
        <v>0.72499999999999998</v>
      </c>
      <c r="Q538" s="7">
        <v>1.8129999999999999</v>
      </c>
      <c r="R538" s="7"/>
      <c r="S538" s="7"/>
      <c r="T538" s="36"/>
      <c r="U538" s="6"/>
      <c r="V538" s="5"/>
      <c r="W538" s="5"/>
      <c r="X538" s="25"/>
      <c r="Y538" s="5"/>
      <c r="Z538" s="35"/>
    </row>
    <row r="539" spans="2:26" x14ac:dyDescent="0.25">
      <c r="B539" s="24"/>
      <c r="C539" s="8" t="s">
        <v>845</v>
      </c>
      <c r="D539" s="8" t="s">
        <v>633</v>
      </c>
      <c r="E539" s="8"/>
      <c r="F539" s="5">
        <v>4095</v>
      </c>
      <c r="G539" s="5">
        <v>2950</v>
      </c>
      <c r="H539" s="5">
        <v>120</v>
      </c>
      <c r="I539" s="5" t="s">
        <v>356</v>
      </c>
      <c r="J539" s="5" t="s">
        <v>750</v>
      </c>
      <c r="K539" s="5"/>
      <c r="L539" s="29" t="s">
        <v>787</v>
      </c>
      <c r="M539" s="30">
        <v>45845</v>
      </c>
      <c r="N539" s="28">
        <v>0</v>
      </c>
      <c r="O539" s="6"/>
      <c r="P539" s="7">
        <v>1.5109999999999999</v>
      </c>
      <c r="Q539" s="7">
        <v>3.778</v>
      </c>
      <c r="R539" s="7"/>
      <c r="S539" s="7"/>
      <c r="T539" s="36"/>
      <c r="U539" s="6"/>
      <c r="V539" s="5"/>
      <c r="W539" s="5"/>
      <c r="X539" s="25"/>
      <c r="Y539" s="5"/>
      <c r="Z539" s="35"/>
    </row>
    <row r="540" spans="2:26" x14ac:dyDescent="0.25">
      <c r="B540" s="24"/>
      <c r="C540" s="8" t="s">
        <v>846</v>
      </c>
      <c r="D540" s="8" t="s">
        <v>633</v>
      </c>
      <c r="E540" s="8" t="s">
        <v>928</v>
      </c>
      <c r="F540" s="5">
        <v>4226</v>
      </c>
      <c r="G540" s="5">
        <v>1723</v>
      </c>
      <c r="H540" s="5">
        <v>120</v>
      </c>
      <c r="I540" s="5" t="s">
        <v>18</v>
      </c>
      <c r="J540" s="5"/>
      <c r="K540" s="5"/>
      <c r="L540" s="29" t="s">
        <v>787</v>
      </c>
      <c r="M540" s="30">
        <v>45845</v>
      </c>
      <c r="N540" s="28">
        <v>0</v>
      </c>
      <c r="O540" s="6"/>
      <c r="P540" s="7">
        <v>0.873</v>
      </c>
      <c r="Q540" s="7">
        <v>2.1829999999999998</v>
      </c>
      <c r="R540" s="7"/>
      <c r="S540" s="7"/>
      <c r="T540" s="36">
        <v>45857</v>
      </c>
      <c r="U540" s="6">
        <v>45861</v>
      </c>
      <c r="V540" s="5">
        <v>9</v>
      </c>
      <c r="W540" s="5" t="s">
        <v>720</v>
      </c>
      <c r="X540" s="25"/>
      <c r="Y540" s="5"/>
      <c r="Z540" s="35"/>
    </row>
    <row r="541" spans="2:26" x14ac:dyDescent="0.25">
      <c r="B541" s="24"/>
      <c r="C541" s="8" t="s">
        <v>847</v>
      </c>
      <c r="D541" s="8" t="s">
        <v>633</v>
      </c>
      <c r="E541" s="8" t="s">
        <v>928</v>
      </c>
      <c r="F541" s="5">
        <v>4226</v>
      </c>
      <c r="G541" s="5">
        <v>2002</v>
      </c>
      <c r="H541" s="5">
        <v>120</v>
      </c>
      <c r="I541" s="5" t="s">
        <v>18</v>
      </c>
      <c r="J541" s="5"/>
      <c r="K541" s="5"/>
      <c r="L541" s="29" t="s">
        <v>787</v>
      </c>
      <c r="M541" s="30">
        <v>45845</v>
      </c>
      <c r="N541" s="28">
        <v>0</v>
      </c>
      <c r="O541" s="6"/>
      <c r="P541" s="7">
        <v>1.0149999999999999</v>
      </c>
      <c r="Q541" s="7">
        <v>2.5379999999999998</v>
      </c>
      <c r="R541" s="7"/>
      <c r="S541" s="7"/>
      <c r="T541" s="36">
        <v>45860</v>
      </c>
      <c r="U541" s="6"/>
      <c r="V541" s="5">
        <v>9</v>
      </c>
      <c r="W541" s="5" t="s">
        <v>717</v>
      </c>
      <c r="X541" s="25"/>
      <c r="Y541" s="5"/>
      <c r="Z541" s="35"/>
    </row>
    <row r="542" spans="2:26" x14ac:dyDescent="0.25">
      <c r="B542" s="24"/>
      <c r="C542" s="8" t="s">
        <v>848</v>
      </c>
      <c r="D542" s="8" t="s">
        <v>633</v>
      </c>
      <c r="E542" s="8" t="s">
        <v>928</v>
      </c>
      <c r="F542" s="5">
        <v>4226</v>
      </c>
      <c r="G542" s="5">
        <v>1939</v>
      </c>
      <c r="H542" s="5">
        <v>120</v>
      </c>
      <c r="I542" s="5" t="s">
        <v>18</v>
      </c>
      <c r="J542" s="5"/>
      <c r="K542" s="5"/>
      <c r="L542" s="29" t="s">
        <v>787</v>
      </c>
      <c r="M542" s="30">
        <v>45845</v>
      </c>
      <c r="N542" s="28">
        <v>0</v>
      </c>
      <c r="O542" s="6"/>
      <c r="P542" s="7">
        <v>0.98299999999999998</v>
      </c>
      <c r="Q542" s="7">
        <v>2.4580000000000002</v>
      </c>
      <c r="R542" s="7"/>
      <c r="S542" s="7"/>
      <c r="T542" s="36">
        <v>45860</v>
      </c>
      <c r="U542" s="6"/>
      <c r="V542" s="5">
        <v>9</v>
      </c>
      <c r="W542" s="5" t="s">
        <v>718</v>
      </c>
      <c r="X542" s="25"/>
      <c r="Y542" s="5"/>
      <c r="Z542" s="35"/>
    </row>
    <row r="543" spans="2:26" x14ac:dyDescent="0.25">
      <c r="B543" s="24"/>
      <c r="C543" s="8" t="s">
        <v>849</v>
      </c>
      <c r="D543" s="8" t="s">
        <v>633</v>
      </c>
      <c r="E543" s="8"/>
      <c r="F543" s="5">
        <v>400</v>
      </c>
      <c r="G543" s="5">
        <v>3575</v>
      </c>
      <c r="H543" s="5">
        <v>300</v>
      </c>
      <c r="I543" s="5" t="s">
        <v>46</v>
      </c>
      <c r="J543" s="5" t="s">
        <v>532</v>
      </c>
      <c r="K543" s="5" t="s">
        <v>168</v>
      </c>
      <c r="L543" s="29" t="s">
        <v>787</v>
      </c>
      <c r="M543" s="30">
        <v>45845</v>
      </c>
      <c r="N543" s="28">
        <v>0</v>
      </c>
      <c r="O543" s="6"/>
      <c r="P543" s="7">
        <v>0.92500000000000004</v>
      </c>
      <c r="Q543" s="7">
        <v>2.3130000000000002</v>
      </c>
      <c r="R543" s="7"/>
      <c r="S543" s="7"/>
      <c r="T543" s="36"/>
      <c r="U543" s="6"/>
      <c r="V543" s="5"/>
      <c r="W543" s="5"/>
      <c r="X543" s="25"/>
      <c r="Y543" s="5"/>
      <c r="Z543" s="35"/>
    </row>
    <row r="544" spans="2:26" x14ac:dyDescent="0.25">
      <c r="B544" s="24"/>
      <c r="C544" s="8" t="s">
        <v>850</v>
      </c>
      <c r="D544" s="8" t="s">
        <v>633</v>
      </c>
      <c r="E544" s="8"/>
      <c r="F544" s="5">
        <v>400</v>
      </c>
      <c r="G544" s="5">
        <v>3455</v>
      </c>
      <c r="H544" s="5">
        <v>300</v>
      </c>
      <c r="I544" s="5" t="s">
        <v>46</v>
      </c>
      <c r="J544" s="5" t="s">
        <v>532</v>
      </c>
      <c r="K544" s="5" t="s">
        <v>168</v>
      </c>
      <c r="L544" s="29" t="s">
        <v>787</v>
      </c>
      <c r="M544" s="30">
        <v>45845</v>
      </c>
      <c r="N544" s="28">
        <v>0</v>
      </c>
      <c r="O544" s="6"/>
      <c r="P544" s="7">
        <v>0.91100000000000003</v>
      </c>
      <c r="Q544" s="7">
        <v>2.278</v>
      </c>
      <c r="R544" s="7"/>
      <c r="S544" s="7"/>
      <c r="T544" s="36"/>
      <c r="U544" s="6"/>
      <c r="V544" s="5"/>
      <c r="W544" s="5"/>
      <c r="X544" s="25"/>
      <c r="Y544" s="5"/>
      <c r="Z544" s="35"/>
    </row>
    <row r="545" spans="2:26" x14ac:dyDescent="0.25">
      <c r="B545" s="24"/>
      <c r="C545" s="8" t="s">
        <v>851</v>
      </c>
      <c r="D545" s="8" t="s">
        <v>633</v>
      </c>
      <c r="E545" s="8"/>
      <c r="F545" s="5">
        <v>400</v>
      </c>
      <c r="G545" s="5">
        <v>3235</v>
      </c>
      <c r="H545" s="5">
        <v>300</v>
      </c>
      <c r="I545" s="5" t="s">
        <v>46</v>
      </c>
      <c r="J545" s="5" t="s">
        <v>53</v>
      </c>
      <c r="K545" s="5" t="s">
        <v>168</v>
      </c>
      <c r="L545" s="29" t="s">
        <v>787</v>
      </c>
      <c r="M545" s="30">
        <v>45845</v>
      </c>
      <c r="N545" s="28">
        <v>0</v>
      </c>
      <c r="O545" s="6"/>
      <c r="P545" s="7">
        <v>0.79500000000000004</v>
      </c>
      <c r="Q545" s="7">
        <v>1.988</v>
      </c>
      <c r="R545" s="7"/>
      <c r="S545" s="7"/>
      <c r="T545" s="36"/>
      <c r="U545" s="6"/>
      <c r="V545" s="5"/>
      <c r="W545" s="5"/>
      <c r="X545" s="25"/>
      <c r="Y545" s="5"/>
      <c r="Z545" s="35"/>
    </row>
    <row r="546" spans="2:26" x14ac:dyDescent="0.25">
      <c r="B546" s="24"/>
      <c r="C546" s="8" t="s">
        <v>852</v>
      </c>
      <c r="D546" s="8" t="s">
        <v>633</v>
      </c>
      <c r="E546" s="8" t="s">
        <v>928</v>
      </c>
      <c r="F546" s="5">
        <v>4934</v>
      </c>
      <c r="G546" s="5">
        <v>2552</v>
      </c>
      <c r="H546" s="5">
        <v>120</v>
      </c>
      <c r="I546" s="5" t="s">
        <v>18</v>
      </c>
      <c r="J546" s="5"/>
      <c r="K546" s="5"/>
      <c r="L546" s="29" t="s">
        <v>787</v>
      </c>
      <c r="M546" s="30">
        <v>45845</v>
      </c>
      <c r="N546" s="28">
        <v>0</v>
      </c>
      <c r="O546" s="6"/>
      <c r="P546" s="7">
        <v>1.5109999999999999</v>
      </c>
      <c r="Q546" s="7">
        <v>3.778</v>
      </c>
      <c r="R546" s="7"/>
      <c r="S546" s="7"/>
      <c r="T546" s="36">
        <v>45860</v>
      </c>
      <c r="U546" s="6"/>
      <c r="V546" s="5">
        <v>9</v>
      </c>
      <c r="W546" s="5" t="s">
        <v>719</v>
      </c>
      <c r="X546" s="25"/>
      <c r="Y546" s="5"/>
      <c r="Z546" s="35"/>
    </row>
    <row r="547" spans="2:26" x14ac:dyDescent="0.25">
      <c r="B547" s="24"/>
      <c r="C547" s="8" t="s">
        <v>853</v>
      </c>
      <c r="D547" s="8" t="s">
        <v>633</v>
      </c>
      <c r="E547" s="8" t="s">
        <v>928</v>
      </c>
      <c r="F547" s="5">
        <v>4933</v>
      </c>
      <c r="G547" s="5">
        <v>1450</v>
      </c>
      <c r="H547" s="5">
        <v>120</v>
      </c>
      <c r="I547" s="5" t="s">
        <v>18</v>
      </c>
      <c r="J547" s="5"/>
      <c r="K547" s="5"/>
      <c r="L547" s="29" t="s">
        <v>787</v>
      </c>
      <c r="M547" s="30">
        <v>45845</v>
      </c>
      <c r="N547" s="28">
        <v>0</v>
      </c>
      <c r="O547" s="6"/>
      <c r="P547" s="7">
        <v>0.86799999999999999</v>
      </c>
      <c r="Q547" s="7">
        <v>2.145</v>
      </c>
      <c r="R547" s="7"/>
      <c r="S547" s="7"/>
      <c r="T547" s="36">
        <v>45857</v>
      </c>
      <c r="U547" s="36">
        <v>45857</v>
      </c>
      <c r="V547" s="5">
        <v>9</v>
      </c>
      <c r="W547" s="5" t="s">
        <v>721</v>
      </c>
      <c r="X547" s="25"/>
      <c r="Y547" s="5"/>
      <c r="Z547" s="35"/>
    </row>
    <row r="548" spans="2:26" x14ac:dyDescent="0.25">
      <c r="B548" s="24"/>
      <c r="C548" s="8" t="s">
        <v>854</v>
      </c>
      <c r="D548" s="8" t="s">
        <v>633</v>
      </c>
      <c r="E548" s="8"/>
      <c r="F548" s="5">
        <v>400</v>
      </c>
      <c r="G548" s="5">
        <v>3040</v>
      </c>
      <c r="H548" s="5">
        <v>300</v>
      </c>
      <c r="I548" s="5" t="s">
        <v>46</v>
      </c>
      <c r="J548" s="5" t="s">
        <v>301</v>
      </c>
      <c r="K548" s="5"/>
      <c r="L548" s="29" t="s">
        <v>787</v>
      </c>
      <c r="M548" s="30">
        <v>45845</v>
      </c>
      <c r="N548" s="28">
        <v>0</v>
      </c>
      <c r="O548" s="6"/>
      <c r="P548" s="7">
        <v>1.0109999999999999</v>
      </c>
      <c r="Q548" s="7">
        <v>2.528</v>
      </c>
      <c r="R548" s="7"/>
      <c r="S548" s="7"/>
      <c r="T548" s="36"/>
      <c r="U548" s="6"/>
      <c r="V548" s="5"/>
      <c r="W548" s="5"/>
      <c r="X548" s="25"/>
      <c r="Y548" s="5"/>
      <c r="Z548" s="35"/>
    </row>
    <row r="549" spans="2:26" x14ac:dyDescent="0.25">
      <c r="B549" s="24"/>
      <c r="C549" s="8" t="s">
        <v>855</v>
      </c>
      <c r="D549" s="8" t="s">
        <v>633</v>
      </c>
      <c r="E549" s="8"/>
      <c r="F549" s="5">
        <v>400</v>
      </c>
      <c r="G549" s="5">
        <v>2970</v>
      </c>
      <c r="H549" s="5">
        <v>300</v>
      </c>
      <c r="I549" s="5" t="s">
        <v>46</v>
      </c>
      <c r="J549" s="5" t="s">
        <v>860</v>
      </c>
      <c r="K549" s="5"/>
      <c r="L549" s="29" t="s">
        <v>787</v>
      </c>
      <c r="M549" s="30">
        <v>45845</v>
      </c>
      <c r="N549" s="28">
        <v>0</v>
      </c>
      <c r="O549" s="6"/>
      <c r="P549" s="7">
        <v>1.056</v>
      </c>
      <c r="Q549" s="7">
        <v>2.64</v>
      </c>
      <c r="R549" s="7"/>
      <c r="S549" s="7"/>
      <c r="T549" s="36"/>
      <c r="U549" s="6"/>
      <c r="V549" s="5"/>
      <c r="W549" s="5"/>
      <c r="X549" s="25"/>
      <c r="Y549" s="5"/>
      <c r="Z549" s="35"/>
    </row>
    <row r="550" spans="2:26" x14ac:dyDescent="0.25">
      <c r="B550" s="24"/>
      <c r="C550" s="8" t="s">
        <v>856</v>
      </c>
      <c r="D550" s="8" t="s">
        <v>633</v>
      </c>
      <c r="E550" s="8"/>
      <c r="F550" s="5">
        <v>4120</v>
      </c>
      <c r="G550" s="5">
        <v>2950</v>
      </c>
      <c r="H550" s="5">
        <v>120</v>
      </c>
      <c r="I550" s="5" t="s">
        <v>356</v>
      </c>
      <c r="J550" s="5" t="s">
        <v>750</v>
      </c>
      <c r="K550" s="5"/>
      <c r="L550" s="29" t="s">
        <v>787</v>
      </c>
      <c r="M550" s="30">
        <v>45845</v>
      </c>
      <c r="N550" s="28">
        <v>0</v>
      </c>
      <c r="O550" s="6"/>
      <c r="P550" s="7">
        <v>1.518</v>
      </c>
      <c r="Q550" s="7">
        <v>3.7949999999999999</v>
      </c>
      <c r="R550" s="7"/>
      <c r="S550" s="7"/>
      <c r="T550" s="36"/>
      <c r="U550" s="6"/>
      <c r="V550" s="5"/>
      <c r="W550" s="5"/>
      <c r="X550" s="25"/>
      <c r="Y550" s="5"/>
      <c r="Z550" s="35"/>
    </row>
    <row r="551" spans="2:26" x14ac:dyDescent="0.25">
      <c r="B551" s="24"/>
      <c r="C551" s="8" t="s">
        <v>857</v>
      </c>
      <c r="D551" s="8" t="s">
        <v>633</v>
      </c>
      <c r="E551" s="8"/>
      <c r="F551" s="5">
        <v>4455</v>
      </c>
      <c r="G551" s="5">
        <v>3550</v>
      </c>
      <c r="H551" s="5">
        <v>120</v>
      </c>
      <c r="I551" s="5" t="s">
        <v>356</v>
      </c>
      <c r="J551" s="5" t="s">
        <v>750</v>
      </c>
      <c r="K551" s="5"/>
      <c r="L551" s="29" t="s">
        <v>787</v>
      </c>
      <c r="M551" s="30">
        <v>45845</v>
      </c>
      <c r="N551" s="28">
        <v>0</v>
      </c>
      <c r="O551" s="6"/>
      <c r="P551" s="7">
        <v>1.925</v>
      </c>
      <c r="Q551" s="7">
        <v>4.8129999999999997</v>
      </c>
      <c r="R551" s="7"/>
      <c r="S551" s="7"/>
      <c r="T551" s="36"/>
      <c r="U551" s="6"/>
      <c r="V551" s="5"/>
      <c r="W551" s="5"/>
      <c r="X551" s="25"/>
      <c r="Y551" s="5"/>
      <c r="Z551" s="35"/>
    </row>
    <row r="552" spans="2:26" x14ac:dyDescent="0.25">
      <c r="B552" s="24"/>
      <c r="C552" s="8" t="s">
        <v>768</v>
      </c>
      <c r="D552" s="8" t="s">
        <v>767</v>
      </c>
      <c r="E552" s="8"/>
      <c r="F552" s="5">
        <v>3750</v>
      </c>
      <c r="G552" s="5">
        <v>2950</v>
      </c>
      <c r="H552" s="5">
        <v>120</v>
      </c>
      <c r="I552" s="5" t="s">
        <v>356</v>
      </c>
      <c r="J552" s="5" t="s">
        <v>750</v>
      </c>
      <c r="K552" s="5"/>
      <c r="L552" s="29" t="s">
        <v>378</v>
      </c>
      <c r="M552" s="6">
        <v>45831</v>
      </c>
      <c r="N552" s="28">
        <v>0</v>
      </c>
      <c r="O552" s="6"/>
      <c r="P552" s="7">
        <v>1.421</v>
      </c>
      <c r="Q552" s="7">
        <v>3.5529999999999999</v>
      </c>
      <c r="R552" s="7"/>
      <c r="S552" s="7"/>
      <c r="T552" s="36"/>
      <c r="U552" s="6"/>
      <c r="V552" s="5">
        <v>21</v>
      </c>
      <c r="W552" s="5"/>
      <c r="X552" s="25"/>
      <c r="Y552" s="5"/>
      <c r="Z552" s="35"/>
    </row>
    <row r="553" spans="2:26" x14ac:dyDescent="0.25">
      <c r="B553" s="24"/>
      <c r="C553" s="8" t="s">
        <v>769</v>
      </c>
      <c r="D553" s="8" t="s">
        <v>767</v>
      </c>
      <c r="E553" s="8"/>
      <c r="F553" s="5">
        <v>3830</v>
      </c>
      <c r="G553" s="5">
        <v>2950</v>
      </c>
      <c r="H553" s="5">
        <v>120</v>
      </c>
      <c r="I553" s="5" t="s">
        <v>356</v>
      </c>
      <c r="J553" s="5" t="s">
        <v>750</v>
      </c>
      <c r="K553" s="5"/>
      <c r="L553" s="29" t="s">
        <v>378</v>
      </c>
      <c r="M553" s="6">
        <v>45831</v>
      </c>
      <c r="N553" s="28">
        <v>0</v>
      </c>
      <c r="O553" s="6"/>
      <c r="P553" s="7">
        <v>1.4419999999999999</v>
      </c>
      <c r="Q553" s="7">
        <v>3.605</v>
      </c>
      <c r="R553" s="7"/>
      <c r="S553" s="7"/>
      <c r="T553" s="36"/>
      <c r="U553" s="6"/>
      <c r="V553" s="5">
        <v>21</v>
      </c>
      <c r="W553" s="5"/>
      <c r="X553" s="25"/>
      <c r="Y553" s="5"/>
      <c r="Z553" s="35"/>
    </row>
    <row r="554" spans="2:26" x14ac:dyDescent="0.25">
      <c r="B554" s="24"/>
      <c r="C554" s="8" t="s">
        <v>770</v>
      </c>
      <c r="D554" s="8" t="s">
        <v>767</v>
      </c>
      <c r="E554" s="8"/>
      <c r="F554" s="5">
        <v>4184</v>
      </c>
      <c r="G554" s="5">
        <v>2950</v>
      </c>
      <c r="H554" s="5">
        <v>120</v>
      </c>
      <c r="I554" s="5" t="s">
        <v>356</v>
      </c>
      <c r="J554" s="5" t="s">
        <v>750</v>
      </c>
      <c r="K554" s="5"/>
      <c r="L554" s="29" t="s">
        <v>378</v>
      </c>
      <c r="M554" s="6">
        <v>45831</v>
      </c>
      <c r="N554" s="28">
        <v>0</v>
      </c>
      <c r="O554" s="6"/>
      <c r="P554" s="7">
        <v>1.534</v>
      </c>
      <c r="Q554" s="7">
        <v>3.835</v>
      </c>
      <c r="R554" s="7"/>
      <c r="S554" s="7"/>
      <c r="T554" s="36"/>
      <c r="U554" s="6"/>
      <c r="V554" s="5">
        <v>21</v>
      </c>
      <c r="W554" s="5"/>
      <c r="X554" s="25"/>
      <c r="Y554" s="5"/>
      <c r="Z554" s="35"/>
    </row>
    <row r="555" spans="2:26" x14ac:dyDescent="0.25">
      <c r="B555" s="24"/>
      <c r="C555" s="8" t="s">
        <v>771</v>
      </c>
      <c r="D555" s="8" t="s">
        <v>767</v>
      </c>
      <c r="E555" s="8"/>
      <c r="F555" s="5">
        <v>4070</v>
      </c>
      <c r="G555" s="5">
        <v>2950</v>
      </c>
      <c r="H555" s="5">
        <v>120</v>
      </c>
      <c r="I555" s="5" t="s">
        <v>356</v>
      </c>
      <c r="J555" s="5" t="s">
        <v>750</v>
      </c>
      <c r="K555" s="5"/>
      <c r="L555" s="29" t="s">
        <v>378</v>
      </c>
      <c r="M555" s="6">
        <v>45831</v>
      </c>
      <c r="N555" s="28">
        <v>0</v>
      </c>
      <c r="O555" s="6"/>
      <c r="P555" s="7">
        <v>1.504</v>
      </c>
      <c r="Q555" s="7">
        <v>3.76</v>
      </c>
      <c r="R555" s="7"/>
      <c r="S555" s="7"/>
      <c r="T555" s="36"/>
      <c r="U555" s="6"/>
      <c r="V555" s="5">
        <v>21</v>
      </c>
      <c r="W555" s="5"/>
      <c r="X555" s="25"/>
      <c r="Y555" s="5"/>
      <c r="Z555" s="35"/>
    </row>
    <row r="556" spans="2:26" x14ac:dyDescent="0.25">
      <c r="B556" s="24"/>
      <c r="C556" s="8" t="s">
        <v>772</v>
      </c>
      <c r="D556" s="8" t="s">
        <v>767</v>
      </c>
      <c r="E556" s="8"/>
      <c r="F556" s="5">
        <v>4184</v>
      </c>
      <c r="G556" s="5">
        <v>3450</v>
      </c>
      <c r="H556" s="5">
        <v>120</v>
      </c>
      <c r="I556" s="5" t="s">
        <v>356</v>
      </c>
      <c r="J556" s="5" t="s">
        <v>750</v>
      </c>
      <c r="K556" s="5"/>
      <c r="L556" s="29" t="s">
        <v>378</v>
      </c>
      <c r="M556" s="6">
        <v>45831</v>
      </c>
      <c r="N556" s="28">
        <v>0</v>
      </c>
      <c r="O556" s="6"/>
      <c r="P556" s="7">
        <v>1.7849999999999999</v>
      </c>
      <c r="Q556" s="7">
        <v>4.4630000000000001</v>
      </c>
      <c r="R556" s="7"/>
      <c r="S556" s="7"/>
      <c r="T556" s="36"/>
      <c r="U556" s="6"/>
      <c r="V556" s="5">
        <v>21</v>
      </c>
      <c r="W556" s="5"/>
      <c r="X556" s="25"/>
      <c r="Y556" s="5"/>
      <c r="Z556" s="35"/>
    </row>
    <row r="557" spans="2:26" x14ac:dyDescent="0.25">
      <c r="B557" s="24"/>
      <c r="C557" s="8" t="s">
        <v>773</v>
      </c>
      <c r="D557" s="8" t="s">
        <v>767</v>
      </c>
      <c r="E557" s="8"/>
      <c r="F557" s="5">
        <v>3990</v>
      </c>
      <c r="G557" s="5">
        <v>2950</v>
      </c>
      <c r="H557" s="5">
        <v>120</v>
      </c>
      <c r="I557" s="5" t="s">
        <v>356</v>
      </c>
      <c r="J557" s="5" t="s">
        <v>750</v>
      </c>
      <c r="K557" s="5"/>
      <c r="L557" s="29" t="s">
        <v>378</v>
      </c>
      <c r="M557" s="6">
        <v>45831</v>
      </c>
      <c r="N557" s="28">
        <v>0</v>
      </c>
      <c r="O557" s="6"/>
      <c r="P557" s="7">
        <v>1.4830000000000001</v>
      </c>
      <c r="Q557" s="7">
        <v>3.7080000000000002</v>
      </c>
      <c r="R557" s="7"/>
      <c r="S557" s="7"/>
      <c r="T557" s="36"/>
      <c r="U557" s="6"/>
      <c r="V557" s="5">
        <v>21</v>
      </c>
      <c r="W557" s="5"/>
      <c r="X557" s="25"/>
      <c r="Y557" s="5"/>
      <c r="Z557" s="35"/>
    </row>
    <row r="558" spans="2:26" x14ac:dyDescent="0.25">
      <c r="B558" s="24"/>
      <c r="C558" s="8" t="s">
        <v>788</v>
      </c>
      <c r="D558" s="8" t="s">
        <v>767</v>
      </c>
      <c r="E558" s="8"/>
      <c r="F558" s="5">
        <v>3990</v>
      </c>
      <c r="G558" s="5">
        <v>2950</v>
      </c>
      <c r="H558" s="5">
        <v>120</v>
      </c>
      <c r="I558" s="5" t="s">
        <v>356</v>
      </c>
      <c r="J558" s="5" t="s">
        <v>750</v>
      </c>
      <c r="K558" s="5"/>
      <c r="L558" s="29" t="s">
        <v>378</v>
      </c>
      <c r="M558" s="6">
        <v>45831</v>
      </c>
      <c r="N558" s="28">
        <v>0</v>
      </c>
      <c r="O558" s="6"/>
      <c r="P558" s="7">
        <v>1.4830000000000001</v>
      </c>
      <c r="Q558" s="7">
        <v>3.7080000000000002</v>
      </c>
      <c r="R558" s="7"/>
      <c r="S558" s="7"/>
      <c r="T558" s="36"/>
      <c r="U558" s="6"/>
      <c r="V558" s="5">
        <v>21</v>
      </c>
      <c r="W558" s="5"/>
      <c r="X558" s="25"/>
      <c r="Y558" s="5"/>
      <c r="Z558" s="35"/>
    </row>
    <row r="559" spans="2:26" x14ac:dyDescent="0.25">
      <c r="B559" s="24"/>
      <c r="C559" s="8" t="s">
        <v>774</v>
      </c>
      <c r="D559" s="8" t="s">
        <v>767</v>
      </c>
      <c r="E559" s="8"/>
      <c r="F559" s="5">
        <v>4420</v>
      </c>
      <c r="G559" s="5">
        <v>2950</v>
      </c>
      <c r="H559" s="5">
        <v>120</v>
      </c>
      <c r="I559" s="5" t="s">
        <v>356</v>
      </c>
      <c r="J559" s="5" t="s">
        <v>750</v>
      </c>
      <c r="K559" s="5"/>
      <c r="L559" s="29" t="s">
        <v>378</v>
      </c>
      <c r="M559" s="6">
        <v>45831</v>
      </c>
      <c r="N559" s="28">
        <v>0</v>
      </c>
      <c r="O559" s="6"/>
      <c r="P559" s="7">
        <v>1.5960000000000001</v>
      </c>
      <c r="Q559" s="7">
        <v>3.99</v>
      </c>
      <c r="R559" s="7"/>
      <c r="S559" s="7"/>
      <c r="T559" s="36"/>
      <c r="U559" s="6"/>
      <c r="V559" s="5">
        <v>21</v>
      </c>
      <c r="W559" s="5"/>
      <c r="X559" s="25"/>
      <c r="Y559" s="5"/>
      <c r="Z559" s="35"/>
    </row>
    <row r="560" spans="2:26" x14ac:dyDescent="0.25">
      <c r="B560" s="24"/>
      <c r="C560" s="8" t="s">
        <v>789</v>
      </c>
      <c r="D560" s="8" t="s">
        <v>767</v>
      </c>
      <c r="E560" s="8"/>
      <c r="F560" s="5">
        <v>4420</v>
      </c>
      <c r="G560" s="5">
        <v>2950</v>
      </c>
      <c r="H560" s="5">
        <v>120</v>
      </c>
      <c r="I560" s="5" t="s">
        <v>356</v>
      </c>
      <c r="J560" s="5" t="s">
        <v>750</v>
      </c>
      <c r="K560" s="5"/>
      <c r="L560" s="29" t="s">
        <v>378</v>
      </c>
      <c r="M560" s="6">
        <v>45831</v>
      </c>
      <c r="N560" s="28">
        <v>0</v>
      </c>
      <c r="O560" s="6"/>
      <c r="P560" s="7">
        <v>1.5960000000000001</v>
      </c>
      <c r="Q560" s="7">
        <v>3.99</v>
      </c>
      <c r="R560" s="7"/>
      <c r="S560" s="7"/>
      <c r="T560" s="36"/>
      <c r="U560" s="6"/>
      <c r="V560" s="5">
        <v>21</v>
      </c>
      <c r="W560" s="5"/>
      <c r="X560" s="25"/>
      <c r="Y560" s="5"/>
      <c r="Z560" s="35"/>
    </row>
    <row r="561" spans="2:26" x14ac:dyDescent="0.25">
      <c r="B561" s="24"/>
      <c r="C561" s="8" t="s">
        <v>775</v>
      </c>
      <c r="D561" s="8" t="s">
        <v>767</v>
      </c>
      <c r="E561" s="8"/>
      <c r="F561" s="5">
        <v>4070</v>
      </c>
      <c r="G561" s="5">
        <v>3250</v>
      </c>
      <c r="H561" s="5">
        <v>120</v>
      </c>
      <c r="I561" s="5" t="s">
        <v>356</v>
      </c>
      <c r="J561" s="5" t="s">
        <v>750</v>
      </c>
      <c r="K561" s="5"/>
      <c r="L561" s="29" t="s">
        <v>378</v>
      </c>
      <c r="M561" s="6">
        <v>45831</v>
      </c>
      <c r="N561" s="28">
        <v>0</v>
      </c>
      <c r="O561" s="6"/>
      <c r="P561" s="7">
        <v>1.651</v>
      </c>
      <c r="Q561" s="7">
        <v>4.18</v>
      </c>
      <c r="R561" s="7"/>
      <c r="S561" s="7"/>
      <c r="T561" s="36"/>
      <c r="U561" s="6"/>
      <c r="V561" s="5">
        <v>21</v>
      </c>
      <c r="W561" s="5"/>
      <c r="X561" s="25"/>
      <c r="Y561" s="5"/>
      <c r="Z561" s="35"/>
    </row>
    <row r="562" spans="2:26" x14ac:dyDescent="0.25">
      <c r="B562" s="24"/>
      <c r="C562" s="8" t="s">
        <v>776</v>
      </c>
      <c r="D562" s="8" t="s">
        <v>767</v>
      </c>
      <c r="E562" s="8"/>
      <c r="F562" s="5">
        <v>4047</v>
      </c>
      <c r="G562" s="5">
        <v>2950</v>
      </c>
      <c r="H562" s="5">
        <v>120</v>
      </c>
      <c r="I562" s="5" t="s">
        <v>356</v>
      </c>
      <c r="J562" s="5" t="s">
        <v>750</v>
      </c>
      <c r="K562" s="5"/>
      <c r="L562" s="29" t="s">
        <v>378</v>
      </c>
      <c r="M562" s="6">
        <v>45831</v>
      </c>
      <c r="N562" s="28">
        <v>0</v>
      </c>
      <c r="O562" s="6"/>
      <c r="P562" s="7">
        <v>1.498</v>
      </c>
      <c r="Q562" s="7">
        <v>3.75</v>
      </c>
      <c r="R562" s="7"/>
      <c r="S562" s="7"/>
      <c r="T562" s="36"/>
      <c r="U562" s="6"/>
      <c r="V562" s="5">
        <v>21</v>
      </c>
      <c r="W562" s="5"/>
      <c r="X562" s="25"/>
      <c r="Y562" s="5"/>
      <c r="Z562" s="35"/>
    </row>
    <row r="563" spans="2:26" x14ac:dyDescent="0.25">
      <c r="B563" s="24"/>
      <c r="C563" s="8" t="s">
        <v>777</v>
      </c>
      <c r="D563" s="8" t="s">
        <v>767</v>
      </c>
      <c r="E563" s="8"/>
      <c r="F563" s="5">
        <v>3130</v>
      </c>
      <c r="G563" s="5">
        <v>2950</v>
      </c>
      <c r="H563" s="5">
        <v>120</v>
      </c>
      <c r="I563" s="5" t="s">
        <v>356</v>
      </c>
      <c r="J563" s="5" t="s">
        <v>750</v>
      </c>
      <c r="K563" s="5"/>
      <c r="L563" s="29" t="s">
        <v>378</v>
      </c>
      <c r="M563" s="6">
        <v>45831</v>
      </c>
      <c r="N563" s="28">
        <v>0</v>
      </c>
      <c r="O563" s="6"/>
      <c r="P563" s="7">
        <v>1.29</v>
      </c>
      <c r="Q563" s="7">
        <v>3.2250000000000001</v>
      </c>
      <c r="R563" s="7"/>
      <c r="S563" s="7"/>
      <c r="T563" s="36"/>
      <c r="U563" s="6"/>
      <c r="V563" s="5">
        <v>21</v>
      </c>
      <c r="W563" s="5"/>
      <c r="X563" s="25"/>
      <c r="Y563" s="5"/>
      <c r="Z563" s="35"/>
    </row>
    <row r="564" spans="2:26" x14ac:dyDescent="0.25">
      <c r="B564" s="24"/>
      <c r="C564" s="8" t="s">
        <v>778</v>
      </c>
      <c r="D564" s="8" t="s">
        <v>767</v>
      </c>
      <c r="E564" s="8"/>
      <c r="F564" s="5">
        <v>3130</v>
      </c>
      <c r="G564" s="5">
        <v>2800</v>
      </c>
      <c r="H564" s="5">
        <v>120</v>
      </c>
      <c r="I564" s="5" t="s">
        <v>356</v>
      </c>
      <c r="J564" s="5" t="s">
        <v>750</v>
      </c>
      <c r="K564" s="5"/>
      <c r="L564" s="29" t="s">
        <v>378</v>
      </c>
      <c r="M564" s="6">
        <v>45831</v>
      </c>
      <c r="N564" s="28">
        <v>0</v>
      </c>
      <c r="O564" s="6"/>
      <c r="P564" s="7">
        <v>1.2310000000000001</v>
      </c>
      <c r="Q564" s="7">
        <v>3.0779999999999998</v>
      </c>
      <c r="R564" s="7"/>
      <c r="S564" s="7"/>
      <c r="T564" s="36"/>
      <c r="U564" s="6"/>
      <c r="V564" s="5">
        <v>21</v>
      </c>
      <c r="W564" s="5"/>
      <c r="X564" s="25"/>
      <c r="Y564" s="5"/>
      <c r="Z564" s="35"/>
    </row>
    <row r="565" spans="2:26" x14ac:dyDescent="0.25">
      <c r="B565" s="24"/>
      <c r="C565" s="8" t="s">
        <v>790</v>
      </c>
      <c r="D565" s="8" t="s">
        <v>767</v>
      </c>
      <c r="E565" s="8"/>
      <c r="F565" s="5">
        <v>3130</v>
      </c>
      <c r="G565" s="5">
        <v>2800</v>
      </c>
      <c r="H565" s="5">
        <v>120</v>
      </c>
      <c r="I565" s="5" t="s">
        <v>356</v>
      </c>
      <c r="J565" s="5" t="s">
        <v>750</v>
      </c>
      <c r="K565" s="5"/>
      <c r="L565" s="29" t="s">
        <v>378</v>
      </c>
      <c r="M565" s="6">
        <v>45831</v>
      </c>
      <c r="N565" s="28">
        <v>0</v>
      </c>
      <c r="O565" s="6"/>
      <c r="P565" s="7">
        <v>1.2310000000000001</v>
      </c>
      <c r="Q565" s="7">
        <v>3.0779999999999998</v>
      </c>
      <c r="R565" s="7"/>
      <c r="S565" s="7"/>
      <c r="T565" s="36"/>
      <c r="U565" s="6"/>
      <c r="V565" s="5">
        <v>21</v>
      </c>
      <c r="W565" s="5"/>
      <c r="X565" s="25"/>
      <c r="Y565" s="5"/>
      <c r="Z565" s="35"/>
    </row>
    <row r="566" spans="2:26" x14ac:dyDescent="0.25">
      <c r="B566" s="26"/>
      <c r="C566" s="27" t="s">
        <v>779</v>
      </c>
      <c r="D566" s="8" t="s">
        <v>767</v>
      </c>
      <c r="E566" s="27"/>
      <c r="F566" s="5">
        <v>3130</v>
      </c>
      <c r="G566" s="28">
        <v>3300</v>
      </c>
      <c r="H566" s="28">
        <v>120</v>
      </c>
      <c r="I566" s="5" t="s">
        <v>356</v>
      </c>
      <c r="J566" s="5" t="s">
        <v>750</v>
      </c>
      <c r="K566" s="28"/>
      <c r="L566" s="29" t="s">
        <v>378</v>
      </c>
      <c r="M566" s="6">
        <v>45831</v>
      </c>
      <c r="N566" s="28">
        <v>0</v>
      </c>
      <c r="O566" s="30"/>
      <c r="P566" s="31">
        <v>1.42</v>
      </c>
      <c r="Q566" s="7">
        <v>3.55</v>
      </c>
      <c r="R566" s="31"/>
      <c r="S566" s="31"/>
      <c r="T566" s="36"/>
      <c r="U566" s="30"/>
      <c r="V566" s="5">
        <v>21</v>
      </c>
      <c r="W566" s="28"/>
      <c r="X566" s="32"/>
      <c r="Y566" s="5"/>
      <c r="Z566" s="54"/>
    </row>
    <row r="567" spans="2:26" x14ac:dyDescent="0.25">
      <c r="B567" s="26"/>
      <c r="C567" s="27" t="s">
        <v>780</v>
      </c>
      <c r="D567" s="8" t="s">
        <v>767</v>
      </c>
      <c r="E567" s="27"/>
      <c r="F567" s="28">
        <v>3130</v>
      </c>
      <c r="G567" s="28">
        <v>3150</v>
      </c>
      <c r="H567" s="28">
        <v>120</v>
      </c>
      <c r="I567" s="5" t="s">
        <v>356</v>
      </c>
      <c r="J567" s="5" t="s">
        <v>750</v>
      </c>
      <c r="K567" s="28"/>
      <c r="L567" s="29" t="s">
        <v>378</v>
      </c>
      <c r="M567" s="6">
        <v>45831</v>
      </c>
      <c r="N567" s="28">
        <v>0</v>
      </c>
      <c r="O567" s="30"/>
      <c r="P567" s="31">
        <v>1.3819999999999999</v>
      </c>
      <c r="Q567" s="7">
        <v>3.4049999999999998</v>
      </c>
      <c r="R567" s="31"/>
      <c r="S567" s="31"/>
      <c r="T567" s="36"/>
      <c r="U567" s="30"/>
      <c r="V567" s="5">
        <v>21</v>
      </c>
      <c r="W567" s="28"/>
      <c r="X567" s="32"/>
      <c r="Y567" s="5"/>
      <c r="Z567" s="54"/>
    </row>
    <row r="568" spans="2:26" x14ac:dyDescent="0.25">
      <c r="B568" s="26"/>
      <c r="C568" s="27" t="s">
        <v>781</v>
      </c>
      <c r="D568" s="8" t="s">
        <v>767</v>
      </c>
      <c r="E568" s="27"/>
      <c r="F568" s="28">
        <v>3130</v>
      </c>
      <c r="G568" s="28">
        <v>2950</v>
      </c>
      <c r="H568" s="28">
        <v>120</v>
      </c>
      <c r="I568" s="5" t="s">
        <v>356</v>
      </c>
      <c r="J568" s="5" t="s">
        <v>750</v>
      </c>
      <c r="K568" s="28"/>
      <c r="L568" s="29" t="s">
        <v>378</v>
      </c>
      <c r="M568" s="6">
        <v>45831</v>
      </c>
      <c r="N568" s="28">
        <v>0</v>
      </c>
      <c r="O568" s="30"/>
      <c r="P568" s="31">
        <v>1.288</v>
      </c>
      <c r="Q568" s="7">
        <v>3.22</v>
      </c>
      <c r="R568" s="31"/>
      <c r="S568" s="31"/>
      <c r="T568" s="36"/>
      <c r="U568" s="30"/>
      <c r="V568" s="5">
        <v>21</v>
      </c>
      <c r="W568" s="28"/>
      <c r="X568" s="32"/>
      <c r="Y568" s="5"/>
      <c r="Z568" s="54"/>
    </row>
    <row r="569" spans="2:26" x14ac:dyDescent="0.25">
      <c r="B569" s="26"/>
      <c r="C569" s="27" t="s">
        <v>782</v>
      </c>
      <c r="D569" s="8" t="s">
        <v>767</v>
      </c>
      <c r="E569" s="27"/>
      <c r="F569" s="28">
        <v>2913</v>
      </c>
      <c r="G569" s="28">
        <v>2950</v>
      </c>
      <c r="H569" s="28">
        <v>120</v>
      </c>
      <c r="I569" s="5" t="s">
        <v>356</v>
      </c>
      <c r="J569" s="5" t="s">
        <v>110</v>
      </c>
      <c r="K569" s="28"/>
      <c r="L569" s="29" t="s">
        <v>378</v>
      </c>
      <c r="M569" s="6">
        <v>45831</v>
      </c>
      <c r="N569" s="28">
        <v>0</v>
      </c>
      <c r="O569" s="30"/>
      <c r="P569" s="31">
        <v>1.1040000000000001</v>
      </c>
      <c r="Q569" s="7">
        <v>2.76</v>
      </c>
      <c r="R569" s="31"/>
      <c r="S569" s="31"/>
      <c r="T569" s="36"/>
      <c r="U569" s="30"/>
      <c r="V569" s="5">
        <v>21</v>
      </c>
      <c r="W569" s="28"/>
      <c r="X569" s="32"/>
      <c r="Y569" s="5"/>
      <c r="Z569" s="54"/>
    </row>
    <row r="570" spans="2:26" x14ac:dyDescent="0.25">
      <c r="B570" s="26"/>
      <c r="C570" s="27" t="s">
        <v>791</v>
      </c>
      <c r="D570" s="8" t="s">
        <v>767</v>
      </c>
      <c r="E570" s="27"/>
      <c r="F570" s="28">
        <v>2913</v>
      </c>
      <c r="G570" s="28">
        <v>2950</v>
      </c>
      <c r="H570" s="28">
        <v>120</v>
      </c>
      <c r="I570" s="5" t="s">
        <v>356</v>
      </c>
      <c r="J570" s="5" t="s">
        <v>110</v>
      </c>
      <c r="K570" s="28"/>
      <c r="L570" s="29" t="s">
        <v>378</v>
      </c>
      <c r="M570" s="6">
        <v>45831</v>
      </c>
      <c r="N570" s="28">
        <v>0</v>
      </c>
      <c r="O570" s="30"/>
      <c r="P570" s="31">
        <v>1.1040000000000001</v>
      </c>
      <c r="Q570" s="7">
        <v>2.76</v>
      </c>
      <c r="R570" s="31"/>
      <c r="S570" s="31"/>
      <c r="T570" s="36"/>
      <c r="U570" s="30"/>
      <c r="V570" s="5">
        <v>21</v>
      </c>
      <c r="W570" s="28"/>
      <c r="X570" s="32"/>
      <c r="Y570" s="5"/>
      <c r="Z570" s="54"/>
    </row>
    <row r="571" spans="2:26" x14ac:dyDescent="0.25">
      <c r="B571" s="26"/>
      <c r="C571" s="27" t="s">
        <v>783</v>
      </c>
      <c r="D571" s="8" t="s">
        <v>767</v>
      </c>
      <c r="E571" s="27"/>
      <c r="F571" s="28">
        <v>2912</v>
      </c>
      <c r="G571" s="28">
        <v>2800</v>
      </c>
      <c r="H571" s="28">
        <v>120</v>
      </c>
      <c r="I571" s="5" t="s">
        <v>356</v>
      </c>
      <c r="J571" s="5" t="s">
        <v>110</v>
      </c>
      <c r="K571" s="28"/>
      <c r="L571" s="29" t="s">
        <v>378</v>
      </c>
      <c r="M571" s="6">
        <v>45831</v>
      </c>
      <c r="N571" s="28">
        <v>0</v>
      </c>
      <c r="O571" s="30"/>
      <c r="P571" s="31">
        <v>1.05</v>
      </c>
      <c r="Q571" s="7">
        <v>2.625</v>
      </c>
      <c r="R571" s="31"/>
      <c r="S571" s="31"/>
      <c r="T571" s="36"/>
      <c r="U571" s="30"/>
      <c r="V571" s="5">
        <v>21</v>
      </c>
      <c r="W571" s="28"/>
      <c r="X571" s="32"/>
      <c r="Y571" s="5"/>
      <c r="Z571" s="54"/>
    </row>
    <row r="572" spans="2:26" x14ac:dyDescent="0.25">
      <c r="B572" s="26"/>
      <c r="C572" s="27" t="s">
        <v>792</v>
      </c>
      <c r="D572" s="8" t="s">
        <v>767</v>
      </c>
      <c r="E572" s="27"/>
      <c r="F572" s="28">
        <v>2912</v>
      </c>
      <c r="G572" s="28">
        <v>2800</v>
      </c>
      <c r="H572" s="28">
        <v>120</v>
      </c>
      <c r="I572" s="5" t="s">
        <v>356</v>
      </c>
      <c r="J572" s="5" t="s">
        <v>110</v>
      </c>
      <c r="K572" s="28"/>
      <c r="L572" s="29" t="s">
        <v>378</v>
      </c>
      <c r="M572" s="6">
        <v>45831</v>
      </c>
      <c r="N572" s="28">
        <v>0</v>
      </c>
      <c r="O572" s="30"/>
      <c r="P572" s="31">
        <v>1.05</v>
      </c>
      <c r="Q572" s="7">
        <v>2.625</v>
      </c>
      <c r="R572" s="31"/>
      <c r="S572" s="31"/>
      <c r="T572" s="36"/>
      <c r="U572" s="30"/>
      <c r="V572" s="5">
        <v>21</v>
      </c>
      <c r="W572" s="28"/>
      <c r="X572" s="32"/>
      <c r="Y572" s="5"/>
      <c r="Z572" s="54"/>
    </row>
    <row r="573" spans="2:26" x14ac:dyDescent="0.25">
      <c r="B573" s="26"/>
      <c r="C573" s="27" t="s">
        <v>784</v>
      </c>
      <c r="D573" s="8" t="s">
        <v>767</v>
      </c>
      <c r="E573" s="27"/>
      <c r="F573" s="28">
        <v>2953</v>
      </c>
      <c r="G573" s="28">
        <v>2950</v>
      </c>
      <c r="H573" s="28">
        <v>120</v>
      </c>
      <c r="I573" s="5" t="s">
        <v>356</v>
      </c>
      <c r="J573" s="5" t="s">
        <v>110</v>
      </c>
      <c r="K573" s="28"/>
      <c r="L573" s="29" t="s">
        <v>378</v>
      </c>
      <c r="M573" s="6">
        <v>45831</v>
      </c>
      <c r="N573" s="28">
        <v>0</v>
      </c>
      <c r="O573" s="30"/>
      <c r="P573" s="31">
        <v>1.115</v>
      </c>
      <c r="Q573" s="7">
        <v>2.7879999999999998</v>
      </c>
      <c r="R573" s="31"/>
      <c r="S573" s="31"/>
      <c r="T573" s="36"/>
      <c r="U573" s="30"/>
      <c r="V573" s="5">
        <v>21</v>
      </c>
      <c r="W573" s="28"/>
      <c r="X573" s="32"/>
      <c r="Y573" s="5"/>
      <c r="Z573" s="54"/>
    </row>
    <row r="574" spans="2:26" x14ac:dyDescent="0.25">
      <c r="B574" s="26"/>
      <c r="C574" s="27" t="s">
        <v>793</v>
      </c>
      <c r="D574" s="8" t="s">
        <v>767</v>
      </c>
      <c r="E574" s="27"/>
      <c r="F574" s="28">
        <v>2953</v>
      </c>
      <c r="G574" s="28">
        <v>2950</v>
      </c>
      <c r="H574" s="28">
        <v>120</v>
      </c>
      <c r="I574" s="5" t="s">
        <v>356</v>
      </c>
      <c r="J574" s="5" t="s">
        <v>110</v>
      </c>
      <c r="K574" s="28"/>
      <c r="L574" s="29" t="s">
        <v>378</v>
      </c>
      <c r="M574" s="6">
        <v>45831</v>
      </c>
      <c r="N574" s="28">
        <v>0</v>
      </c>
      <c r="O574" s="30"/>
      <c r="P574" s="31">
        <v>1.115</v>
      </c>
      <c r="Q574" s="7">
        <v>2.7879999999999998</v>
      </c>
      <c r="R574" s="31"/>
      <c r="S574" s="31"/>
      <c r="T574" s="36"/>
      <c r="U574" s="30"/>
      <c r="V574" s="5">
        <v>21</v>
      </c>
      <c r="W574" s="28"/>
      <c r="X574" s="32"/>
      <c r="Y574" s="5"/>
      <c r="Z574" s="54"/>
    </row>
    <row r="575" spans="2:26" x14ac:dyDescent="0.25">
      <c r="B575" s="26"/>
      <c r="C575" s="27" t="s">
        <v>794</v>
      </c>
      <c r="D575" s="8" t="s">
        <v>767</v>
      </c>
      <c r="E575" s="27"/>
      <c r="F575" s="28">
        <v>2953</v>
      </c>
      <c r="G575" s="28">
        <v>2950</v>
      </c>
      <c r="H575" s="28">
        <v>120</v>
      </c>
      <c r="I575" s="5" t="s">
        <v>356</v>
      </c>
      <c r="J575" s="5" t="s">
        <v>110</v>
      </c>
      <c r="K575" s="28"/>
      <c r="L575" s="29" t="s">
        <v>378</v>
      </c>
      <c r="M575" s="6">
        <v>45831</v>
      </c>
      <c r="N575" s="28">
        <v>0</v>
      </c>
      <c r="O575" s="30"/>
      <c r="P575" s="31">
        <v>1.115</v>
      </c>
      <c r="Q575" s="7">
        <v>2.7879999999999998</v>
      </c>
      <c r="R575" s="31"/>
      <c r="S575" s="31"/>
      <c r="T575" s="36"/>
      <c r="U575" s="30"/>
      <c r="V575" s="5">
        <v>21</v>
      </c>
      <c r="W575" s="28"/>
      <c r="X575" s="32"/>
      <c r="Y575" s="5"/>
      <c r="Z575" s="54"/>
    </row>
    <row r="576" spans="2:26" x14ac:dyDescent="0.25">
      <c r="B576" s="26"/>
      <c r="C576" s="27" t="s">
        <v>785</v>
      </c>
      <c r="D576" s="8" t="s">
        <v>767</v>
      </c>
      <c r="E576" s="27"/>
      <c r="F576" s="28">
        <v>2952</v>
      </c>
      <c r="G576" s="28">
        <v>2800</v>
      </c>
      <c r="H576" s="28">
        <v>120</v>
      </c>
      <c r="I576" s="5" t="s">
        <v>356</v>
      </c>
      <c r="J576" s="5" t="s">
        <v>110</v>
      </c>
      <c r="K576" s="28"/>
      <c r="L576" s="29" t="s">
        <v>378</v>
      </c>
      <c r="M576" s="6">
        <v>45831</v>
      </c>
      <c r="N576" s="28">
        <v>0</v>
      </c>
      <c r="O576" s="30"/>
      <c r="P576" s="31">
        <v>1.06</v>
      </c>
      <c r="Q576" s="7">
        <v>2.65</v>
      </c>
      <c r="R576" s="31"/>
      <c r="S576" s="31"/>
      <c r="T576" s="36"/>
      <c r="U576" s="30"/>
      <c r="V576" s="5">
        <v>21</v>
      </c>
      <c r="W576" s="28"/>
      <c r="X576" s="32"/>
      <c r="Y576" s="5"/>
      <c r="Z576" s="54"/>
    </row>
    <row r="577" spans="2:26" x14ac:dyDescent="0.25">
      <c r="B577" s="26"/>
      <c r="C577" s="27" t="s">
        <v>795</v>
      </c>
      <c r="D577" s="8" t="s">
        <v>767</v>
      </c>
      <c r="E577" s="27"/>
      <c r="F577" s="28">
        <v>2952</v>
      </c>
      <c r="G577" s="28">
        <v>2800</v>
      </c>
      <c r="H577" s="28">
        <v>120</v>
      </c>
      <c r="I577" s="5" t="s">
        <v>356</v>
      </c>
      <c r="J577" s="5" t="s">
        <v>110</v>
      </c>
      <c r="K577" s="28"/>
      <c r="L577" s="29" t="s">
        <v>378</v>
      </c>
      <c r="M577" s="6">
        <v>45831</v>
      </c>
      <c r="N577" s="28">
        <v>0</v>
      </c>
      <c r="O577" s="30"/>
      <c r="P577" s="31">
        <v>1.06</v>
      </c>
      <c r="Q577" s="7">
        <v>2.65</v>
      </c>
      <c r="R577" s="31"/>
      <c r="S577" s="31"/>
      <c r="T577" s="36"/>
      <c r="U577" s="30"/>
      <c r="V577" s="5">
        <v>21</v>
      </c>
      <c r="W577" s="28"/>
      <c r="X577" s="32"/>
      <c r="Y577" s="5"/>
      <c r="Z577" s="54"/>
    </row>
    <row r="578" spans="2:26" x14ac:dyDescent="0.25">
      <c r="B578" s="26"/>
      <c r="C578" s="27" t="s">
        <v>786</v>
      </c>
      <c r="D578" s="8" t="s">
        <v>767</v>
      </c>
      <c r="E578" s="27"/>
      <c r="F578" s="28">
        <v>2952</v>
      </c>
      <c r="G578" s="28">
        <v>2800</v>
      </c>
      <c r="H578" s="28">
        <v>120</v>
      </c>
      <c r="I578" s="5" t="s">
        <v>356</v>
      </c>
      <c r="J578" s="5" t="s">
        <v>110</v>
      </c>
      <c r="K578" s="28"/>
      <c r="L578" s="29" t="s">
        <v>378</v>
      </c>
      <c r="M578" s="6">
        <v>45831</v>
      </c>
      <c r="N578" s="28">
        <v>0</v>
      </c>
      <c r="O578" s="30"/>
      <c r="P578" s="31">
        <v>1.06</v>
      </c>
      <c r="Q578" s="7">
        <v>2.65</v>
      </c>
      <c r="R578" s="31"/>
      <c r="S578" s="31"/>
      <c r="T578" s="36"/>
      <c r="U578" s="30"/>
      <c r="V578" s="5">
        <v>21</v>
      </c>
      <c r="W578" s="28"/>
      <c r="X578" s="32"/>
      <c r="Y578" s="5"/>
      <c r="Z578" s="54"/>
    </row>
    <row r="579" spans="2:26" x14ac:dyDescent="0.25">
      <c r="B579" s="24"/>
      <c r="C579" s="8" t="s">
        <v>751</v>
      </c>
      <c r="D579" s="8" t="s">
        <v>767</v>
      </c>
      <c r="E579" s="8"/>
      <c r="F579" s="5">
        <v>5975</v>
      </c>
      <c r="G579" s="5">
        <v>3340</v>
      </c>
      <c r="H579" s="5">
        <v>120</v>
      </c>
      <c r="I579" s="5" t="s">
        <v>389</v>
      </c>
      <c r="J579" s="5" t="s">
        <v>110</v>
      </c>
      <c r="K579" s="5"/>
      <c r="L579" s="29" t="s">
        <v>40</v>
      </c>
      <c r="M579" s="6">
        <v>45835</v>
      </c>
      <c r="N579" s="28">
        <v>0</v>
      </c>
      <c r="O579" s="6"/>
      <c r="P579" s="7">
        <v>2.5270000000000001</v>
      </c>
      <c r="Q579" s="7">
        <v>6.3179999999999996</v>
      </c>
      <c r="R579" s="7"/>
      <c r="S579" s="7"/>
      <c r="T579" s="36"/>
      <c r="U579" s="6"/>
      <c r="V579" s="5">
        <v>21</v>
      </c>
      <c r="W579" s="5"/>
      <c r="X579" s="25"/>
      <c r="Y579" s="5"/>
      <c r="Z579" s="35"/>
    </row>
    <row r="580" spans="2:26" x14ac:dyDescent="0.25">
      <c r="B580" s="24"/>
      <c r="C580" s="8" t="s">
        <v>752</v>
      </c>
      <c r="D580" s="8" t="s">
        <v>767</v>
      </c>
      <c r="E580" s="8"/>
      <c r="F580" s="5">
        <v>5975</v>
      </c>
      <c r="G580" s="5">
        <v>3340</v>
      </c>
      <c r="H580" s="5">
        <v>120</v>
      </c>
      <c r="I580" s="5" t="s">
        <v>389</v>
      </c>
      <c r="J580" s="5" t="s">
        <v>110</v>
      </c>
      <c r="K580" s="5"/>
      <c r="L580" s="29" t="s">
        <v>40</v>
      </c>
      <c r="M580" s="6">
        <v>45835</v>
      </c>
      <c r="N580" s="28">
        <v>0</v>
      </c>
      <c r="O580" s="6"/>
      <c r="P580" s="7">
        <v>2.5259999999999998</v>
      </c>
      <c r="Q580" s="7">
        <v>6.3150000000000004</v>
      </c>
      <c r="R580" s="7"/>
      <c r="S580" s="7"/>
      <c r="T580" s="36"/>
      <c r="U580" s="6"/>
      <c r="V580" s="5">
        <v>21</v>
      </c>
      <c r="W580" s="5"/>
      <c r="X580" s="25"/>
      <c r="Y580" s="5"/>
      <c r="Z580" s="35"/>
    </row>
    <row r="581" spans="2:26" x14ac:dyDescent="0.25">
      <c r="B581" s="24"/>
      <c r="C581" s="8" t="s">
        <v>796</v>
      </c>
      <c r="D581" s="8" t="s">
        <v>767</v>
      </c>
      <c r="E581" s="8"/>
      <c r="F581" s="5">
        <v>5975</v>
      </c>
      <c r="G581" s="5">
        <v>3340</v>
      </c>
      <c r="H581" s="5">
        <v>120</v>
      </c>
      <c r="I581" s="5" t="s">
        <v>389</v>
      </c>
      <c r="J581" s="5" t="s">
        <v>110</v>
      </c>
      <c r="K581" s="5"/>
      <c r="L581" s="29" t="s">
        <v>40</v>
      </c>
      <c r="M581" s="6">
        <v>45835</v>
      </c>
      <c r="N581" s="28">
        <v>0</v>
      </c>
      <c r="O581" s="6"/>
      <c r="P581" s="7">
        <v>2.5259999999999998</v>
      </c>
      <c r="Q581" s="7">
        <v>6.3150000000000004</v>
      </c>
      <c r="R581" s="7"/>
      <c r="S581" s="7"/>
      <c r="T581" s="36"/>
      <c r="U581" s="6"/>
      <c r="V581" s="5">
        <v>21</v>
      </c>
      <c r="W581" s="5"/>
      <c r="X581" s="25"/>
      <c r="Y581" s="5"/>
      <c r="Z581" s="35"/>
    </row>
    <row r="582" spans="2:26" x14ac:dyDescent="0.25">
      <c r="B582" s="24"/>
      <c r="C582" s="8" t="s">
        <v>753</v>
      </c>
      <c r="D582" s="8" t="s">
        <v>767</v>
      </c>
      <c r="E582" s="8"/>
      <c r="F582" s="5">
        <v>5975</v>
      </c>
      <c r="G582" s="5">
        <v>3340</v>
      </c>
      <c r="H582" s="5">
        <v>120</v>
      </c>
      <c r="I582" s="5" t="s">
        <v>389</v>
      </c>
      <c r="J582" s="5" t="s">
        <v>110</v>
      </c>
      <c r="K582" s="5"/>
      <c r="L582" s="29" t="s">
        <v>40</v>
      </c>
      <c r="M582" s="6">
        <v>45835</v>
      </c>
      <c r="N582" s="28">
        <v>0</v>
      </c>
      <c r="O582" s="6"/>
      <c r="P582" s="7">
        <v>2.5259999999999998</v>
      </c>
      <c r="Q582" s="7">
        <v>6.3150000000000004</v>
      </c>
      <c r="R582" s="7"/>
      <c r="S582" s="7"/>
      <c r="T582" s="36"/>
      <c r="U582" s="6"/>
      <c r="V582" s="5">
        <v>21</v>
      </c>
      <c r="W582" s="5"/>
      <c r="X582" s="25"/>
      <c r="Y582" s="5"/>
      <c r="Z582" s="35"/>
    </row>
    <row r="583" spans="2:26" x14ac:dyDescent="0.25">
      <c r="B583" s="24"/>
      <c r="C583" s="8" t="s">
        <v>754</v>
      </c>
      <c r="D583" s="8" t="s">
        <v>767</v>
      </c>
      <c r="E583" s="8"/>
      <c r="F583" s="5">
        <v>4413</v>
      </c>
      <c r="G583" s="5">
        <v>3450</v>
      </c>
      <c r="H583" s="5">
        <v>120</v>
      </c>
      <c r="I583" s="5" t="s">
        <v>357</v>
      </c>
      <c r="J583" s="28" t="s">
        <v>693</v>
      </c>
      <c r="K583" s="5"/>
      <c r="L583" s="29" t="s">
        <v>40</v>
      </c>
      <c r="M583" s="6">
        <v>45835</v>
      </c>
      <c r="N583" s="28">
        <v>0</v>
      </c>
      <c r="O583" s="6"/>
      <c r="P583" s="7">
        <v>2.0409999999999999</v>
      </c>
      <c r="Q583" s="7">
        <v>5.1029999999999998</v>
      </c>
      <c r="R583" s="7"/>
      <c r="S583" s="7"/>
      <c r="T583" s="36"/>
      <c r="U583" s="6"/>
      <c r="V583" s="5">
        <v>21</v>
      </c>
      <c r="W583" s="5"/>
      <c r="X583" s="25"/>
      <c r="Y583" s="5"/>
      <c r="Z583" s="35"/>
    </row>
    <row r="584" spans="2:26" x14ac:dyDescent="0.25">
      <c r="B584" s="24"/>
      <c r="C584" s="8" t="s">
        <v>755</v>
      </c>
      <c r="D584" s="8" t="s">
        <v>767</v>
      </c>
      <c r="E584" s="8"/>
      <c r="F584" s="5">
        <v>4412</v>
      </c>
      <c r="G584" s="5">
        <v>3450</v>
      </c>
      <c r="H584" s="5">
        <v>120</v>
      </c>
      <c r="I584" s="5" t="s">
        <v>357</v>
      </c>
      <c r="J584" s="28" t="s">
        <v>693</v>
      </c>
      <c r="K584" s="5"/>
      <c r="L584" s="29" t="s">
        <v>40</v>
      </c>
      <c r="M584" s="6">
        <v>45835</v>
      </c>
      <c r="N584" s="28">
        <v>0</v>
      </c>
      <c r="O584" s="6"/>
      <c r="P584" s="7">
        <v>2.0539999999999998</v>
      </c>
      <c r="Q584" s="7">
        <v>5.1349999999999998</v>
      </c>
      <c r="R584" s="7"/>
      <c r="S584" s="7"/>
      <c r="T584" s="36"/>
      <c r="U584" s="6"/>
      <c r="V584" s="5">
        <v>21</v>
      </c>
      <c r="W584" s="5"/>
      <c r="X584" s="25"/>
      <c r="Y584" s="5"/>
      <c r="Z584" s="35"/>
    </row>
    <row r="585" spans="2:26" x14ac:dyDescent="0.25">
      <c r="B585" s="24"/>
      <c r="C585" s="8" t="s">
        <v>756</v>
      </c>
      <c r="D585" s="8" t="s">
        <v>767</v>
      </c>
      <c r="E585" s="8"/>
      <c r="F585" s="5">
        <v>4411</v>
      </c>
      <c r="G585" s="5">
        <v>3940</v>
      </c>
      <c r="H585" s="5">
        <v>120</v>
      </c>
      <c r="I585" s="5" t="s">
        <v>357</v>
      </c>
      <c r="J585" s="28" t="s">
        <v>693</v>
      </c>
      <c r="K585" s="5"/>
      <c r="L585" s="29" t="s">
        <v>40</v>
      </c>
      <c r="M585" s="6">
        <v>45835</v>
      </c>
      <c r="N585" s="28">
        <v>0</v>
      </c>
      <c r="O585" s="6"/>
      <c r="P585" s="7">
        <v>2.4540000000000002</v>
      </c>
      <c r="Q585" s="7">
        <v>6.1349999999999998</v>
      </c>
      <c r="R585" s="7"/>
      <c r="S585" s="7"/>
      <c r="T585" s="36"/>
      <c r="U585" s="6"/>
      <c r="V585" s="5">
        <v>21</v>
      </c>
      <c r="W585" s="5"/>
      <c r="X585" s="25"/>
      <c r="Y585" s="5"/>
      <c r="Z585" s="35"/>
    </row>
    <row r="586" spans="2:26" x14ac:dyDescent="0.25">
      <c r="B586" s="24"/>
      <c r="C586" s="8" t="s">
        <v>757</v>
      </c>
      <c r="D586" s="8" t="s">
        <v>767</v>
      </c>
      <c r="E586" s="8"/>
      <c r="F586" s="5">
        <v>3205</v>
      </c>
      <c r="G586" s="5">
        <v>3990</v>
      </c>
      <c r="H586" s="5">
        <v>120</v>
      </c>
      <c r="I586" s="5" t="s">
        <v>357</v>
      </c>
      <c r="J586" s="28" t="s">
        <v>693</v>
      </c>
      <c r="K586" s="5"/>
      <c r="L586" s="29" t="s">
        <v>40</v>
      </c>
      <c r="M586" s="6">
        <v>45835</v>
      </c>
      <c r="N586" s="28">
        <v>0</v>
      </c>
      <c r="O586" s="6"/>
      <c r="P586" s="7">
        <v>1.994</v>
      </c>
      <c r="Q586" s="7">
        <v>4.9850000000000003</v>
      </c>
      <c r="R586" s="7"/>
      <c r="S586" s="7"/>
      <c r="T586" s="36"/>
      <c r="U586" s="6"/>
      <c r="V586" s="5">
        <v>21</v>
      </c>
      <c r="W586" s="5"/>
      <c r="X586" s="25"/>
      <c r="Y586" s="5"/>
      <c r="Z586" s="35"/>
    </row>
    <row r="587" spans="2:26" x14ac:dyDescent="0.25">
      <c r="B587" s="24"/>
      <c r="C587" s="8" t="s">
        <v>758</v>
      </c>
      <c r="D587" s="8" t="s">
        <v>767</v>
      </c>
      <c r="E587" s="8"/>
      <c r="F587" s="5">
        <v>4412</v>
      </c>
      <c r="G587" s="5">
        <v>3940</v>
      </c>
      <c r="H587" s="5">
        <v>120</v>
      </c>
      <c r="I587" s="5" t="s">
        <v>357</v>
      </c>
      <c r="J587" s="28" t="s">
        <v>693</v>
      </c>
      <c r="K587" s="5"/>
      <c r="L587" s="29" t="s">
        <v>40</v>
      </c>
      <c r="M587" s="6">
        <v>45835</v>
      </c>
      <c r="N587" s="28">
        <v>0</v>
      </c>
      <c r="O587" s="6"/>
      <c r="P587" s="7">
        <v>2.44</v>
      </c>
      <c r="Q587" s="7">
        <v>6.11</v>
      </c>
      <c r="R587" s="7"/>
      <c r="S587" s="7"/>
      <c r="T587" s="36"/>
      <c r="U587" s="6"/>
      <c r="V587" s="5">
        <v>21</v>
      </c>
      <c r="W587" s="5"/>
      <c r="X587" s="25"/>
      <c r="Y587" s="5"/>
      <c r="Z587" s="35"/>
    </row>
    <row r="588" spans="2:26" x14ac:dyDescent="0.25">
      <c r="B588" s="24"/>
      <c r="C588" s="8" t="s">
        <v>759</v>
      </c>
      <c r="D588" s="8" t="s">
        <v>767</v>
      </c>
      <c r="E588" s="8"/>
      <c r="F588" s="5">
        <v>2775</v>
      </c>
      <c r="G588" s="5">
        <v>3450</v>
      </c>
      <c r="H588" s="5">
        <v>120</v>
      </c>
      <c r="I588" s="5" t="s">
        <v>356</v>
      </c>
      <c r="J588" s="5" t="s">
        <v>797</v>
      </c>
      <c r="K588" s="5"/>
      <c r="L588" s="29" t="s">
        <v>40</v>
      </c>
      <c r="M588" s="6">
        <v>45835</v>
      </c>
      <c r="N588" s="28">
        <v>0</v>
      </c>
      <c r="O588" s="6"/>
      <c r="P588" s="7">
        <v>1.2949999999999999</v>
      </c>
      <c r="Q588" s="7">
        <v>3.238</v>
      </c>
      <c r="R588" s="7"/>
      <c r="S588" s="7"/>
      <c r="T588" s="36"/>
      <c r="U588" s="6"/>
      <c r="V588" s="5">
        <v>21</v>
      </c>
      <c r="W588" s="5"/>
      <c r="X588" s="25"/>
      <c r="Y588" s="5"/>
      <c r="Z588" s="35"/>
    </row>
    <row r="589" spans="2:26" x14ac:dyDescent="0.25">
      <c r="B589" s="24"/>
      <c r="C589" s="8" t="s">
        <v>760</v>
      </c>
      <c r="D589" s="8" t="s">
        <v>767</v>
      </c>
      <c r="E589" s="8"/>
      <c r="F589" s="5">
        <v>2990</v>
      </c>
      <c r="G589" s="5">
        <v>3450</v>
      </c>
      <c r="H589" s="5">
        <v>120</v>
      </c>
      <c r="I589" s="5" t="s">
        <v>356</v>
      </c>
      <c r="J589" s="5" t="s">
        <v>797</v>
      </c>
      <c r="K589" s="5"/>
      <c r="L589" s="29" t="s">
        <v>40</v>
      </c>
      <c r="M589" s="6">
        <v>45835</v>
      </c>
      <c r="N589" s="28">
        <v>0</v>
      </c>
      <c r="O589" s="6"/>
      <c r="P589" s="7">
        <v>1.3660000000000001</v>
      </c>
      <c r="Q589" s="7">
        <v>3.415</v>
      </c>
      <c r="R589" s="7"/>
      <c r="S589" s="7"/>
      <c r="T589" s="36"/>
      <c r="U589" s="6"/>
      <c r="V589" s="5">
        <v>21</v>
      </c>
      <c r="W589" s="5"/>
      <c r="X589" s="25"/>
      <c r="Y589" s="5"/>
      <c r="Z589" s="35"/>
    </row>
    <row r="590" spans="2:26" x14ac:dyDescent="0.25">
      <c r="B590" s="24"/>
      <c r="C590" s="8" t="s">
        <v>798</v>
      </c>
      <c r="D590" s="8" t="s">
        <v>767</v>
      </c>
      <c r="E590" s="8"/>
      <c r="F590" s="5">
        <v>2990</v>
      </c>
      <c r="G590" s="5">
        <v>3450</v>
      </c>
      <c r="H590" s="5">
        <v>120</v>
      </c>
      <c r="I590" s="5" t="s">
        <v>356</v>
      </c>
      <c r="J590" s="5" t="s">
        <v>797</v>
      </c>
      <c r="K590" s="5"/>
      <c r="L590" s="29" t="s">
        <v>40</v>
      </c>
      <c r="M590" s="6">
        <v>45835</v>
      </c>
      <c r="N590" s="28">
        <v>0</v>
      </c>
      <c r="O590" s="6"/>
      <c r="P590" s="7">
        <v>1.3660000000000001</v>
      </c>
      <c r="Q590" s="7">
        <v>3.415</v>
      </c>
      <c r="R590" s="7"/>
      <c r="S590" s="7"/>
      <c r="T590" s="36"/>
      <c r="U590" s="6"/>
      <c r="V590" s="5">
        <v>21</v>
      </c>
      <c r="W590" s="5"/>
      <c r="X590" s="25"/>
      <c r="Y590" s="5"/>
      <c r="Z590" s="35"/>
    </row>
    <row r="591" spans="2:26" x14ac:dyDescent="0.25">
      <c r="B591" s="24"/>
      <c r="C591" s="8" t="s">
        <v>761</v>
      </c>
      <c r="D591" s="8" t="s">
        <v>767</v>
      </c>
      <c r="E591" s="8"/>
      <c r="F591" s="5">
        <v>2985</v>
      </c>
      <c r="G591" s="5">
        <v>3940</v>
      </c>
      <c r="H591" s="5">
        <v>120</v>
      </c>
      <c r="I591" s="5" t="s">
        <v>357</v>
      </c>
      <c r="J591" s="5" t="s">
        <v>797</v>
      </c>
      <c r="K591" s="5"/>
      <c r="L591" s="29" t="s">
        <v>40</v>
      </c>
      <c r="M591" s="6">
        <v>45835</v>
      </c>
      <c r="N591" s="28">
        <v>0</v>
      </c>
      <c r="O591" s="6"/>
      <c r="P591" s="7">
        <v>1.6779999999999999</v>
      </c>
      <c r="Q591" s="7">
        <v>4.1950000000000003</v>
      </c>
      <c r="R591" s="7"/>
      <c r="S591" s="7"/>
      <c r="T591" s="36"/>
      <c r="U591" s="6"/>
      <c r="V591" s="5">
        <v>21</v>
      </c>
      <c r="W591" s="5"/>
      <c r="X591" s="25"/>
      <c r="Y591" s="5"/>
      <c r="Z591" s="35"/>
    </row>
    <row r="592" spans="2:26" x14ac:dyDescent="0.25">
      <c r="B592" s="24"/>
      <c r="C592" s="8" t="s">
        <v>799</v>
      </c>
      <c r="D592" s="8" t="s">
        <v>767</v>
      </c>
      <c r="E592" s="8"/>
      <c r="F592" s="5">
        <v>2985</v>
      </c>
      <c r="G592" s="5">
        <v>3940</v>
      </c>
      <c r="H592" s="5">
        <v>120</v>
      </c>
      <c r="I592" s="5" t="s">
        <v>357</v>
      </c>
      <c r="J592" s="5" t="s">
        <v>797</v>
      </c>
      <c r="K592" s="5"/>
      <c r="L592" s="29" t="s">
        <v>40</v>
      </c>
      <c r="M592" s="6">
        <v>45835</v>
      </c>
      <c r="N592" s="28">
        <v>0</v>
      </c>
      <c r="O592" s="6"/>
      <c r="P592" s="7">
        <v>1.6779999999999999</v>
      </c>
      <c r="Q592" s="7">
        <v>4.1950000000000003</v>
      </c>
      <c r="R592" s="7"/>
      <c r="S592" s="7"/>
      <c r="T592" s="36"/>
      <c r="U592" s="6"/>
      <c r="V592" s="5">
        <v>21</v>
      </c>
      <c r="W592" s="5"/>
      <c r="X592" s="25"/>
      <c r="Y592" s="5"/>
      <c r="Z592" s="35"/>
    </row>
    <row r="593" spans="2:26" x14ac:dyDescent="0.25">
      <c r="B593" s="24"/>
      <c r="C593" s="8" t="s">
        <v>762</v>
      </c>
      <c r="D593" s="8" t="s">
        <v>767</v>
      </c>
      <c r="E593" s="8"/>
      <c r="F593" s="5">
        <v>3018</v>
      </c>
      <c r="G593" s="5">
        <v>3940</v>
      </c>
      <c r="H593" s="5">
        <v>120</v>
      </c>
      <c r="I593" s="5" t="s">
        <v>357</v>
      </c>
      <c r="J593" s="5" t="s">
        <v>797</v>
      </c>
      <c r="K593" s="5"/>
      <c r="L593" s="29" t="s">
        <v>40</v>
      </c>
      <c r="M593" s="6">
        <v>45835</v>
      </c>
      <c r="N593" s="28">
        <v>0</v>
      </c>
      <c r="O593" s="6"/>
      <c r="P593" s="7">
        <v>1.6910000000000001</v>
      </c>
      <c r="Q593" s="7">
        <v>4.2279999999999998</v>
      </c>
      <c r="R593" s="7"/>
      <c r="S593" s="7"/>
      <c r="T593" s="36"/>
      <c r="U593" s="6"/>
      <c r="V593" s="5">
        <v>21</v>
      </c>
      <c r="W593" s="5"/>
      <c r="X593" s="25"/>
      <c r="Y593" s="5"/>
      <c r="Z593" s="35"/>
    </row>
    <row r="594" spans="2:26" x14ac:dyDescent="0.25">
      <c r="B594" s="24"/>
      <c r="C594" s="8" t="s">
        <v>763</v>
      </c>
      <c r="D594" s="8" t="s">
        <v>767</v>
      </c>
      <c r="E594" s="8"/>
      <c r="F594" s="5">
        <v>3018</v>
      </c>
      <c r="G594" s="5">
        <v>3940</v>
      </c>
      <c r="H594" s="5">
        <v>120</v>
      </c>
      <c r="I594" s="5" t="s">
        <v>357</v>
      </c>
      <c r="J594" s="5" t="s">
        <v>797</v>
      </c>
      <c r="K594" s="5"/>
      <c r="L594" s="29" t="s">
        <v>40</v>
      </c>
      <c r="M594" s="6">
        <v>45835</v>
      </c>
      <c r="N594" s="28">
        <v>0</v>
      </c>
      <c r="O594" s="6"/>
      <c r="P594" s="7">
        <v>1.6910000000000001</v>
      </c>
      <c r="Q594" s="7">
        <v>4.2279999999999998</v>
      </c>
      <c r="R594" s="7"/>
      <c r="S594" s="7"/>
      <c r="T594" s="36"/>
      <c r="U594" s="6"/>
      <c r="V594" s="5">
        <v>21</v>
      </c>
      <c r="W594" s="5"/>
      <c r="X594" s="25"/>
      <c r="Y594" s="5"/>
      <c r="Z594" s="35"/>
    </row>
    <row r="595" spans="2:26" x14ac:dyDescent="0.25">
      <c r="B595" s="24"/>
      <c r="C595" s="8" t="s">
        <v>764</v>
      </c>
      <c r="D595" s="8" t="s">
        <v>767</v>
      </c>
      <c r="E595" s="8"/>
      <c r="F595" s="5">
        <v>2995</v>
      </c>
      <c r="G595" s="5">
        <v>3640</v>
      </c>
      <c r="H595" s="5">
        <v>120</v>
      </c>
      <c r="I595" s="5" t="s">
        <v>356</v>
      </c>
      <c r="J595" s="5" t="s">
        <v>797</v>
      </c>
      <c r="K595" s="5"/>
      <c r="L595" s="29" t="s">
        <v>40</v>
      </c>
      <c r="M595" s="6">
        <v>45835</v>
      </c>
      <c r="N595" s="28">
        <v>0</v>
      </c>
      <c r="O595" s="6"/>
      <c r="P595" s="7">
        <v>1.4359999999999999</v>
      </c>
      <c r="Q595" s="7">
        <v>3.59</v>
      </c>
      <c r="R595" s="7"/>
      <c r="S595" s="7"/>
      <c r="T595" s="36"/>
      <c r="U595" s="6"/>
      <c r="V595" s="5">
        <v>21</v>
      </c>
      <c r="W595" s="5"/>
      <c r="X595" s="25"/>
      <c r="Y595" s="5"/>
      <c r="Z595" s="35"/>
    </row>
    <row r="596" spans="2:26" x14ac:dyDescent="0.25">
      <c r="B596" s="24"/>
      <c r="C596" s="8" t="s">
        <v>800</v>
      </c>
      <c r="D596" s="8" t="s">
        <v>767</v>
      </c>
      <c r="E596" s="8"/>
      <c r="F596" s="5">
        <v>2995</v>
      </c>
      <c r="G596" s="5">
        <v>3640</v>
      </c>
      <c r="H596" s="5">
        <v>120</v>
      </c>
      <c r="I596" s="5" t="s">
        <v>356</v>
      </c>
      <c r="J596" s="5" t="s">
        <v>797</v>
      </c>
      <c r="K596" s="5"/>
      <c r="L596" s="29" t="s">
        <v>40</v>
      </c>
      <c r="M596" s="6">
        <v>45835</v>
      </c>
      <c r="N596" s="28">
        <v>0</v>
      </c>
      <c r="O596" s="6"/>
      <c r="P596" s="7">
        <v>1.4359999999999999</v>
      </c>
      <c r="Q596" s="7">
        <v>3.59</v>
      </c>
      <c r="R596" s="7"/>
      <c r="S596" s="7"/>
      <c r="T596" s="36"/>
      <c r="U596" s="6"/>
      <c r="V596" s="5">
        <v>21</v>
      </c>
      <c r="W596" s="5"/>
      <c r="X596" s="25"/>
      <c r="Y596" s="5"/>
      <c r="Z596" s="35"/>
    </row>
    <row r="597" spans="2:26" x14ac:dyDescent="0.25">
      <c r="B597" s="24"/>
      <c r="C597" s="8" t="s">
        <v>765</v>
      </c>
      <c r="D597" s="8" t="s">
        <v>767</v>
      </c>
      <c r="E597" s="8"/>
      <c r="F597" s="5">
        <v>2957</v>
      </c>
      <c r="G597" s="5">
        <v>3991</v>
      </c>
      <c r="H597" s="5">
        <v>120</v>
      </c>
      <c r="I597" s="5" t="s">
        <v>357</v>
      </c>
      <c r="J597" s="5" t="s">
        <v>797</v>
      </c>
      <c r="K597" s="5"/>
      <c r="L597" s="29" t="s">
        <v>40</v>
      </c>
      <c r="M597" s="6">
        <v>45835</v>
      </c>
      <c r="N597" s="28">
        <v>0</v>
      </c>
      <c r="O597" s="6"/>
      <c r="P597" s="7">
        <v>1.6850000000000001</v>
      </c>
      <c r="Q597" s="7">
        <v>4.2130000000000001</v>
      </c>
      <c r="R597" s="7"/>
      <c r="S597" s="7"/>
      <c r="T597" s="36"/>
      <c r="U597" s="6"/>
      <c r="V597" s="5">
        <v>21</v>
      </c>
      <c r="W597" s="5"/>
      <c r="X597" s="25"/>
      <c r="Y597" s="5"/>
      <c r="Z597" s="35"/>
    </row>
    <row r="598" spans="2:26" x14ac:dyDescent="0.25">
      <c r="B598" s="24"/>
      <c r="C598" s="8" t="s">
        <v>801</v>
      </c>
      <c r="D598" s="8" t="s">
        <v>767</v>
      </c>
      <c r="E598" s="8"/>
      <c r="F598" s="5">
        <v>2957</v>
      </c>
      <c r="G598" s="5">
        <v>3991</v>
      </c>
      <c r="H598" s="5">
        <v>120</v>
      </c>
      <c r="I598" s="5" t="s">
        <v>357</v>
      </c>
      <c r="J598" s="5" t="s">
        <v>797</v>
      </c>
      <c r="K598" s="5"/>
      <c r="L598" s="29" t="s">
        <v>40</v>
      </c>
      <c r="M598" s="6">
        <v>45835</v>
      </c>
      <c r="N598" s="28">
        <v>0</v>
      </c>
      <c r="O598" s="6"/>
      <c r="P598" s="7">
        <v>1.6850000000000001</v>
      </c>
      <c r="Q598" s="7">
        <v>4.2130000000000001</v>
      </c>
      <c r="R598" s="7"/>
      <c r="S598" s="7"/>
      <c r="T598" s="36"/>
      <c r="U598" s="6"/>
      <c r="V598" s="5">
        <v>21</v>
      </c>
      <c r="W598" s="5"/>
      <c r="X598" s="25"/>
      <c r="Y598" s="5"/>
      <c r="Z598" s="35"/>
    </row>
    <row r="599" spans="2:26" x14ac:dyDescent="0.25">
      <c r="B599" s="26"/>
      <c r="C599" s="27" t="s">
        <v>766</v>
      </c>
      <c r="D599" s="27" t="s">
        <v>767</v>
      </c>
      <c r="E599" s="27"/>
      <c r="F599" s="28">
        <v>2990</v>
      </c>
      <c r="G599" s="28">
        <v>3990</v>
      </c>
      <c r="H599" s="28">
        <v>120</v>
      </c>
      <c r="I599" s="5" t="s">
        <v>357</v>
      </c>
      <c r="J599" s="5" t="s">
        <v>797</v>
      </c>
      <c r="K599" s="28"/>
      <c r="L599" s="29" t="s">
        <v>40</v>
      </c>
      <c r="M599" s="6">
        <v>45835</v>
      </c>
      <c r="N599" s="28">
        <v>0</v>
      </c>
      <c r="O599" s="30"/>
      <c r="P599" s="31">
        <v>1.698</v>
      </c>
      <c r="Q599" s="31">
        <v>4.2450000000000001</v>
      </c>
      <c r="R599" s="31"/>
      <c r="S599" s="31"/>
      <c r="T599" s="36"/>
      <c r="U599" s="30"/>
      <c r="V599" s="5">
        <v>21</v>
      </c>
      <c r="W599" s="28"/>
      <c r="X599" s="32"/>
      <c r="Y599" s="5"/>
      <c r="Z599" s="54"/>
    </row>
    <row r="600" spans="2:26" x14ac:dyDescent="0.25">
      <c r="B600" s="24"/>
      <c r="C600" s="132" t="s">
        <v>888</v>
      </c>
      <c r="D600" s="27" t="s">
        <v>767</v>
      </c>
      <c r="E600" s="8" t="s">
        <v>932</v>
      </c>
      <c r="F600" s="5">
        <v>4167</v>
      </c>
      <c r="G600" s="5">
        <v>1804</v>
      </c>
      <c r="H600" s="5">
        <v>120</v>
      </c>
      <c r="I600" s="5" t="s">
        <v>18</v>
      </c>
      <c r="J600" s="5"/>
      <c r="K600" s="5"/>
      <c r="L600" s="29" t="s">
        <v>47</v>
      </c>
      <c r="M600" s="6">
        <v>45850</v>
      </c>
      <c r="N600" s="28">
        <v>0</v>
      </c>
      <c r="O600" s="6"/>
      <c r="P600" s="7">
        <v>0.90100000000000002</v>
      </c>
      <c r="Q600" s="7">
        <v>2.2530000000000001</v>
      </c>
      <c r="R600" s="7"/>
      <c r="S600" s="7"/>
      <c r="T600" s="36">
        <v>45860</v>
      </c>
      <c r="U600" s="6"/>
      <c r="V600" s="5">
        <v>9</v>
      </c>
      <c r="W600" s="5" t="s">
        <v>720</v>
      </c>
      <c r="X600" s="25"/>
      <c r="Y600" s="5"/>
      <c r="Z600" s="35"/>
    </row>
    <row r="601" spans="2:26" x14ac:dyDescent="0.25">
      <c r="B601" s="24"/>
      <c r="C601" s="8" t="s">
        <v>889</v>
      </c>
      <c r="D601" s="27" t="s">
        <v>767</v>
      </c>
      <c r="E601" s="8" t="s">
        <v>932</v>
      </c>
      <c r="F601" s="5">
        <v>4169</v>
      </c>
      <c r="G601" s="5">
        <v>1795</v>
      </c>
      <c r="H601" s="5">
        <v>120</v>
      </c>
      <c r="I601" s="5" t="s">
        <v>18</v>
      </c>
      <c r="J601" s="5"/>
      <c r="K601" s="5"/>
      <c r="L601" s="29" t="s">
        <v>47</v>
      </c>
      <c r="M601" s="6">
        <v>45850</v>
      </c>
      <c r="N601" s="28">
        <v>0</v>
      </c>
      <c r="O601" s="6"/>
      <c r="P601" s="7">
        <v>0.89700000000000002</v>
      </c>
      <c r="Q601" s="7">
        <v>2.2429999999999999</v>
      </c>
      <c r="R601" s="7"/>
      <c r="S601" s="7"/>
      <c r="T601" s="36">
        <v>45860</v>
      </c>
      <c r="U601" s="6"/>
      <c r="V601" s="5">
        <v>9</v>
      </c>
      <c r="W601" s="5" t="s">
        <v>721</v>
      </c>
      <c r="X601" s="25"/>
      <c r="Y601" s="5"/>
      <c r="Z601" s="35"/>
    </row>
    <row r="602" spans="2:26" x14ac:dyDescent="0.25">
      <c r="B602" s="24"/>
      <c r="C602" s="8" t="s">
        <v>890</v>
      </c>
      <c r="D602" s="27" t="s">
        <v>767</v>
      </c>
      <c r="E602" s="8" t="s">
        <v>932</v>
      </c>
      <c r="F602" s="5">
        <v>4168</v>
      </c>
      <c r="G602" s="5">
        <v>1785</v>
      </c>
      <c r="H602" s="5">
        <v>120</v>
      </c>
      <c r="I602" s="5" t="s">
        <v>18</v>
      </c>
      <c r="J602" s="5"/>
      <c r="K602" s="5"/>
      <c r="L602" s="29" t="s">
        <v>47</v>
      </c>
      <c r="M602" s="6">
        <v>45850</v>
      </c>
      <c r="N602" s="28">
        <v>0</v>
      </c>
      <c r="O602" s="6"/>
      <c r="P602" s="7">
        <v>0.89200000000000002</v>
      </c>
      <c r="Q602" s="7">
        <v>2.23</v>
      </c>
      <c r="R602" s="7"/>
      <c r="S602" s="7"/>
      <c r="T602" s="36">
        <v>45861</v>
      </c>
      <c r="U602" s="6"/>
      <c r="V602" s="5">
        <v>9</v>
      </c>
      <c r="W602" s="5" t="s">
        <v>717</v>
      </c>
      <c r="X602" s="25"/>
      <c r="Y602" s="5"/>
      <c r="Z602" s="35"/>
    </row>
    <row r="603" spans="2:26" x14ac:dyDescent="0.25">
      <c r="B603" s="24"/>
      <c r="C603" s="8" t="s">
        <v>891</v>
      </c>
      <c r="D603" s="27" t="s">
        <v>767</v>
      </c>
      <c r="E603" s="8" t="s">
        <v>932</v>
      </c>
      <c r="F603" s="5">
        <v>4275</v>
      </c>
      <c r="G603" s="5">
        <v>1810</v>
      </c>
      <c r="H603" s="5">
        <v>120</v>
      </c>
      <c r="I603" s="5" t="s">
        <v>18</v>
      </c>
      <c r="J603" s="5"/>
      <c r="K603" s="5"/>
      <c r="L603" s="29" t="s">
        <v>47</v>
      </c>
      <c r="M603" s="6">
        <v>45850</v>
      </c>
      <c r="N603" s="28">
        <v>0</v>
      </c>
      <c r="O603" s="6"/>
      <c r="P603" s="7">
        <v>0.92800000000000005</v>
      </c>
      <c r="Q603" s="7">
        <v>2.3199999999999998</v>
      </c>
      <c r="R603" s="7"/>
      <c r="S603" s="7"/>
      <c r="T603" s="36">
        <v>45861</v>
      </c>
      <c r="U603" s="6">
        <v>45860</v>
      </c>
      <c r="V603" s="5">
        <v>9</v>
      </c>
      <c r="W603" s="5" t="s">
        <v>718</v>
      </c>
      <c r="X603" s="25"/>
      <c r="Y603" s="5"/>
      <c r="Z603" s="35"/>
    </row>
    <row r="604" spans="2:26" x14ac:dyDescent="0.25">
      <c r="B604" s="24"/>
      <c r="C604" s="8" t="s">
        <v>924</v>
      </c>
      <c r="D604" s="27" t="s">
        <v>767</v>
      </c>
      <c r="E604" s="8" t="s">
        <v>932</v>
      </c>
      <c r="F604" s="5">
        <v>4275</v>
      </c>
      <c r="G604" s="5">
        <v>1810</v>
      </c>
      <c r="H604" s="5">
        <v>120</v>
      </c>
      <c r="I604" s="5" t="s">
        <v>18</v>
      </c>
      <c r="J604" s="5"/>
      <c r="K604" s="5"/>
      <c r="L604" s="29" t="s">
        <v>47</v>
      </c>
      <c r="M604" s="6">
        <v>45850</v>
      </c>
      <c r="N604" s="28">
        <v>0</v>
      </c>
      <c r="O604" s="6"/>
      <c r="P604" s="7">
        <v>0.92800000000000005</v>
      </c>
      <c r="Q604" s="7">
        <v>2.3199999999999998</v>
      </c>
      <c r="R604" s="7"/>
      <c r="S604" s="7"/>
      <c r="T604" s="36">
        <v>45861</v>
      </c>
      <c r="U604" s="6"/>
      <c r="V604" s="5">
        <v>9</v>
      </c>
      <c r="W604" s="5" t="s">
        <v>719</v>
      </c>
      <c r="X604" s="25"/>
      <c r="Y604" s="5"/>
      <c r="Z604" s="35"/>
    </row>
    <row r="605" spans="2:26" x14ac:dyDescent="0.25">
      <c r="B605" s="24"/>
      <c r="C605" s="8" t="s">
        <v>892</v>
      </c>
      <c r="D605" s="27" t="s">
        <v>767</v>
      </c>
      <c r="E605" s="8" t="s">
        <v>932</v>
      </c>
      <c r="F605" s="5">
        <v>4926</v>
      </c>
      <c r="G605" s="5">
        <v>1777</v>
      </c>
      <c r="H605" s="5">
        <v>120</v>
      </c>
      <c r="I605" s="5" t="s">
        <v>18</v>
      </c>
      <c r="J605" s="5"/>
      <c r="K605" s="5"/>
      <c r="L605" s="29" t="s">
        <v>47</v>
      </c>
      <c r="M605" s="6">
        <v>45850</v>
      </c>
      <c r="N605" s="28">
        <v>0</v>
      </c>
      <c r="O605" s="6"/>
      <c r="P605" s="7">
        <v>1.05</v>
      </c>
      <c r="Q605" s="7">
        <v>2.625</v>
      </c>
      <c r="R605" s="7"/>
      <c r="S605" s="7"/>
      <c r="T605" s="36">
        <v>45861</v>
      </c>
      <c r="U605" s="6"/>
      <c r="V605" s="5">
        <v>9</v>
      </c>
      <c r="W605" s="5" t="s">
        <v>720</v>
      </c>
      <c r="X605" s="25"/>
      <c r="Y605" s="5"/>
      <c r="Z605" s="35"/>
    </row>
    <row r="606" spans="2:26" x14ac:dyDescent="0.25">
      <c r="B606" s="24"/>
      <c r="C606" s="8" t="s">
        <v>893</v>
      </c>
      <c r="D606" s="27" t="s">
        <v>767</v>
      </c>
      <c r="E606" s="8" t="s">
        <v>932</v>
      </c>
      <c r="F606" s="5">
        <v>4926</v>
      </c>
      <c r="G606" s="5">
        <v>2795</v>
      </c>
      <c r="H606" s="5">
        <v>120</v>
      </c>
      <c r="I606" s="5" t="s">
        <v>18</v>
      </c>
      <c r="J606" s="5"/>
      <c r="K606" s="5"/>
      <c r="L606" s="29" t="s">
        <v>47</v>
      </c>
      <c r="M606" s="6">
        <v>45850</v>
      </c>
      <c r="N606" s="28">
        <v>0</v>
      </c>
      <c r="O606" s="6"/>
      <c r="P606" s="7">
        <v>1.6519999999999999</v>
      </c>
      <c r="Q606" s="7">
        <v>4.13</v>
      </c>
      <c r="R606" s="7"/>
      <c r="S606" s="7"/>
      <c r="T606" s="36">
        <v>45861</v>
      </c>
      <c r="U606" s="6">
        <v>45860</v>
      </c>
      <c r="V606" s="5">
        <v>9</v>
      </c>
      <c r="W606" s="5" t="s">
        <v>721</v>
      </c>
      <c r="X606" s="25"/>
      <c r="Y606" s="5"/>
      <c r="Z606" s="35"/>
    </row>
    <row r="607" spans="2:26" x14ac:dyDescent="0.25">
      <c r="B607" s="24"/>
      <c r="C607" s="8" t="s">
        <v>894</v>
      </c>
      <c r="D607" s="27" t="s">
        <v>767</v>
      </c>
      <c r="E607" s="8" t="s">
        <v>932</v>
      </c>
      <c r="F607" s="5">
        <v>5750</v>
      </c>
      <c r="G607" s="5">
        <v>2310</v>
      </c>
      <c r="H607" s="5">
        <v>120</v>
      </c>
      <c r="I607" s="5" t="s">
        <v>18</v>
      </c>
      <c r="J607" s="5"/>
      <c r="K607" s="5"/>
      <c r="L607" s="29" t="s">
        <v>47</v>
      </c>
      <c r="M607" s="6">
        <v>45850</v>
      </c>
      <c r="N607" s="28">
        <v>0</v>
      </c>
      <c r="O607" s="6"/>
      <c r="P607" s="7">
        <v>1.5940000000000001</v>
      </c>
      <c r="Q607" s="7">
        <v>3.9849999999999999</v>
      </c>
      <c r="R607" s="7"/>
      <c r="S607" s="7"/>
      <c r="T607" s="36">
        <v>45859</v>
      </c>
      <c r="U607" s="6"/>
      <c r="V607" s="5">
        <v>9</v>
      </c>
      <c r="W607" s="5" t="s">
        <v>717</v>
      </c>
      <c r="X607" s="25"/>
      <c r="Y607" s="5"/>
      <c r="Z607" s="35"/>
    </row>
    <row r="608" spans="2:26" x14ac:dyDescent="0.25">
      <c r="B608" s="24"/>
      <c r="C608" s="8" t="s">
        <v>895</v>
      </c>
      <c r="D608" s="27" t="s">
        <v>767</v>
      </c>
      <c r="E608" s="8" t="s">
        <v>933</v>
      </c>
      <c r="F608" s="5">
        <v>3000</v>
      </c>
      <c r="G608" s="5">
        <v>2310</v>
      </c>
      <c r="H608" s="5">
        <v>120</v>
      </c>
      <c r="I608" s="5" t="s">
        <v>18</v>
      </c>
      <c r="J608" s="5"/>
      <c r="K608" s="5"/>
      <c r="L608" s="29" t="s">
        <v>47</v>
      </c>
      <c r="M608" s="6">
        <v>45850</v>
      </c>
      <c r="N608" s="28">
        <v>0</v>
      </c>
      <c r="O608" s="6"/>
      <c r="P608" s="7">
        <v>0.83099999999999996</v>
      </c>
      <c r="Q608" s="7">
        <v>2.0779999999999998</v>
      </c>
      <c r="R608" s="7"/>
      <c r="S608" s="7"/>
      <c r="T608" s="36">
        <v>45859</v>
      </c>
      <c r="U608" s="6"/>
      <c r="V608" s="5">
        <v>9</v>
      </c>
      <c r="W608" s="5" t="s">
        <v>718</v>
      </c>
      <c r="X608" s="25"/>
      <c r="Y608" s="5"/>
      <c r="Z608" s="35"/>
    </row>
    <row r="609" spans="2:26" x14ac:dyDescent="0.25">
      <c r="B609" s="24"/>
      <c r="C609" s="8" t="s">
        <v>896</v>
      </c>
      <c r="D609" s="27" t="s">
        <v>767</v>
      </c>
      <c r="E609" s="8" t="s">
        <v>934</v>
      </c>
      <c r="F609" s="5">
        <v>5750</v>
      </c>
      <c r="G609" s="5">
        <v>2310</v>
      </c>
      <c r="H609" s="5">
        <v>120</v>
      </c>
      <c r="I609" s="5" t="s">
        <v>18</v>
      </c>
      <c r="J609" s="5"/>
      <c r="K609" s="5"/>
      <c r="L609" s="29" t="s">
        <v>47</v>
      </c>
      <c r="M609" s="6">
        <v>45850</v>
      </c>
      <c r="N609" s="28">
        <v>0</v>
      </c>
      <c r="O609" s="6"/>
      <c r="P609" s="7">
        <v>1.5940000000000001</v>
      </c>
      <c r="Q609" s="7">
        <v>3.9849999999999999</v>
      </c>
      <c r="R609" s="7"/>
      <c r="S609" s="7"/>
      <c r="T609" s="36">
        <v>45859</v>
      </c>
      <c r="U609" s="6"/>
      <c r="V609" s="5">
        <v>9</v>
      </c>
      <c r="W609" s="5" t="s">
        <v>719</v>
      </c>
      <c r="X609" s="25"/>
      <c r="Y609" s="5"/>
      <c r="Z609" s="35"/>
    </row>
    <row r="610" spans="2:26" x14ac:dyDescent="0.25">
      <c r="B610" s="24"/>
      <c r="C610" s="8" t="s">
        <v>897</v>
      </c>
      <c r="D610" s="27" t="s">
        <v>767</v>
      </c>
      <c r="E610" s="8" t="s">
        <v>935</v>
      </c>
      <c r="F610" s="5">
        <v>5750</v>
      </c>
      <c r="G610" s="5">
        <v>2060</v>
      </c>
      <c r="H610" s="5">
        <v>120</v>
      </c>
      <c r="I610" s="5" t="s">
        <v>18</v>
      </c>
      <c r="J610" s="5"/>
      <c r="K610" s="5"/>
      <c r="L610" s="29" t="s">
        <v>47</v>
      </c>
      <c r="M610" s="6">
        <v>45850</v>
      </c>
      <c r="N610" s="28">
        <v>0</v>
      </c>
      <c r="O610" s="6"/>
      <c r="P610" s="7">
        <v>1.421</v>
      </c>
      <c r="Q610" s="7">
        <v>3.5529999999999999</v>
      </c>
      <c r="R610" s="7"/>
      <c r="S610" s="7"/>
      <c r="T610" s="36">
        <v>45859</v>
      </c>
      <c r="U610" s="6">
        <v>45861</v>
      </c>
      <c r="V610" s="5">
        <v>9</v>
      </c>
      <c r="W610" s="5" t="s">
        <v>720</v>
      </c>
      <c r="X610" s="25"/>
      <c r="Y610" s="5"/>
      <c r="Z610" s="35"/>
    </row>
    <row r="611" spans="2:26" x14ac:dyDescent="0.25">
      <c r="B611" s="24"/>
      <c r="C611" s="8" t="s">
        <v>898</v>
      </c>
      <c r="D611" s="27" t="s">
        <v>767</v>
      </c>
      <c r="E611" s="8" t="s">
        <v>936</v>
      </c>
      <c r="F611" s="5">
        <v>4253</v>
      </c>
      <c r="G611" s="5">
        <v>1432</v>
      </c>
      <c r="H611" s="5">
        <v>120</v>
      </c>
      <c r="I611" s="5" t="s">
        <v>18</v>
      </c>
      <c r="J611" s="5"/>
      <c r="K611" s="5"/>
      <c r="L611" s="29" t="s">
        <v>47</v>
      </c>
      <c r="M611" s="6">
        <v>45850</v>
      </c>
      <c r="N611" s="28">
        <v>0</v>
      </c>
      <c r="O611" s="6"/>
      <c r="P611" s="7">
        <v>0.72799999999999998</v>
      </c>
      <c r="Q611" s="7">
        <v>1.82</v>
      </c>
      <c r="R611" s="7"/>
      <c r="S611" s="7"/>
      <c r="T611" s="36">
        <v>45859</v>
      </c>
      <c r="U611" s="6"/>
      <c r="V611" s="5">
        <v>9</v>
      </c>
      <c r="W611" s="5" t="s">
        <v>721</v>
      </c>
      <c r="X611" s="25"/>
      <c r="Y611" s="5"/>
      <c r="Z611" s="35"/>
    </row>
    <row r="612" spans="2:26" x14ac:dyDescent="0.25">
      <c r="B612" s="24"/>
      <c r="C612" s="8" t="s">
        <v>899</v>
      </c>
      <c r="D612" s="27" t="s">
        <v>767</v>
      </c>
      <c r="E612" s="8" t="s">
        <v>936</v>
      </c>
      <c r="F612" s="5">
        <v>4254</v>
      </c>
      <c r="G612" s="5">
        <v>1526</v>
      </c>
      <c r="H612" s="5">
        <v>120</v>
      </c>
      <c r="I612" s="5" t="s">
        <v>18</v>
      </c>
      <c r="J612" s="5"/>
      <c r="K612" s="5"/>
      <c r="L612" s="29" t="s">
        <v>47</v>
      </c>
      <c r="M612" s="6">
        <v>45850</v>
      </c>
      <c r="N612" s="28">
        <v>0</v>
      </c>
      <c r="O612" s="6"/>
      <c r="P612" s="7">
        <v>0.77600000000000002</v>
      </c>
      <c r="Q612" s="7">
        <v>1.94</v>
      </c>
      <c r="R612" s="7"/>
      <c r="S612" s="7"/>
      <c r="T612" s="36">
        <v>45862</v>
      </c>
      <c r="U612" s="6"/>
      <c r="V612" s="5">
        <v>9</v>
      </c>
      <c r="W612" s="5" t="s">
        <v>717</v>
      </c>
      <c r="X612" s="25"/>
      <c r="Y612" s="5"/>
      <c r="Z612" s="35"/>
    </row>
    <row r="613" spans="2:26" x14ac:dyDescent="0.25">
      <c r="B613" s="24"/>
      <c r="C613" s="8" t="s">
        <v>900</v>
      </c>
      <c r="D613" s="27" t="s">
        <v>767</v>
      </c>
      <c r="E613" s="8" t="s">
        <v>936</v>
      </c>
      <c r="F613" s="5">
        <v>4253</v>
      </c>
      <c r="G613" s="5">
        <v>1618</v>
      </c>
      <c r="H613" s="5">
        <v>120</v>
      </c>
      <c r="I613" s="5" t="s">
        <v>18</v>
      </c>
      <c r="J613" s="5"/>
      <c r="K613" s="5"/>
      <c r="L613" s="29" t="s">
        <v>47</v>
      </c>
      <c r="M613" s="6">
        <v>45850</v>
      </c>
      <c r="N613" s="28">
        <v>0</v>
      </c>
      <c r="O613" s="6"/>
      <c r="P613" s="7">
        <v>0.82299999999999995</v>
      </c>
      <c r="Q613" s="7">
        <v>2.0579999999999998</v>
      </c>
      <c r="R613" s="7"/>
      <c r="S613" s="7"/>
      <c r="T613" s="36">
        <v>45862</v>
      </c>
      <c r="U613" s="6"/>
      <c r="V613" s="5">
        <v>9</v>
      </c>
      <c r="W613" s="5" t="s">
        <v>718</v>
      </c>
      <c r="X613" s="25"/>
      <c r="Y613" s="5"/>
      <c r="Z613" s="35"/>
    </row>
    <row r="614" spans="2:26" x14ac:dyDescent="0.25">
      <c r="B614" s="24"/>
      <c r="C614" s="8" t="s">
        <v>901</v>
      </c>
      <c r="D614" s="27" t="s">
        <v>767</v>
      </c>
      <c r="E614" s="8" t="s">
        <v>936</v>
      </c>
      <c r="F614" s="5">
        <v>4897</v>
      </c>
      <c r="G614" s="5">
        <v>2258</v>
      </c>
      <c r="H614" s="5">
        <v>120</v>
      </c>
      <c r="I614" s="5" t="s">
        <v>18</v>
      </c>
      <c r="J614" s="5"/>
      <c r="K614" s="5"/>
      <c r="L614" s="29" t="s">
        <v>47</v>
      </c>
      <c r="M614" s="6">
        <v>45850</v>
      </c>
      <c r="N614" s="28">
        <v>0</v>
      </c>
      <c r="O614" s="6"/>
      <c r="P614" s="7">
        <v>1.3280000000000001</v>
      </c>
      <c r="Q614" s="7">
        <v>3.3149999999999999</v>
      </c>
      <c r="R614" s="7"/>
      <c r="S614" s="7"/>
      <c r="T614" s="36">
        <v>45862</v>
      </c>
      <c r="U614" s="6"/>
      <c r="V614" s="5">
        <v>9</v>
      </c>
      <c r="W614" s="5" t="s">
        <v>719</v>
      </c>
      <c r="X614" s="25"/>
      <c r="Y614" s="5"/>
      <c r="Z614" s="35"/>
    </row>
    <row r="615" spans="2:26" x14ac:dyDescent="0.25">
      <c r="B615" s="24"/>
      <c r="C615" s="8" t="s">
        <v>902</v>
      </c>
      <c r="D615" s="27" t="s">
        <v>767</v>
      </c>
      <c r="E615" s="8" t="s">
        <v>936</v>
      </c>
      <c r="F615" s="5">
        <v>4897</v>
      </c>
      <c r="G615" s="5">
        <v>1334</v>
      </c>
      <c r="H615" s="5">
        <v>120</v>
      </c>
      <c r="I615" s="5" t="s">
        <v>18</v>
      </c>
      <c r="J615" s="5"/>
      <c r="K615" s="5"/>
      <c r="L615" s="29" t="s">
        <v>47</v>
      </c>
      <c r="M615" s="6">
        <v>45850</v>
      </c>
      <c r="N615" s="28">
        <v>0</v>
      </c>
      <c r="O615" s="6"/>
      <c r="P615" s="7">
        <v>0.78100000000000003</v>
      </c>
      <c r="Q615" s="7">
        <v>1.9530000000000001</v>
      </c>
      <c r="R615" s="7"/>
      <c r="S615" s="7"/>
      <c r="T615" s="36">
        <v>45862</v>
      </c>
      <c r="U615" s="6"/>
      <c r="V615" s="5">
        <v>9</v>
      </c>
      <c r="W615" s="5" t="s">
        <v>720</v>
      </c>
      <c r="X615" s="25"/>
      <c r="Y615" s="5"/>
      <c r="Z615" s="35"/>
    </row>
    <row r="616" spans="2:26" x14ac:dyDescent="0.25">
      <c r="B616" s="24"/>
      <c r="C616" s="8" t="s">
        <v>903</v>
      </c>
      <c r="D616" s="27" t="s">
        <v>767</v>
      </c>
      <c r="E616" s="8" t="s">
        <v>937</v>
      </c>
      <c r="F616" s="5">
        <v>4668</v>
      </c>
      <c r="G616" s="5">
        <v>2742</v>
      </c>
      <c r="H616" s="5">
        <v>120</v>
      </c>
      <c r="I616" s="5" t="s">
        <v>18</v>
      </c>
      <c r="J616" s="5"/>
      <c r="K616" s="5"/>
      <c r="L616" s="29" t="s">
        <v>47</v>
      </c>
      <c r="M616" s="6">
        <v>45850</v>
      </c>
      <c r="N616" s="28">
        <v>0</v>
      </c>
      <c r="O616" s="6"/>
      <c r="P616" s="7">
        <v>1.5349999999999999</v>
      </c>
      <c r="Q616" s="7">
        <v>3.8380000000000001</v>
      </c>
      <c r="R616" s="7"/>
      <c r="S616" s="7"/>
      <c r="T616" s="36">
        <v>45862</v>
      </c>
      <c r="U616" s="6"/>
      <c r="V616" s="5">
        <v>9</v>
      </c>
      <c r="W616" s="5" t="s">
        <v>721</v>
      </c>
      <c r="X616" s="25"/>
      <c r="Y616" s="5"/>
      <c r="Z616" s="35"/>
    </row>
    <row r="617" spans="2:26" x14ac:dyDescent="0.25">
      <c r="B617" s="24"/>
      <c r="C617" s="8" t="s">
        <v>904</v>
      </c>
      <c r="D617" s="27" t="s">
        <v>767</v>
      </c>
      <c r="E617" s="8"/>
      <c r="F617" s="5">
        <v>4668</v>
      </c>
      <c r="G617" s="5">
        <v>1700</v>
      </c>
      <c r="H617" s="5">
        <v>120</v>
      </c>
      <c r="I617" s="5" t="s">
        <v>18</v>
      </c>
      <c r="J617" s="5"/>
      <c r="K617" s="5"/>
      <c r="L617" s="29" t="s">
        <v>47</v>
      </c>
      <c r="M617" s="6">
        <v>45850</v>
      </c>
      <c r="N617" s="28">
        <v>0</v>
      </c>
      <c r="O617" s="6"/>
      <c r="P617" s="7">
        <v>0.95199999999999996</v>
      </c>
      <c r="Q617" s="7">
        <v>2.38</v>
      </c>
      <c r="R617" s="7"/>
      <c r="S617" s="7"/>
      <c r="T617" s="36">
        <v>45863</v>
      </c>
      <c r="U617" s="6"/>
      <c r="V617" s="5">
        <v>9</v>
      </c>
      <c r="W617" s="5" t="s">
        <v>717</v>
      </c>
      <c r="X617" s="25"/>
      <c r="Y617" s="5"/>
      <c r="Z617" s="35"/>
    </row>
    <row r="618" spans="2:26" x14ac:dyDescent="0.25">
      <c r="B618" s="24"/>
      <c r="C618" s="8" t="s">
        <v>905</v>
      </c>
      <c r="D618" s="27" t="s">
        <v>767</v>
      </c>
      <c r="E618" s="8"/>
      <c r="F618" s="5">
        <v>4830</v>
      </c>
      <c r="G618" s="5">
        <v>1530</v>
      </c>
      <c r="H618" s="5">
        <v>120</v>
      </c>
      <c r="I618" s="5" t="s">
        <v>18</v>
      </c>
      <c r="J618" s="5"/>
      <c r="K618" s="5"/>
      <c r="L618" s="29" t="s">
        <v>47</v>
      </c>
      <c r="M618" s="6">
        <v>45850</v>
      </c>
      <c r="N618" s="28">
        <v>0</v>
      </c>
      <c r="O618" s="6"/>
      <c r="P618" s="7">
        <v>0.88600000000000001</v>
      </c>
      <c r="Q618" s="7">
        <v>2.2149999999999999</v>
      </c>
      <c r="R618" s="7"/>
      <c r="S618" s="7"/>
      <c r="T618" s="36">
        <v>45863</v>
      </c>
      <c r="U618" s="6"/>
      <c r="V618" s="5">
        <v>9</v>
      </c>
      <c r="W618" s="5" t="s">
        <v>718</v>
      </c>
      <c r="X618" s="25"/>
      <c r="Y618" s="5"/>
      <c r="Z618" s="35"/>
    </row>
    <row r="619" spans="2:26" x14ac:dyDescent="0.25">
      <c r="B619" s="24"/>
      <c r="C619" s="8" t="s">
        <v>906</v>
      </c>
      <c r="D619" s="27" t="s">
        <v>767</v>
      </c>
      <c r="E619" s="8"/>
      <c r="F619" s="5">
        <v>4830</v>
      </c>
      <c r="G619" s="5">
        <v>1190</v>
      </c>
      <c r="H619" s="5">
        <v>120</v>
      </c>
      <c r="I619" s="5" t="s">
        <v>18</v>
      </c>
      <c r="J619" s="5"/>
      <c r="K619" s="5"/>
      <c r="L619" s="29" t="s">
        <v>47</v>
      </c>
      <c r="M619" s="6">
        <v>45850</v>
      </c>
      <c r="N619" s="28">
        <v>0</v>
      </c>
      <c r="O619" s="6"/>
      <c r="P619" s="7">
        <v>0.68899999999999995</v>
      </c>
      <c r="Q619" s="7">
        <v>1.7230000000000001</v>
      </c>
      <c r="R619" s="7"/>
      <c r="S619" s="7"/>
      <c r="T619" s="36">
        <v>45863</v>
      </c>
      <c r="U619" s="6"/>
      <c r="V619" s="5">
        <v>9</v>
      </c>
      <c r="W619" s="5" t="s">
        <v>719</v>
      </c>
      <c r="X619" s="25"/>
      <c r="Y619" s="5"/>
      <c r="Z619" s="35"/>
    </row>
    <row r="620" spans="2:26" x14ac:dyDescent="0.25">
      <c r="B620" s="24"/>
      <c r="C620" s="8" t="s">
        <v>907</v>
      </c>
      <c r="D620" s="27" t="s">
        <v>767</v>
      </c>
      <c r="E620" s="8"/>
      <c r="F620" s="5">
        <v>4828</v>
      </c>
      <c r="G620" s="5">
        <v>2244</v>
      </c>
      <c r="H620" s="5">
        <v>120</v>
      </c>
      <c r="I620" s="5" t="s">
        <v>18</v>
      </c>
      <c r="J620" s="5"/>
      <c r="K620" s="5"/>
      <c r="L620" s="29" t="s">
        <v>47</v>
      </c>
      <c r="M620" s="6">
        <v>45850</v>
      </c>
      <c r="N620" s="28">
        <v>0</v>
      </c>
      <c r="O620" s="6"/>
      <c r="P620" s="7">
        <v>1.3</v>
      </c>
      <c r="Q620" s="7">
        <v>3.25</v>
      </c>
      <c r="R620" s="7"/>
      <c r="S620" s="7"/>
      <c r="T620" s="36">
        <v>45863</v>
      </c>
      <c r="U620" s="6"/>
      <c r="V620" s="5">
        <v>9</v>
      </c>
      <c r="W620" s="5" t="s">
        <v>720</v>
      </c>
      <c r="X620" s="25"/>
      <c r="Y620" s="5"/>
      <c r="Z620" s="35"/>
    </row>
    <row r="621" spans="2:26" x14ac:dyDescent="0.25">
      <c r="B621" s="24"/>
      <c r="C621" s="8" t="s">
        <v>908</v>
      </c>
      <c r="D621" s="27" t="s">
        <v>767</v>
      </c>
      <c r="E621" s="8"/>
      <c r="F621" s="5">
        <v>4844</v>
      </c>
      <c r="G621" s="5">
        <v>1870</v>
      </c>
      <c r="H621" s="5">
        <v>120</v>
      </c>
      <c r="I621" s="5" t="s">
        <v>18</v>
      </c>
      <c r="J621" s="5"/>
      <c r="K621" s="5"/>
      <c r="L621" s="29" t="s">
        <v>47</v>
      </c>
      <c r="M621" s="6">
        <v>45850</v>
      </c>
      <c r="N621" s="28">
        <v>0</v>
      </c>
      <c r="O621" s="6"/>
      <c r="P621" s="7">
        <v>1.0369999999999999</v>
      </c>
      <c r="Q621" s="7">
        <v>2.718</v>
      </c>
      <c r="R621" s="7"/>
      <c r="S621" s="7"/>
      <c r="T621" s="36">
        <v>45863</v>
      </c>
      <c r="U621" s="6"/>
      <c r="V621" s="5">
        <v>9</v>
      </c>
      <c r="W621" s="5" t="s">
        <v>721</v>
      </c>
      <c r="X621" s="25"/>
      <c r="Y621" s="5"/>
      <c r="Z621" s="35"/>
    </row>
    <row r="622" spans="2:26" x14ac:dyDescent="0.25">
      <c r="B622" s="24"/>
      <c r="C622" s="8" t="s">
        <v>909</v>
      </c>
      <c r="D622" s="27" t="s">
        <v>767</v>
      </c>
      <c r="E622" s="8"/>
      <c r="F622" s="5">
        <v>4848</v>
      </c>
      <c r="G622" s="5">
        <v>1870</v>
      </c>
      <c r="H622" s="5">
        <v>120</v>
      </c>
      <c r="I622" s="5" t="s">
        <v>18</v>
      </c>
      <c r="J622" s="5"/>
      <c r="K622" s="5"/>
      <c r="L622" s="29" t="s">
        <v>47</v>
      </c>
      <c r="M622" s="6">
        <v>45850</v>
      </c>
      <c r="N622" s="28">
        <v>0</v>
      </c>
      <c r="O622" s="6"/>
      <c r="P622" s="7">
        <v>1.087</v>
      </c>
      <c r="Q622" s="7">
        <v>2.718</v>
      </c>
      <c r="R622" s="7"/>
      <c r="S622" s="7"/>
      <c r="T622" s="36">
        <v>45864</v>
      </c>
      <c r="U622" s="6"/>
      <c r="V622" s="5">
        <v>9</v>
      </c>
      <c r="W622" s="5" t="s">
        <v>717</v>
      </c>
      <c r="X622" s="25"/>
      <c r="Y622" s="5"/>
      <c r="Z622" s="35"/>
    </row>
    <row r="623" spans="2:26" x14ac:dyDescent="0.25">
      <c r="B623" s="24"/>
      <c r="C623" s="8" t="s">
        <v>910</v>
      </c>
      <c r="D623" s="27" t="s">
        <v>767</v>
      </c>
      <c r="E623" s="8"/>
      <c r="F623" s="5">
        <v>4848</v>
      </c>
      <c r="G623" s="5">
        <v>1530</v>
      </c>
      <c r="H623" s="5">
        <v>120</v>
      </c>
      <c r="I623" s="5" t="s">
        <v>18</v>
      </c>
      <c r="J623" s="5"/>
      <c r="K623" s="5"/>
      <c r="L623" s="29" t="s">
        <v>47</v>
      </c>
      <c r="M623" s="6">
        <v>45850</v>
      </c>
      <c r="N623" s="28">
        <v>0</v>
      </c>
      <c r="O623" s="6"/>
      <c r="P623" s="7">
        <v>0.89</v>
      </c>
      <c r="Q623" s="7">
        <v>2.2250000000000001</v>
      </c>
      <c r="R623" s="7"/>
      <c r="S623" s="7"/>
      <c r="T623" s="36">
        <v>45864</v>
      </c>
      <c r="U623" s="6"/>
      <c r="V623" s="5">
        <v>9</v>
      </c>
      <c r="W623" s="5" t="s">
        <v>718</v>
      </c>
      <c r="X623" s="25"/>
      <c r="Y623" s="5"/>
      <c r="Z623" s="35"/>
    </row>
    <row r="624" spans="2:26" x14ac:dyDescent="0.25">
      <c r="B624" s="24"/>
      <c r="C624" s="8" t="s">
        <v>911</v>
      </c>
      <c r="D624" s="27" t="s">
        <v>767</v>
      </c>
      <c r="E624" s="8"/>
      <c r="F624" s="5">
        <v>4915</v>
      </c>
      <c r="G624" s="5">
        <v>1690</v>
      </c>
      <c r="H624" s="5">
        <v>120</v>
      </c>
      <c r="I624" s="5" t="s">
        <v>18</v>
      </c>
      <c r="J624" s="5"/>
      <c r="K624" s="5"/>
      <c r="L624" s="29" t="s">
        <v>47</v>
      </c>
      <c r="M624" s="6">
        <v>45850</v>
      </c>
      <c r="N624" s="28">
        <v>0</v>
      </c>
      <c r="O624" s="6"/>
      <c r="P624" s="7">
        <v>0.996</v>
      </c>
      <c r="Q624" s="7">
        <v>2.4900000000000002</v>
      </c>
      <c r="R624" s="7"/>
      <c r="S624" s="7"/>
      <c r="T624" s="36">
        <v>45864</v>
      </c>
      <c r="U624" s="6"/>
      <c r="V624" s="5">
        <v>9</v>
      </c>
      <c r="W624" s="5" t="s">
        <v>719</v>
      </c>
      <c r="X624" s="25"/>
      <c r="Y624" s="5"/>
      <c r="Z624" s="35"/>
    </row>
    <row r="625" spans="2:26" x14ac:dyDescent="0.25">
      <c r="B625" s="24"/>
      <c r="C625" s="8" t="s">
        <v>912</v>
      </c>
      <c r="D625" s="27" t="s">
        <v>767</v>
      </c>
      <c r="E625" s="8"/>
      <c r="F625" s="5">
        <v>4915</v>
      </c>
      <c r="G625" s="5">
        <v>2020</v>
      </c>
      <c r="H625" s="5">
        <v>120</v>
      </c>
      <c r="I625" s="5" t="s">
        <v>18</v>
      </c>
      <c r="J625" s="5"/>
      <c r="K625" s="5"/>
      <c r="L625" s="29" t="s">
        <v>47</v>
      </c>
      <c r="M625" s="6">
        <v>45850</v>
      </c>
      <c r="N625" s="28">
        <v>0</v>
      </c>
      <c r="O625" s="6"/>
      <c r="P625" s="7">
        <v>1.1910000000000001</v>
      </c>
      <c r="Q625" s="7">
        <v>2.9780000000000002</v>
      </c>
      <c r="R625" s="7"/>
      <c r="S625" s="7"/>
      <c r="T625" s="36">
        <v>45864</v>
      </c>
      <c r="U625" s="6"/>
      <c r="V625" s="5">
        <v>9</v>
      </c>
      <c r="W625" s="5" t="s">
        <v>720</v>
      </c>
      <c r="X625" s="25"/>
      <c r="Y625" s="5"/>
      <c r="Z625" s="35"/>
    </row>
    <row r="626" spans="2:26" x14ac:dyDescent="0.25">
      <c r="B626" s="24"/>
      <c r="C626" s="8" t="s">
        <v>913</v>
      </c>
      <c r="D626" s="27" t="s">
        <v>767</v>
      </c>
      <c r="E626" s="8"/>
      <c r="F626" s="5">
        <v>4915</v>
      </c>
      <c r="G626" s="5">
        <v>1998</v>
      </c>
      <c r="H626" s="5">
        <v>120</v>
      </c>
      <c r="I626" s="5" t="s">
        <v>18</v>
      </c>
      <c r="J626" s="5"/>
      <c r="K626" s="5"/>
      <c r="L626" s="29" t="s">
        <v>47</v>
      </c>
      <c r="M626" s="6">
        <v>45850</v>
      </c>
      <c r="N626" s="28">
        <v>0</v>
      </c>
      <c r="O626" s="6"/>
      <c r="P626" s="7">
        <v>1.1779999999999999</v>
      </c>
      <c r="Q626" s="7">
        <v>2.9449999999999998</v>
      </c>
      <c r="R626" s="7"/>
      <c r="S626" s="7"/>
      <c r="T626" s="36">
        <v>45864</v>
      </c>
      <c r="U626" s="6"/>
      <c r="V626" s="5">
        <v>9</v>
      </c>
      <c r="W626" s="5" t="s">
        <v>721</v>
      </c>
      <c r="X626" s="25"/>
      <c r="Y626" s="5"/>
      <c r="Z626" s="35"/>
    </row>
    <row r="627" spans="2:26" x14ac:dyDescent="0.25">
      <c r="B627" s="24"/>
      <c r="C627" s="8" t="s">
        <v>914</v>
      </c>
      <c r="D627" s="27" t="s">
        <v>767</v>
      </c>
      <c r="E627" s="8"/>
      <c r="F627" s="5">
        <v>400</v>
      </c>
      <c r="G627" s="5">
        <v>2865</v>
      </c>
      <c r="H627" s="5">
        <v>300</v>
      </c>
      <c r="I627" s="5" t="s">
        <v>46</v>
      </c>
      <c r="J627" s="5" t="s">
        <v>53</v>
      </c>
      <c r="K627" s="5" t="s">
        <v>168</v>
      </c>
      <c r="L627" s="29" t="s">
        <v>47</v>
      </c>
      <c r="M627" s="6">
        <v>45850</v>
      </c>
      <c r="N627" s="28">
        <v>0</v>
      </c>
      <c r="O627" s="6"/>
      <c r="P627" s="7">
        <v>0.751</v>
      </c>
      <c r="Q627" s="7">
        <v>1.8779999999999999</v>
      </c>
      <c r="R627" s="7"/>
      <c r="S627" s="7"/>
      <c r="T627" s="36"/>
      <c r="U627" s="6"/>
      <c r="V627" s="5"/>
      <c r="W627" s="5"/>
      <c r="X627" s="25"/>
      <c r="Y627" s="5"/>
      <c r="Z627" s="35"/>
    </row>
    <row r="628" spans="2:26" x14ac:dyDescent="0.25">
      <c r="B628" s="24"/>
      <c r="C628" s="8" t="s">
        <v>915</v>
      </c>
      <c r="D628" s="27" t="s">
        <v>767</v>
      </c>
      <c r="E628" s="8"/>
      <c r="F628" s="5">
        <v>400</v>
      </c>
      <c r="G628" s="5">
        <v>3050</v>
      </c>
      <c r="H628" s="5">
        <v>300</v>
      </c>
      <c r="I628" s="5" t="s">
        <v>46</v>
      </c>
      <c r="J628" s="5" t="s">
        <v>53</v>
      </c>
      <c r="K628" s="5" t="s">
        <v>168</v>
      </c>
      <c r="L628" s="29" t="s">
        <v>47</v>
      </c>
      <c r="M628" s="6">
        <v>45850</v>
      </c>
      <c r="N628" s="28">
        <v>0</v>
      </c>
      <c r="O628" s="6"/>
      <c r="P628" s="7">
        <v>0.77300000000000002</v>
      </c>
      <c r="Q628" s="7">
        <v>1.9330000000000001</v>
      </c>
      <c r="R628" s="7"/>
      <c r="S628" s="7"/>
      <c r="T628" s="36"/>
      <c r="U628" s="6"/>
      <c r="V628" s="5"/>
      <c r="W628" s="5"/>
      <c r="X628" s="25"/>
      <c r="Y628" s="5"/>
      <c r="Z628" s="35"/>
    </row>
    <row r="629" spans="2:26" x14ac:dyDescent="0.25">
      <c r="B629" s="24"/>
      <c r="C629" s="8" t="s">
        <v>916</v>
      </c>
      <c r="D629" s="27" t="s">
        <v>767</v>
      </c>
      <c r="E629" s="8"/>
      <c r="F629" s="5">
        <v>400</v>
      </c>
      <c r="G629" s="5">
        <v>3050</v>
      </c>
      <c r="H629" s="5">
        <v>300</v>
      </c>
      <c r="I629" s="5" t="s">
        <v>46</v>
      </c>
      <c r="J629" s="5" t="s">
        <v>53</v>
      </c>
      <c r="K629" s="5" t="s">
        <v>168</v>
      </c>
      <c r="L629" s="29" t="s">
        <v>47</v>
      </c>
      <c r="M629" s="6">
        <v>45850</v>
      </c>
      <c r="N629" s="28">
        <v>0</v>
      </c>
      <c r="O629" s="6"/>
      <c r="P629" s="7">
        <v>0.77300000000000002</v>
      </c>
      <c r="Q629" s="7">
        <v>1.9330000000000001</v>
      </c>
      <c r="R629" s="7"/>
      <c r="S629" s="7"/>
      <c r="T629" s="36"/>
      <c r="U629" s="6"/>
      <c r="V629" s="5"/>
      <c r="W629" s="5"/>
      <c r="X629" s="25"/>
      <c r="Y629" s="5"/>
      <c r="Z629" s="35"/>
    </row>
    <row r="630" spans="2:26" x14ac:dyDescent="0.25">
      <c r="B630" s="24"/>
      <c r="C630" s="8" t="s">
        <v>917</v>
      </c>
      <c r="D630" s="27" t="s">
        <v>767</v>
      </c>
      <c r="E630" s="8"/>
      <c r="F630" s="5">
        <v>400</v>
      </c>
      <c r="G630" s="5">
        <v>3690</v>
      </c>
      <c r="H630" s="5">
        <v>300</v>
      </c>
      <c r="I630" s="5" t="s">
        <v>46</v>
      </c>
      <c r="J630" s="5" t="s">
        <v>53</v>
      </c>
      <c r="K630" s="5" t="s">
        <v>168</v>
      </c>
      <c r="L630" s="29" t="s">
        <v>47</v>
      </c>
      <c r="M630" s="6">
        <v>45850</v>
      </c>
      <c r="N630" s="28">
        <v>0</v>
      </c>
      <c r="O630" s="6"/>
      <c r="P630" s="7">
        <v>0.84899999999999998</v>
      </c>
      <c r="Q630" s="7">
        <v>2.1230000000000002</v>
      </c>
      <c r="R630" s="7"/>
      <c r="S630" s="7"/>
      <c r="T630" s="36"/>
      <c r="U630" s="6"/>
      <c r="V630" s="5"/>
      <c r="W630" s="5"/>
      <c r="X630" s="25"/>
      <c r="Y630" s="5"/>
      <c r="Z630" s="35"/>
    </row>
    <row r="631" spans="2:26" x14ac:dyDescent="0.25">
      <c r="B631" s="24"/>
      <c r="C631" s="8" t="s">
        <v>918</v>
      </c>
      <c r="D631" s="27" t="s">
        <v>767</v>
      </c>
      <c r="E631" s="8"/>
      <c r="F631" s="5">
        <v>400</v>
      </c>
      <c r="G631" s="5">
        <v>2755</v>
      </c>
      <c r="H631" s="5">
        <v>300</v>
      </c>
      <c r="I631" s="5" t="s">
        <v>46</v>
      </c>
      <c r="J631" s="5" t="s">
        <v>53</v>
      </c>
      <c r="K631" s="5" t="s">
        <v>168</v>
      </c>
      <c r="L631" s="29" t="s">
        <v>47</v>
      </c>
      <c r="M631" s="6">
        <v>45850</v>
      </c>
      <c r="N631" s="28">
        <v>0</v>
      </c>
      <c r="O631" s="6"/>
      <c r="P631" s="7">
        <v>0.73299999999999998</v>
      </c>
      <c r="Q631" s="7">
        <v>1.833</v>
      </c>
      <c r="R631" s="7"/>
      <c r="S631" s="7"/>
      <c r="T631" s="36"/>
      <c r="U631" s="6"/>
      <c r="V631" s="5"/>
      <c r="W631" s="5"/>
      <c r="X631" s="25"/>
      <c r="Y631" s="5"/>
      <c r="Z631" s="35"/>
    </row>
    <row r="632" spans="2:26" x14ac:dyDescent="0.25">
      <c r="B632" s="24"/>
      <c r="C632" s="8" t="s">
        <v>919</v>
      </c>
      <c r="D632" s="27" t="s">
        <v>767</v>
      </c>
      <c r="E632" s="8"/>
      <c r="F632" s="5">
        <v>400</v>
      </c>
      <c r="G632" s="5">
        <v>3010</v>
      </c>
      <c r="H632" s="5">
        <v>300</v>
      </c>
      <c r="I632" s="5" t="s">
        <v>46</v>
      </c>
      <c r="J632" s="5" t="s">
        <v>164</v>
      </c>
      <c r="K632" s="5" t="s">
        <v>168</v>
      </c>
      <c r="L632" s="29" t="s">
        <v>47</v>
      </c>
      <c r="M632" s="6">
        <v>45850</v>
      </c>
      <c r="N632" s="28">
        <v>0</v>
      </c>
      <c r="O632" s="6"/>
      <c r="P632" s="7">
        <v>0.70799999999999996</v>
      </c>
      <c r="Q632" s="7">
        <v>1.77</v>
      </c>
      <c r="R632" s="7"/>
      <c r="S632" s="7"/>
      <c r="T632" s="36"/>
      <c r="U632" s="6"/>
      <c r="V632" s="5"/>
      <c r="W632" s="5"/>
      <c r="X632" s="25"/>
      <c r="Y632" s="5"/>
      <c r="Z632" s="35"/>
    </row>
    <row r="633" spans="2:26" x14ac:dyDescent="0.25">
      <c r="B633" s="24"/>
      <c r="C633" s="8" t="s">
        <v>920</v>
      </c>
      <c r="D633" s="27" t="s">
        <v>767</v>
      </c>
      <c r="E633" s="8"/>
      <c r="F633" s="5">
        <v>400</v>
      </c>
      <c r="G633" s="5">
        <v>3010</v>
      </c>
      <c r="H633" s="5">
        <v>300</v>
      </c>
      <c r="I633" s="5" t="s">
        <v>46</v>
      </c>
      <c r="J633" s="5" t="s">
        <v>164</v>
      </c>
      <c r="K633" s="5" t="s">
        <v>168</v>
      </c>
      <c r="L633" s="29" t="s">
        <v>47</v>
      </c>
      <c r="M633" s="6">
        <v>45850</v>
      </c>
      <c r="N633" s="28">
        <v>0</v>
      </c>
      <c r="O633" s="6"/>
      <c r="P633" s="7">
        <v>0.70799999999999996</v>
      </c>
      <c r="Q633" s="7">
        <v>1.77</v>
      </c>
      <c r="R633" s="7"/>
      <c r="S633" s="7"/>
      <c r="T633" s="36"/>
      <c r="U633" s="6"/>
      <c r="V633" s="5"/>
      <c r="W633" s="5"/>
      <c r="X633" s="25"/>
      <c r="Y633" s="5"/>
      <c r="Z633" s="35"/>
    </row>
    <row r="634" spans="2:26" x14ac:dyDescent="0.25">
      <c r="B634" s="24"/>
      <c r="C634" s="8" t="s">
        <v>921</v>
      </c>
      <c r="D634" s="27" t="s">
        <v>767</v>
      </c>
      <c r="E634" s="8"/>
      <c r="F634" s="5">
        <v>400</v>
      </c>
      <c r="G634" s="5">
        <v>2755</v>
      </c>
      <c r="H634" s="5">
        <v>300</v>
      </c>
      <c r="I634" s="5" t="s">
        <v>46</v>
      </c>
      <c r="J634" s="5" t="s">
        <v>164</v>
      </c>
      <c r="K634" s="5" t="s">
        <v>167</v>
      </c>
      <c r="L634" s="29" t="s">
        <v>47</v>
      </c>
      <c r="M634" s="6">
        <v>45850</v>
      </c>
      <c r="N634" s="28">
        <v>0</v>
      </c>
      <c r="O634" s="6"/>
      <c r="P634" s="7">
        <v>0.69299999999999995</v>
      </c>
      <c r="Q634" s="7">
        <v>1.7330000000000001</v>
      </c>
      <c r="R634" s="7"/>
      <c r="S634" s="7"/>
      <c r="T634" s="36"/>
      <c r="U634" s="6"/>
      <c r="V634" s="5"/>
      <c r="W634" s="5"/>
      <c r="X634" s="25"/>
      <c r="Y634" s="5"/>
      <c r="Z634" s="35"/>
    </row>
    <row r="635" spans="2:26" x14ac:dyDescent="0.25">
      <c r="B635" s="24"/>
      <c r="C635" s="8" t="s">
        <v>922</v>
      </c>
      <c r="D635" s="27" t="s">
        <v>767</v>
      </c>
      <c r="E635" s="8"/>
      <c r="F635" s="5">
        <v>400</v>
      </c>
      <c r="G635" s="5">
        <v>2670</v>
      </c>
      <c r="H635" s="5">
        <v>300</v>
      </c>
      <c r="I635" s="5" t="s">
        <v>46</v>
      </c>
      <c r="J635" s="5" t="s">
        <v>53</v>
      </c>
      <c r="K635" s="5" t="s">
        <v>168</v>
      </c>
      <c r="L635" s="29" t="s">
        <v>47</v>
      </c>
      <c r="M635" s="6">
        <v>45850</v>
      </c>
      <c r="N635" s="28">
        <v>0</v>
      </c>
      <c r="O635" s="6"/>
      <c r="P635" s="7">
        <v>0.72399999999999998</v>
      </c>
      <c r="Q635" s="7">
        <v>1.81</v>
      </c>
      <c r="R635" s="7"/>
      <c r="S635" s="7"/>
      <c r="T635" s="36"/>
      <c r="U635" s="6"/>
      <c r="V635" s="5"/>
      <c r="W635" s="5"/>
      <c r="X635" s="25"/>
      <c r="Y635" s="5"/>
      <c r="Z635" s="35"/>
    </row>
    <row r="636" spans="2:26" x14ac:dyDescent="0.25">
      <c r="B636" s="24"/>
      <c r="C636" s="8" t="s">
        <v>923</v>
      </c>
      <c r="D636" s="27" t="s">
        <v>767</v>
      </c>
      <c r="E636" s="8"/>
      <c r="F636" s="5">
        <v>400</v>
      </c>
      <c r="G636" s="5">
        <v>3350</v>
      </c>
      <c r="H636" s="5">
        <v>300</v>
      </c>
      <c r="I636" s="5" t="s">
        <v>46</v>
      </c>
      <c r="J636" s="5" t="s">
        <v>170</v>
      </c>
      <c r="K636" s="5" t="s">
        <v>168</v>
      </c>
      <c r="L636" s="29" t="s">
        <v>47</v>
      </c>
      <c r="M636" s="6">
        <v>45850</v>
      </c>
      <c r="N636" s="28">
        <v>0</v>
      </c>
      <c r="O636" s="6"/>
      <c r="P636" s="7">
        <v>0.88400000000000001</v>
      </c>
      <c r="Q636" s="7">
        <v>2.21</v>
      </c>
      <c r="R636" s="7"/>
      <c r="S636" s="7"/>
      <c r="T636" s="36"/>
      <c r="U636" s="6"/>
      <c r="V636" s="5"/>
      <c r="W636" s="5"/>
      <c r="X636" s="25"/>
      <c r="Y636" s="5"/>
      <c r="Z636" s="35"/>
    </row>
    <row r="637" spans="2:26" x14ac:dyDescent="0.25">
      <c r="B637" s="24"/>
      <c r="C637" s="8" t="s">
        <v>940</v>
      </c>
      <c r="D637" s="27" t="s">
        <v>767</v>
      </c>
      <c r="E637" s="8"/>
      <c r="F637" s="5">
        <v>400</v>
      </c>
      <c r="G637" s="5">
        <v>3290</v>
      </c>
      <c r="H637" s="5">
        <v>300</v>
      </c>
      <c r="I637" s="5" t="s">
        <v>46</v>
      </c>
      <c r="J637" s="5" t="s">
        <v>532</v>
      </c>
      <c r="K637" s="5" t="s">
        <v>168</v>
      </c>
      <c r="L637" s="29" t="s">
        <v>962</v>
      </c>
      <c r="M637" s="6">
        <v>45853</v>
      </c>
      <c r="N637" s="28">
        <v>0</v>
      </c>
      <c r="O637" s="6"/>
      <c r="P637" s="7">
        <v>0.89100000000000001</v>
      </c>
      <c r="Q637" s="7">
        <v>2.2280000000000002</v>
      </c>
      <c r="R637" s="7"/>
      <c r="S637" s="7"/>
      <c r="T637" s="36"/>
      <c r="U637" s="6"/>
      <c r="V637" s="5"/>
      <c r="W637" s="5"/>
      <c r="X637" s="25"/>
      <c r="Y637" s="5"/>
      <c r="Z637" s="35"/>
    </row>
    <row r="638" spans="2:26" x14ac:dyDescent="0.25">
      <c r="B638" s="24"/>
      <c r="C638" s="8" t="s">
        <v>941</v>
      </c>
      <c r="D638" s="27" t="s">
        <v>767</v>
      </c>
      <c r="E638" s="8"/>
      <c r="F638" s="5">
        <v>400</v>
      </c>
      <c r="G638" s="5">
        <v>3290</v>
      </c>
      <c r="H638" s="5">
        <v>300</v>
      </c>
      <c r="I638" s="5" t="s">
        <v>46</v>
      </c>
      <c r="J638" s="5" t="s">
        <v>532</v>
      </c>
      <c r="K638" s="5" t="s">
        <v>168</v>
      </c>
      <c r="L638" s="29" t="s">
        <v>960</v>
      </c>
      <c r="M638" s="6">
        <v>45853</v>
      </c>
      <c r="N638" s="28">
        <v>0</v>
      </c>
      <c r="O638" s="6"/>
      <c r="P638" s="7">
        <v>0.89100000000000001</v>
      </c>
      <c r="Q638" s="7">
        <v>2.2280000000000002</v>
      </c>
      <c r="R638" s="7"/>
      <c r="S638" s="7"/>
      <c r="T638" s="36"/>
      <c r="U638" s="6"/>
      <c r="V638" s="5"/>
      <c r="W638" s="5"/>
      <c r="X638" s="25"/>
      <c r="Y638" s="5"/>
      <c r="Z638" s="35"/>
    </row>
    <row r="639" spans="2:26" x14ac:dyDescent="0.25">
      <c r="B639" s="24"/>
      <c r="C639" s="8" t="s">
        <v>942</v>
      </c>
      <c r="D639" s="27" t="s">
        <v>767</v>
      </c>
      <c r="E639" s="8"/>
      <c r="F639" s="5">
        <v>400</v>
      </c>
      <c r="G639" s="5">
        <v>3850</v>
      </c>
      <c r="H639" s="5">
        <v>300</v>
      </c>
      <c r="I639" s="5" t="s">
        <v>46</v>
      </c>
      <c r="J639" s="5" t="s">
        <v>961</v>
      </c>
      <c r="K639" s="5" t="s">
        <v>169</v>
      </c>
      <c r="L639" s="29" t="s">
        <v>960</v>
      </c>
      <c r="M639" s="6">
        <v>45853</v>
      </c>
      <c r="N639" s="28">
        <v>0</v>
      </c>
      <c r="O639" s="6"/>
      <c r="P639" s="7">
        <v>1.0760000000000001</v>
      </c>
      <c r="Q639" s="7">
        <v>2.69</v>
      </c>
      <c r="R639" s="7"/>
      <c r="S639" s="7"/>
      <c r="T639" s="36"/>
      <c r="U639" s="6"/>
      <c r="V639" s="5"/>
      <c r="W639" s="5"/>
      <c r="X639" s="25"/>
      <c r="Y639" s="5"/>
      <c r="Z639" s="35"/>
    </row>
    <row r="640" spans="2:26" x14ac:dyDescent="0.25">
      <c r="B640" s="24"/>
      <c r="C640" s="8" t="s">
        <v>943</v>
      </c>
      <c r="D640" s="27" t="s">
        <v>767</v>
      </c>
      <c r="E640" s="8"/>
      <c r="F640" s="5">
        <v>400</v>
      </c>
      <c r="G640" s="5">
        <v>3290</v>
      </c>
      <c r="H640" s="5">
        <v>300</v>
      </c>
      <c r="I640" s="5" t="s">
        <v>46</v>
      </c>
      <c r="J640" s="5" t="s">
        <v>536</v>
      </c>
      <c r="K640" s="5" t="s">
        <v>169</v>
      </c>
      <c r="L640" s="29" t="s">
        <v>960</v>
      </c>
      <c r="M640" s="6">
        <v>45853</v>
      </c>
      <c r="N640" s="28">
        <v>0</v>
      </c>
      <c r="O640" s="6"/>
      <c r="P640" s="7">
        <v>0.90800000000000003</v>
      </c>
      <c r="Q640" s="7">
        <v>2.27</v>
      </c>
      <c r="R640" s="7"/>
      <c r="S640" s="7"/>
      <c r="T640" s="36"/>
      <c r="U640" s="6"/>
      <c r="V640" s="5"/>
      <c r="W640" s="5"/>
      <c r="X640" s="25"/>
      <c r="Y640" s="5"/>
      <c r="Z640" s="35"/>
    </row>
    <row r="641" spans="2:26" x14ac:dyDescent="0.25">
      <c r="B641" s="24"/>
      <c r="C641" s="8" t="s">
        <v>944</v>
      </c>
      <c r="D641" s="27" t="s">
        <v>767</v>
      </c>
      <c r="E641" s="8"/>
      <c r="F641" s="5">
        <v>400</v>
      </c>
      <c r="G641" s="5">
        <v>3290</v>
      </c>
      <c r="H641" s="5">
        <v>300</v>
      </c>
      <c r="I641" s="5" t="s">
        <v>46</v>
      </c>
      <c r="J641" s="5" t="s">
        <v>536</v>
      </c>
      <c r="K641" s="5" t="s">
        <v>168</v>
      </c>
      <c r="L641" s="29" t="s">
        <v>960</v>
      </c>
      <c r="M641" s="6">
        <v>45853</v>
      </c>
      <c r="N641" s="28">
        <v>0</v>
      </c>
      <c r="O641" s="6"/>
      <c r="P641" s="7">
        <v>0.92600000000000005</v>
      </c>
      <c r="Q641" s="7">
        <v>2.3149999999999999</v>
      </c>
      <c r="R641" s="7"/>
      <c r="S641" s="7"/>
      <c r="T641" s="36"/>
      <c r="U641" s="6"/>
      <c r="V641" s="5"/>
      <c r="W641" s="5"/>
      <c r="X641" s="25"/>
      <c r="Y641" s="5"/>
      <c r="Z641" s="35"/>
    </row>
    <row r="642" spans="2:26" x14ac:dyDescent="0.25">
      <c r="B642" s="24"/>
      <c r="C642" s="8" t="s">
        <v>945</v>
      </c>
      <c r="D642" s="27" t="s">
        <v>767</v>
      </c>
      <c r="E642" s="8"/>
      <c r="F642" s="5">
        <v>400</v>
      </c>
      <c r="G642" s="5">
        <v>3290</v>
      </c>
      <c r="H642" s="5">
        <v>300</v>
      </c>
      <c r="I642" s="5" t="s">
        <v>46</v>
      </c>
      <c r="J642" s="5" t="s">
        <v>536</v>
      </c>
      <c r="K642" s="5" t="s">
        <v>168</v>
      </c>
      <c r="L642" s="29" t="s">
        <v>960</v>
      </c>
      <c r="M642" s="6">
        <v>45853</v>
      </c>
      <c r="N642" s="28">
        <v>0</v>
      </c>
      <c r="O642" s="6"/>
      <c r="P642" s="7">
        <v>0.92600000000000005</v>
      </c>
      <c r="Q642" s="7">
        <v>2.3149999999999999</v>
      </c>
      <c r="R642" s="7"/>
      <c r="S642" s="7"/>
      <c r="T642" s="36"/>
      <c r="U642" s="6"/>
      <c r="V642" s="5"/>
      <c r="W642" s="5"/>
      <c r="X642" s="25"/>
      <c r="Y642" s="5"/>
      <c r="Z642" s="35"/>
    </row>
    <row r="643" spans="2:26" x14ac:dyDescent="0.25">
      <c r="B643" s="24"/>
      <c r="C643" s="8" t="s">
        <v>946</v>
      </c>
      <c r="D643" s="27" t="s">
        <v>767</v>
      </c>
      <c r="E643" s="8"/>
      <c r="F643" s="5">
        <v>400</v>
      </c>
      <c r="G643" s="5">
        <v>3290</v>
      </c>
      <c r="H643" s="5">
        <v>300</v>
      </c>
      <c r="I643" s="5" t="s">
        <v>46</v>
      </c>
      <c r="J643" s="5" t="s">
        <v>860</v>
      </c>
      <c r="K643" s="5" t="s">
        <v>168</v>
      </c>
      <c r="L643" s="29" t="s">
        <v>960</v>
      </c>
      <c r="M643" s="6">
        <v>45853</v>
      </c>
      <c r="N643" s="28">
        <v>0</v>
      </c>
      <c r="O643" s="6"/>
      <c r="P643" s="7">
        <v>1.091</v>
      </c>
      <c r="Q643" s="7">
        <v>2.7280000000000002</v>
      </c>
      <c r="R643" s="7"/>
      <c r="S643" s="7"/>
      <c r="T643" s="36"/>
      <c r="U643" s="6"/>
      <c r="V643" s="5"/>
      <c r="W643" s="5"/>
      <c r="X643" s="25"/>
      <c r="Y643" s="5"/>
      <c r="Z643" s="35"/>
    </row>
    <row r="644" spans="2:26" x14ac:dyDescent="0.25">
      <c r="B644" s="24"/>
      <c r="C644" s="8" t="s">
        <v>947</v>
      </c>
      <c r="D644" s="27" t="s">
        <v>767</v>
      </c>
      <c r="E644" s="8"/>
      <c r="F644" s="5">
        <v>400</v>
      </c>
      <c r="G644" s="5">
        <v>3290</v>
      </c>
      <c r="H644" s="5">
        <v>300</v>
      </c>
      <c r="I644" s="5" t="s">
        <v>46</v>
      </c>
      <c r="J644" s="5" t="s">
        <v>858</v>
      </c>
      <c r="K644" s="5" t="s">
        <v>167</v>
      </c>
      <c r="L644" s="29" t="s">
        <v>960</v>
      </c>
      <c r="M644" s="6">
        <v>45853</v>
      </c>
      <c r="N644" s="28">
        <v>0</v>
      </c>
      <c r="O644" s="6"/>
      <c r="P644" s="7">
        <v>1.036</v>
      </c>
      <c r="Q644" s="7">
        <v>2.59</v>
      </c>
      <c r="R644" s="7"/>
      <c r="S644" s="7"/>
      <c r="T644" s="36"/>
      <c r="U644" s="6"/>
      <c r="V644" s="5"/>
      <c r="W644" s="5"/>
      <c r="X644" s="25"/>
      <c r="Y644" s="5"/>
      <c r="Z644" s="35"/>
    </row>
    <row r="645" spans="2:26" x14ac:dyDescent="0.25">
      <c r="B645" s="24"/>
      <c r="C645" s="8" t="s">
        <v>948</v>
      </c>
      <c r="D645" s="27" t="s">
        <v>767</v>
      </c>
      <c r="E645" s="8"/>
      <c r="F645" s="5">
        <v>400</v>
      </c>
      <c r="G645" s="5">
        <v>3540</v>
      </c>
      <c r="H645" s="5">
        <v>300</v>
      </c>
      <c r="I645" s="5" t="s">
        <v>46</v>
      </c>
      <c r="J645" s="5" t="s">
        <v>858</v>
      </c>
      <c r="K645" s="5" t="s">
        <v>168</v>
      </c>
      <c r="L645" s="29" t="s">
        <v>960</v>
      </c>
      <c r="M645" s="6">
        <v>45853</v>
      </c>
      <c r="N645" s="28">
        <v>0</v>
      </c>
      <c r="O645" s="6"/>
      <c r="P645" s="7">
        <v>1.1180000000000001</v>
      </c>
      <c r="Q645" s="7">
        <v>2.7949999999999999</v>
      </c>
      <c r="R645" s="7"/>
      <c r="S645" s="7"/>
      <c r="T645" s="36"/>
      <c r="U645" s="6"/>
      <c r="V645" s="5"/>
      <c r="W645" s="5"/>
      <c r="X645" s="25"/>
      <c r="Y645" s="5"/>
      <c r="Z645" s="35"/>
    </row>
    <row r="646" spans="2:26" x14ac:dyDescent="0.25">
      <c r="B646" s="24"/>
      <c r="C646" s="8" t="s">
        <v>949</v>
      </c>
      <c r="D646" s="27" t="s">
        <v>767</v>
      </c>
      <c r="E646" s="8"/>
      <c r="F646" s="5">
        <v>400</v>
      </c>
      <c r="G646" s="5">
        <v>3790</v>
      </c>
      <c r="H646" s="5">
        <v>300</v>
      </c>
      <c r="I646" s="5" t="s">
        <v>46</v>
      </c>
      <c r="J646" s="5" t="s">
        <v>963</v>
      </c>
      <c r="K646" s="5" t="s">
        <v>168</v>
      </c>
      <c r="L646" s="29" t="s">
        <v>960</v>
      </c>
      <c r="M646" s="6">
        <v>45853</v>
      </c>
      <c r="N646" s="28">
        <v>0</v>
      </c>
      <c r="O646" s="6"/>
      <c r="P646" s="7">
        <v>1.2130000000000001</v>
      </c>
      <c r="Q646" s="7">
        <v>3.0329999999999999</v>
      </c>
      <c r="R646" s="7"/>
      <c r="S646" s="7"/>
      <c r="T646" s="36"/>
      <c r="U646" s="6"/>
      <c r="V646" s="5"/>
      <c r="W646" s="5"/>
      <c r="X646" s="25"/>
      <c r="Y646" s="5"/>
      <c r="Z646" s="35"/>
    </row>
    <row r="647" spans="2:26" x14ac:dyDescent="0.25">
      <c r="B647" s="24"/>
      <c r="C647" s="8" t="s">
        <v>950</v>
      </c>
      <c r="D647" s="27" t="s">
        <v>767</v>
      </c>
      <c r="E647" s="8"/>
      <c r="F647" s="5">
        <v>400</v>
      </c>
      <c r="G647" s="5">
        <v>3790</v>
      </c>
      <c r="H647" s="5">
        <v>300</v>
      </c>
      <c r="I647" s="5" t="s">
        <v>46</v>
      </c>
      <c r="J647" s="5" t="s">
        <v>963</v>
      </c>
      <c r="K647" s="5" t="s">
        <v>168</v>
      </c>
      <c r="L647" s="29" t="s">
        <v>960</v>
      </c>
      <c r="M647" s="6">
        <v>45853</v>
      </c>
      <c r="N647" s="28">
        <v>0</v>
      </c>
      <c r="O647" s="6"/>
      <c r="P647" s="7">
        <v>1.2130000000000001</v>
      </c>
      <c r="Q647" s="7">
        <v>3.0329999999999999</v>
      </c>
      <c r="R647" s="7"/>
      <c r="S647" s="7"/>
      <c r="T647" s="36"/>
      <c r="U647" s="6"/>
      <c r="V647" s="5"/>
      <c r="W647" s="5"/>
      <c r="X647" s="25"/>
      <c r="Y647" s="5"/>
      <c r="Z647" s="35"/>
    </row>
    <row r="648" spans="2:26" x14ac:dyDescent="0.25">
      <c r="B648" s="24"/>
      <c r="C648" s="8" t="s">
        <v>951</v>
      </c>
      <c r="D648" s="27" t="s">
        <v>767</v>
      </c>
      <c r="E648" s="8"/>
      <c r="F648" s="5">
        <v>400</v>
      </c>
      <c r="G648" s="5">
        <v>3790</v>
      </c>
      <c r="H648" s="5">
        <v>300</v>
      </c>
      <c r="I648" s="5" t="s">
        <v>46</v>
      </c>
      <c r="J648" s="5" t="s">
        <v>963</v>
      </c>
      <c r="K648" s="5" t="s">
        <v>168</v>
      </c>
      <c r="L648" s="29" t="s">
        <v>960</v>
      </c>
      <c r="M648" s="6">
        <v>45853</v>
      </c>
      <c r="N648" s="28">
        <v>0</v>
      </c>
      <c r="O648" s="6"/>
      <c r="P648" s="7">
        <v>1.2130000000000001</v>
      </c>
      <c r="Q648" s="7">
        <v>3.0329999999999999</v>
      </c>
      <c r="R648" s="7"/>
      <c r="S648" s="7"/>
      <c r="T648" s="36"/>
      <c r="U648" s="6"/>
      <c r="V648" s="5"/>
      <c r="W648" s="5"/>
      <c r="X648" s="25"/>
      <c r="Y648" s="5"/>
      <c r="Z648" s="35"/>
    </row>
    <row r="649" spans="2:26" x14ac:dyDescent="0.25">
      <c r="B649" s="24"/>
      <c r="C649" s="8" t="s">
        <v>952</v>
      </c>
      <c r="D649" s="27" t="s">
        <v>767</v>
      </c>
      <c r="E649" s="8"/>
      <c r="F649" s="5">
        <v>400</v>
      </c>
      <c r="G649" s="5">
        <v>2755</v>
      </c>
      <c r="H649" s="5">
        <v>300</v>
      </c>
      <c r="I649" s="5" t="s">
        <v>46</v>
      </c>
      <c r="J649" s="5" t="s">
        <v>60</v>
      </c>
      <c r="K649" s="5" t="s">
        <v>169</v>
      </c>
      <c r="L649" s="29" t="s">
        <v>960</v>
      </c>
      <c r="M649" s="6">
        <v>45853</v>
      </c>
      <c r="N649" s="28">
        <v>0</v>
      </c>
      <c r="O649" s="6"/>
      <c r="P649" s="7">
        <v>0.89500000000000002</v>
      </c>
      <c r="Q649" s="7">
        <v>1.738</v>
      </c>
      <c r="R649" s="7"/>
      <c r="S649" s="7"/>
      <c r="T649" s="36"/>
      <c r="U649" s="6"/>
      <c r="V649" s="5"/>
      <c r="W649" s="5"/>
      <c r="X649" s="25"/>
      <c r="Y649" s="5"/>
      <c r="Z649" s="35"/>
    </row>
    <row r="650" spans="2:26" x14ac:dyDescent="0.25">
      <c r="B650" s="24"/>
      <c r="C650" s="8" t="s">
        <v>953</v>
      </c>
      <c r="D650" s="27" t="s">
        <v>767</v>
      </c>
      <c r="E650" s="8"/>
      <c r="F650" s="5">
        <v>400</v>
      </c>
      <c r="G650" s="5">
        <v>3200</v>
      </c>
      <c r="H650" s="5">
        <v>300</v>
      </c>
      <c r="I650" s="5" t="s">
        <v>46</v>
      </c>
      <c r="J650" s="5" t="s">
        <v>964</v>
      </c>
      <c r="K650" s="5" t="s">
        <v>168</v>
      </c>
      <c r="L650" s="29" t="s">
        <v>960</v>
      </c>
      <c r="M650" s="6">
        <v>45853</v>
      </c>
      <c r="N650" s="28">
        <v>0</v>
      </c>
      <c r="O650" s="6"/>
      <c r="P650" s="7">
        <v>0.73599999999999999</v>
      </c>
      <c r="Q650" s="7">
        <v>1.84</v>
      </c>
      <c r="R650" s="7"/>
      <c r="S650" s="7"/>
      <c r="T650" s="36"/>
      <c r="U650" s="6"/>
      <c r="V650" s="5"/>
      <c r="W650" s="5"/>
      <c r="X650" s="25"/>
      <c r="Y650" s="5"/>
      <c r="Z650" s="35"/>
    </row>
    <row r="651" spans="2:26" x14ac:dyDescent="0.25">
      <c r="B651" s="24"/>
      <c r="C651" s="8" t="s">
        <v>954</v>
      </c>
      <c r="D651" s="27" t="s">
        <v>767</v>
      </c>
      <c r="E651" s="8"/>
      <c r="F651" s="5">
        <v>400</v>
      </c>
      <c r="G651" s="5">
        <v>3200</v>
      </c>
      <c r="H651" s="5">
        <v>300</v>
      </c>
      <c r="I651" s="5" t="s">
        <v>46</v>
      </c>
      <c r="J651" s="5" t="s">
        <v>53</v>
      </c>
      <c r="K651" s="5" t="s">
        <v>169</v>
      </c>
      <c r="L651" s="29" t="s">
        <v>960</v>
      </c>
      <c r="M651" s="6">
        <v>45853</v>
      </c>
      <c r="N651" s="28">
        <v>0</v>
      </c>
      <c r="O651" s="6"/>
      <c r="P651" s="7">
        <v>0.80400000000000005</v>
      </c>
      <c r="Q651" s="7">
        <v>2.0099999999999998</v>
      </c>
      <c r="R651" s="7"/>
      <c r="S651" s="7"/>
      <c r="T651" s="36"/>
      <c r="U651" s="6"/>
      <c r="V651" s="5"/>
      <c r="W651" s="5"/>
      <c r="X651" s="25"/>
      <c r="Y651" s="5"/>
      <c r="Z651" s="35"/>
    </row>
    <row r="652" spans="2:26" x14ac:dyDescent="0.25">
      <c r="B652" s="24"/>
      <c r="C652" s="8" t="s">
        <v>955</v>
      </c>
      <c r="D652" s="27" t="s">
        <v>767</v>
      </c>
      <c r="E652" s="8"/>
      <c r="F652" s="5">
        <v>400</v>
      </c>
      <c r="G652" s="5">
        <v>3200</v>
      </c>
      <c r="H652" s="5">
        <v>300</v>
      </c>
      <c r="I652" s="5" t="s">
        <v>46</v>
      </c>
      <c r="J652" s="5" t="s">
        <v>170</v>
      </c>
      <c r="K652" s="5" t="s">
        <v>168</v>
      </c>
      <c r="L652" s="29" t="s">
        <v>960</v>
      </c>
      <c r="M652" s="6">
        <v>45853</v>
      </c>
      <c r="N652" s="28">
        <v>0</v>
      </c>
      <c r="O652" s="6"/>
      <c r="P652" s="7">
        <v>0.86599999999999999</v>
      </c>
      <c r="Q652" s="7">
        <v>2.165</v>
      </c>
      <c r="R652" s="7"/>
      <c r="S652" s="7"/>
      <c r="T652" s="36"/>
      <c r="U652" s="6"/>
      <c r="V652" s="5"/>
      <c r="W652" s="5"/>
      <c r="X652" s="25"/>
      <c r="Y652" s="5"/>
      <c r="Z652" s="35"/>
    </row>
    <row r="653" spans="2:26" x14ac:dyDescent="0.25">
      <c r="B653" s="24"/>
      <c r="C653" s="8" t="s">
        <v>956</v>
      </c>
      <c r="D653" s="27" t="s">
        <v>767</v>
      </c>
      <c r="E653" s="8"/>
      <c r="F653" s="5">
        <v>400</v>
      </c>
      <c r="G653" s="5">
        <v>3350</v>
      </c>
      <c r="H653" s="5">
        <v>300</v>
      </c>
      <c r="I653" s="5" t="s">
        <v>46</v>
      </c>
      <c r="J653" s="5" t="s">
        <v>170</v>
      </c>
      <c r="K653" s="5" t="s">
        <v>168</v>
      </c>
      <c r="L653" s="29" t="s">
        <v>960</v>
      </c>
      <c r="M653" s="6">
        <v>45853</v>
      </c>
      <c r="N653" s="28">
        <v>0</v>
      </c>
      <c r="O653" s="6"/>
      <c r="P653" s="7">
        <v>0.88400000000000001</v>
      </c>
      <c r="Q653" s="7">
        <v>2.21</v>
      </c>
      <c r="R653" s="7"/>
      <c r="S653" s="7"/>
      <c r="T653" s="36"/>
      <c r="U653" s="6"/>
      <c r="V653" s="5"/>
      <c r="W653" s="5"/>
      <c r="X653" s="25"/>
      <c r="Y653" s="5"/>
      <c r="Z653" s="35"/>
    </row>
    <row r="654" spans="2:26" x14ac:dyDescent="0.25">
      <c r="B654" s="24"/>
      <c r="C654" s="8" t="s">
        <v>957</v>
      </c>
      <c r="D654" s="27" t="s">
        <v>767</v>
      </c>
      <c r="E654" s="8"/>
      <c r="F654" s="5">
        <v>400</v>
      </c>
      <c r="G654" s="5">
        <v>3530</v>
      </c>
      <c r="H654" s="5">
        <v>300</v>
      </c>
      <c r="I654" s="5" t="s">
        <v>46</v>
      </c>
      <c r="J654" s="5" t="s">
        <v>170</v>
      </c>
      <c r="K654" s="5" t="s">
        <v>168</v>
      </c>
      <c r="L654" s="29" t="s">
        <v>960</v>
      </c>
      <c r="M654" s="6">
        <v>45853</v>
      </c>
      <c r="N654" s="28">
        <v>0</v>
      </c>
      <c r="O654" s="6"/>
      <c r="P654" s="7">
        <v>0.90600000000000003</v>
      </c>
      <c r="Q654" s="7">
        <v>2.2650000000000001</v>
      </c>
      <c r="R654" s="7"/>
      <c r="S654" s="7"/>
      <c r="T654" s="36"/>
      <c r="U654" s="6"/>
      <c r="V654" s="5"/>
      <c r="W654" s="5"/>
      <c r="X654" s="25"/>
      <c r="Y654" s="5"/>
      <c r="Z654" s="35"/>
    </row>
    <row r="655" spans="2:26" x14ac:dyDescent="0.25">
      <c r="B655" s="24"/>
      <c r="C655" s="8" t="s">
        <v>958</v>
      </c>
      <c r="D655" s="27" t="s">
        <v>767</v>
      </c>
      <c r="E655" s="8"/>
      <c r="F655" s="5">
        <v>400</v>
      </c>
      <c r="G655" s="5">
        <v>3530</v>
      </c>
      <c r="H655" s="5">
        <v>300</v>
      </c>
      <c r="I655" s="5" t="s">
        <v>46</v>
      </c>
      <c r="J655" s="5" t="s">
        <v>170</v>
      </c>
      <c r="K655" s="5" t="s">
        <v>168</v>
      </c>
      <c r="L655" s="29" t="s">
        <v>960</v>
      </c>
      <c r="M655" s="6">
        <v>45853</v>
      </c>
      <c r="N655" s="28">
        <v>0</v>
      </c>
      <c r="O655" s="6"/>
      <c r="P655" s="7">
        <v>0.90600000000000003</v>
      </c>
      <c r="Q655" s="7">
        <v>2.2650000000000001</v>
      </c>
      <c r="R655" s="7"/>
      <c r="S655" s="7"/>
      <c r="T655" s="36"/>
      <c r="U655" s="6"/>
      <c r="V655" s="5"/>
      <c r="W655" s="5"/>
      <c r="X655" s="25"/>
      <c r="Y655" s="5"/>
      <c r="Z655" s="35"/>
    </row>
    <row r="656" spans="2:26" x14ac:dyDescent="0.25">
      <c r="B656" s="24"/>
      <c r="C656" s="8" t="s">
        <v>965</v>
      </c>
      <c r="D656" s="27" t="s">
        <v>959</v>
      </c>
      <c r="E656" s="8"/>
      <c r="F656" s="5">
        <v>4233</v>
      </c>
      <c r="G656" s="5">
        <v>1556</v>
      </c>
      <c r="H656" s="5">
        <v>120</v>
      </c>
      <c r="I656" s="5" t="s">
        <v>18</v>
      </c>
      <c r="J656" s="5"/>
      <c r="K656" s="5"/>
      <c r="L656" s="29" t="s">
        <v>378</v>
      </c>
      <c r="M656" s="6">
        <v>45855</v>
      </c>
      <c r="N656" s="28">
        <v>0</v>
      </c>
      <c r="O656" s="6"/>
      <c r="P656" s="7">
        <v>0.79</v>
      </c>
      <c r="Q656" s="7">
        <v>1.9750000000000001</v>
      </c>
      <c r="R656" s="7"/>
      <c r="S656" s="7"/>
      <c r="T656" s="36"/>
      <c r="U656" s="6"/>
      <c r="V656" s="5"/>
      <c r="W656" s="5"/>
      <c r="X656" s="25"/>
      <c r="Y656" s="5"/>
      <c r="Z656" s="35"/>
    </row>
    <row r="657" spans="2:26" x14ac:dyDescent="0.25">
      <c r="B657" s="24"/>
      <c r="C657" s="8" t="s">
        <v>966</v>
      </c>
      <c r="D657" s="27" t="s">
        <v>959</v>
      </c>
      <c r="E657" s="8"/>
      <c r="F657" s="5">
        <v>4233</v>
      </c>
      <c r="G657" s="5">
        <v>1742</v>
      </c>
      <c r="H657" s="5">
        <v>120</v>
      </c>
      <c r="I657" s="5" t="s">
        <v>18</v>
      </c>
      <c r="J657" s="5"/>
      <c r="K657" s="5"/>
      <c r="L657" s="29" t="s">
        <v>378</v>
      </c>
      <c r="M657" s="6">
        <v>45855</v>
      </c>
      <c r="N657" s="28">
        <v>0</v>
      </c>
      <c r="O657" s="6"/>
      <c r="P657" s="7">
        <v>0.79</v>
      </c>
      <c r="Q657" s="7">
        <v>1.9750000000000001</v>
      </c>
      <c r="R657" s="7"/>
      <c r="S657" s="7"/>
      <c r="T657" s="36"/>
      <c r="U657" s="6"/>
      <c r="V657" s="5"/>
      <c r="W657" s="5"/>
      <c r="X657" s="25"/>
      <c r="Y657" s="5"/>
      <c r="Z657" s="35"/>
    </row>
    <row r="658" spans="2:26" x14ac:dyDescent="0.25">
      <c r="B658" s="24"/>
      <c r="C658" s="8" t="s">
        <v>967</v>
      </c>
      <c r="D658" s="27" t="s">
        <v>959</v>
      </c>
      <c r="E658" s="8"/>
      <c r="F658" s="5">
        <v>4233</v>
      </c>
      <c r="G658" s="5">
        <v>1648</v>
      </c>
      <c r="H658" s="5">
        <v>120</v>
      </c>
      <c r="I658" s="5" t="s">
        <v>18</v>
      </c>
      <c r="J658" s="5"/>
      <c r="K658" s="5"/>
      <c r="L658" s="29" t="s">
        <v>378</v>
      </c>
      <c r="M658" s="6">
        <v>45855</v>
      </c>
      <c r="N658" s="28">
        <v>0</v>
      </c>
      <c r="O658" s="6"/>
      <c r="P658" s="7">
        <v>0.83599999999999997</v>
      </c>
      <c r="Q658" s="7">
        <v>2.09</v>
      </c>
      <c r="R658" s="7"/>
      <c r="S658" s="7"/>
      <c r="T658" s="36"/>
      <c r="U658" s="6"/>
      <c r="V658" s="5"/>
      <c r="W658" s="5"/>
      <c r="X658" s="25"/>
      <c r="Y658" s="5"/>
      <c r="Z658" s="35"/>
    </row>
    <row r="659" spans="2:26" x14ac:dyDescent="0.25">
      <c r="B659" s="24"/>
      <c r="C659" s="8" t="s">
        <v>968</v>
      </c>
      <c r="D659" s="27" t="s">
        <v>959</v>
      </c>
      <c r="E659" s="8"/>
      <c r="F659" s="5">
        <v>4926</v>
      </c>
      <c r="G659" s="5">
        <v>1456</v>
      </c>
      <c r="H659" s="5">
        <v>120</v>
      </c>
      <c r="I659" s="5" t="s">
        <v>18</v>
      </c>
      <c r="J659" s="5"/>
      <c r="K659" s="5"/>
      <c r="L659" s="29" t="s">
        <v>378</v>
      </c>
      <c r="M659" s="6">
        <v>45855</v>
      </c>
      <c r="N659" s="28">
        <v>0</v>
      </c>
      <c r="O659" s="6"/>
      <c r="P659" s="7">
        <v>0.86</v>
      </c>
      <c r="Q659" s="7">
        <v>2.15</v>
      </c>
      <c r="R659" s="7"/>
      <c r="S659" s="7"/>
      <c r="T659" s="36"/>
      <c r="U659" s="6"/>
      <c r="V659" s="5"/>
      <c r="W659" s="5"/>
      <c r="X659" s="25"/>
      <c r="Y659" s="5"/>
      <c r="Z659" s="35"/>
    </row>
    <row r="660" spans="2:26" x14ac:dyDescent="0.25">
      <c r="B660" s="24"/>
      <c r="C660" s="8" t="s">
        <v>969</v>
      </c>
      <c r="D660" s="27" t="s">
        <v>959</v>
      </c>
      <c r="E660" s="8"/>
      <c r="F660" s="5">
        <v>4926</v>
      </c>
      <c r="G660" s="5">
        <v>2390</v>
      </c>
      <c r="H660" s="5">
        <v>120</v>
      </c>
      <c r="I660" s="5" t="s">
        <v>18</v>
      </c>
      <c r="J660" s="5"/>
      <c r="K660" s="5"/>
      <c r="L660" s="29" t="s">
        <v>378</v>
      </c>
      <c r="M660" s="6">
        <v>45855</v>
      </c>
      <c r="N660" s="28">
        <v>0</v>
      </c>
      <c r="O660" s="6"/>
      <c r="P660" s="7">
        <v>1.4119999999999999</v>
      </c>
      <c r="Q660" s="7">
        <v>3.53</v>
      </c>
      <c r="R660" s="7"/>
      <c r="S660" s="7"/>
      <c r="T660" s="36"/>
      <c r="U660" s="6"/>
      <c r="V660" s="5"/>
      <c r="W660" s="5"/>
      <c r="X660" s="25"/>
      <c r="Y660" s="5"/>
      <c r="Z660" s="35"/>
    </row>
    <row r="661" spans="2:26" x14ac:dyDescent="0.25">
      <c r="B661" s="24"/>
      <c r="C661" s="133" t="s">
        <v>970</v>
      </c>
      <c r="D661" s="27" t="s">
        <v>959</v>
      </c>
      <c r="E661" s="8"/>
      <c r="F661" s="5">
        <v>3990</v>
      </c>
      <c r="G661" s="5">
        <v>2950</v>
      </c>
      <c r="H661" s="5">
        <v>120</v>
      </c>
      <c r="I661" s="5" t="s">
        <v>356</v>
      </c>
      <c r="J661" s="5" t="s">
        <v>750</v>
      </c>
      <c r="K661" s="5"/>
      <c r="L661" s="29" t="s">
        <v>378</v>
      </c>
      <c r="M661" s="6">
        <v>45855</v>
      </c>
      <c r="N661" s="28">
        <v>0</v>
      </c>
      <c r="O661" s="6"/>
      <c r="P661" s="7">
        <v>1.4830000000000001</v>
      </c>
      <c r="Q661" s="7">
        <v>3.7080000000000002</v>
      </c>
      <c r="R661" s="7"/>
      <c r="S661" s="7"/>
      <c r="T661" s="36"/>
      <c r="U661" s="6"/>
      <c r="V661" s="5"/>
      <c r="W661" s="5"/>
      <c r="X661" s="25"/>
      <c r="Y661" s="5"/>
      <c r="Z661" s="35"/>
    </row>
    <row r="662" spans="2:26" x14ac:dyDescent="0.25">
      <c r="B662" s="24"/>
      <c r="C662" s="133" t="s">
        <v>1033</v>
      </c>
      <c r="D662" s="27" t="s">
        <v>959</v>
      </c>
      <c r="E662" s="8"/>
      <c r="F662" s="5">
        <v>3990</v>
      </c>
      <c r="G662" s="5">
        <v>2950</v>
      </c>
      <c r="H662" s="5">
        <v>120</v>
      </c>
      <c r="I662" s="5" t="s">
        <v>356</v>
      </c>
      <c r="J662" s="5" t="s">
        <v>750</v>
      </c>
      <c r="K662" s="5"/>
      <c r="L662" s="29" t="s">
        <v>378</v>
      </c>
      <c r="M662" s="6">
        <v>45855</v>
      </c>
      <c r="N662" s="28">
        <v>0</v>
      </c>
      <c r="O662" s="6"/>
      <c r="P662" s="7">
        <v>1.4830000000000001</v>
      </c>
      <c r="Q662" s="7">
        <v>3.7080000000000002</v>
      </c>
      <c r="R662" s="7"/>
      <c r="S662" s="7"/>
      <c r="T662" s="36"/>
      <c r="U662" s="6"/>
      <c r="V662" s="5"/>
      <c r="W662" s="5"/>
      <c r="X662" s="25"/>
      <c r="Y662" s="5"/>
      <c r="Z662" s="35"/>
    </row>
    <row r="663" spans="2:26" x14ac:dyDescent="0.25">
      <c r="B663" s="24"/>
      <c r="C663" s="133" t="s">
        <v>971</v>
      </c>
      <c r="D663" s="8" t="s">
        <v>959</v>
      </c>
      <c r="E663" s="8"/>
      <c r="F663" s="5">
        <v>4420</v>
      </c>
      <c r="G663" s="5">
        <v>2950</v>
      </c>
      <c r="H663" s="5">
        <v>120</v>
      </c>
      <c r="I663" s="5" t="s">
        <v>356</v>
      </c>
      <c r="J663" s="5" t="s">
        <v>750</v>
      </c>
      <c r="K663" s="5"/>
      <c r="L663" s="29" t="s">
        <v>378</v>
      </c>
      <c r="M663" s="6">
        <v>45855</v>
      </c>
      <c r="N663" s="28">
        <v>0</v>
      </c>
      <c r="O663" s="6"/>
      <c r="P663" s="7">
        <v>1.5960000000000001</v>
      </c>
      <c r="Q663" s="7">
        <v>3.99</v>
      </c>
      <c r="R663" s="7"/>
      <c r="S663" s="7"/>
      <c r="T663" s="36"/>
      <c r="U663" s="6"/>
      <c r="V663" s="5"/>
      <c r="W663" s="5"/>
      <c r="X663" s="25"/>
      <c r="Y663" s="5"/>
      <c r="Z663" s="35"/>
    </row>
    <row r="664" spans="2:26" x14ac:dyDescent="0.25">
      <c r="B664" s="24"/>
      <c r="C664" s="133" t="s">
        <v>1034</v>
      </c>
      <c r="D664" s="8" t="s">
        <v>959</v>
      </c>
      <c r="E664" s="8"/>
      <c r="F664" s="5">
        <v>4420</v>
      </c>
      <c r="G664" s="5">
        <v>2950</v>
      </c>
      <c r="H664" s="5">
        <v>120</v>
      </c>
      <c r="I664" s="5" t="s">
        <v>356</v>
      </c>
      <c r="J664" s="5" t="s">
        <v>750</v>
      </c>
      <c r="K664" s="5"/>
      <c r="L664" s="29" t="s">
        <v>378</v>
      </c>
      <c r="M664" s="6">
        <v>45855</v>
      </c>
      <c r="N664" s="28">
        <v>0</v>
      </c>
      <c r="O664" s="6"/>
      <c r="P664" s="7">
        <v>1.5960000000000001</v>
      </c>
      <c r="Q664" s="7">
        <v>3.99</v>
      </c>
      <c r="R664" s="7"/>
      <c r="S664" s="7"/>
      <c r="T664" s="36"/>
      <c r="U664" s="6"/>
      <c r="V664" s="5"/>
      <c r="W664" s="5"/>
      <c r="X664" s="25"/>
      <c r="Y664" s="5"/>
      <c r="Z664" s="35"/>
    </row>
    <row r="665" spans="2:26" x14ac:dyDescent="0.25">
      <c r="B665" s="24"/>
      <c r="C665" s="8" t="s">
        <v>1035</v>
      </c>
      <c r="D665" s="27" t="s">
        <v>959</v>
      </c>
      <c r="E665" s="8"/>
      <c r="F665" s="5">
        <v>4420</v>
      </c>
      <c r="G665" s="5">
        <v>2950</v>
      </c>
      <c r="H665" s="5">
        <v>120</v>
      </c>
      <c r="I665" s="5" t="s">
        <v>356</v>
      </c>
      <c r="J665" s="5" t="s">
        <v>750</v>
      </c>
      <c r="K665" s="5"/>
      <c r="L665" s="29" t="s">
        <v>378</v>
      </c>
      <c r="M665" s="6">
        <v>45855</v>
      </c>
      <c r="N665" s="28">
        <v>0</v>
      </c>
      <c r="O665" s="6"/>
      <c r="P665" s="7">
        <v>1.5960000000000001</v>
      </c>
      <c r="Q665" s="7">
        <v>3.99</v>
      </c>
      <c r="R665" s="7"/>
      <c r="S665" s="7"/>
      <c r="T665" s="36"/>
      <c r="U665" s="6"/>
      <c r="V665" s="5"/>
      <c r="W665" s="5"/>
      <c r="X665" s="25"/>
      <c r="Y665" s="5"/>
      <c r="Z665" s="35"/>
    </row>
    <row r="666" spans="2:26" x14ac:dyDescent="0.25">
      <c r="B666" s="24"/>
      <c r="C666" s="8" t="s">
        <v>972</v>
      </c>
      <c r="D666" s="27" t="s">
        <v>959</v>
      </c>
      <c r="E666" s="8"/>
      <c r="F666" s="5">
        <v>4070</v>
      </c>
      <c r="G666" s="5">
        <v>2950</v>
      </c>
      <c r="H666" s="5">
        <v>120</v>
      </c>
      <c r="I666" s="5" t="s">
        <v>356</v>
      </c>
      <c r="J666" s="5" t="s">
        <v>750</v>
      </c>
      <c r="K666" s="5"/>
      <c r="L666" s="29" t="s">
        <v>378</v>
      </c>
      <c r="M666" s="6">
        <v>45855</v>
      </c>
      <c r="N666" s="28">
        <v>0</v>
      </c>
      <c r="O666" s="6"/>
      <c r="P666" s="7">
        <v>1.5</v>
      </c>
      <c r="Q666" s="7">
        <v>3.75</v>
      </c>
      <c r="R666" s="7"/>
      <c r="S666" s="7"/>
      <c r="T666" s="36"/>
      <c r="U666" s="6"/>
      <c r="V666" s="5"/>
      <c r="W666" s="5"/>
      <c r="X666" s="25"/>
      <c r="Y666" s="5"/>
      <c r="Z666" s="35"/>
    </row>
    <row r="667" spans="2:26" x14ac:dyDescent="0.25">
      <c r="B667" s="24"/>
      <c r="C667" s="8" t="s">
        <v>973</v>
      </c>
      <c r="D667" s="27" t="s">
        <v>959</v>
      </c>
      <c r="E667" s="8"/>
      <c r="F667" s="5">
        <v>4050</v>
      </c>
      <c r="G667" s="5">
        <v>2950</v>
      </c>
      <c r="H667" s="5">
        <v>120</v>
      </c>
      <c r="I667" s="5" t="s">
        <v>356</v>
      </c>
      <c r="J667" s="5" t="s">
        <v>750</v>
      </c>
      <c r="K667" s="5"/>
      <c r="L667" s="29" t="s">
        <v>378</v>
      </c>
      <c r="M667" s="6">
        <v>45855</v>
      </c>
      <c r="N667" s="28">
        <v>0</v>
      </c>
      <c r="O667" s="6"/>
      <c r="P667" s="7">
        <v>1.5</v>
      </c>
      <c r="Q667" s="7">
        <v>3.75</v>
      </c>
      <c r="R667" s="7"/>
      <c r="S667" s="7"/>
      <c r="T667" s="36"/>
      <c r="U667" s="6"/>
      <c r="V667" s="5"/>
      <c r="W667" s="5"/>
      <c r="X667" s="25"/>
      <c r="Y667" s="5"/>
      <c r="Z667" s="35"/>
    </row>
    <row r="668" spans="2:26" x14ac:dyDescent="0.25">
      <c r="B668" s="24"/>
      <c r="C668" s="8" t="s">
        <v>974</v>
      </c>
      <c r="D668" s="27" t="s">
        <v>959</v>
      </c>
      <c r="E668" s="8"/>
      <c r="F668" s="5">
        <v>5975</v>
      </c>
      <c r="G668" s="5">
        <v>2961</v>
      </c>
      <c r="H668" s="5">
        <v>120</v>
      </c>
      <c r="I668" s="5" t="s">
        <v>389</v>
      </c>
      <c r="J668" s="5" t="s">
        <v>110</v>
      </c>
      <c r="K668" s="5"/>
      <c r="L668" s="29" t="s">
        <v>378</v>
      </c>
      <c r="M668" s="6">
        <v>45855</v>
      </c>
      <c r="N668" s="28">
        <v>0</v>
      </c>
      <c r="O668" s="6"/>
      <c r="P668" s="7">
        <v>2.234</v>
      </c>
      <c r="Q668" s="7">
        <v>5.585</v>
      </c>
      <c r="R668" s="7"/>
      <c r="S668" s="7"/>
      <c r="T668" s="36"/>
      <c r="U668" s="6"/>
      <c r="V668" s="5"/>
      <c r="W668" s="5"/>
      <c r="X668" s="25"/>
      <c r="Y668" s="5"/>
      <c r="Z668" s="35"/>
    </row>
    <row r="669" spans="2:26" x14ac:dyDescent="0.25">
      <c r="B669" s="24"/>
      <c r="C669" s="8" t="s">
        <v>975</v>
      </c>
      <c r="D669" s="8" t="s">
        <v>959</v>
      </c>
      <c r="E669" s="8"/>
      <c r="F669" s="5">
        <v>5975</v>
      </c>
      <c r="G669" s="5">
        <v>2961</v>
      </c>
      <c r="H669" s="5">
        <v>120</v>
      </c>
      <c r="I669" s="5" t="s">
        <v>389</v>
      </c>
      <c r="J669" s="5" t="s">
        <v>110</v>
      </c>
      <c r="K669" s="5"/>
      <c r="L669" s="29" t="s">
        <v>378</v>
      </c>
      <c r="M669" s="6">
        <v>45855</v>
      </c>
      <c r="N669" s="28">
        <v>0</v>
      </c>
      <c r="O669" s="6"/>
      <c r="P669" s="7">
        <v>2.234</v>
      </c>
      <c r="Q669" s="7">
        <v>5.585</v>
      </c>
      <c r="R669" s="7"/>
      <c r="S669" s="7"/>
      <c r="T669" s="36"/>
      <c r="U669" s="6"/>
      <c r="V669" s="5"/>
      <c r="W669" s="5"/>
      <c r="X669" s="25"/>
      <c r="Y669" s="5"/>
      <c r="Z669" s="35"/>
    </row>
    <row r="670" spans="2:26" x14ac:dyDescent="0.25">
      <c r="B670" s="24"/>
      <c r="C670" s="8" t="s">
        <v>1036</v>
      </c>
      <c r="D670" s="27" t="s">
        <v>959</v>
      </c>
      <c r="E670" s="8"/>
      <c r="F670" s="5">
        <v>5975</v>
      </c>
      <c r="G670" s="5">
        <v>2961</v>
      </c>
      <c r="H670" s="5">
        <v>120</v>
      </c>
      <c r="I670" s="5" t="s">
        <v>389</v>
      </c>
      <c r="J670" s="5" t="s">
        <v>110</v>
      </c>
      <c r="K670" s="5"/>
      <c r="L670" s="29" t="s">
        <v>378</v>
      </c>
      <c r="M670" s="6">
        <v>45855</v>
      </c>
      <c r="N670" s="28">
        <v>0</v>
      </c>
      <c r="O670" s="6"/>
      <c r="P670" s="7">
        <v>2.234</v>
      </c>
      <c r="Q670" s="7">
        <v>5.585</v>
      </c>
      <c r="R670" s="7"/>
      <c r="S670" s="7"/>
      <c r="T670" s="36"/>
      <c r="U670" s="6"/>
      <c r="V670" s="5"/>
      <c r="W670" s="5"/>
      <c r="X670" s="25"/>
      <c r="Y670" s="5"/>
      <c r="Z670" s="35"/>
    </row>
    <row r="671" spans="2:26" x14ac:dyDescent="0.25">
      <c r="B671" s="24"/>
      <c r="C671" s="8" t="s">
        <v>976</v>
      </c>
      <c r="D671" s="27" t="s">
        <v>959</v>
      </c>
      <c r="E671" s="8"/>
      <c r="F671" s="5">
        <v>5975</v>
      </c>
      <c r="G671" s="5">
        <v>2961</v>
      </c>
      <c r="H671" s="5">
        <v>120</v>
      </c>
      <c r="I671" s="5" t="s">
        <v>389</v>
      </c>
      <c r="J671" s="5" t="s">
        <v>110</v>
      </c>
      <c r="K671" s="5"/>
      <c r="L671" s="29" t="s">
        <v>378</v>
      </c>
      <c r="M671" s="6">
        <v>45855</v>
      </c>
      <c r="N671" s="28">
        <v>0</v>
      </c>
      <c r="O671" s="6"/>
      <c r="P671" s="7">
        <v>2.234</v>
      </c>
      <c r="Q671" s="7">
        <v>5.585</v>
      </c>
      <c r="R671" s="7"/>
      <c r="S671" s="7"/>
      <c r="T671" s="36"/>
      <c r="U671" s="6"/>
      <c r="V671" s="5"/>
      <c r="W671" s="5"/>
      <c r="X671" s="25"/>
      <c r="Y671" s="5"/>
      <c r="Z671" s="35"/>
    </row>
    <row r="672" spans="2:26" x14ac:dyDescent="0.25">
      <c r="B672" s="24"/>
      <c r="C672" s="8" t="s">
        <v>977</v>
      </c>
      <c r="D672" s="27" t="s">
        <v>959</v>
      </c>
      <c r="E672" s="8"/>
      <c r="F672" s="5">
        <v>4167</v>
      </c>
      <c r="G672" s="5">
        <v>1824</v>
      </c>
      <c r="H672" s="5">
        <v>120</v>
      </c>
      <c r="I672" s="5" t="s">
        <v>18</v>
      </c>
      <c r="J672" s="5"/>
      <c r="K672" s="5"/>
      <c r="L672" s="29" t="s">
        <v>378</v>
      </c>
      <c r="M672" s="6">
        <v>45855</v>
      </c>
      <c r="N672" s="28">
        <v>0</v>
      </c>
      <c r="O672" s="6"/>
      <c r="P672" s="7">
        <v>0.91100000000000003</v>
      </c>
      <c r="Q672" s="7">
        <v>2.278</v>
      </c>
      <c r="R672" s="7"/>
      <c r="S672" s="7"/>
      <c r="T672" s="36"/>
      <c r="U672" s="6"/>
      <c r="V672" s="5"/>
      <c r="W672" s="5"/>
      <c r="X672" s="25"/>
      <c r="Y672" s="5"/>
      <c r="Z672" s="35"/>
    </row>
    <row r="673" spans="2:26" x14ac:dyDescent="0.25">
      <c r="B673" s="24"/>
      <c r="C673" s="8" t="s">
        <v>978</v>
      </c>
      <c r="D673" s="27" t="s">
        <v>959</v>
      </c>
      <c r="E673" s="8"/>
      <c r="F673" s="5">
        <v>4167</v>
      </c>
      <c r="G673" s="5">
        <v>1824</v>
      </c>
      <c r="H673" s="5">
        <v>120</v>
      </c>
      <c r="I673" s="5" t="s">
        <v>18</v>
      </c>
      <c r="J673" s="5"/>
      <c r="K673" s="5"/>
      <c r="L673" s="29" t="s">
        <v>378</v>
      </c>
      <c r="M673" s="6">
        <v>45855</v>
      </c>
      <c r="N673" s="28">
        <v>0</v>
      </c>
      <c r="O673" s="6"/>
      <c r="P673" s="7">
        <v>0.91100000000000003</v>
      </c>
      <c r="Q673" s="7">
        <v>2.2749999999999999</v>
      </c>
      <c r="R673" s="7"/>
      <c r="S673" s="7"/>
      <c r="T673" s="36"/>
      <c r="U673" s="6"/>
      <c r="V673" s="5"/>
      <c r="W673" s="5"/>
      <c r="X673" s="25"/>
      <c r="Y673" s="5"/>
      <c r="Z673" s="35"/>
    </row>
    <row r="674" spans="2:26" x14ac:dyDescent="0.25">
      <c r="B674" s="24"/>
      <c r="C674" s="8" t="s">
        <v>979</v>
      </c>
      <c r="D674" s="27" t="s">
        <v>959</v>
      </c>
      <c r="E674" s="8"/>
      <c r="F674" s="5">
        <v>4167</v>
      </c>
      <c r="G674" s="5">
        <v>1885</v>
      </c>
      <c r="H674" s="5">
        <v>120</v>
      </c>
      <c r="I674" s="5" t="s">
        <v>18</v>
      </c>
      <c r="J674" s="5"/>
      <c r="K674" s="5"/>
      <c r="L674" s="29" t="s">
        <v>378</v>
      </c>
      <c r="M674" s="6">
        <v>45855</v>
      </c>
      <c r="N674" s="28">
        <v>0</v>
      </c>
      <c r="O674" s="6"/>
      <c r="P674" s="7">
        <v>0.94199999999999995</v>
      </c>
      <c r="Q674" s="7">
        <v>2.355</v>
      </c>
      <c r="R674" s="7"/>
      <c r="S674" s="7"/>
      <c r="T674" s="36"/>
      <c r="U674" s="6"/>
      <c r="V674" s="5"/>
      <c r="W674" s="5"/>
      <c r="X674" s="25"/>
      <c r="Y674" s="5"/>
      <c r="Z674" s="35"/>
    </row>
    <row r="675" spans="2:26" x14ac:dyDescent="0.25">
      <c r="B675" s="24"/>
      <c r="C675" s="8" t="s">
        <v>980</v>
      </c>
      <c r="D675" s="8" t="s">
        <v>959</v>
      </c>
      <c r="E675" s="8"/>
      <c r="F675" s="5">
        <v>4324</v>
      </c>
      <c r="G675" s="5">
        <v>1890</v>
      </c>
      <c r="H675" s="5">
        <v>120</v>
      </c>
      <c r="I675" s="5" t="s">
        <v>18</v>
      </c>
      <c r="J675" s="5"/>
      <c r="K675" s="5"/>
      <c r="L675" s="29" t="s">
        <v>378</v>
      </c>
      <c r="M675" s="6">
        <v>45855</v>
      </c>
      <c r="N675" s="28">
        <v>0</v>
      </c>
      <c r="O675" s="6"/>
      <c r="P675" s="7">
        <v>0.98099999999999998</v>
      </c>
      <c r="Q675" s="7">
        <v>2.4529999999999998</v>
      </c>
      <c r="R675" s="7"/>
      <c r="S675" s="7"/>
      <c r="T675" s="36"/>
      <c r="U675" s="6"/>
      <c r="V675" s="5"/>
      <c r="W675" s="5"/>
      <c r="X675" s="25"/>
      <c r="Y675" s="5"/>
      <c r="Z675" s="35"/>
    </row>
    <row r="676" spans="2:26" x14ac:dyDescent="0.25">
      <c r="B676" s="24"/>
      <c r="C676" s="8" t="s">
        <v>1037</v>
      </c>
      <c r="D676" s="27" t="s">
        <v>959</v>
      </c>
      <c r="E676" s="8"/>
      <c r="F676" s="5">
        <v>4324</v>
      </c>
      <c r="G676" s="5">
        <v>1890</v>
      </c>
      <c r="H676" s="5">
        <v>120</v>
      </c>
      <c r="I676" s="5" t="s">
        <v>18</v>
      </c>
      <c r="J676" s="5"/>
      <c r="K676" s="5"/>
      <c r="L676" s="29" t="s">
        <v>378</v>
      </c>
      <c r="M676" s="6">
        <v>45855</v>
      </c>
      <c r="N676" s="28">
        <v>0</v>
      </c>
      <c r="O676" s="6"/>
      <c r="P676" s="7">
        <v>0.98099999999999998</v>
      </c>
      <c r="Q676" s="7">
        <v>2.4529999999999998</v>
      </c>
      <c r="R676" s="7"/>
      <c r="S676" s="7"/>
      <c r="T676" s="36"/>
      <c r="U676" s="6"/>
      <c r="V676" s="5"/>
      <c r="W676" s="5"/>
      <c r="X676" s="25"/>
      <c r="Y676" s="5"/>
      <c r="Z676" s="35"/>
    </row>
    <row r="677" spans="2:26" x14ac:dyDescent="0.25">
      <c r="B677" s="24"/>
      <c r="C677" s="8" t="s">
        <v>981</v>
      </c>
      <c r="D677" s="27" t="s">
        <v>959</v>
      </c>
      <c r="E677" s="8"/>
      <c r="F677" s="5">
        <v>3100</v>
      </c>
      <c r="G677" s="5">
        <v>1890</v>
      </c>
      <c r="H677" s="5">
        <v>120</v>
      </c>
      <c r="I677" s="5" t="s">
        <v>18</v>
      </c>
      <c r="J677" s="5"/>
      <c r="K677" s="5"/>
      <c r="L677" s="29" t="s">
        <v>378</v>
      </c>
      <c r="M677" s="6">
        <v>45855</v>
      </c>
      <c r="N677" s="28">
        <v>0</v>
      </c>
      <c r="O677" s="6"/>
      <c r="P677" s="7">
        <v>0.70299999999999996</v>
      </c>
      <c r="Q677" s="7">
        <v>1.758</v>
      </c>
      <c r="R677" s="7"/>
      <c r="S677" s="7"/>
      <c r="T677" s="36"/>
      <c r="U677" s="6"/>
      <c r="V677" s="5"/>
      <c r="W677" s="5"/>
      <c r="X677" s="25"/>
      <c r="Y677" s="5"/>
      <c r="Z677" s="35"/>
    </row>
    <row r="678" spans="2:26" x14ac:dyDescent="0.25">
      <c r="B678" s="24"/>
      <c r="C678" s="8" t="s">
        <v>982</v>
      </c>
      <c r="D678" s="27" t="s">
        <v>959</v>
      </c>
      <c r="E678" s="8"/>
      <c r="F678" s="5">
        <v>4642</v>
      </c>
      <c r="G678" s="5">
        <v>2792</v>
      </c>
      <c r="H678" s="5">
        <v>120</v>
      </c>
      <c r="I678" s="5" t="s">
        <v>18</v>
      </c>
      <c r="J678" s="5"/>
      <c r="K678" s="5"/>
      <c r="L678" s="29" t="s">
        <v>378</v>
      </c>
      <c r="M678" s="6">
        <v>45855</v>
      </c>
      <c r="N678" s="28">
        <v>0</v>
      </c>
      <c r="O678" s="6"/>
      <c r="P678" s="7">
        <v>1.5549999999999999</v>
      </c>
      <c r="Q678" s="7">
        <v>3.8879999999999999</v>
      </c>
      <c r="R678" s="7"/>
      <c r="S678" s="7"/>
      <c r="T678" s="36"/>
      <c r="U678" s="6"/>
      <c r="V678" s="5"/>
      <c r="W678" s="5"/>
      <c r="X678" s="25"/>
      <c r="Y678" s="5"/>
      <c r="Z678" s="35"/>
    </row>
    <row r="679" spans="2:26" x14ac:dyDescent="0.25">
      <c r="B679" s="24"/>
      <c r="C679" s="8" t="s">
        <v>983</v>
      </c>
      <c r="D679" s="27" t="s">
        <v>959</v>
      </c>
      <c r="E679" s="8"/>
      <c r="F679" s="5">
        <v>4642</v>
      </c>
      <c r="G679" s="5">
        <v>1762</v>
      </c>
      <c r="H679" s="5">
        <v>120</v>
      </c>
      <c r="I679" s="5" t="s">
        <v>18</v>
      </c>
      <c r="J679" s="5"/>
      <c r="K679" s="5"/>
      <c r="L679" s="29" t="s">
        <v>378</v>
      </c>
      <c r="M679" s="6">
        <v>45855</v>
      </c>
      <c r="N679" s="28">
        <v>0</v>
      </c>
      <c r="O679" s="6"/>
      <c r="P679" s="7">
        <v>0.98099999999999998</v>
      </c>
      <c r="Q679" s="7">
        <v>2.4529999999999998</v>
      </c>
      <c r="R679" s="7"/>
      <c r="S679" s="7"/>
      <c r="T679" s="36"/>
      <c r="U679" s="6"/>
      <c r="V679" s="5"/>
      <c r="W679" s="5"/>
      <c r="X679" s="25"/>
      <c r="Y679" s="5"/>
      <c r="Z679" s="35"/>
    </row>
    <row r="680" spans="2:26" x14ac:dyDescent="0.25">
      <c r="B680" s="24"/>
      <c r="C680" s="8" t="s">
        <v>984</v>
      </c>
      <c r="D680" s="8" t="s">
        <v>959</v>
      </c>
      <c r="E680" s="8"/>
      <c r="F680" s="5">
        <v>5750</v>
      </c>
      <c r="G680" s="5">
        <v>1890</v>
      </c>
      <c r="H680" s="5">
        <v>120</v>
      </c>
      <c r="I680" s="5" t="s">
        <v>18</v>
      </c>
      <c r="J680" s="5"/>
      <c r="K680" s="5"/>
      <c r="L680" s="29" t="s">
        <v>378</v>
      </c>
      <c r="M680" s="6">
        <v>45855</v>
      </c>
      <c r="N680" s="28">
        <v>0</v>
      </c>
      <c r="O680" s="6"/>
      <c r="P680" s="7">
        <v>1.31</v>
      </c>
      <c r="Q680" s="7">
        <v>3.2749999999999999</v>
      </c>
      <c r="R680" s="7"/>
      <c r="S680" s="7"/>
      <c r="T680" s="36"/>
      <c r="U680" s="6"/>
      <c r="V680" s="5"/>
      <c r="W680" s="5"/>
      <c r="X680" s="25"/>
      <c r="Y680" s="5"/>
      <c r="Z680" s="35"/>
    </row>
    <row r="681" spans="2:26" x14ac:dyDescent="0.25">
      <c r="B681" s="24"/>
      <c r="C681" s="8" t="s">
        <v>1038</v>
      </c>
      <c r="D681" s="8" t="s">
        <v>959</v>
      </c>
      <c r="E681" s="8"/>
      <c r="F681" s="5">
        <v>5750</v>
      </c>
      <c r="G681" s="5">
        <v>1890</v>
      </c>
      <c r="H681" s="5">
        <v>120</v>
      </c>
      <c r="I681" s="5" t="s">
        <v>18</v>
      </c>
      <c r="J681" s="5"/>
      <c r="K681" s="5"/>
      <c r="L681" s="29" t="s">
        <v>378</v>
      </c>
      <c r="M681" s="6">
        <v>45855</v>
      </c>
      <c r="N681" s="28">
        <v>0</v>
      </c>
      <c r="O681" s="6"/>
      <c r="P681" s="7">
        <v>1.31</v>
      </c>
      <c r="Q681" s="7">
        <v>3.2749999999999999</v>
      </c>
      <c r="R681" s="7"/>
      <c r="S681" s="7"/>
      <c r="T681" s="36"/>
      <c r="U681" s="6"/>
      <c r="V681" s="5"/>
      <c r="W681" s="5"/>
      <c r="X681" s="25"/>
      <c r="Y681" s="5"/>
      <c r="Z681" s="35"/>
    </row>
    <row r="682" spans="2:26" x14ac:dyDescent="0.25">
      <c r="B682" s="24"/>
      <c r="C682" s="8" t="s">
        <v>1039</v>
      </c>
      <c r="D682" s="8" t="s">
        <v>959</v>
      </c>
      <c r="E682" s="8"/>
      <c r="F682" s="5">
        <v>5750</v>
      </c>
      <c r="G682" s="5">
        <v>1890</v>
      </c>
      <c r="H682" s="5">
        <v>120</v>
      </c>
      <c r="I682" s="5" t="s">
        <v>18</v>
      </c>
      <c r="J682" s="5"/>
      <c r="K682" s="5"/>
      <c r="L682" s="29" t="s">
        <v>378</v>
      </c>
      <c r="M682" s="6">
        <v>45855</v>
      </c>
      <c r="N682" s="28">
        <v>0</v>
      </c>
      <c r="O682" s="6"/>
      <c r="P682" s="7">
        <v>1.31</v>
      </c>
      <c r="Q682" s="7">
        <v>3.2749999999999999</v>
      </c>
      <c r="R682" s="7"/>
      <c r="S682" s="7"/>
      <c r="T682" s="36"/>
      <c r="U682" s="6"/>
      <c r="V682" s="5"/>
      <c r="W682" s="5"/>
      <c r="X682" s="25"/>
      <c r="Y682" s="5"/>
      <c r="Z682" s="35"/>
    </row>
    <row r="683" spans="2:26" x14ac:dyDescent="0.25">
      <c r="B683" s="24"/>
      <c r="C683" s="8" t="s">
        <v>1040</v>
      </c>
      <c r="D683" s="8" t="s">
        <v>959</v>
      </c>
      <c r="E683" s="8"/>
      <c r="F683" s="5">
        <v>5750</v>
      </c>
      <c r="G683" s="5">
        <v>1890</v>
      </c>
      <c r="H683" s="5">
        <v>120</v>
      </c>
      <c r="I683" s="5" t="s">
        <v>18</v>
      </c>
      <c r="J683" s="5"/>
      <c r="K683" s="5"/>
      <c r="L683" s="29" t="s">
        <v>378</v>
      </c>
      <c r="M683" s="6">
        <v>45855</v>
      </c>
      <c r="N683" s="28">
        <v>0</v>
      </c>
      <c r="O683" s="6"/>
      <c r="P683" s="7">
        <v>1.31</v>
      </c>
      <c r="Q683" s="7">
        <v>3.2749999999999999</v>
      </c>
      <c r="R683" s="7"/>
      <c r="S683" s="7"/>
      <c r="T683" s="36"/>
      <c r="U683" s="6"/>
      <c r="V683" s="5"/>
      <c r="W683" s="5"/>
      <c r="X683" s="25"/>
      <c r="Y683" s="5"/>
      <c r="Z683" s="35"/>
    </row>
    <row r="684" spans="2:26" x14ac:dyDescent="0.25">
      <c r="B684" s="24"/>
      <c r="C684" s="8" t="s">
        <v>985</v>
      </c>
      <c r="D684" s="27" t="s">
        <v>959</v>
      </c>
      <c r="E684" s="8"/>
      <c r="F684" s="5">
        <v>3837</v>
      </c>
      <c r="G684" s="5">
        <v>2950</v>
      </c>
      <c r="H684" s="5">
        <v>120</v>
      </c>
      <c r="I684" s="5" t="s">
        <v>356</v>
      </c>
      <c r="J684" s="5" t="s">
        <v>750</v>
      </c>
      <c r="K684" s="5"/>
      <c r="L684" s="29" t="s">
        <v>378</v>
      </c>
      <c r="M684" s="6">
        <v>45855</v>
      </c>
      <c r="N684" s="28">
        <v>0</v>
      </c>
      <c r="O684" s="6"/>
      <c r="P684" s="7">
        <v>1.44</v>
      </c>
      <c r="Q684" s="7">
        <v>3.6</v>
      </c>
      <c r="R684" s="7"/>
      <c r="S684" s="7"/>
      <c r="T684" s="36"/>
      <c r="U684" s="6"/>
      <c r="V684" s="5"/>
      <c r="W684" s="5"/>
      <c r="X684" s="25"/>
      <c r="Y684" s="5"/>
      <c r="Z684" s="35"/>
    </row>
    <row r="685" spans="2:26" x14ac:dyDescent="0.25">
      <c r="B685" s="24"/>
      <c r="C685" s="8" t="s">
        <v>1041</v>
      </c>
      <c r="D685" s="8" t="s">
        <v>959</v>
      </c>
      <c r="E685" s="8"/>
      <c r="F685" s="5">
        <v>3837</v>
      </c>
      <c r="G685" s="5">
        <v>2950</v>
      </c>
      <c r="H685" s="5">
        <v>120</v>
      </c>
      <c r="I685" s="5" t="s">
        <v>356</v>
      </c>
      <c r="J685" s="5" t="s">
        <v>750</v>
      </c>
      <c r="K685" s="5"/>
      <c r="L685" s="29" t="s">
        <v>378</v>
      </c>
      <c r="M685" s="6">
        <v>45855</v>
      </c>
      <c r="N685" s="28">
        <v>0</v>
      </c>
      <c r="O685" s="6"/>
      <c r="P685" s="7">
        <v>1.44</v>
      </c>
      <c r="Q685" s="7">
        <v>3.6</v>
      </c>
      <c r="R685" s="7"/>
      <c r="S685" s="7"/>
      <c r="T685" s="36"/>
      <c r="U685" s="6"/>
      <c r="V685" s="5"/>
      <c r="W685" s="5"/>
      <c r="X685" s="25"/>
      <c r="Y685" s="5"/>
      <c r="Z685" s="35"/>
    </row>
    <row r="686" spans="2:26" x14ac:dyDescent="0.25">
      <c r="B686" s="24"/>
      <c r="C686" s="8" t="s">
        <v>986</v>
      </c>
      <c r="D686" s="27" t="s">
        <v>959</v>
      </c>
      <c r="E686" s="8"/>
      <c r="F686" s="5">
        <v>4190</v>
      </c>
      <c r="G686" s="5">
        <v>2950</v>
      </c>
      <c r="H686" s="5">
        <v>120</v>
      </c>
      <c r="I686" s="5" t="s">
        <v>356</v>
      </c>
      <c r="J686" s="5" t="s">
        <v>750</v>
      </c>
      <c r="K686" s="5"/>
      <c r="L686" s="29" t="s">
        <v>378</v>
      </c>
      <c r="M686" s="6">
        <v>45855</v>
      </c>
      <c r="N686" s="28">
        <v>0</v>
      </c>
      <c r="O686" s="6"/>
      <c r="P686" s="7">
        <v>1.53</v>
      </c>
      <c r="Q686" s="7">
        <v>3.8250000000000002</v>
      </c>
      <c r="R686" s="7"/>
      <c r="S686" s="7"/>
      <c r="T686" s="36"/>
      <c r="U686" s="6"/>
      <c r="V686" s="5"/>
      <c r="W686" s="5"/>
      <c r="X686" s="25"/>
      <c r="Y686" s="5"/>
      <c r="Z686" s="35"/>
    </row>
    <row r="687" spans="2:26" x14ac:dyDescent="0.25">
      <c r="B687" s="24"/>
      <c r="C687" s="8" t="s">
        <v>1042</v>
      </c>
      <c r="D687" s="8" t="s">
        <v>959</v>
      </c>
      <c r="E687" s="8"/>
      <c r="F687" s="5">
        <v>4190</v>
      </c>
      <c r="G687" s="5">
        <v>2950</v>
      </c>
      <c r="H687" s="5">
        <v>120</v>
      </c>
      <c r="I687" s="5" t="s">
        <v>356</v>
      </c>
      <c r="J687" s="5" t="s">
        <v>750</v>
      </c>
      <c r="K687" s="5"/>
      <c r="L687" s="29" t="s">
        <v>378</v>
      </c>
      <c r="M687" s="6">
        <v>45855</v>
      </c>
      <c r="N687" s="28">
        <v>0</v>
      </c>
      <c r="O687" s="6"/>
      <c r="P687" s="7">
        <v>1.53</v>
      </c>
      <c r="Q687" s="7">
        <v>3.8250000000000002</v>
      </c>
      <c r="R687" s="7"/>
      <c r="S687" s="7"/>
      <c r="T687" s="36"/>
      <c r="U687" s="6"/>
      <c r="V687" s="5"/>
      <c r="W687" s="5"/>
      <c r="X687" s="25"/>
      <c r="Y687" s="5"/>
      <c r="Z687" s="35"/>
    </row>
    <row r="688" spans="2:26" x14ac:dyDescent="0.25">
      <c r="B688" s="24"/>
      <c r="C688" s="8" t="s">
        <v>987</v>
      </c>
      <c r="D688" s="27" t="s">
        <v>959</v>
      </c>
      <c r="E688" s="8"/>
      <c r="F688" s="5">
        <v>3756</v>
      </c>
      <c r="G688" s="5">
        <v>2950</v>
      </c>
      <c r="H688" s="5">
        <v>120</v>
      </c>
      <c r="I688" s="5" t="s">
        <v>356</v>
      </c>
      <c r="J688" s="5" t="s">
        <v>750</v>
      </c>
      <c r="K688" s="5"/>
      <c r="L688" s="29" t="s">
        <v>378</v>
      </c>
      <c r="M688" s="6">
        <v>45855</v>
      </c>
      <c r="N688" s="28">
        <v>0</v>
      </c>
      <c r="O688" s="6"/>
      <c r="P688" s="7">
        <v>1.42</v>
      </c>
      <c r="Q688" s="7">
        <v>3.55</v>
      </c>
      <c r="R688" s="7"/>
      <c r="S688" s="7"/>
      <c r="T688" s="36"/>
      <c r="U688" s="6"/>
      <c r="V688" s="5"/>
      <c r="W688" s="5"/>
      <c r="X688" s="25"/>
      <c r="Y688" s="5"/>
      <c r="Z688" s="35"/>
    </row>
    <row r="689" spans="2:26" x14ac:dyDescent="0.25">
      <c r="B689" s="24"/>
      <c r="C689" s="8" t="s">
        <v>988</v>
      </c>
      <c r="D689" s="8" t="s">
        <v>959</v>
      </c>
      <c r="E689" s="8"/>
      <c r="F689" s="5">
        <v>4555</v>
      </c>
      <c r="G689" s="5">
        <v>1380</v>
      </c>
      <c r="H689" s="5">
        <v>120</v>
      </c>
      <c r="I689" s="5" t="s">
        <v>18</v>
      </c>
      <c r="J689" s="5"/>
      <c r="K689" s="5"/>
      <c r="L689" s="29" t="s">
        <v>378</v>
      </c>
      <c r="M689" s="6">
        <v>45855</v>
      </c>
      <c r="N689" s="28">
        <v>0</v>
      </c>
      <c r="O689" s="6"/>
      <c r="P689" s="7">
        <v>0.754</v>
      </c>
      <c r="Q689" s="7">
        <v>1.885</v>
      </c>
      <c r="R689" s="7"/>
      <c r="S689" s="7"/>
      <c r="T689" s="36"/>
      <c r="U689" s="6"/>
      <c r="V689" s="5"/>
      <c r="W689" s="5"/>
      <c r="X689" s="25"/>
      <c r="Y689" s="5"/>
      <c r="Z689" s="35"/>
    </row>
    <row r="690" spans="2:26" x14ac:dyDescent="0.25">
      <c r="B690" s="24"/>
      <c r="C690" s="8" t="s">
        <v>989</v>
      </c>
      <c r="D690" s="8" t="s">
        <v>959</v>
      </c>
      <c r="E690" s="8"/>
      <c r="F690" s="5">
        <v>4588</v>
      </c>
      <c r="G690" s="5">
        <v>1078</v>
      </c>
      <c r="H690" s="5">
        <v>120</v>
      </c>
      <c r="I690" s="5" t="s">
        <v>18</v>
      </c>
      <c r="J690" s="5"/>
      <c r="K690" s="5"/>
      <c r="L690" s="29" t="s">
        <v>378</v>
      </c>
      <c r="M690" s="6">
        <v>45855</v>
      </c>
      <c r="N690" s="28">
        <v>0</v>
      </c>
      <c r="O690" s="6"/>
      <c r="P690" s="7">
        <v>0.622</v>
      </c>
      <c r="Q690" s="7">
        <v>1.5549999999999999</v>
      </c>
      <c r="R690" s="7"/>
      <c r="S690" s="7"/>
      <c r="T690" s="36"/>
      <c r="U690" s="6"/>
      <c r="V690" s="5"/>
      <c r="W690" s="5"/>
      <c r="X690" s="25"/>
      <c r="Y690" s="5"/>
      <c r="Z690" s="35"/>
    </row>
    <row r="691" spans="2:26" x14ac:dyDescent="0.25">
      <c r="B691" s="24"/>
      <c r="C691" s="8" t="s">
        <v>990</v>
      </c>
      <c r="D691" s="8" t="s">
        <v>959</v>
      </c>
      <c r="E691" s="8"/>
      <c r="F691" s="5">
        <v>4588</v>
      </c>
      <c r="G691" s="5">
        <v>1132</v>
      </c>
      <c r="H691" s="5">
        <v>120</v>
      </c>
      <c r="I691" s="5" t="s">
        <v>18</v>
      </c>
      <c r="J691" s="5"/>
      <c r="K691" s="5"/>
      <c r="L691" s="29" t="s">
        <v>378</v>
      </c>
      <c r="M691" s="6">
        <v>45855</v>
      </c>
      <c r="N691" s="28">
        <v>0</v>
      </c>
      <c r="O691" s="6"/>
      <c r="P691" s="7">
        <v>0.622</v>
      </c>
      <c r="Q691" s="7">
        <v>1.5549999999999999</v>
      </c>
      <c r="R691" s="7"/>
      <c r="S691" s="7"/>
      <c r="T691" s="36"/>
      <c r="U691" s="6"/>
      <c r="V691" s="5"/>
      <c r="W691" s="5"/>
      <c r="X691" s="25"/>
      <c r="Y691" s="5"/>
      <c r="Z691" s="35"/>
    </row>
    <row r="692" spans="2:26" x14ac:dyDescent="0.25">
      <c r="B692" s="24"/>
      <c r="C692" s="8" t="s">
        <v>991</v>
      </c>
      <c r="D692" s="8" t="s">
        <v>959</v>
      </c>
      <c r="E692" s="8"/>
      <c r="F692" s="5">
        <v>4647</v>
      </c>
      <c r="G692" s="5">
        <v>1220</v>
      </c>
      <c r="H692" s="5">
        <v>120</v>
      </c>
      <c r="I692" s="5" t="s">
        <v>18</v>
      </c>
      <c r="J692" s="5"/>
      <c r="K692" s="5"/>
      <c r="L692" s="29" t="s">
        <v>378</v>
      </c>
      <c r="M692" s="6">
        <v>45855</v>
      </c>
      <c r="N692" s="28">
        <v>0</v>
      </c>
      <c r="O692" s="6"/>
      <c r="P692" s="7">
        <v>0.68400000000000005</v>
      </c>
      <c r="Q692" s="7">
        <v>1.71</v>
      </c>
      <c r="R692" s="7"/>
      <c r="S692" s="7"/>
      <c r="T692" s="36"/>
      <c r="U692" s="6"/>
      <c r="V692" s="5"/>
      <c r="W692" s="5"/>
      <c r="X692" s="25"/>
      <c r="Y692" s="5"/>
      <c r="Z692" s="35"/>
    </row>
    <row r="693" spans="2:26" x14ac:dyDescent="0.25">
      <c r="B693" s="24"/>
      <c r="C693" s="8" t="s">
        <v>992</v>
      </c>
      <c r="D693" s="8" t="s">
        <v>959</v>
      </c>
      <c r="E693" s="8"/>
      <c r="F693" s="5">
        <v>4647</v>
      </c>
      <c r="G693" s="5">
        <v>2250</v>
      </c>
      <c r="H693" s="5">
        <v>120</v>
      </c>
      <c r="I693" s="5" t="s">
        <v>18</v>
      </c>
      <c r="J693" s="5"/>
      <c r="K693" s="5"/>
      <c r="L693" s="29" t="s">
        <v>378</v>
      </c>
      <c r="M693" s="6">
        <v>45855</v>
      </c>
      <c r="N693" s="28">
        <v>0</v>
      </c>
      <c r="O693" s="6"/>
      <c r="P693" s="7">
        <v>1.254</v>
      </c>
      <c r="Q693" s="7">
        <v>3.1349999999999998</v>
      </c>
      <c r="R693" s="7"/>
      <c r="S693" s="7"/>
      <c r="T693" s="36"/>
      <c r="U693" s="6"/>
      <c r="V693" s="5"/>
      <c r="W693" s="5"/>
      <c r="X693" s="25"/>
      <c r="Y693" s="5"/>
      <c r="Z693" s="35"/>
    </row>
    <row r="694" spans="2:26" x14ac:dyDescent="0.25">
      <c r="B694" s="24"/>
      <c r="C694" s="8" t="s">
        <v>993</v>
      </c>
      <c r="D694" s="8" t="s">
        <v>959</v>
      </c>
      <c r="E694" s="8"/>
      <c r="F694" s="5">
        <v>4555</v>
      </c>
      <c r="G694" s="5">
        <v>1710</v>
      </c>
      <c r="H694" s="5">
        <v>120</v>
      </c>
      <c r="I694" s="5" t="s">
        <v>18</v>
      </c>
      <c r="J694" s="5"/>
      <c r="K694" s="5"/>
      <c r="L694" s="29" t="s">
        <v>378</v>
      </c>
      <c r="M694" s="6">
        <v>45855</v>
      </c>
      <c r="N694" s="28">
        <v>0</v>
      </c>
      <c r="O694" s="6"/>
      <c r="P694" s="7">
        <v>0.93400000000000005</v>
      </c>
      <c r="Q694" s="7">
        <v>2.335</v>
      </c>
      <c r="R694" s="7"/>
      <c r="S694" s="7"/>
      <c r="T694" s="36"/>
      <c r="U694" s="6"/>
      <c r="V694" s="5"/>
      <c r="W694" s="5"/>
      <c r="X694" s="25"/>
      <c r="Y694" s="5"/>
      <c r="Z694" s="35"/>
    </row>
    <row r="695" spans="2:26" x14ac:dyDescent="0.25">
      <c r="B695" s="24"/>
      <c r="C695" s="8" t="s">
        <v>1043</v>
      </c>
      <c r="D695" s="8" t="s">
        <v>959</v>
      </c>
      <c r="E695" s="8"/>
      <c r="F695" s="5">
        <v>4555</v>
      </c>
      <c r="G695" s="5">
        <v>1710</v>
      </c>
      <c r="H695" s="5">
        <v>120</v>
      </c>
      <c r="I695" s="5" t="s">
        <v>18</v>
      </c>
      <c r="J695" s="5"/>
      <c r="K695" s="5"/>
      <c r="L695" s="29" t="s">
        <v>378</v>
      </c>
      <c r="M695" s="6">
        <v>45855</v>
      </c>
      <c r="N695" s="28">
        <v>0</v>
      </c>
      <c r="O695" s="6"/>
      <c r="P695" s="7">
        <v>0.93400000000000005</v>
      </c>
      <c r="Q695" s="7">
        <v>2.335</v>
      </c>
      <c r="R695" s="7"/>
      <c r="S695" s="7"/>
      <c r="T695" s="36"/>
      <c r="U695" s="6"/>
      <c r="V695" s="5"/>
      <c r="W695" s="5"/>
      <c r="X695" s="25"/>
      <c r="Y695" s="5"/>
      <c r="Z695" s="35"/>
    </row>
    <row r="696" spans="2:26" x14ac:dyDescent="0.25">
      <c r="B696" s="24"/>
      <c r="C696" s="8" t="s">
        <v>994</v>
      </c>
      <c r="D696" s="8" t="s">
        <v>959</v>
      </c>
      <c r="E696" s="8"/>
      <c r="F696" s="5">
        <v>5097</v>
      </c>
      <c r="G696" s="5">
        <v>1277</v>
      </c>
      <c r="H696" s="5">
        <v>120</v>
      </c>
      <c r="I696" s="5" t="s">
        <v>18</v>
      </c>
      <c r="J696" s="5"/>
      <c r="K696" s="5"/>
      <c r="L696" s="29" t="s">
        <v>378</v>
      </c>
      <c r="M696" s="6">
        <v>45855</v>
      </c>
      <c r="N696" s="28">
        <v>0</v>
      </c>
      <c r="O696" s="6"/>
      <c r="P696" s="7">
        <v>0.78</v>
      </c>
      <c r="Q696" s="7">
        <v>1.95</v>
      </c>
      <c r="R696" s="7"/>
      <c r="S696" s="7"/>
      <c r="T696" s="36"/>
      <c r="U696" s="6"/>
      <c r="V696" s="5"/>
      <c r="W696" s="5"/>
      <c r="X696" s="25"/>
      <c r="Y696" s="5"/>
      <c r="Z696" s="35"/>
    </row>
    <row r="697" spans="2:26" x14ac:dyDescent="0.25">
      <c r="B697" s="24"/>
      <c r="C697" s="8" t="s">
        <v>995</v>
      </c>
      <c r="D697" s="8" t="s">
        <v>959</v>
      </c>
      <c r="E697" s="8"/>
      <c r="F697" s="5">
        <v>5097</v>
      </c>
      <c r="G697" s="5">
        <v>1478</v>
      </c>
      <c r="H697" s="5">
        <v>120</v>
      </c>
      <c r="I697" s="5" t="s">
        <v>18</v>
      </c>
      <c r="J697" s="5"/>
      <c r="K697" s="5"/>
      <c r="L697" s="29" t="s">
        <v>378</v>
      </c>
      <c r="M697" s="6">
        <v>45855</v>
      </c>
      <c r="N697" s="28">
        <v>0</v>
      </c>
      <c r="O697" s="6"/>
      <c r="P697" s="7">
        <v>0.90200000000000002</v>
      </c>
      <c r="Q697" s="7">
        <v>2.2549999999999999</v>
      </c>
      <c r="R697" s="7"/>
      <c r="S697" s="7"/>
      <c r="T697" s="36"/>
      <c r="U697" s="6"/>
      <c r="V697" s="5"/>
      <c r="W697" s="5"/>
      <c r="X697" s="25"/>
      <c r="Y697" s="5"/>
      <c r="Z697" s="35"/>
    </row>
    <row r="698" spans="2:26" x14ac:dyDescent="0.25">
      <c r="B698" s="24"/>
      <c r="C698" s="8" t="s">
        <v>996</v>
      </c>
      <c r="D698" s="8" t="s">
        <v>959</v>
      </c>
      <c r="E698" s="8"/>
      <c r="F698" s="5">
        <v>5097</v>
      </c>
      <c r="G698" s="5">
        <v>2415</v>
      </c>
      <c r="H698" s="5">
        <v>120</v>
      </c>
      <c r="I698" s="5" t="s">
        <v>18</v>
      </c>
      <c r="J698" s="5"/>
      <c r="K698" s="5"/>
      <c r="L698" s="29" t="s">
        <v>378</v>
      </c>
      <c r="M698" s="6">
        <v>45855</v>
      </c>
      <c r="N698" s="28">
        <v>0</v>
      </c>
      <c r="O698" s="6"/>
      <c r="P698" s="7">
        <v>1.476</v>
      </c>
      <c r="Q698" s="7">
        <v>3.69</v>
      </c>
      <c r="R698" s="7"/>
      <c r="S698" s="7"/>
      <c r="T698" s="36"/>
      <c r="U698" s="6"/>
      <c r="V698" s="5"/>
      <c r="W698" s="5"/>
      <c r="X698" s="25"/>
      <c r="Y698" s="5"/>
      <c r="Z698" s="35"/>
    </row>
    <row r="699" spans="2:26" x14ac:dyDescent="0.25">
      <c r="B699" s="24"/>
      <c r="C699" s="8" t="s">
        <v>997</v>
      </c>
      <c r="D699" s="8" t="s">
        <v>959</v>
      </c>
      <c r="E699" s="8"/>
      <c r="F699" s="5">
        <v>4957</v>
      </c>
      <c r="G699" s="5">
        <v>2950</v>
      </c>
      <c r="H699" s="5">
        <v>120</v>
      </c>
      <c r="I699" s="5" t="s">
        <v>356</v>
      </c>
      <c r="J699" s="5" t="s">
        <v>750</v>
      </c>
      <c r="K699" s="5"/>
      <c r="L699" s="29" t="s">
        <v>378</v>
      </c>
      <c r="M699" s="6">
        <v>45855</v>
      </c>
      <c r="N699" s="28">
        <v>0</v>
      </c>
      <c r="O699" s="6"/>
      <c r="P699" s="7">
        <v>1.7370000000000001</v>
      </c>
      <c r="Q699" s="7">
        <v>4.343</v>
      </c>
      <c r="R699" s="7"/>
      <c r="S699" s="7"/>
      <c r="T699" s="36"/>
      <c r="U699" s="6"/>
      <c r="V699" s="5"/>
      <c r="W699" s="5"/>
      <c r="X699" s="25"/>
      <c r="Y699" s="5"/>
      <c r="Z699" s="35"/>
    </row>
    <row r="700" spans="2:26" x14ac:dyDescent="0.25">
      <c r="B700" s="24"/>
      <c r="C700" s="8" t="s">
        <v>1044</v>
      </c>
      <c r="D700" s="8" t="s">
        <v>959</v>
      </c>
      <c r="E700" s="8"/>
      <c r="F700" s="5">
        <v>4957</v>
      </c>
      <c r="G700" s="5">
        <v>2950</v>
      </c>
      <c r="H700" s="5">
        <v>120</v>
      </c>
      <c r="I700" s="5" t="s">
        <v>356</v>
      </c>
      <c r="J700" s="5" t="s">
        <v>750</v>
      </c>
      <c r="K700" s="5"/>
      <c r="L700" s="29" t="s">
        <v>378</v>
      </c>
      <c r="M700" s="6">
        <v>45855</v>
      </c>
      <c r="N700" s="28">
        <v>0</v>
      </c>
      <c r="O700" s="6"/>
      <c r="P700" s="7">
        <v>1.7370000000000001</v>
      </c>
      <c r="Q700" s="7">
        <v>4.343</v>
      </c>
      <c r="R700" s="7"/>
      <c r="S700" s="7"/>
      <c r="T700" s="36"/>
      <c r="U700" s="6"/>
      <c r="V700" s="5"/>
      <c r="W700" s="5"/>
      <c r="X700" s="25"/>
      <c r="Y700" s="5"/>
      <c r="Z700" s="35"/>
    </row>
    <row r="701" spans="2:26" x14ac:dyDescent="0.25">
      <c r="B701" s="24"/>
      <c r="C701" s="8" t="s">
        <v>998</v>
      </c>
      <c r="D701" s="8" t="s">
        <v>959</v>
      </c>
      <c r="E701" s="8"/>
      <c r="F701" s="5">
        <v>4413</v>
      </c>
      <c r="G701" s="5">
        <v>3610</v>
      </c>
      <c r="H701" s="5">
        <v>120</v>
      </c>
      <c r="I701" s="5" t="s">
        <v>357</v>
      </c>
      <c r="J701" s="5" t="s">
        <v>693</v>
      </c>
      <c r="K701" s="5"/>
      <c r="L701" s="29" t="s">
        <v>378</v>
      </c>
      <c r="M701" s="6">
        <v>45855</v>
      </c>
      <c r="N701" s="28">
        <v>0</v>
      </c>
      <c r="O701" s="6"/>
      <c r="P701" s="7">
        <v>2.13</v>
      </c>
      <c r="Q701" s="7">
        <v>5.3250000000000002</v>
      </c>
      <c r="R701" s="7"/>
      <c r="S701" s="7"/>
      <c r="T701" s="36"/>
      <c r="U701" s="6"/>
      <c r="V701" s="5"/>
      <c r="W701" s="5"/>
      <c r="X701" s="25"/>
      <c r="Y701" s="5"/>
      <c r="Z701" s="35"/>
    </row>
    <row r="702" spans="2:26" x14ac:dyDescent="0.25">
      <c r="B702" s="24"/>
      <c r="C702" s="8" t="s">
        <v>999</v>
      </c>
      <c r="D702" s="8" t="s">
        <v>959</v>
      </c>
      <c r="E702" s="8"/>
      <c r="F702" s="5">
        <v>4413</v>
      </c>
      <c r="G702" s="5">
        <v>3610</v>
      </c>
      <c r="H702" s="5">
        <v>120</v>
      </c>
      <c r="I702" s="5" t="s">
        <v>357</v>
      </c>
      <c r="J702" s="5" t="s">
        <v>693</v>
      </c>
      <c r="K702" s="5"/>
      <c r="L702" s="29" t="s">
        <v>378</v>
      </c>
      <c r="M702" s="6">
        <v>45855</v>
      </c>
      <c r="N702" s="55">
        <v>0</v>
      </c>
      <c r="O702" s="6"/>
      <c r="P702" s="7">
        <v>2.13</v>
      </c>
      <c r="Q702" s="7">
        <v>5.3250000000000002</v>
      </c>
      <c r="R702" s="7"/>
      <c r="S702" s="7"/>
      <c r="T702" s="36"/>
      <c r="U702" s="6"/>
      <c r="V702" s="5"/>
      <c r="W702" s="5"/>
      <c r="X702" s="25"/>
      <c r="Y702" s="5"/>
      <c r="Z702" s="35"/>
    </row>
    <row r="703" spans="2:26" x14ac:dyDescent="0.25">
      <c r="B703" s="24"/>
      <c r="C703" s="8" t="s">
        <v>1000</v>
      </c>
      <c r="D703" s="8" t="s">
        <v>959</v>
      </c>
      <c r="E703" s="8"/>
      <c r="F703" s="5">
        <v>3205</v>
      </c>
      <c r="G703" s="5">
        <v>3770</v>
      </c>
      <c r="H703" s="5">
        <v>120</v>
      </c>
      <c r="I703" s="5" t="s">
        <v>357</v>
      </c>
      <c r="J703" s="5" t="s">
        <v>170</v>
      </c>
      <c r="K703" s="5"/>
      <c r="L703" s="29" t="s">
        <v>378</v>
      </c>
      <c r="M703" s="6">
        <v>45855</v>
      </c>
      <c r="N703" s="55">
        <v>0</v>
      </c>
      <c r="O703" s="6"/>
      <c r="P703" s="7">
        <v>1.9</v>
      </c>
      <c r="Q703" s="7">
        <v>4.75</v>
      </c>
      <c r="R703" s="7"/>
      <c r="S703" s="7"/>
      <c r="T703" s="36"/>
      <c r="U703" s="6"/>
      <c r="V703" s="5"/>
      <c r="W703" s="5"/>
      <c r="X703" s="25"/>
      <c r="Y703" s="5"/>
      <c r="Z703" s="35"/>
    </row>
    <row r="704" spans="2:26" x14ac:dyDescent="0.25">
      <c r="B704" s="24"/>
      <c r="C704" s="8" t="s">
        <v>1001</v>
      </c>
      <c r="D704" s="8" t="s">
        <v>959</v>
      </c>
      <c r="E704" s="8"/>
      <c r="F704" s="5">
        <v>4413</v>
      </c>
      <c r="G704" s="5">
        <v>3770</v>
      </c>
      <c r="H704" s="5">
        <v>120</v>
      </c>
      <c r="I704" s="5" t="s">
        <v>357</v>
      </c>
      <c r="J704" s="5" t="s">
        <v>170</v>
      </c>
      <c r="K704" s="5"/>
      <c r="L704" s="29" t="s">
        <v>378</v>
      </c>
      <c r="M704" s="6">
        <v>45855</v>
      </c>
      <c r="N704" s="55">
        <v>0</v>
      </c>
      <c r="O704" s="6"/>
      <c r="P704" s="7">
        <v>2.36</v>
      </c>
      <c r="Q704" s="7">
        <v>5.9</v>
      </c>
      <c r="R704" s="7"/>
      <c r="S704" s="7"/>
      <c r="T704" s="36"/>
      <c r="U704" s="6"/>
      <c r="V704" s="5"/>
      <c r="W704" s="5"/>
      <c r="X704" s="25"/>
      <c r="Y704" s="5"/>
      <c r="Z704" s="35"/>
    </row>
    <row r="705" spans="2:26" x14ac:dyDescent="0.25">
      <c r="B705" s="24"/>
      <c r="C705" s="8" t="s">
        <v>1002</v>
      </c>
      <c r="D705" s="8" t="s">
        <v>959</v>
      </c>
      <c r="E705" s="8"/>
      <c r="F705" s="5">
        <v>4413</v>
      </c>
      <c r="G705" s="5">
        <v>3770</v>
      </c>
      <c r="H705" s="5">
        <v>120</v>
      </c>
      <c r="I705" s="5" t="s">
        <v>357</v>
      </c>
      <c r="J705" s="5" t="s">
        <v>170</v>
      </c>
      <c r="K705" s="5"/>
      <c r="L705" s="29" t="s">
        <v>378</v>
      </c>
      <c r="M705" s="6">
        <v>45855</v>
      </c>
      <c r="N705" s="55">
        <v>0</v>
      </c>
      <c r="O705" s="6"/>
      <c r="P705" s="7">
        <v>2.36</v>
      </c>
      <c r="Q705" s="7">
        <v>5.9</v>
      </c>
      <c r="R705" s="7"/>
      <c r="S705" s="7"/>
      <c r="T705" s="36"/>
      <c r="U705" s="6"/>
      <c r="V705" s="5"/>
      <c r="W705" s="5"/>
      <c r="X705" s="25"/>
      <c r="Y705" s="5"/>
      <c r="Z705" s="35"/>
    </row>
    <row r="706" spans="2:26" x14ac:dyDescent="0.25">
      <c r="B706" s="24"/>
      <c r="C706" s="8" t="s">
        <v>1003</v>
      </c>
      <c r="D706" s="8" t="s">
        <v>959</v>
      </c>
      <c r="E706" s="8"/>
      <c r="F706" s="5">
        <v>5037</v>
      </c>
      <c r="G706" s="5">
        <v>2950</v>
      </c>
      <c r="H706" s="5">
        <v>120</v>
      </c>
      <c r="I706" s="5" t="s">
        <v>389</v>
      </c>
      <c r="J706" s="5" t="s">
        <v>110</v>
      </c>
      <c r="K706" s="5"/>
      <c r="L706" s="29" t="s">
        <v>378</v>
      </c>
      <c r="M706" s="6">
        <v>45855</v>
      </c>
      <c r="N706" s="55">
        <v>0</v>
      </c>
      <c r="O706" s="6"/>
      <c r="P706" s="7">
        <v>1.9279999999999999</v>
      </c>
      <c r="Q706" s="7">
        <v>4.82</v>
      </c>
      <c r="R706" s="7"/>
      <c r="S706" s="7"/>
      <c r="T706" s="36"/>
      <c r="U706" s="6"/>
      <c r="V706" s="5"/>
      <c r="W706" s="5"/>
      <c r="X706" s="25"/>
      <c r="Y706" s="5"/>
      <c r="Z706" s="35"/>
    </row>
    <row r="707" spans="2:26" ht="15.75" customHeight="1" x14ac:dyDescent="0.25">
      <c r="B707" s="24"/>
      <c r="C707" s="8" t="s">
        <v>1045</v>
      </c>
      <c r="D707" s="8" t="s">
        <v>959</v>
      </c>
      <c r="E707" s="8"/>
      <c r="F707" s="5">
        <v>5037</v>
      </c>
      <c r="G707" s="5">
        <v>2950</v>
      </c>
      <c r="H707" s="5">
        <v>120</v>
      </c>
      <c r="I707" s="5" t="s">
        <v>389</v>
      </c>
      <c r="J707" s="5" t="s">
        <v>110</v>
      </c>
      <c r="K707" s="5"/>
      <c r="L707" s="29" t="s">
        <v>378</v>
      </c>
      <c r="M707" s="6">
        <v>45855</v>
      </c>
      <c r="N707" s="28">
        <v>0</v>
      </c>
      <c r="O707" s="6"/>
      <c r="P707" s="7">
        <v>1.9279999999999999</v>
      </c>
      <c r="Q707" s="7">
        <v>4.82</v>
      </c>
      <c r="R707" s="7"/>
      <c r="S707" s="7"/>
      <c r="T707" s="36"/>
      <c r="U707" s="6"/>
      <c r="V707" s="5"/>
      <c r="W707" s="5"/>
      <c r="X707" s="25"/>
      <c r="Y707" s="5"/>
      <c r="Z707" s="35"/>
    </row>
    <row r="708" spans="2:26" x14ac:dyDescent="0.25">
      <c r="B708" s="24"/>
      <c r="C708" s="8" t="s">
        <v>1046</v>
      </c>
      <c r="D708" s="8" t="s">
        <v>959</v>
      </c>
      <c r="E708" s="8"/>
      <c r="F708" s="5">
        <v>5037</v>
      </c>
      <c r="G708" s="5">
        <v>2950</v>
      </c>
      <c r="H708" s="5">
        <v>120</v>
      </c>
      <c r="I708" s="5" t="s">
        <v>389</v>
      </c>
      <c r="J708" s="5" t="s">
        <v>110</v>
      </c>
      <c r="K708" s="5"/>
      <c r="L708" s="29" t="s">
        <v>378</v>
      </c>
      <c r="M708" s="6">
        <v>45855</v>
      </c>
      <c r="N708" s="28">
        <v>0</v>
      </c>
      <c r="O708" s="6"/>
      <c r="P708" s="7">
        <v>1.9279999999999999</v>
      </c>
      <c r="Q708" s="7">
        <v>4.82</v>
      </c>
      <c r="R708" s="7"/>
      <c r="S708" s="7"/>
      <c r="T708" s="36"/>
      <c r="U708" s="6"/>
      <c r="V708" s="5"/>
      <c r="W708" s="5"/>
      <c r="X708" s="25"/>
      <c r="Y708" s="5"/>
      <c r="Z708" s="35"/>
    </row>
    <row r="709" spans="2:26" x14ac:dyDescent="0.25">
      <c r="B709" s="24"/>
      <c r="C709" s="8" t="s">
        <v>1004</v>
      </c>
      <c r="D709" s="8" t="s">
        <v>959</v>
      </c>
      <c r="E709" s="8"/>
      <c r="F709" s="5">
        <v>5037</v>
      </c>
      <c r="G709" s="5">
        <v>2950</v>
      </c>
      <c r="H709" s="5">
        <v>120</v>
      </c>
      <c r="I709" s="5" t="s">
        <v>389</v>
      </c>
      <c r="J709" s="5" t="s">
        <v>110</v>
      </c>
      <c r="K709" s="5"/>
      <c r="L709" s="29" t="s">
        <v>378</v>
      </c>
      <c r="M709" s="6">
        <v>45855</v>
      </c>
      <c r="N709" s="28">
        <v>0</v>
      </c>
      <c r="O709" s="6"/>
      <c r="P709" s="7">
        <v>2.0150000000000001</v>
      </c>
      <c r="Q709" s="7">
        <v>5.0380000000000003</v>
      </c>
      <c r="R709" s="7"/>
      <c r="S709" s="7"/>
      <c r="T709" s="36"/>
      <c r="U709" s="6"/>
      <c r="V709" s="5"/>
      <c r="W709" s="5"/>
      <c r="X709" s="25"/>
      <c r="Y709" s="5"/>
      <c r="Z709" s="35"/>
    </row>
    <row r="710" spans="2:26" x14ac:dyDescent="0.25">
      <c r="B710" s="24"/>
      <c r="C710" s="8" t="s">
        <v>1005</v>
      </c>
      <c r="D710" s="8" t="s">
        <v>959</v>
      </c>
      <c r="E710" s="8"/>
      <c r="F710" s="5">
        <v>2990</v>
      </c>
      <c r="G710" s="5">
        <v>3610</v>
      </c>
      <c r="H710" s="5">
        <v>120</v>
      </c>
      <c r="I710" s="5" t="s">
        <v>357</v>
      </c>
      <c r="J710" s="5" t="s">
        <v>797</v>
      </c>
      <c r="K710" s="5"/>
      <c r="L710" s="56" t="s">
        <v>378</v>
      </c>
      <c r="M710" s="6">
        <v>45855</v>
      </c>
      <c r="N710" s="28">
        <v>0</v>
      </c>
      <c r="O710" s="6"/>
      <c r="P710" s="7">
        <v>1.411</v>
      </c>
      <c r="Q710" s="7">
        <v>3.528</v>
      </c>
      <c r="R710" s="7"/>
      <c r="S710" s="7"/>
      <c r="T710" s="36"/>
      <c r="U710" s="6"/>
      <c r="V710" s="5"/>
      <c r="W710" s="5"/>
      <c r="X710" s="25"/>
      <c r="Y710" s="5"/>
      <c r="Z710" s="35"/>
    </row>
    <row r="711" spans="2:26" x14ac:dyDescent="0.25">
      <c r="B711" s="24"/>
      <c r="C711" s="8" t="s">
        <v>1047</v>
      </c>
      <c r="D711" s="8" t="s">
        <v>959</v>
      </c>
      <c r="E711" s="8"/>
      <c r="F711" s="5">
        <v>2990</v>
      </c>
      <c r="G711" s="5">
        <v>3610</v>
      </c>
      <c r="H711" s="5">
        <v>120</v>
      </c>
      <c r="I711" s="5" t="s">
        <v>357</v>
      </c>
      <c r="J711" s="5" t="s">
        <v>797</v>
      </c>
      <c r="K711" s="5"/>
      <c r="L711" s="29" t="s">
        <v>378</v>
      </c>
      <c r="M711" s="6">
        <v>45855</v>
      </c>
      <c r="N711" s="28">
        <v>0</v>
      </c>
      <c r="O711" s="6"/>
      <c r="P711" s="7">
        <v>1.411</v>
      </c>
      <c r="Q711" s="7">
        <v>3.528</v>
      </c>
      <c r="R711" s="7"/>
      <c r="S711" s="7"/>
      <c r="T711" s="36"/>
      <c r="U711" s="6"/>
      <c r="V711" s="5"/>
      <c r="W711" s="5"/>
      <c r="X711" s="25"/>
      <c r="Y711" s="5"/>
      <c r="Z711" s="35"/>
    </row>
    <row r="712" spans="2:26" x14ac:dyDescent="0.25">
      <c r="B712" s="24"/>
      <c r="C712" s="8" t="s">
        <v>1006</v>
      </c>
      <c r="D712" s="8" t="s">
        <v>959</v>
      </c>
      <c r="E712" s="8"/>
      <c r="F712" s="5">
        <v>2775</v>
      </c>
      <c r="G712" s="5">
        <v>3770</v>
      </c>
      <c r="H712" s="5">
        <v>120</v>
      </c>
      <c r="I712" s="5" t="s">
        <v>357</v>
      </c>
      <c r="J712" s="5" t="s">
        <v>797</v>
      </c>
      <c r="K712" s="5"/>
      <c r="L712" s="29" t="s">
        <v>378</v>
      </c>
      <c r="M712" s="6">
        <v>45855</v>
      </c>
      <c r="N712" s="28">
        <v>0</v>
      </c>
      <c r="O712" s="6"/>
      <c r="P712" s="7">
        <v>1.39</v>
      </c>
      <c r="Q712" s="7">
        <v>3.4750000000000001</v>
      </c>
      <c r="R712" s="7"/>
      <c r="S712" s="7"/>
      <c r="T712" s="36"/>
      <c r="U712" s="6"/>
      <c r="V712" s="5"/>
      <c r="W712" s="5"/>
      <c r="X712" s="25"/>
      <c r="Y712" s="5"/>
      <c r="Z712" s="35"/>
    </row>
    <row r="713" spans="2:26" x14ac:dyDescent="0.25">
      <c r="B713" s="24"/>
      <c r="C713" s="8" t="s">
        <v>1007</v>
      </c>
      <c r="D713" s="8" t="s">
        <v>959</v>
      </c>
      <c r="E713" s="8"/>
      <c r="F713" s="5">
        <v>2990</v>
      </c>
      <c r="G713" s="5">
        <v>3770</v>
      </c>
      <c r="H713" s="5">
        <v>120</v>
      </c>
      <c r="I713" s="5" t="s">
        <v>357</v>
      </c>
      <c r="J713" s="5" t="s">
        <v>696</v>
      </c>
      <c r="K713" s="5"/>
      <c r="L713" s="29" t="s">
        <v>378</v>
      </c>
      <c r="M713" s="6">
        <v>45855</v>
      </c>
      <c r="N713" s="28">
        <v>0</v>
      </c>
      <c r="O713" s="6"/>
      <c r="P713" s="7">
        <v>1.62</v>
      </c>
      <c r="Q713" s="7">
        <v>4.05</v>
      </c>
      <c r="R713" s="7"/>
      <c r="S713" s="7"/>
      <c r="T713" s="36"/>
      <c r="U713" s="6"/>
      <c r="V713" s="5"/>
      <c r="W713" s="5"/>
      <c r="X713" s="25"/>
      <c r="Y713" s="5"/>
      <c r="Z713" s="35"/>
    </row>
    <row r="714" spans="2:26" x14ac:dyDescent="0.25">
      <c r="B714" s="24"/>
      <c r="C714" s="8" t="s">
        <v>1048</v>
      </c>
      <c r="D714" s="8" t="s">
        <v>959</v>
      </c>
      <c r="E714" s="8"/>
      <c r="F714" s="5">
        <v>2990</v>
      </c>
      <c r="G714" s="5">
        <v>3770</v>
      </c>
      <c r="H714" s="5">
        <v>120</v>
      </c>
      <c r="I714" s="5" t="s">
        <v>357</v>
      </c>
      <c r="J714" s="5" t="s">
        <v>696</v>
      </c>
      <c r="K714" s="5"/>
      <c r="L714" s="29" t="s">
        <v>378</v>
      </c>
      <c r="M714" s="6">
        <v>45855</v>
      </c>
      <c r="N714" s="28">
        <v>0</v>
      </c>
      <c r="O714" s="6"/>
      <c r="P714" s="7">
        <v>1.62</v>
      </c>
      <c r="Q714" s="7">
        <v>4.05</v>
      </c>
      <c r="R714" s="7"/>
      <c r="S714" s="7"/>
      <c r="T714" s="36"/>
      <c r="U714" s="6"/>
      <c r="V714" s="5"/>
      <c r="W714" s="5"/>
      <c r="X714" s="25"/>
      <c r="Y714" s="5"/>
      <c r="Z714" s="35"/>
    </row>
    <row r="715" spans="2:26" x14ac:dyDescent="0.25">
      <c r="B715" s="24"/>
      <c r="C715" s="8" t="s">
        <v>1049</v>
      </c>
      <c r="D715" s="8" t="s">
        <v>959</v>
      </c>
      <c r="E715" s="8"/>
      <c r="F715" s="5">
        <v>2990</v>
      </c>
      <c r="G715" s="5">
        <v>3770</v>
      </c>
      <c r="H715" s="5">
        <v>120</v>
      </c>
      <c r="I715" s="5" t="s">
        <v>357</v>
      </c>
      <c r="J715" s="5" t="s">
        <v>696</v>
      </c>
      <c r="K715" s="5"/>
      <c r="L715" s="29" t="s">
        <v>378</v>
      </c>
      <c r="M715" s="6">
        <v>45855</v>
      </c>
      <c r="N715" s="28">
        <v>0</v>
      </c>
      <c r="O715" s="6"/>
      <c r="P715" s="7">
        <v>1.62</v>
      </c>
      <c r="Q715" s="7">
        <v>4.05</v>
      </c>
      <c r="R715" s="7"/>
      <c r="S715" s="7"/>
      <c r="T715" s="36"/>
      <c r="U715" s="6"/>
      <c r="V715" s="5"/>
      <c r="W715" s="5"/>
      <c r="X715" s="25"/>
      <c r="Y715" s="5"/>
      <c r="Z715" s="35"/>
    </row>
    <row r="716" spans="2:26" x14ac:dyDescent="0.25">
      <c r="B716" s="24"/>
      <c r="C716" s="8" t="s">
        <v>1050</v>
      </c>
      <c r="D716" s="8" t="s">
        <v>959</v>
      </c>
      <c r="E716" s="8"/>
      <c r="F716" s="5">
        <v>2990</v>
      </c>
      <c r="G716" s="5">
        <v>3770</v>
      </c>
      <c r="H716" s="5">
        <v>120</v>
      </c>
      <c r="I716" s="5" t="s">
        <v>357</v>
      </c>
      <c r="J716" s="5" t="s">
        <v>696</v>
      </c>
      <c r="K716" s="5"/>
      <c r="L716" s="29" t="s">
        <v>378</v>
      </c>
      <c r="M716" s="6">
        <v>45855</v>
      </c>
      <c r="N716" s="28">
        <v>0</v>
      </c>
      <c r="O716" s="6"/>
      <c r="P716" s="7">
        <v>1.62</v>
      </c>
      <c r="Q716" s="7">
        <v>4.05</v>
      </c>
      <c r="R716" s="7"/>
      <c r="S716" s="7"/>
      <c r="T716" s="36"/>
      <c r="U716" s="6"/>
      <c r="V716" s="5"/>
      <c r="W716" s="5"/>
      <c r="X716" s="25"/>
      <c r="Y716" s="5"/>
      <c r="Z716" s="35"/>
    </row>
    <row r="717" spans="2:26" x14ac:dyDescent="0.25">
      <c r="B717" s="24"/>
      <c r="C717" s="8" t="s">
        <v>1051</v>
      </c>
      <c r="D717" s="8" t="s">
        <v>959</v>
      </c>
      <c r="E717" s="8"/>
      <c r="F717" s="5">
        <v>2990</v>
      </c>
      <c r="G717" s="5">
        <v>3770</v>
      </c>
      <c r="H717" s="5">
        <v>120</v>
      </c>
      <c r="I717" s="5" t="s">
        <v>357</v>
      </c>
      <c r="J717" s="5" t="s">
        <v>696</v>
      </c>
      <c r="K717" s="5"/>
      <c r="L717" s="29" t="s">
        <v>378</v>
      </c>
      <c r="M717" s="6">
        <v>45855</v>
      </c>
      <c r="N717" s="28">
        <v>0</v>
      </c>
      <c r="O717" s="6"/>
      <c r="P717" s="7">
        <v>1.62</v>
      </c>
      <c r="Q717" s="7">
        <v>4.05</v>
      </c>
      <c r="R717" s="7"/>
      <c r="S717" s="7"/>
      <c r="T717" s="36"/>
      <c r="U717" s="6"/>
      <c r="V717" s="5"/>
      <c r="W717" s="5"/>
      <c r="X717" s="25"/>
      <c r="Y717" s="5"/>
      <c r="Z717" s="35"/>
    </row>
    <row r="718" spans="2:26" x14ac:dyDescent="0.25">
      <c r="B718" s="24"/>
      <c r="C718" s="8" t="s">
        <v>1052</v>
      </c>
      <c r="D718" s="8" t="s">
        <v>959</v>
      </c>
      <c r="E718" s="8"/>
      <c r="F718" s="5">
        <v>2990</v>
      </c>
      <c r="G718" s="5">
        <v>3770</v>
      </c>
      <c r="H718" s="5">
        <v>120</v>
      </c>
      <c r="I718" s="5" t="s">
        <v>357</v>
      </c>
      <c r="J718" s="5" t="s">
        <v>696</v>
      </c>
      <c r="K718" s="5"/>
      <c r="L718" s="29" t="s">
        <v>378</v>
      </c>
      <c r="M718" s="6">
        <v>45855</v>
      </c>
      <c r="N718" s="28">
        <v>0</v>
      </c>
      <c r="O718" s="6"/>
      <c r="P718" s="7">
        <v>1.62</v>
      </c>
      <c r="Q718" s="7">
        <v>4.05</v>
      </c>
      <c r="R718" s="7"/>
      <c r="S718" s="7"/>
      <c r="T718" s="36"/>
      <c r="U718" s="6"/>
      <c r="V718" s="5"/>
      <c r="W718" s="5"/>
      <c r="X718" s="25"/>
      <c r="Y718" s="5"/>
      <c r="Z718" s="35"/>
    </row>
    <row r="719" spans="2:26" x14ac:dyDescent="0.25">
      <c r="B719" s="24"/>
      <c r="C719" s="8" t="s">
        <v>1053</v>
      </c>
      <c r="D719" s="8" t="s">
        <v>959</v>
      </c>
      <c r="E719" s="8"/>
      <c r="F719" s="5">
        <v>2990</v>
      </c>
      <c r="G719" s="5">
        <v>3770</v>
      </c>
      <c r="H719" s="5">
        <v>120</v>
      </c>
      <c r="I719" s="5" t="s">
        <v>357</v>
      </c>
      <c r="J719" s="5" t="s">
        <v>696</v>
      </c>
      <c r="K719" s="5"/>
      <c r="L719" s="29" t="s">
        <v>378</v>
      </c>
      <c r="M719" s="6">
        <v>45855</v>
      </c>
      <c r="N719" s="28">
        <v>0</v>
      </c>
      <c r="O719" s="6"/>
      <c r="P719" s="7">
        <v>1.62</v>
      </c>
      <c r="Q719" s="7">
        <v>4.05</v>
      </c>
      <c r="R719" s="7"/>
      <c r="S719" s="7"/>
      <c r="T719" s="36"/>
      <c r="U719" s="6"/>
      <c r="V719" s="5"/>
      <c r="W719" s="5"/>
      <c r="X719" s="25"/>
      <c r="Y719" s="5"/>
      <c r="Z719" s="35"/>
    </row>
    <row r="720" spans="2:26" x14ac:dyDescent="0.25">
      <c r="B720" s="24"/>
      <c r="C720" s="8" t="s">
        <v>1054</v>
      </c>
      <c r="D720" s="8" t="s">
        <v>959</v>
      </c>
      <c r="E720" s="8"/>
      <c r="F720" s="5">
        <v>2990</v>
      </c>
      <c r="G720" s="5">
        <v>3770</v>
      </c>
      <c r="H720" s="5">
        <v>120</v>
      </c>
      <c r="I720" s="5" t="s">
        <v>357</v>
      </c>
      <c r="J720" s="5" t="s">
        <v>696</v>
      </c>
      <c r="K720" s="5"/>
      <c r="L720" s="29" t="s">
        <v>378</v>
      </c>
      <c r="M720" s="6">
        <v>45855</v>
      </c>
      <c r="N720" s="28">
        <v>0</v>
      </c>
      <c r="O720" s="6"/>
      <c r="P720" s="7">
        <v>1.62</v>
      </c>
      <c r="Q720" s="7">
        <v>4.05</v>
      </c>
      <c r="R720" s="7"/>
      <c r="S720" s="7"/>
      <c r="T720" s="36"/>
      <c r="U720" s="6"/>
      <c r="V720" s="5"/>
      <c r="W720" s="5"/>
      <c r="X720" s="25"/>
      <c r="Y720" s="5"/>
      <c r="Z720" s="35"/>
    </row>
    <row r="721" spans="2:26" x14ac:dyDescent="0.25">
      <c r="B721" s="24"/>
      <c r="C721" s="8" t="s">
        <v>1008</v>
      </c>
      <c r="D721" s="8" t="s">
        <v>959</v>
      </c>
      <c r="E721" s="8"/>
      <c r="F721" s="5">
        <v>2985</v>
      </c>
      <c r="G721" s="5">
        <v>3770</v>
      </c>
      <c r="H721" s="5">
        <v>120</v>
      </c>
      <c r="I721" s="5" t="s">
        <v>357</v>
      </c>
      <c r="J721" s="5" t="s">
        <v>696</v>
      </c>
      <c r="K721" s="5"/>
      <c r="L721" s="29" t="s">
        <v>378</v>
      </c>
      <c r="M721" s="6">
        <v>45855</v>
      </c>
      <c r="N721" s="28">
        <v>0</v>
      </c>
      <c r="O721" s="6"/>
      <c r="P721" s="7">
        <v>1.62</v>
      </c>
      <c r="Q721" s="7">
        <v>4.05</v>
      </c>
      <c r="R721" s="7"/>
      <c r="S721" s="7"/>
      <c r="T721" s="36"/>
      <c r="U721" s="6"/>
      <c r="V721" s="5"/>
      <c r="W721" s="5"/>
      <c r="X721" s="25"/>
      <c r="Y721" s="5"/>
      <c r="Z721" s="35"/>
    </row>
    <row r="722" spans="2:26" x14ac:dyDescent="0.25">
      <c r="B722" s="24"/>
      <c r="C722" s="8" t="s">
        <v>1055</v>
      </c>
      <c r="D722" s="8" t="s">
        <v>959</v>
      </c>
      <c r="E722" s="8"/>
      <c r="F722" s="5">
        <v>2985</v>
      </c>
      <c r="G722" s="5">
        <v>3770</v>
      </c>
      <c r="H722" s="5">
        <v>120</v>
      </c>
      <c r="I722" s="5" t="s">
        <v>357</v>
      </c>
      <c r="J722" s="5" t="s">
        <v>696</v>
      </c>
      <c r="K722" s="5"/>
      <c r="L722" s="29" t="s">
        <v>378</v>
      </c>
      <c r="M722" s="6">
        <v>45855</v>
      </c>
      <c r="N722" s="28">
        <v>0</v>
      </c>
      <c r="O722" s="6"/>
      <c r="P722" s="7">
        <v>1.62</v>
      </c>
      <c r="Q722" s="7">
        <v>4.05</v>
      </c>
      <c r="R722" s="7"/>
      <c r="S722" s="7"/>
      <c r="T722" s="36"/>
      <c r="U722" s="6"/>
      <c r="V722" s="5"/>
      <c r="W722" s="5"/>
      <c r="X722" s="25"/>
      <c r="Y722" s="5"/>
      <c r="Z722" s="35"/>
    </row>
    <row r="723" spans="2:26" x14ac:dyDescent="0.25">
      <c r="B723" s="24"/>
      <c r="C723" s="8" t="s">
        <v>1009</v>
      </c>
      <c r="D723" s="8" t="s">
        <v>959</v>
      </c>
      <c r="E723" s="8"/>
      <c r="F723" s="5">
        <v>400</v>
      </c>
      <c r="G723" s="5">
        <v>3180</v>
      </c>
      <c r="H723" s="5">
        <v>300</v>
      </c>
      <c r="I723" s="5" t="s">
        <v>46</v>
      </c>
      <c r="J723" s="5" t="s">
        <v>45</v>
      </c>
      <c r="K723" s="5" t="s">
        <v>168</v>
      </c>
      <c r="L723" s="29" t="s">
        <v>378</v>
      </c>
      <c r="M723" s="6">
        <v>45855</v>
      </c>
      <c r="N723" s="55">
        <v>0</v>
      </c>
      <c r="O723" s="6"/>
      <c r="P723" s="7">
        <v>0.76400000000000001</v>
      </c>
      <c r="Q723" s="7">
        <v>1.91</v>
      </c>
      <c r="R723" s="7"/>
      <c r="S723" s="7"/>
      <c r="T723" s="36"/>
      <c r="U723" s="6"/>
      <c r="V723" s="5"/>
      <c r="W723" s="5"/>
      <c r="X723" s="25"/>
      <c r="Y723" s="5"/>
      <c r="Z723" s="35"/>
    </row>
    <row r="724" spans="2:26" x14ac:dyDescent="0.25">
      <c r="B724" s="24"/>
      <c r="C724" s="8" t="s">
        <v>1010</v>
      </c>
      <c r="D724" s="8" t="s">
        <v>959</v>
      </c>
      <c r="E724" s="8"/>
      <c r="F724" s="5">
        <v>400</v>
      </c>
      <c r="G724" s="5">
        <v>3080</v>
      </c>
      <c r="H724" s="5">
        <v>300</v>
      </c>
      <c r="I724" s="5" t="s">
        <v>46</v>
      </c>
      <c r="J724" s="5" t="s">
        <v>45</v>
      </c>
      <c r="K724" s="5" t="s">
        <v>168</v>
      </c>
      <c r="L724" s="29" t="s">
        <v>378</v>
      </c>
      <c r="M724" s="6">
        <v>45855</v>
      </c>
      <c r="N724" s="55">
        <v>0</v>
      </c>
      <c r="O724" s="6"/>
      <c r="P724" s="7">
        <v>0.747</v>
      </c>
      <c r="Q724" s="7">
        <v>1.8680000000000001</v>
      </c>
      <c r="R724" s="7"/>
      <c r="S724" s="7"/>
      <c r="T724" s="36"/>
      <c r="U724" s="6"/>
      <c r="V724" s="5"/>
      <c r="W724" s="5"/>
      <c r="X724" s="25"/>
      <c r="Y724" s="5"/>
      <c r="Z724" s="35"/>
    </row>
    <row r="725" spans="2:26" x14ac:dyDescent="0.25">
      <c r="B725" s="24"/>
      <c r="C725" s="8" t="s">
        <v>1011</v>
      </c>
      <c r="D725" s="8" t="s">
        <v>959</v>
      </c>
      <c r="E725" s="8"/>
      <c r="F725" s="5">
        <v>400</v>
      </c>
      <c r="G725" s="5">
        <v>2995</v>
      </c>
      <c r="H725" s="5">
        <v>300</v>
      </c>
      <c r="I725" s="5" t="s">
        <v>46</v>
      </c>
      <c r="J725" s="5" t="s">
        <v>53</v>
      </c>
      <c r="K725" s="5" t="s">
        <v>168</v>
      </c>
      <c r="L725" s="29" t="s">
        <v>378</v>
      </c>
      <c r="M725" s="6">
        <v>45855</v>
      </c>
      <c r="N725" s="55">
        <v>0</v>
      </c>
      <c r="O725" s="6"/>
      <c r="P725" s="7">
        <v>0.76500000000000001</v>
      </c>
      <c r="Q725" s="7">
        <v>1.913</v>
      </c>
      <c r="R725" s="7"/>
      <c r="S725" s="7"/>
      <c r="T725" s="36"/>
      <c r="U725" s="6"/>
      <c r="V725" s="5"/>
      <c r="W725" s="5"/>
      <c r="X725" s="25"/>
      <c r="Y725" s="5"/>
      <c r="Z725" s="35"/>
    </row>
    <row r="726" spans="2:26" x14ac:dyDescent="0.25">
      <c r="B726" s="24"/>
      <c r="C726" s="8" t="s">
        <v>1012</v>
      </c>
      <c r="D726" s="8" t="s">
        <v>959</v>
      </c>
      <c r="E726" s="8"/>
      <c r="F726" s="5">
        <v>400</v>
      </c>
      <c r="G726" s="5">
        <v>3520</v>
      </c>
      <c r="H726" s="5">
        <v>300</v>
      </c>
      <c r="I726" s="5" t="s">
        <v>46</v>
      </c>
      <c r="J726" s="5" t="s">
        <v>536</v>
      </c>
      <c r="K726" s="5" t="s">
        <v>168</v>
      </c>
      <c r="L726" s="29" t="s">
        <v>378</v>
      </c>
      <c r="M726" s="6">
        <v>45855</v>
      </c>
      <c r="N726" s="55">
        <v>0</v>
      </c>
      <c r="O726" s="6"/>
      <c r="P726" s="7">
        <v>0.94699999999999995</v>
      </c>
      <c r="Q726" s="7">
        <v>2.3679999999999999</v>
      </c>
      <c r="R726" s="7"/>
      <c r="S726" s="7"/>
      <c r="T726" s="36"/>
      <c r="U726" s="6"/>
      <c r="V726" s="5"/>
      <c r="W726" s="5"/>
      <c r="X726" s="25"/>
      <c r="Y726" s="5"/>
      <c r="Z726" s="35"/>
    </row>
    <row r="727" spans="2:26" x14ac:dyDescent="0.25">
      <c r="B727" s="24"/>
      <c r="C727" s="8" t="s">
        <v>1013</v>
      </c>
      <c r="D727" s="8" t="s">
        <v>959</v>
      </c>
      <c r="E727" s="8"/>
      <c r="F727" s="5">
        <v>400</v>
      </c>
      <c r="G727" s="5">
        <v>2790</v>
      </c>
      <c r="H727" s="5">
        <v>300</v>
      </c>
      <c r="I727" s="5" t="s">
        <v>46</v>
      </c>
      <c r="J727" s="5" t="s">
        <v>164</v>
      </c>
      <c r="K727" s="5" t="s">
        <v>167</v>
      </c>
      <c r="L727" s="29" t="s">
        <v>378</v>
      </c>
      <c r="M727" s="6">
        <v>45855</v>
      </c>
      <c r="N727" s="55">
        <v>0</v>
      </c>
      <c r="O727" s="6"/>
      <c r="P727" s="7">
        <v>0.70099999999999996</v>
      </c>
      <c r="Q727" s="7">
        <v>1.7529999999999999</v>
      </c>
      <c r="R727" s="7"/>
      <c r="S727" s="7"/>
      <c r="T727" s="36"/>
      <c r="U727" s="6"/>
      <c r="V727" s="5"/>
      <c r="W727" s="5"/>
      <c r="X727" s="25"/>
      <c r="Y727" s="5"/>
      <c r="Z727" s="35"/>
    </row>
    <row r="728" spans="2:26" x14ac:dyDescent="0.25">
      <c r="B728" s="24"/>
      <c r="C728" s="8" t="s">
        <v>1056</v>
      </c>
      <c r="D728" s="8" t="s">
        <v>959</v>
      </c>
      <c r="E728" s="8"/>
      <c r="F728" s="5">
        <v>400</v>
      </c>
      <c r="G728" s="5">
        <v>2895</v>
      </c>
      <c r="H728" s="5">
        <v>300</v>
      </c>
      <c r="I728" s="5" t="s">
        <v>46</v>
      </c>
      <c r="J728" s="5" t="s">
        <v>53</v>
      </c>
      <c r="K728" s="5" t="s">
        <v>168</v>
      </c>
      <c r="L728" s="29" t="s">
        <v>378</v>
      </c>
      <c r="M728" s="6">
        <v>45855</v>
      </c>
      <c r="N728" s="55">
        <v>0</v>
      </c>
      <c r="O728" s="6"/>
      <c r="P728" s="7">
        <v>0.748</v>
      </c>
      <c r="Q728" s="7">
        <v>1.87</v>
      </c>
      <c r="R728" s="7"/>
      <c r="S728" s="7"/>
      <c r="T728" s="36"/>
      <c r="U728" s="6"/>
      <c r="V728" s="5"/>
      <c r="W728" s="5"/>
      <c r="X728" s="25"/>
      <c r="Y728" s="5"/>
      <c r="Z728" s="35"/>
    </row>
    <row r="729" spans="2:26" x14ac:dyDescent="0.25">
      <c r="B729" s="24"/>
      <c r="C729" s="8" t="s">
        <v>1014</v>
      </c>
      <c r="D729" s="8" t="s">
        <v>959</v>
      </c>
      <c r="E729" s="8"/>
      <c r="F729" s="5">
        <v>400</v>
      </c>
      <c r="G729" s="5">
        <v>3320</v>
      </c>
      <c r="H729" s="5">
        <v>300</v>
      </c>
      <c r="I729" s="5" t="s">
        <v>46</v>
      </c>
      <c r="J729" s="5" t="s">
        <v>532</v>
      </c>
      <c r="K729" s="5" t="s">
        <v>168</v>
      </c>
      <c r="L729" s="29" t="s">
        <v>378</v>
      </c>
      <c r="M729" s="6">
        <v>45855</v>
      </c>
      <c r="N729" s="55">
        <v>0</v>
      </c>
      <c r="O729" s="6"/>
      <c r="P729" s="7">
        <v>0.91200000000000003</v>
      </c>
      <c r="Q729" s="7">
        <v>2.2799999999999998</v>
      </c>
      <c r="R729" s="7"/>
      <c r="S729" s="7"/>
      <c r="T729" s="36"/>
      <c r="U729" s="6"/>
      <c r="V729" s="5"/>
      <c r="W729" s="5"/>
      <c r="X729" s="25"/>
      <c r="Y729" s="5"/>
      <c r="Z729" s="35"/>
    </row>
    <row r="730" spans="2:26" x14ac:dyDescent="0.25">
      <c r="B730" s="24"/>
      <c r="C730" s="8" t="s">
        <v>1015</v>
      </c>
      <c r="D730" s="8" t="s">
        <v>959</v>
      </c>
      <c r="E730" s="8"/>
      <c r="F730" s="5">
        <v>400</v>
      </c>
      <c r="G730" s="5">
        <v>3350</v>
      </c>
      <c r="H730" s="5">
        <v>300</v>
      </c>
      <c r="I730" s="5" t="s">
        <v>46</v>
      </c>
      <c r="J730" s="5" t="s">
        <v>532</v>
      </c>
      <c r="K730" s="5" t="s">
        <v>168</v>
      </c>
      <c r="L730" s="29" t="s">
        <v>378</v>
      </c>
      <c r="M730" s="6">
        <v>45855</v>
      </c>
      <c r="N730" s="55">
        <v>0</v>
      </c>
      <c r="O730" s="6"/>
      <c r="P730" s="7">
        <v>0.91200000000000003</v>
      </c>
      <c r="Q730" s="7">
        <v>2.2799999999999998</v>
      </c>
      <c r="R730" s="7"/>
      <c r="S730" s="7"/>
      <c r="T730" s="36"/>
      <c r="U730" s="6"/>
      <c r="V730" s="5"/>
      <c r="W730" s="5"/>
      <c r="X730" s="25"/>
      <c r="Y730" s="5"/>
      <c r="Z730" s="35"/>
    </row>
    <row r="731" spans="2:26" x14ac:dyDescent="0.25">
      <c r="B731" s="24"/>
      <c r="C731" s="8" t="s">
        <v>1016</v>
      </c>
      <c r="D731" s="8" t="s">
        <v>959</v>
      </c>
      <c r="E731" s="8"/>
      <c r="F731" s="5">
        <v>400</v>
      </c>
      <c r="G731" s="5">
        <v>3370</v>
      </c>
      <c r="H731" s="5">
        <v>300</v>
      </c>
      <c r="I731" s="5" t="s">
        <v>46</v>
      </c>
      <c r="J731" s="5" t="s">
        <v>536</v>
      </c>
      <c r="K731" s="5" t="s">
        <v>168</v>
      </c>
      <c r="L731" s="29" t="s">
        <v>378</v>
      </c>
      <c r="M731" s="6">
        <v>45855</v>
      </c>
      <c r="N731" s="55">
        <v>0</v>
      </c>
      <c r="O731" s="6"/>
      <c r="P731" s="7">
        <v>0.93</v>
      </c>
      <c r="Q731" s="7">
        <v>2.3250000000000002</v>
      </c>
      <c r="R731" s="7"/>
      <c r="S731" s="7"/>
      <c r="T731" s="36"/>
      <c r="U731" s="6"/>
      <c r="V731" s="5"/>
      <c r="W731" s="5"/>
      <c r="X731" s="25"/>
      <c r="Y731" s="5"/>
      <c r="Z731" s="35"/>
    </row>
    <row r="732" spans="2:26" x14ac:dyDescent="0.25">
      <c r="B732" s="24"/>
      <c r="C732" s="8" t="s">
        <v>1017</v>
      </c>
      <c r="D732" s="8" t="s">
        <v>959</v>
      </c>
      <c r="E732" s="8"/>
      <c r="F732" s="5">
        <v>400</v>
      </c>
      <c r="G732" s="5">
        <v>3370</v>
      </c>
      <c r="H732" s="5">
        <v>300</v>
      </c>
      <c r="I732" s="5" t="s">
        <v>46</v>
      </c>
      <c r="J732" s="5" t="s">
        <v>536</v>
      </c>
      <c r="K732" s="5" t="s">
        <v>168</v>
      </c>
      <c r="L732" s="29" t="s">
        <v>378</v>
      </c>
      <c r="M732" s="6">
        <v>45855</v>
      </c>
      <c r="N732" s="55">
        <v>0</v>
      </c>
      <c r="O732" s="6"/>
      <c r="P732" s="7">
        <v>0.92900000000000005</v>
      </c>
      <c r="Q732" s="7">
        <v>2.323</v>
      </c>
      <c r="R732" s="7"/>
      <c r="S732" s="7"/>
      <c r="T732" s="36"/>
      <c r="U732" s="6"/>
      <c r="V732" s="5"/>
      <c r="W732" s="5"/>
      <c r="X732" s="25"/>
      <c r="Y732" s="5"/>
      <c r="Z732" s="35"/>
    </row>
    <row r="733" spans="2:26" x14ac:dyDescent="0.25">
      <c r="B733" s="24"/>
      <c r="C733" s="8" t="s">
        <v>1018</v>
      </c>
      <c r="D733" s="8" t="s">
        <v>959</v>
      </c>
      <c r="E733" s="8"/>
      <c r="F733" s="5">
        <v>400</v>
      </c>
      <c r="G733" s="5">
        <v>3207</v>
      </c>
      <c r="H733" s="5">
        <v>300</v>
      </c>
      <c r="I733" s="5" t="s">
        <v>46</v>
      </c>
      <c r="J733" s="5" t="s">
        <v>536</v>
      </c>
      <c r="K733" s="5" t="s">
        <v>168</v>
      </c>
      <c r="L733" s="29" t="s">
        <v>378</v>
      </c>
      <c r="M733" s="6">
        <v>45855</v>
      </c>
      <c r="N733" s="55">
        <v>0</v>
      </c>
      <c r="O733" s="6"/>
      <c r="P733" s="7">
        <v>0.875</v>
      </c>
      <c r="Q733" s="7">
        <v>2.1880000000000002</v>
      </c>
      <c r="R733" s="7"/>
      <c r="S733" s="7"/>
      <c r="T733" s="36"/>
      <c r="U733" s="6"/>
      <c r="V733" s="5"/>
      <c r="W733" s="5"/>
      <c r="X733" s="25"/>
      <c r="Y733" s="5"/>
      <c r="Z733" s="35"/>
    </row>
    <row r="734" spans="2:26" x14ac:dyDescent="0.25">
      <c r="B734" s="24"/>
      <c r="C734" s="8" t="s">
        <v>1019</v>
      </c>
      <c r="D734" s="8" t="s">
        <v>959</v>
      </c>
      <c r="E734" s="8"/>
      <c r="F734" s="5">
        <v>400</v>
      </c>
      <c r="G734" s="5">
        <v>3290</v>
      </c>
      <c r="H734" s="5">
        <v>300</v>
      </c>
      <c r="I734" s="5" t="s">
        <v>46</v>
      </c>
      <c r="J734" s="5" t="s">
        <v>536</v>
      </c>
      <c r="K734" s="5" t="s">
        <v>168</v>
      </c>
      <c r="L734" s="29" t="s">
        <v>378</v>
      </c>
      <c r="M734" s="6">
        <v>45855</v>
      </c>
      <c r="N734" s="55">
        <v>0</v>
      </c>
      <c r="O734" s="6"/>
      <c r="P734" s="7">
        <v>0.91200000000000003</v>
      </c>
      <c r="Q734" s="7">
        <v>2.2799999999999998</v>
      </c>
      <c r="R734" s="7"/>
      <c r="S734" s="7"/>
      <c r="T734" s="36"/>
      <c r="U734" s="6"/>
      <c r="V734" s="5"/>
      <c r="W734" s="5"/>
      <c r="X734" s="25"/>
      <c r="Y734" s="5"/>
      <c r="Z734" s="35"/>
    </row>
    <row r="735" spans="2:26" x14ac:dyDescent="0.25">
      <c r="B735" s="24"/>
      <c r="C735" s="8" t="s">
        <v>1020</v>
      </c>
      <c r="D735" s="8" t="s">
        <v>959</v>
      </c>
      <c r="E735" s="8"/>
      <c r="F735" s="5">
        <v>400</v>
      </c>
      <c r="G735" s="5">
        <v>3250</v>
      </c>
      <c r="H735" s="5">
        <v>300</v>
      </c>
      <c r="I735" s="5" t="s">
        <v>46</v>
      </c>
      <c r="J735" s="5" t="s">
        <v>1057</v>
      </c>
      <c r="K735" s="5" t="s">
        <v>168</v>
      </c>
      <c r="L735" s="29" t="s">
        <v>378</v>
      </c>
      <c r="M735" s="6">
        <v>45855</v>
      </c>
      <c r="N735" s="55">
        <v>0</v>
      </c>
      <c r="O735" s="6"/>
      <c r="P735" s="7">
        <v>0.97299999999999998</v>
      </c>
      <c r="Q735" s="7">
        <v>2.4329999999999998</v>
      </c>
      <c r="R735" s="7"/>
      <c r="S735" s="7"/>
      <c r="T735" s="36"/>
      <c r="U735" s="6"/>
      <c r="V735" s="5"/>
      <c r="W735" s="5"/>
      <c r="X735" s="25"/>
      <c r="Y735" s="5"/>
      <c r="Z735" s="35"/>
    </row>
    <row r="736" spans="2:26" x14ac:dyDescent="0.25">
      <c r="B736" s="24"/>
      <c r="C736" s="8" t="s">
        <v>1058</v>
      </c>
      <c r="D736" s="8" t="s">
        <v>959</v>
      </c>
      <c r="E736" s="8"/>
      <c r="F736" s="5">
        <v>400</v>
      </c>
      <c r="G736" s="5">
        <v>3370</v>
      </c>
      <c r="H736" s="5">
        <v>300</v>
      </c>
      <c r="I736" s="5" t="s">
        <v>46</v>
      </c>
      <c r="J736" s="5" t="s">
        <v>858</v>
      </c>
      <c r="K736" s="5" t="s">
        <v>168</v>
      </c>
      <c r="L736" s="29" t="s">
        <v>378</v>
      </c>
      <c r="M736" s="6">
        <v>45855</v>
      </c>
      <c r="N736" s="55">
        <v>0</v>
      </c>
      <c r="O736" s="6"/>
      <c r="P736" s="7">
        <v>1.0369999999999999</v>
      </c>
      <c r="Q736" s="7">
        <v>2.593</v>
      </c>
      <c r="R736" s="7"/>
      <c r="S736" s="7"/>
      <c r="T736" s="36"/>
      <c r="U736" s="6"/>
      <c r="V736" s="5"/>
      <c r="W736" s="5"/>
      <c r="X736" s="25"/>
      <c r="Y736" s="5"/>
      <c r="Z736" s="35"/>
    </row>
    <row r="737" spans="2:26" x14ac:dyDescent="0.25">
      <c r="B737" s="24"/>
      <c r="C737" s="8" t="s">
        <v>1059</v>
      </c>
      <c r="D737" s="8" t="s">
        <v>959</v>
      </c>
      <c r="E737" s="8"/>
      <c r="F737" s="5">
        <v>400</v>
      </c>
      <c r="G737" s="5">
        <v>3370</v>
      </c>
      <c r="H737" s="5">
        <v>300</v>
      </c>
      <c r="I737" s="5" t="s">
        <v>46</v>
      </c>
      <c r="J737" s="5" t="s">
        <v>858</v>
      </c>
      <c r="K737" s="5" t="s">
        <v>168</v>
      </c>
      <c r="L737" s="29" t="s">
        <v>378</v>
      </c>
      <c r="M737" s="6">
        <v>45855</v>
      </c>
      <c r="N737" s="55">
        <v>0</v>
      </c>
      <c r="O737" s="6"/>
      <c r="P737" s="7">
        <v>1.0369999999999999</v>
      </c>
      <c r="Q737" s="7">
        <v>2.593</v>
      </c>
      <c r="R737" s="7"/>
      <c r="S737" s="7"/>
      <c r="T737" s="36"/>
      <c r="U737" s="6"/>
      <c r="V737" s="5"/>
      <c r="W737" s="5"/>
      <c r="X737" s="25"/>
      <c r="Y737" s="5"/>
      <c r="Z737" s="35"/>
    </row>
    <row r="738" spans="2:26" x14ac:dyDescent="0.25">
      <c r="B738" s="24"/>
      <c r="C738" s="8" t="s">
        <v>1060</v>
      </c>
      <c r="D738" s="8" t="s">
        <v>959</v>
      </c>
      <c r="E738" s="8"/>
      <c r="F738" s="5">
        <v>400</v>
      </c>
      <c r="G738" s="5">
        <v>3370</v>
      </c>
      <c r="H738" s="5">
        <v>300</v>
      </c>
      <c r="I738" s="5" t="s">
        <v>46</v>
      </c>
      <c r="J738" s="5" t="s">
        <v>858</v>
      </c>
      <c r="K738" s="5" t="s">
        <v>168</v>
      </c>
      <c r="L738" s="29" t="s">
        <v>378</v>
      </c>
      <c r="M738" s="6">
        <v>45855</v>
      </c>
      <c r="N738" s="55">
        <v>0</v>
      </c>
      <c r="O738" s="6"/>
      <c r="P738" s="7">
        <v>1.0369999999999999</v>
      </c>
      <c r="Q738" s="7">
        <v>2.593</v>
      </c>
      <c r="R738" s="7"/>
      <c r="S738" s="7"/>
      <c r="T738" s="36"/>
      <c r="U738" s="6"/>
      <c r="V738" s="5"/>
      <c r="W738" s="5"/>
      <c r="X738" s="25"/>
      <c r="Y738" s="5"/>
      <c r="Z738" s="35"/>
    </row>
    <row r="739" spans="2:26" x14ac:dyDescent="0.25">
      <c r="B739" s="24"/>
      <c r="C739" s="8" t="s">
        <v>1061</v>
      </c>
      <c r="D739" s="8" t="s">
        <v>959</v>
      </c>
      <c r="E739" s="8"/>
      <c r="F739" s="5">
        <v>400</v>
      </c>
      <c r="G739" s="5">
        <v>3370</v>
      </c>
      <c r="H739" s="5">
        <v>300</v>
      </c>
      <c r="I739" s="5" t="s">
        <v>46</v>
      </c>
      <c r="J739" s="5" t="s">
        <v>858</v>
      </c>
      <c r="K739" s="5" t="s">
        <v>168</v>
      </c>
      <c r="L739" s="29" t="s">
        <v>378</v>
      </c>
      <c r="M739" s="6">
        <v>45855</v>
      </c>
      <c r="N739" s="55">
        <v>0</v>
      </c>
      <c r="O739" s="6"/>
      <c r="P739" s="7">
        <v>1.0369999999999999</v>
      </c>
      <c r="Q739" s="7">
        <v>2.593</v>
      </c>
      <c r="R739" s="7"/>
      <c r="S739" s="7"/>
      <c r="T739" s="36"/>
      <c r="U739" s="6"/>
      <c r="V739" s="5"/>
      <c r="W739" s="5"/>
      <c r="X739" s="25"/>
      <c r="Y739" s="5"/>
      <c r="Z739" s="35"/>
    </row>
    <row r="740" spans="2:26" x14ac:dyDescent="0.25">
      <c r="B740" s="24"/>
      <c r="C740" s="8" t="s">
        <v>1062</v>
      </c>
      <c r="D740" s="8" t="s">
        <v>959</v>
      </c>
      <c r="E740" s="8"/>
      <c r="F740" s="5">
        <v>400</v>
      </c>
      <c r="G740" s="5">
        <v>3370</v>
      </c>
      <c r="H740" s="5">
        <v>300</v>
      </c>
      <c r="I740" s="5" t="s">
        <v>46</v>
      </c>
      <c r="J740" s="5" t="s">
        <v>858</v>
      </c>
      <c r="K740" s="5" t="s">
        <v>168</v>
      </c>
      <c r="L740" s="29" t="s">
        <v>378</v>
      </c>
      <c r="M740" s="6">
        <v>45855</v>
      </c>
      <c r="N740" s="55">
        <v>0</v>
      </c>
      <c r="O740" s="6"/>
      <c r="P740" s="7">
        <v>1.0369999999999999</v>
      </c>
      <c r="Q740" s="7">
        <v>2.593</v>
      </c>
      <c r="R740" s="7"/>
      <c r="S740" s="7"/>
      <c r="T740" s="36"/>
      <c r="U740" s="6"/>
      <c r="V740" s="5"/>
      <c r="W740" s="5"/>
      <c r="X740" s="25"/>
      <c r="Y740" s="5"/>
      <c r="Z740" s="35"/>
    </row>
    <row r="741" spans="2:26" x14ac:dyDescent="0.25">
      <c r="B741" s="24"/>
      <c r="C741" s="8" t="s">
        <v>1021</v>
      </c>
      <c r="D741" s="8" t="s">
        <v>959</v>
      </c>
      <c r="E741" s="8"/>
      <c r="F741" s="5">
        <v>400</v>
      </c>
      <c r="G741" s="5">
        <v>2735</v>
      </c>
      <c r="H741" s="5">
        <v>300</v>
      </c>
      <c r="I741" s="5" t="s">
        <v>46</v>
      </c>
      <c r="J741" s="5" t="s">
        <v>60</v>
      </c>
      <c r="K741" s="56" t="s">
        <v>167</v>
      </c>
      <c r="L741" s="29" t="s">
        <v>378</v>
      </c>
      <c r="M741" s="6">
        <v>45855</v>
      </c>
      <c r="N741" s="55">
        <v>0</v>
      </c>
      <c r="O741" s="6"/>
      <c r="P741" s="7">
        <v>0.64800000000000002</v>
      </c>
      <c r="Q741" s="7">
        <v>1.62</v>
      </c>
      <c r="R741" s="7"/>
      <c r="S741" s="7"/>
      <c r="T741" s="36"/>
      <c r="U741" s="6"/>
      <c r="V741" s="5"/>
      <c r="W741" s="5"/>
      <c r="X741" s="25"/>
      <c r="Y741" s="5"/>
      <c r="Z741" s="35"/>
    </row>
    <row r="742" spans="2:26" x14ac:dyDescent="0.25">
      <c r="B742" s="24"/>
      <c r="C742" s="8" t="s">
        <v>1022</v>
      </c>
      <c r="D742" s="8" t="s">
        <v>959</v>
      </c>
      <c r="E742" s="8"/>
      <c r="F742" s="5">
        <v>400</v>
      </c>
      <c r="G742" s="5">
        <v>2610</v>
      </c>
      <c r="H742" s="5">
        <v>300</v>
      </c>
      <c r="I742" s="5" t="s">
        <v>46</v>
      </c>
      <c r="J742" s="5" t="s">
        <v>60</v>
      </c>
      <c r="K742" s="5" t="s">
        <v>168</v>
      </c>
      <c r="L742" s="29" t="s">
        <v>378</v>
      </c>
      <c r="M742" s="6">
        <v>45855</v>
      </c>
      <c r="N742" s="55">
        <v>0</v>
      </c>
      <c r="O742" s="6"/>
      <c r="P742" s="7">
        <v>0.63300000000000001</v>
      </c>
      <c r="Q742" s="7">
        <v>1.583</v>
      </c>
      <c r="R742" s="7"/>
      <c r="S742" s="7"/>
      <c r="T742" s="36"/>
      <c r="U742" s="6"/>
      <c r="V742" s="5"/>
      <c r="W742" s="5"/>
      <c r="X742" s="25"/>
      <c r="Y742" s="5"/>
      <c r="Z742" s="35"/>
    </row>
    <row r="743" spans="2:26" x14ac:dyDescent="0.25">
      <c r="B743" s="24"/>
      <c r="C743" s="8" t="s">
        <v>1023</v>
      </c>
      <c r="D743" s="8" t="s">
        <v>959</v>
      </c>
      <c r="E743" s="8"/>
      <c r="F743" s="5">
        <v>400</v>
      </c>
      <c r="G743" s="5">
        <v>2645</v>
      </c>
      <c r="H743" s="5">
        <v>300</v>
      </c>
      <c r="I743" s="5" t="s">
        <v>46</v>
      </c>
      <c r="J743" s="5" t="s">
        <v>60</v>
      </c>
      <c r="K743" s="5" t="s">
        <v>168</v>
      </c>
      <c r="L743" s="29" t="s">
        <v>378</v>
      </c>
      <c r="M743" s="6">
        <v>45855</v>
      </c>
      <c r="N743" s="55">
        <v>0</v>
      </c>
      <c r="O743" s="6"/>
      <c r="P743" s="7">
        <v>0.63300000000000001</v>
      </c>
      <c r="Q743" s="7">
        <v>1.583</v>
      </c>
      <c r="R743" s="7"/>
      <c r="S743" s="7"/>
      <c r="T743" s="36"/>
      <c r="U743" s="6"/>
      <c r="V743" s="5"/>
      <c r="W743" s="5"/>
      <c r="X743" s="25"/>
      <c r="Y743" s="5"/>
      <c r="Z743" s="35"/>
    </row>
    <row r="744" spans="2:26" x14ac:dyDescent="0.25">
      <c r="B744" s="24"/>
      <c r="C744" s="8" t="s">
        <v>1024</v>
      </c>
      <c r="D744" s="8" t="s">
        <v>959</v>
      </c>
      <c r="E744" s="8"/>
      <c r="F744" s="5">
        <v>400</v>
      </c>
      <c r="G744" s="5">
        <v>2670</v>
      </c>
      <c r="H744" s="5">
        <v>300</v>
      </c>
      <c r="I744" s="5" t="s">
        <v>46</v>
      </c>
      <c r="J744" s="5" t="s">
        <v>60</v>
      </c>
      <c r="K744" s="5" t="s">
        <v>168</v>
      </c>
      <c r="L744" s="29" t="s">
        <v>378</v>
      </c>
      <c r="M744" s="6">
        <v>45855</v>
      </c>
      <c r="N744" s="55">
        <v>0</v>
      </c>
      <c r="O744" s="6"/>
      <c r="P744" s="7">
        <v>0.63300000000000001</v>
      </c>
      <c r="Q744" s="7">
        <v>1.583</v>
      </c>
      <c r="R744" s="7"/>
      <c r="S744" s="7"/>
      <c r="T744" s="36"/>
      <c r="U744" s="6"/>
      <c r="V744" s="5"/>
      <c r="W744" s="5"/>
      <c r="X744" s="25"/>
      <c r="Y744" s="5"/>
      <c r="Z744" s="35"/>
    </row>
    <row r="745" spans="2:26" x14ac:dyDescent="0.25">
      <c r="B745" s="24"/>
      <c r="C745" s="8" t="s">
        <v>1025</v>
      </c>
      <c r="D745" s="8" t="s">
        <v>959</v>
      </c>
      <c r="E745" s="8"/>
      <c r="F745" s="5">
        <v>400</v>
      </c>
      <c r="G745" s="5">
        <v>2700</v>
      </c>
      <c r="H745" s="5">
        <v>300</v>
      </c>
      <c r="I745" s="5" t="s">
        <v>46</v>
      </c>
      <c r="J745" s="5" t="s">
        <v>964</v>
      </c>
      <c r="K745" s="5" t="s">
        <v>168</v>
      </c>
      <c r="L745" s="29" t="s">
        <v>378</v>
      </c>
      <c r="M745" s="6">
        <v>45855</v>
      </c>
      <c r="N745" s="55">
        <v>0</v>
      </c>
      <c r="O745" s="6"/>
      <c r="P745" s="7">
        <v>0.70199999999999996</v>
      </c>
      <c r="Q745" s="7">
        <v>1.7549999999999999</v>
      </c>
      <c r="R745" s="7"/>
      <c r="S745" s="7"/>
      <c r="T745" s="36"/>
      <c r="U745" s="6"/>
      <c r="V745" s="5"/>
      <c r="W745" s="5"/>
      <c r="X745" s="25"/>
      <c r="Y745" s="5"/>
      <c r="Z745" s="35"/>
    </row>
    <row r="746" spans="2:26" x14ac:dyDescent="0.25">
      <c r="B746" s="24"/>
      <c r="C746" s="8" t="s">
        <v>1026</v>
      </c>
      <c r="D746" s="8" t="s">
        <v>959</v>
      </c>
      <c r="E746" s="8"/>
      <c r="F746" s="5">
        <v>400</v>
      </c>
      <c r="G746" s="5">
        <v>3233</v>
      </c>
      <c r="H746" s="5">
        <v>300</v>
      </c>
      <c r="I746" s="5" t="s">
        <v>46</v>
      </c>
      <c r="J746" s="5" t="s">
        <v>53</v>
      </c>
      <c r="K746" s="5" t="s">
        <v>168</v>
      </c>
      <c r="L746" s="29" t="s">
        <v>378</v>
      </c>
      <c r="M746" s="6">
        <v>45855</v>
      </c>
      <c r="N746" s="55">
        <v>0</v>
      </c>
      <c r="O746" s="6"/>
      <c r="P746" s="7">
        <v>0.79300000000000004</v>
      </c>
      <c r="Q746" s="7">
        <v>1.9830000000000001</v>
      </c>
      <c r="R746" s="7"/>
      <c r="S746" s="7"/>
      <c r="T746" s="36"/>
      <c r="U746" s="6"/>
      <c r="V746" s="5"/>
      <c r="W746" s="5"/>
      <c r="X746" s="25"/>
      <c r="Y746" s="5"/>
      <c r="Z746" s="35"/>
    </row>
    <row r="747" spans="2:26" x14ac:dyDescent="0.25">
      <c r="B747" s="24"/>
      <c r="C747" s="8" t="s">
        <v>1027</v>
      </c>
      <c r="D747" s="8" t="s">
        <v>959</v>
      </c>
      <c r="E747" s="8"/>
      <c r="F747" s="5">
        <v>400</v>
      </c>
      <c r="G747" s="5">
        <v>3190</v>
      </c>
      <c r="H747" s="5">
        <v>300</v>
      </c>
      <c r="I747" s="5" t="s">
        <v>46</v>
      </c>
      <c r="J747" s="5" t="s">
        <v>53</v>
      </c>
      <c r="K747" s="5" t="s">
        <v>168</v>
      </c>
      <c r="L747" s="29" t="s">
        <v>378</v>
      </c>
      <c r="M747" s="6">
        <v>45855</v>
      </c>
      <c r="N747" s="55">
        <v>0</v>
      </c>
      <c r="O747" s="6"/>
      <c r="P747" s="7">
        <v>0.78300000000000003</v>
      </c>
      <c r="Q747" s="7">
        <v>1.958</v>
      </c>
      <c r="R747" s="7"/>
      <c r="S747" s="7"/>
      <c r="T747" s="36"/>
      <c r="U747" s="6"/>
      <c r="V747" s="5"/>
      <c r="W747" s="5"/>
      <c r="X747" s="25"/>
      <c r="Y747" s="5"/>
      <c r="Z747" s="35"/>
    </row>
    <row r="748" spans="2:26" x14ac:dyDescent="0.25">
      <c r="B748" s="24"/>
      <c r="C748" s="8" t="s">
        <v>1028</v>
      </c>
      <c r="D748" s="8" t="s">
        <v>959</v>
      </c>
      <c r="E748" s="8"/>
      <c r="F748" s="5">
        <v>400</v>
      </c>
      <c r="G748" s="5">
        <v>3370</v>
      </c>
      <c r="H748" s="5">
        <v>300</v>
      </c>
      <c r="I748" s="5" t="s">
        <v>46</v>
      </c>
      <c r="J748" s="5" t="s">
        <v>536</v>
      </c>
      <c r="K748" s="5" t="s">
        <v>169</v>
      </c>
      <c r="L748" s="29" t="s">
        <v>378</v>
      </c>
      <c r="M748" s="6">
        <v>45855</v>
      </c>
      <c r="N748" s="55">
        <v>0</v>
      </c>
      <c r="O748" s="6"/>
      <c r="P748" s="7">
        <v>0.93</v>
      </c>
      <c r="Q748" s="7">
        <v>2.3250000000000002</v>
      </c>
      <c r="R748" s="7"/>
      <c r="S748" s="7"/>
      <c r="T748" s="36"/>
      <c r="U748" s="6"/>
      <c r="V748" s="5"/>
      <c r="W748" s="5"/>
      <c r="X748" s="25"/>
      <c r="Y748" s="5"/>
      <c r="Z748" s="35"/>
    </row>
    <row r="749" spans="2:26" x14ac:dyDescent="0.25">
      <c r="B749" s="24"/>
      <c r="C749" s="8" t="s">
        <v>1029</v>
      </c>
      <c r="D749" s="8" t="s">
        <v>959</v>
      </c>
      <c r="E749" s="8"/>
      <c r="F749" s="5">
        <v>400</v>
      </c>
      <c r="G749" s="5">
        <v>3060</v>
      </c>
      <c r="H749" s="5">
        <v>300</v>
      </c>
      <c r="I749" s="5" t="s">
        <v>46</v>
      </c>
      <c r="J749" s="5" t="s">
        <v>164</v>
      </c>
      <c r="K749" s="5" t="s">
        <v>168</v>
      </c>
      <c r="L749" s="29" t="s">
        <v>378</v>
      </c>
      <c r="M749" s="6">
        <v>45855</v>
      </c>
      <c r="N749" s="55">
        <v>0</v>
      </c>
      <c r="O749" s="6"/>
      <c r="P749" s="7">
        <v>0.71299999999999997</v>
      </c>
      <c r="Q749" s="7">
        <v>1.7529999999999999</v>
      </c>
      <c r="R749" s="7"/>
      <c r="S749" s="7"/>
      <c r="T749" s="36"/>
      <c r="U749" s="6"/>
      <c r="V749" s="5"/>
      <c r="W749" s="5"/>
      <c r="X749" s="25"/>
      <c r="Y749" s="5"/>
      <c r="Z749" s="35"/>
    </row>
    <row r="750" spans="2:26" x14ac:dyDescent="0.25">
      <c r="B750" s="24"/>
      <c r="C750" s="8" t="s">
        <v>1030</v>
      </c>
      <c r="D750" s="8" t="s">
        <v>959</v>
      </c>
      <c r="E750" s="8"/>
      <c r="F750" s="5">
        <v>400</v>
      </c>
      <c r="G750" s="5">
        <v>2960</v>
      </c>
      <c r="H750" s="5">
        <v>300</v>
      </c>
      <c r="I750" s="5" t="s">
        <v>46</v>
      </c>
      <c r="J750" s="5" t="s">
        <v>164</v>
      </c>
      <c r="K750" s="5" t="s">
        <v>168</v>
      </c>
      <c r="L750" s="29" t="s">
        <v>378</v>
      </c>
      <c r="M750" s="6">
        <v>45855</v>
      </c>
      <c r="N750" s="55">
        <v>0</v>
      </c>
      <c r="O750" s="6"/>
      <c r="P750" s="7">
        <v>0.748</v>
      </c>
      <c r="Q750" s="7">
        <v>1.758</v>
      </c>
      <c r="R750" s="7"/>
      <c r="S750" s="7"/>
      <c r="T750" s="36"/>
      <c r="U750" s="6"/>
      <c r="V750" s="5"/>
      <c r="W750" s="5"/>
      <c r="X750" s="25"/>
      <c r="Y750" s="5"/>
      <c r="Z750" s="35"/>
    </row>
    <row r="751" spans="2:26" x14ac:dyDescent="0.25">
      <c r="B751" s="24"/>
      <c r="C751" s="8" t="s">
        <v>1031</v>
      </c>
      <c r="D751" s="8" t="s">
        <v>959</v>
      </c>
      <c r="E751" s="8"/>
      <c r="F751" s="5">
        <v>400</v>
      </c>
      <c r="G751" s="5">
        <v>2850</v>
      </c>
      <c r="H751" s="5">
        <v>300</v>
      </c>
      <c r="I751" s="5" t="s">
        <v>46</v>
      </c>
      <c r="J751" s="5" t="s">
        <v>53</v>
      </c>
      <c r="K751" s="5" t="s">
        <v>168</v>
      </c>
      <c r="L751" s="29" t="s">
        <v>378</v>
      </c>
      <c r="M751" s="6">
        <v>45855</v>
      </c>
      <c r="N751" s="55">
        <v>0</v>
      </c>
      <c r="O751" s="6"/>
      <c r="P751" s="7">
        <v>0.748</v>
      </c>
      <c r="Q751" s="7">
        <v>1.87</v>
      </c>
      <c r="R751" s="7"/>
      <c r="S751" s="7"/>
      <c r="T751" s="36"/>
      <c r="U751" s="6"/>
      <c r="V751" s="5"/>
      <c r="W751" s="5"/>
      <c r="X751" s="25"/>
      <c r="Y751" s="5"/>
      <c r="Z751" s="35"/>
    </row>
    <row r="752" spans="2:26" x14ac:dyDescent="0.25">
      <c r="B752" s="24"/>
      <c r="C752" s="8" t="s">
        <v>1032</v>
      </c>
      <c r="D752" s="8" t="s">
        <v>959</v>
      </c>
      <c r="E752" s="8"/>
      <c r="F752" s="5">
        <v>400</v>
      </c>
      <c r="G752" s="5">
        <v>2925</v>
      </c>
      <c r="H752" s="5">
        <v>300</v>
      </c>
      <c r="I752" s="5" t="s">
        <v>46</v>
      </c>
      <c r="J752" s="5" t="s">
        <v>170</v>
      </c>
      <c r="K752" s="5" t="s">
        <v>169</v>
      </c>
      <c r="L752" s="29" t="s">
        <v>378</v>
      </c>
      <c r="M752" s="6">
        <v>45855</v>
      </c>
      <c r="N752" s="55">
        <v>0</v>
      </c>
      <c r="O752" s="6"/>
      <c r="P752" s="7">
        <v>0.84399999999999997</v>
      </c>
      <c r="Q752" s="7">
        <v>2.11</v>
      </c>
      <c r="R752" s="7"/>
      <c r="S752" s="7"/>
      <c r="T752" s="36"/>
      <c r="U752" s="6"/>
      <c r="V752" s="5"/>
      <c r="W752" s="5"/>
      <c r="X752" s="25"/>
      <c r="Y752" s="5"/>
      <c r="Z752" s="35"/>
    </row>
    <row r="753" spans="2:26" x14ac:dyDescent="0.25">
      <c r="B753" s="24"/>
      <c r="C753" s="8" t="s">
        <v>1063</v>
      </c>
      <c r="D753" s="8" t="s">
        <v>959</v>
      </c>
      <c r="E753" s="8"/>
      <c r="F753" s="5">
        <v>4588</v>
      </c>
      <c r="G753" s="5">
        <v>1080</v>
      </c>
      <c r="H753" s="5">
        <v>120</v>
      </c>
      <c r="I753" s="5" t="s">
        <v>18</v>
      </c>
      <c r="J753" s="5"/>
      <c r="K753" s="5"/>
      <c r="L753" s="56" t="s">
        <v>47</v>
      </c>
      <c r="M753" s="6">
        <v>45857</v>
      </c>
      <c r="N753" s="55">
        <v>0</v>
      </c>
      <c r="O753" s="6"/>
      <c r="P753" s="7">
        <v>0.59399999999999997</v>
      </c>
      <c r="Q753" s="7">
        <v>1.4850000000000001</v>
      </c>
      <c r="R753" s="7"/>
      <c r="S753" s="7"/>
      <c r="T753" s="36"/>
      <c r="U753" s="6"/>
      <c r="V753" s="5"/>
      <c r="W753" s="5"/>
      <c r="X753" s="25"/>
      <c r="Y753" s="5"/>
      <c r="Z753" s="35"/>
    </row>
    <row r="754" spans="2:26" x14ac:dyDescent="0.25">
      <c r="B754" s="24"/>
      <c r="C754" s="8" t="s">
        <v>1064</v>
      </c>
      <c r="D754" s="8" t="s">
        <v>1125</v>
      </c>
      <c r="E754" s="8"/>
      <c r="F754" s="5">
        <v>3990</v>
      </c>
      <c r="G754" s="5">
        <v>2950</v>
      </c>
      <c r="H754" s="5">
        <v>120</v>
      </c>
      <c r="I754" s="5" t="s">
        <v>356</v>
      </c>
      <c r="J754" s="5" t="s">
        <v>750</v>
      </c>
      <c r="K754" s="5"/>
      <c r="L754" s="56" t="s">
        <v>378</v>
      </c>
      <c r="M754" s="6">
        <v>45859</v>
      </c>
      <c r="N754" s="55">
        <v>0</v>
      </c>
      <c r="O754" s="6"/>
      <c r="P754" s="7">
        <v>1.4830000000000001</v>
      </c>
      <c r="Q754" s="7">
        <v>3.7080000000000002</v>
      </c>
      <c r="R754" s="7"/>
      <c r="S754" s="7"/>
      <c r="T754" s="36"/>
      <c r="U754" s="6"/>
      <c r="V754" s="5"/>
      <c r="W754" s="5"/>
      <c r="X754" s="25"/>
      <c r="Y754" s="5"/>
      <c r="Z754" s="35"/>
    </row>
    <row r="755" spans="2:26" x14ac:dyDescent="0.25">
      <c r="B755" s="24"/>
      <c r="C755" s="8" t="s">
        <v>1126</v>
      </c>
      <c r="D755" s="8" t="s">
        <v>1125</v>
      </c>
      <c r="E755" s="8"/>
      <c r="F755" s="5">
        <v>3990</v>
      </c>
      <c r="G755" s="5">
        <v>2950</v>
      </c>
      <c r="H755" s="5">
        <v>120</v>
      </c>
      <c r="I755" s="5" t="s">
        <v>356</v>
      </c>
      <c r="J755" s="5" t="s">
        <v>750</v>
      </c>
      <c r="K755" s="5"/>
      <c r="L755" s="56" t="s">
        <v>378</v>
      </c>
      <c r="M755" s="6">
        <v>45859</v>
      </c>
      <c r="N755" s="55">
        <v>0</v>
      </c>
      <c r="O755" s="6"/>
      <c r="P755" s="7">
        <v>1.4830000000000001</v>
      </c>
      <c r="Q755" s="7">
        <v>3.7080000000000002</v>
      </c>
      <c r="R755" s="7"/>
      <c r="S755" s="7"/>
      <c r="T755" s="36"/>
      <c r="U755" s="6"/>
      <c r="V755" s="5"/>
      <c r="W755" s="5"/>
      <c r="X755" s="25"/>
      <c r="Y755" s="5"/>
      <c r="Z755" s="35"/>
    </row>
    <row r="756" spans="2:26" x14ac:dyDescent="0.25">
      <c r="B756" s="24"/>
      <c r="C756" s="8" t="s">
        <v>1127</v>
      </c>
      <c r="D756" s="8" t="s">
        <v>1125</v>
      </c>
      <c r="E756" s="8"/>
      <c r="F756" s="5">
        <v>3990</v>
      </c>
      <c r="G756" s="5">
        <v>2950</v>
      </c>
      <c r="H756" s="5">
        <v>120</v>
      </c>
      <c r="I756" s="5" t="s">
        <v>356</v>
      </c>
      <c r="J756" s="5" t="s">
        <v>750</v>
      </c>
      <c r="K756" s="5"/>
      <c r="L756" s="29" t="s">
        <v>378</v>
      </c>
      <c r="M756" s="6">
        <v>45859</v>
      </c>
      <c r="N756" s="28">
        <v>0</v>
      </c>
      <c r="O756" s="6"/>
      <c r="P756" s="7">
        <v>1.4830000000000001</v>
      </c>
      <c r="Q756" s="7">
        <v>3.7080000000000002</v>
      </c>
      <c r="R756" s="7"/>
      <c r="S756" s="7"/>
      <c r="T756" s="36"/>
      <c r="U756" s="6"/>
      <c r="V756" s="5"/>
      <c r="W756" s="5"/>
      <c r="X756" s="25"/>
      <c r="Y756" s="5"/>
      <c r="Z756" s="35"/>
    </row>
    <row r="757" spans="2:26" x14ac:dyDescent="0.25">
      <c r="B757" s="24"/>
      <c r="C757" s="8" t="s">
        <v>1128</v>
      </c>
      <c r="D757" s="8" t="s">
        <v>1125</v>
      </c>
      <c r="E757" s="8"/>
      <c r="F757" s="5">
        <v>3990</v>
      </c>
      <c r="G757" s="5">
        <v>2950</v>
      </c>
      <c r="H757" s="5">
        <v>120</v>
      </c>
      <c r="I757" s="5" t="s">
        <v>356</v>
      </c>
      <c r="J757" s="5" t="s">
        <v>750</v>
      </c>
      <c r="K757" s="5"/>
      <c r="L757" s="29" t="s">
        <v>378</v>
      </c>
      <c r="M757" s="6">
        <v>45859</v>
      </c>
      <c r="N757" s="28">
        <v>0</v>
      </c>
      <c r="O757" s="6"/>
      <c r="P757" s="7">
        <v>1.4830000000000001</v>
      </c>
      <c r="Q757" s="7">
        <v>3.7080000000000002</v>
      </c>
      <c r="R757" s="7"/>
      <c r="S757" s="7"/>
      <c r="T757" s="36"/>
      <c r="U757" s="6"/>
      <c r="V757" s="5"/>
      <c r="W757" s="5"/>
      <c r="X757" s="25"/>
      <c r="Y757" s="5"/>
      <c r="Z757" s="35"/>
    </row>
    <row r="758" spans="2:26" x14ac:dyDescent="0.25">
      <c r="B758" s="24"/>
      <c r="C758" s="8" t="s">
        <v>1065</v>
      </c>
      <c r="D758" s="8" t="s">
        <v>1125</v>
      </c>
      <c r="E758" s="8"/>
      <c r="F758" s="5">
        <v>4420</v>
      </c>
      <c r="G758" s="5">
        <v>2950</v>
      </c>
      <c r="H758" s="5">
        <v>120</v>
      </c>
      <c r="I758" s="5" t="s">
        <v>356</v>
      </c>
      <c r="J758" s="5" t="s">
        <v>750</v>
      </c>
      <c r="K758" s="5"/>
      <c r="L758" s="29" t="s">
        <v>378</v>
      </c>
      <c r="M758" s="6">
        <v>45859</v>
      </c>
      <c r="N758" s="55">
        <v>0</v>
      </c>
      <c r="O758" s="6"/>
      <c r="P758" s="7">
        <v>1.5960000000000001</v>
      </c>
      <c r="Q758" s="7">
        <v>3.99</v>
      </c>
      <c r="R758" s="7"/>
      <c r="S758" s="7"/>
      <c r="T758" s="36"/>
      <c r="U758" s="6"/>
      <c r="V758" s="5"/>
      <c r="W758" s="5"/>
      <c r="X758" s="25"/>
      <c r="Y758" s="5"/>
      <c r="Z758" s="35"/>
    </row>
    <row r="759" spans="2:26" x14ac:dyDescent="0.25">
      <c r="B759" s="24"/>
      <c r="C759" s="8" t="s">
        <v>1129</v>
      </c>
      <c r="D759" s="8" t="s">
        <v>1125</v>
      </c>
      <c r="E759" s="8"/>
      <c r="F759" s="5">
        <v>4420</v>
      </c>
      <c r="G759" s="5">
        <v>2950</v>
      </c>
      <c r="H759" s="5">
        <v>120</v>
      </c>
      <c r="I759" s="5" t="s">
        <v>356</v>
      </c>
      <c r="J759" s="5" t="s">
        <v>750</v>
      </c>
      <c r="K759" s="5"/>
      <c r="L759" s="29" t="s">
        <v>378</v>
      </c>
      <c r="M759" s="6">
        <v>45859</v>
      </c>
      <c r="N759" s="28">
        <v>0</v>
      </c>
      <c r="O759" s="6"/>
      <c r="P759" s="7">
        <v>1.5960000000000001</v>
      </c>
      <c r="Q759" s="7">
        <v>3.99</v>
      </c>
      <c r="R759" s="7"/>
      <c r="S759" s="7"/>
      <c r="T759" s="36"/>
      <c r="U759" s="6"/>
      <c r="V759" s="5"/>
      <c r="W759" s="5"/>
      <c r="X759" s="25"/>
      <c r="Y759" s="5"/>
      <c r="Z759" s="35"/>
    </row>
    <row r="760" spans="2:26" x14ac:dyDescent="0.25">
      <c r="B760" s="24"/>
      <c r="C760" s="8" t="s">
        <v>1130</v>
      </c>
      <c r="D760" s="8" t="s">
        <v>1125</v>
      </c>
      <c r="E760" s="8"/>
      <c r="F760" s="5">
        <v>4420</v>
      </c>
      <c r="G760" s="5">
        <v>2950</v>
      </c>
      <c r="H760" s="5">
        <v>120</v>
      </c>
      <c r="I760" s="5" t="s">
        <v>356</v>
      </c>
      <c r="J760" s="5" t="s">
        <v>750</v>
      </c>
      <c r="K760" s="5"/>
      <c r="L760" s="29" t="s">
        <v>378</v>
      </c>
      <c r="M760" s="6">
        <v>45859</v>
      </c>
      <c r="N760" s="28">
        <v>0</v>
      </c>
      <c r="O760" s="6"/>
      <c r="P760" s="7">
        <v>1.5960000000000001</v>
      </c>
      <c r="Q760" s="7">
        <v>3.99</v>
      </c>
      <c r="R760" s="7"/>
      <c r="S760" s="7"/>
      <c r="T760" s="36"/>
      <c r="U760" s="6"/>
      <c r="V760" s="5"/>
      <c r="W760" s="5"/>
      <c r="X760" s="25"/>
      <c r="Y760" s="5"/>
      <c r="Z760" s="35"/>
    </row>
    <row r="761" spans="2:26" x14ac:dyDescent="0.25">
      <c r="B761" s="24"/>
      <c r="C761" s="8" t="s">
        <v>1131</v>
      </c>
      <c r="D761" s="8" t="s">
        <v>1125</v>
      </c>
      <c r="E761" s="8"/>
      <c r="F761" s="5">
        <v>4420</v>
      </c>
      <c r="G761" s="5">
        <v>2950</v>
      </c>
      <c r="H761" s="5">
        <v>120</v>
      </c>
      <c r="I761" s="5" t="s">
        <v>356</v>
      </c>
      <c r="J761" s="5" t="s">
        <v>750</v>
      </c>
      <c r="K761" s="5"/>
      <c r="L761" s="29" t="s">
        <v>378</v>
      </c>
      <c r="M761" s="6">
        <v>45859</v>
      </c>
      <c r="N761" s="55">
        <v>0</v>
      </c>
      <c r="O761" s="6"/>
      <c r="P761" s="7">
        <v>1.5960000000000001</v>
      </c>
      <c r="Q761" s="7">
        <v>3.99</v>
      </c>
      <c r="R761" s="7"/>
      <c r="S761" s="7"/>
      <c r="T761" s="36"/>
      <c r="U761" s="6"/>
      <c r="V761" s="5"/>
      <c r="W761" s="5"/>
      <c r="X761" s="25"/>
      <c r="Y761" s="5"/>
      <c r="Z761" s="35"/>
    </row>
    <row r="762" spans="2:26" x14ac:dyDescent="0.25">
      <c r="B762" s="24"/>
      <c r="C762" s="8" t="s">
        <v>1132</v>
      </c>
      <c r="D762" s="8" t="s">
        <v>1125</v>
      </c>
      <c r="E762" s="8"/>
      <c r="F762" s="5">
        <v>4420</v>
      </c>
      <c r="G762" s="5">
        <v>2950</v>
      </c>
      <c r="H762" s="5">
        <v>120</v>
      </c>
      <c r="I762" s="5" t="s">
        <v>356</v>
      </c>
      <c r="J762" s="5" t="s">
        <v>750</v>
      </c>
      <c r="K762" s="5"/>
      <c r="L762" s="29" t="s">
        <v>378</v>
      </c>
      <c r="M762" s="6">
        <v>45859</v>
      </c>
      <c r="N762" s="28">
        <v>0</v>
      </c>
      <c r="O762" s="6"/>
      <c r="P762" s="7">
        <v>1.5960000000000001</v>
      </c>
      <c r="Q762" s="7">
        <v>3.99</v>
      </c>
      <c r="R762" s="7"/>
      <c r="S762" s="7"/>
      <c r="T762" s="36"/>
      <c r="U762" s="6"/>
      <c r="V762" s="5"/>
      <c r="W762" s="5"/>
      <c r="X762" s="25"/>
      <c r="Y762" s="5"/>
      <c r="Z762" s="35"/>
    </row>
    <row r="763" spans="2:26" x14ac:dyDescent="0.25">
      <c r="B763" s="24"/>
      <c r="C763" s="8" t="s">
        <v>1133</v>
      </c>
      <c r="D763" s="8" t="s">
        <v>1125</v>
      </c>
      <c r="E763" s="8"/>
      <c r="F763" s="5">
        <v>4420</v>
      </c>
      <c r="G763" s="5">
        <v>2950</v>
      </c>
      <c r="H763" s="5">
        <v>120</v>
      </c>
      <c r="I763" s="5" t="s">
        <v>356</v>
      </c>
      <c r="J763" s="5" t="s">
        <v>750</v>
      </c>
      <c r="K763" s="5"/>
      <c r="L763" s="29" t="s">
        <v>378</v>
      </c>
      <c r="M763" s="6">
        <v>45859</v>
      </c>
      <c r="N763" s="28">
        <v>0</v>
      </c>
      <c r="O763" s="6"/>
      <c r="P763" s="7">
        <v>1.5960000000000001</v>
      </c>
      <c r="Q763" s="7">
        <v>3.99</v>
      </c>
      <c r="R763" s="7"/>
      <c r="S763" s="7"/>
      <c r="T763" s="36"/>
      <c r="U763" s="6"/>
      <c r="V763" s="5"/>
      <c r="W763" s="5"/>
      <c r="X763" s="25"/>
      <c r="Y763" s="5"/>
      <c r="Z763" s="35"/>
    </row>
    <row r="764" spans="2:26" x14ac:dyDescent="0.25">
      <c r="B764" s="24"/>
      <c r="C764" s="8" t="s">
        <v>1066</v>
      </c>
      <c r="D764" s="8" t="s">
        <v>1125</v>
      </c>
      <c r="E764" s="8"/>
      <c r="F764" s="5">
        <v>4070</v>
      </c>
      <c r="G764" s="5">
        <v>2950</v>
      </c>
      <c r="H764" s="5">
        <v>120</v>
      </c>
      <c r="I764" s="5" t="s">
        <v>356</v>
      </c>
      <c r="J764" s="5" t="s">
        <v>1134</v>
      </c>
      <c r="K764" s="5"/>
      <c r="L764" s="29" t="s">
        <v>378</v>
      </c>
      <c r="M764" s="6">
        <v>45859</v>
      </c>
      <c r="N764" s="28">
        <v>0</v>
      </c>
      <c r="O764" s="6"/>
      <c r="P764" s="7">
        <v>1.504</v>
      </c>
      <c r="Q764" s="7">
        <v>3.76</v>
      </c>
      <c r="R764" s="7"/>
      <c r="S764" s="7"/>
      <c r="T764" s="36"/>
      <c r="U764" s="6"/>
      <c r="V764" s="5"/>
      <c r="W764" s="5"/>
      <c r="X764" s="25"/>
      <c r="Y764" s="5"/>
      <c r="Z764" s="35"/>
    </row>
    <row r="765" spans="2:26" x14ac:dyDescent="0.25">
      <c r="B765" s="24"/>
      <c r="C765" s="8" t="s">
        <v>1135</v>
      </c>
      <c r="D765" s="8" t="s">
        <v>1125</v>
      </c>
      <c r="E765" s="8"/>
      <c r="F765" s="5">
        <v>4070</v>
      </c>
      <c r="G765" s="5">
        <v>2950</v>
      </c>
      <c r="H765" s="5">
        <v>120</v>
      </c>
      <c r="I765" s="5" t="s">
        <v>356</v>
      </c>
      <c r="J765" s="5" t="s">
        <v>1134</v>
      </c>
      <c r="K765" s="5"/>
      <c r="L765" s="29" t="s">
        <v>378</v>
      </c>
      <c r="M765" s="6">
        <v>45859</v>
      </c>
      <c r="N765" s="28">
        <v>0</v>
      </c>
      <c r="O765" s="6"/>
      <c r="P765" s="7">
        <v>1.504</v>
      </c>
      <c r="Q765" s="7">
        <v>3.76</v>
      </c>
      <c r="R765" s="7"/>
      <c r="S765" s="7"/>
      <c r="T765" s="36"/>
      <c r="U765" s="6"/>
      <c r="V765" s="5"/>
      <c r="W765" s="5"/>
      <c r="X765" s="25"/>
      <c r="Y765" s="5"/>
      <c r="Z765" s="35"/>
    </row>
    <row r="766" spans="2:26" x14ac:dyDescent="0.25">
      <c r="B766" s="24"/>
      <c r="C766" s="8" t="s">
        <v>1136</v>
      </c>
      <c r="D766" s="8" t="s">
        <v>1125</v>
      </c>
      <c r="E766" s="8"/>
      <c r="F766" s="5">
        <v>4070</v>
      </c>
      <c r="G766" s="5">
        <v>2950</v>
      </c>
      <c r="H766" s="5">
        <v>120</v>
      </c>
      <c r="I766" s="5" t="s">
        <v>356</v>
      </c>
      <c r="J766" s="5" t="s">
        <v>1134</v>
      </c>
      <c r="K766" s="5"/>
      <c r="L766" s="29" t="s">
        <v>378</v>
      </c>
      <c r="M766" s="6">
        <v>45859</v>
      </c>
      <c r="N766" s="28">
        <v>0</v>
      </c>
      <c r="O766" s="6"/>
      <c r="P766" s="7">
        <v>1.504</v>
      </c>
      <c r="Q766" s="7">
        <v>3.76</v>
      </c>
      <c r="R766" s="7"/>
      <c r="S766" s="7"/>
      <c r="T766" s="36"/>
      <c r="U766" s="6"/>
      <c r="V766" s="5"/>
      <c r="W766" s="5"/>
      <c r="X766" s="25"/>
      <c r="Y766" s="5"/>
      <c r="Z766" s="35"/>
    </row>
    <row r="767" spans="2:26" x14ac:dyDescent="0.25">
      <c r="B767" s="24"/>
      <c r="C767" s="8" t="s">
        <v>1137</v>
      </c>
      <c r="D767" s="8" t="s">
        <v>1125</v>
      </c>
      <c r="E767" s="8"/>
      <c r="F767" s="5">
        <v>4070</v>
      </c>
      <c r="G767" s="5">
        <v>2950</v>
      </c>
      <c r="H767" s="5">
        <v>120</v>
      </c>
      <c r="I767" s="5" t="s">
        <v>356</v>
      </c>
      <c r="J767" s="5" t="s">
        <v>1134</v>
      </c>
      <c r="K767" s="5"/>
      <c r="L767" s="29" t="s">
        <v>378</v>
      </c>
      <c r="M767" s="6">
        <v>45859</v>
      </c>
      <c r="N767" s="28">
        <v>0</v>
      </c>
      <c r="O767" s="6"/>
      <c r="P767" s="7">
        <v>1.504</v>
      </c>
      <c r="Q767" s="7">
        <v>3.76</v>
      </c>
      <c r="R767" s="7"/>
      <c r="S767" s="7"/>
      <c r="T767" s="36"/>
      <c r="U767" s="6"/>
      <c r="V767" s="5"/>
      <c r="W767" s="5"/>
      <c r="X767" s="25"/>
      <c r="Y767" s="5"/>
      <c r="Z767" s="35"/>
    </row>
    <row r="768" spans="2:26" x14ac:dyDescent="0.25">
      <c r="B768" s="24"/>
      <c r="C768" s="8" t="s">
        <v>1067</v>
      </c>
      <c r="D768" s="8" t="s">
        <v>1125</v>
      </c>
      <c r="E768" s="8"/>
      <c r="F768" s="5">
        <v>5975</v>
      </c>
      <c r="G768" s="5">
        <v>3350</v>
      </c>
      <c r="H768" s="5">
        <v>120</v>
      </c>
      <c r="I768" s="5" t="s">
        <v>389</v>
      </c>
      <c r="J768" s="5" t="s">
        <v>110</v>
      </c>
      <c r="K768" s="5"/>
      <c r="L768" s="29" t="s">
        <v>378</v>
      </c>
      <c r="M768" s="6">
        <v>45859</v>
      </c>
      <c r="N768" s="28">
        <v>0</v>
      </c>
      <c r="O768" s="6"/>
      <c r="P768" s="7">
        <v>2.6520000000000001</v>
      </c>
      <c r="Q768" s="7">
        <v>6.63</v>
      </c>
      <c r="R768" s="7"/>
      <c r="S768" s="7"/>
      <c r="T768" s="36"/>
      <c r="U768" s="6"/>
      <c r="V768" s="5"/>
      <c r="W768" s="5"/>
      <c r="X768" s="25"/>
      <c r="Y768" s="5"/>
      <c r="Z768" s="35"/>
    </row>
    <row r="769" spans="2:26" x14ac:dyDescent="0.25">
      <c r="B769" s="24"/>
      <c r="C769" s="8" t="s">
        <v>1068</v>
      </c>
      <c r="D769" s="8" t="s">
        <v>1125</v>
      </c>
      <c r="E769" s="8"/>
      <c r="F769" s="5">
        <v>5975</v>
      </c>
      <c r="G769" s="5">
        <v>3350</v>
      </c>
      <c r="H769" s="5">
        <v>120</v>
      </c>
      <c r="I769" s="5" t="s">
        <v>389</v>
      </c>
      <c r="J769" s="5" t="s">
        <v>110</v>
      </c>
      <c r="K769" s="5"/>
      <c r="L769" s="29" t="s">
        <v>378</v>
      </c>
      <c r="M769" s="6">
        <v>45859</v>
      </c>
      <c r="N769" s="55">
        <v>0</v>
      </c>
      <c r="O769" s="6"/>
      <c r="P769" s="7">
        <v>2.6520000000000001</v>
      </c>
      <c r="Q769" s="7">
        <v>6.63</v>
      </c>
      <c r="R769" s="7"/>
      <c r="S769" s="7"/>
      <c r="T769" s="36"/>
      <c r="U769" s="6"/>
      <c r="V769" s="5"/>
      <c r="W769" s="5"/>
      <c r="X769" s="25"/>
      <c r="Y769" s="5"/>
      <c r="Z769" s="35"/>
    </row>
    <row r="770" spans="2:26" x14ac:dyDescent="0.25">
      <c r="B770" s="24"/>
      <c r="C770" s="8" t="s">
        <v>1069</v>
      </c>
      <c r="D770" s="8" t="s">
        <v>1125</v>
      </c>
      <c r="E770" s="8"/>
      <c r="F770" s="5">
        <v>5975</v>
      </c>
      <c r="G770" s="5">
        <v>3350</v>
      </c>
      <c r="H770" s="5">
        <v>120</v>
      </c>
      <c r="I770" s="5" t="s">
        <v>389</v>
      </c>
      <c r="J770" s="5" t="s">
        <v>110</v>
      </c>
      <c r="K770" s="5"/>
      <c r="L770" s="29" t="s">
        <v>378</v>
      </c>
      <c r="M770" s="6">
        <v>45859</v>
      </c>
      <c r="N770" s="55">
        <v>0</v>
      </c>
      <c r="O770" s="6"/>
      <c r="P770" s="7">
        <v>2.6520000000000001</v>
      </c>
      <c r="Q770" s="7">
        <v>6.63</v>
      </c>
      <c r="R770" s="7"/>
      <c r="S770" s="7"/>
      <c r="T770" s="36"/>
      <c r="U770" s="6"/>
      <c r="V770" s="5"/>
      <c r="W770" s="5"/>
      <c r="X770" s="25"/>
      <c r="Y770" s="5"/>
      <c r="Z770" s="35"/>
    </row>
    <row r="771" spans="2:26" x14ac:dyDescent="0.25">
      <c r="B771" s="24"/>
      <c r="C771" s="8" t="s">
        <v>1070</v>
      </c>
      <c r="D771" s="8" t="s">
        <v>1125</v>
      </c>
      <c r="E771" s="8"/>
      <c r="F771" s="5">
        <v>5975</v>
      </c>
      <c r="G771" s="5">
        <v>3340</v>
      </c>
      <c r="H771" s="5">
        <v>120</v>
      </c>
      <c r="I771" s="5" t="s">
        <v>389</v>
      </c>
      <c r="J771" s="5" t="s">
        <v>110</v>
      </c>
      <c r="K771" s="5"/>
      <c r="L771" s="29" t="s">
        <v>378</v>
      </c>
      <c r="M771" s="6">
        <v>45859</v>
      </c>
      <c r="N771" s="55">
        <v>0</v>
      </c>
      <c r="O771" s="6"/>
      <c r="P771" s="7">
        <v>2.6520000000000001</v>
      </c>
      <c r="Q771" s="7">
        <v>6.63</v>
      </c>
      <c r="R771" s="7"/>
      <c r="S771" s="7"/>
      <c r="T771" s="36"/>
      <c r="U771" s="6"/>
      <c r="V771" s="5"/>
      <c r="W771" s="5"/>
      <c r="X771" s="25"/>
      <c r="Y771" s="5"/>
      <c r="Z771" s="35"/>
    </row>
    <row r="772" spans="2:26" x14ac:dyDescent="0.25">
      <c r="B772" s="24"/>
      <c r="C772" s="8" t="s">
        <v>1071</v>
      </c>
      <c r="D772" s="8" t="s">
        <v>1125</v>
      </c>
      <c r="E772" s="8"/>
      <c r="F772" s="5">
        <v>5975</v>
      </c>
      <c r="G772" s="5">
        <v>3340</v>
      </c>
      <c r="H772" s="5">
        <v>120</v>
      </c>
      <c r="I772" s="5" t="s">
        <v>389</v>
      </c>
      <c r="J772" s="5" t="s">
        <v>110</v>
      </c>
      <c r="K772" s="5"/>
      <c r="L772" s="29" t="s">
        <v>378</v>
      </c>
      <c r="M772" s="6">
        <v>45859</v>
      </c>
      <c r="N772" s="55">
        <v>0</v>
      </c>
      <c r="O772" s="6"/>
      <c r="P772" s="7">
        <v>2.6520000000000001</v>
      </c>
      <c r="Q772" s="7">
        <v>6.63</v>
      </c>
      <c r="R772" s="7"/>
      <c r="S772" s="7"/>
      <c r="T772" s="36"/>
      <c r="U772" s="6"/>
      <c r="V772" s="5"/>
      <c r="W772" s="5"/>
      <c r="X772" s="25"/>
      <c r="Y772" s="5"/>
      <c r="Z772" s="35"/>
    </row>
    <row r="773" spans="2:26" x14ac:dyDescent="0.25">
      <c r="B773" s="24"/>
      <c r="C773" s="8" t="s">
        <v>1072</v>
      </c>
      <c r="D773" s="8" t="s">
        <v>1125</v>
      </c>
      <c r="E773" s="8"/>
      <c r="F773" s="5">
        <v>5975</v>
      </c>
      <c r="G773" s="5">
        <v>3340</v>
      </c>
      <c r="H773" s="5">
        <v>120</v>
      </c>
      <c r="I773" s="5" t="s">
        <v>389</v>
      </c>
      <c r="J773" s="5" t="s">
        <v>110</v>
      </c>
      <c r="K773" s="5"/>
      <c r="L773" s="29" t="s">
        <v>378</v>
      </c>
      <c r="M773" s="6">
        <v>45859</v>
      </c>
      <c r="N773" s="55">
        <v>0</v>
      </c>
      <c r="O773" s="6"/>
      <c r="P773" s="7">
        <v>2.6520000000000001</v>
      </c>
      <c r="Q773" s="7">
        <v>6.63</v>
      </c>
      <c r="R773" s="7"/>
      <c r="S773" s="7"/>
      <c r="T773" s="36"/>
      <c r="U773" s="6"/>
      <c r="V773" s="5"/>
      <c r="W773" s="5"/>
      <c r="X773" s="25"/>
      <c r="Y773" s="5"/>
      <c r="Z773" s="35"/>
    </row>
    <row r="774" spans="2:26" x14ac:dyDescent="0.25">
      <c r="B774" s="24"/>
      <c r="C774" s="8" t="s">
        <v>1073</v>
      </c>
      <c r="D774" s="8" t="s">
        <v>1125</v>
      </c>
      <c r="E774" s="8"/>
      <c r="F774" s="5">
        <v>4144</v>
      </c>
      <c r="G774" s="5">
        <v>1920</v>
      </c>
      <c r="H774" s="5">
        <v>120</v>
      </c>
      <c r="I774" s="5" t="s">
        <v>18</v>
      </c>
      <c r="J774" s="5"/>
      <c r="K774" s="5"/>
      <c r="L774" s="29" t="s">
        <v>378</v>
      </c>
      <c r="M774" s="6">
        <v>45859</v>
      </c>
      <c r="N774" s="55">
        <v>0</v>
      </c>
      <c r="O774" s="6"/>
      <c r="P774" s="7">
        <v>0.95499999999999996</v>
      </c>
      <c r="Q774" s="7">
        <v>2.3879999999999999</v>
      </c>
      <c r="R774" s="7"/>
      <c r="S774" s="7"/>
      <c r="T774" s="36"/>
      <c r="U774" s="6"/>
      <c r="V774" s="5"/>
      <c r="W774" s="5"/>
      <c r="X774" s="25"/>
      <c r="Y774" s="5"/>
      <c r="Z774" s="35"/>
    </row>
    <row r="775" spans="2:26" x14ac:dyDescent="0.25">
      <c r="B775" s="24"/>
      <c r="C775" s="8" t="s">
        <v>1074</v>
      </c>
      <c r="D775" s="8" t="s">
        <v>1125</v>
      </c>
      <c r="E775" s="8"/>
      <c r="F775" s="5">
        <v>4144</v>
      </c>
      <c r="G775" s="5">
        <v>2065</v>
      </c>
      <c r="H775" s="5">
        <v>120</v>
      </c>
      <c r="I775" s="5" t="s">
        <v>18</v>
      </c>
      <c r="J775" s="5"/>
      <c r="K775" s="5"/>
      <c r="L775" s="29" t="s">
        <v>378</v>
      </c>
      <c r="M775" s="6">
        <v>45859</v>
      </c>
      <c r="N775" s="55">
        <v>0</v>
      </c>
      <c r="O775" s="6"/>
      <c r="P775" s="7">
        <v>1.3180000000000001</v>
      </c>
      <c r="Q775" s="7">
        <v>3.2949999999999999</v>
      </c>
      <c r="R775" s="7"/>
      <c r="S775" s="7"/>
      <c r="T775" s="36"/>
      <c r="U775" s="6"/>
      <c r="V775" s="5"/>
      <c r="W775" s="5"/>
      <c r="X775" s="25"/>
      <c r="Y775" s="5"/>
      <c r="Z775" s="35"/>
    </row>
    <row r="776" spans="2:26" x14ac:dyDescent="0.25">
      <c r="B776" s="24"/>
      <c r="C776" s="8" t="s">
        <v>1075</v>
      </c>
      <c r="D776" s="8" t="s">
        <v>1125</v>
      </c>
      <c r="E776" s="8"/>
      <c r="F776" s="5">
        <v>4144</v>
      </c>
      <c r="G776" s="5">
        <v>2065</v>
      </c>
      <c r="H776" s="5">
        <v>120</v>
      </c>
      <c r="I776" s="5" t="s">
        <v>18</v>
      </c>
      <c r="J776" s="5"/>
      <c r="K776" s="5"/>
      <c r="L776" s="29" t="s">
        <v>378</v>
      </c>
      <c r="M776" s="6">
        <v>45859</v>
      </c>
      <c r="N776" s="55">
        <v>0</v>
      </c>
      <c r="O776" s="6"/>
      <c r="P776" s="7">
        <v>1.0269999999999999</v>
      </c>
      <c r="Q776" s="7">
        <v>2.5680000000000001</v>
      </c>
      <c r="R776" s="7"/>
      <c r="S776" s="7"/>
      <c r="T776" s="36"/>
      <c r="U776" s="6"/>
      <c r="V776" s="5"/>
      <c r="W776" s="5"/>
      <c r="X776" s="25"/>
      <c r="Y776" s="5"/>
      <c r="Z776" s="35"/>
    </row>
    <row r="777" spans="2:26" x14ac:dyDescent="0.25">
      <c r="B777" s="24"/>
      <c r="C777" s="8" t="s">
        <v>1076</v>
      </c>
      <c r="D777" s="8" t="s">
        <v>1125</v>
      </c>
      <c r="E777" s="8"/>
      <c r="F777" s="5">
        <v>4325</v>
      </c>
      <c r="G777" s="5">
        <v>2110</v>
      </c>
      <c r="H777" s="5">
        <v>120</v>
      </c>
      <c r="I777" s="5" t="s">
        <v>18</v>
      </c>
      <c r="J777" s="5"/>
      <c r="K777" s="5"/>
      <c r="L777" s="29" t="s">
        <v>378</v>
      </c>
      <c r="M777" s="6">
        <v>45859</v>
      </c>
      <c r="N777" s="55">
        <v>0</v>
      </c>
      <c r="O777" s="6"/>
      <c r="P777" s="7">
        <v>1.095</v>
      </c>
      <c r="Q777" s="7">
        <v>2.7360000000000002</v>
      </c>
      <c r="R777" s="7"/>
      <c r="S777" s="7"/>
      <c r="T777" s="36"/>
      <c r="U777" s="6"/>
      <c r="V777" s="5"/>
      <c r="W777" s="5"/>
      <c r="X777" s="25"/>
      <c r="Y777" s="5"/>
      <c r="Z777" s="35"/>
    </row>
    <row r="778" spans="2:26" x14ac:dyDescent="0.25">
      <c r="B778" s="24"/>
      <c r="C778" s="8" t="s">
        <v>1077</v>
      </c>
      <c r="D778" s="8" t="s">
        <v>1125</v>
      </c>
      <c r="E778" s="8"/>
      <c r="F778" s="5">
        <v>4225</v>
      </c>
      <c r="G778" s="5">
        <v>2110</v>
      </c>
      <c r="H778" s="5">
        <v>120</v>
      </c>
      <c r="I778" s="5" t="s">
        <v>18</v>
      </c>
      <c r="J778" s="5"/>
      <c r="K778" s="5"/>
      <c r="L778" s="29" t="s">
        <v>378</v>
      </c>
      <c r="M778" s="6">
        <v>45859</v>
      </c>
      <c r="N778" s="55">
        <v>0</v>
      </c>
      <c r="O778" s="6"/>
      <c r="P778" s="7">
        <v>1.07</v>
      </c>
      <c r="Q778" s="7">
        <v>2.6749999999999998</v>
      </c>
      <c r="R778" s="7"/>
      <c r="S778" s="7"/>
      <c r="T778" s="36"/>
      <c r="U778" s="6"/>
      <c r="V778" s="5"/>
      <c r="W778" s="5"/>
      <c r="X778" s="25"/>
      <c r="Y778" s="5"/>
      <c r="Z778" s="35"/>
    </row>
    <row r="779" spans="2:26" x14ac:dyDescent="0.25">
      <c r="B779" s="24"/>
      <c r="C779" s="8" t="s">
        <v>1078</v>
      </c>
      <c r="D779" s="8" t="s">
        <v>1125</v>
      </c>
      <c r="E779" s="8"/>
      <c r="F779" s="5">
        <v>2799</v>
      </c>
      <c r="G779" s="5">
        <v>2110</v>
      </c>
      <c r="H779" s="5">
        <v>120</v>
      </c>
      <c r="I779" s="5" t="s">
        <v>18</v>
      </c>
      <c r="J779" s="5"/>
      <c r="K779" s="5"/>
      <c r="L779" s="29" t="s">
        <v>378</v>
      </c>
      <c r="M779" s="6">
        <v>45859</v>
      </c>
      <c r="N779" s="55">
        <v>0</v>
      </c>
      <c r="O779" s="6"/>
      <c r="P779" s="7">
        <v>0.70899999999999996</v>
      </c>
      <c r="Q779" s="7">
        <v>1.7729999999999999</v>
      </c>
      <c r="R779" s="7"/>
      <c r="S779" s="7"/>
      <c r="T779" s="36"/>
      <c r="U779" s="6"/>
      <c r="V779" s="5"/>
      <c r="W779" s="5"/>
      <c r="X779" s="25"/>
      <c r="Y779" s="5"/>
      <c r="Z779" s="35"/>
    </row>
    <row r="780" spans="2:26" x14ac:dyDescent="0.25">
      <c r="B780" s="24"/>
      <c r="C780" s="8" t="s">
        <v>1079</v>
      </c>
      <c r="D780" s="8" t="s">
        <v>1125</v>
      </c>
      <c r="E780" s="8"/>
      <c r="F780" s="5">
        <v>4789</v>
      </c>
      <c r="G780" s="5">
        <v>2790</v>
      </c>
      <c r="H780" s="5">
        <v>120</v>
      </c>
      <c r="I780" s="5" t="s">
        <v>18</v>
      </c>
      <c r="J780" s="5"/>
      <c r="K780" s="5"/>
      <c r="L780" s="29" t="s">
        <v>378</v>
      </c>
      <c r="M780" s="6">
        <v>45859</v>
      </c>
      <c r="N780" s="55">
        <v>0</v>
      </c>
      <c r="O780" s="6"/>
      <c r="P780" s="7">
        <v>1.603</v>
      </c>
      <c r="Q780" s="7">
        <v>4.008</v>
      </c>
      <c r="R780" s="7"/>
      <c r="S780" s="7"/>
      <c r="T780" s="36"/>
      <c r="U780" s="6"/>
      <c r="V780" s="5"/>
      <c r="W780" s="5"/>
      <c r="X780" s="25"/>
      <c r="Y780" s="5"/>
      <c r="Z780" s="35"/>
    </row>
    <row r="781" spans="2:26" x14ac:dyDescent="0.25">
      <c r="B781" s="24"/>
      <c r="C781" s="8" t="s">
        <v>1080</v>
      </c>
      <c r="D781" s="8" t="s">
        <v>1125</v>
      </c>
      <c r="E781" s="8"/>
      <c r="F781" s="5">
        <v>4788</v>
      </c>
      <c r="G781" s="5">
        <v>1840</v>
      </c>
      <c r="H781" s="5">
        <v>120</v>
      </c>
      <c r="I781" s="5" t="s">
        <v>18</v>
      </c>
      <c r="J781" s="5"/>
      <c r="K781" s="5"/>
      <c r="L781" s="29" t="s">
        <v>378</v>
      </c>
      <c r="M781" s="6">
        <v>45859</v>
      </c>
      <c r="N781" s="55">
        <v>0</v>
      </c>
      <c r="O781" s="6"/>
      <c r="P781" s="7">
        <v>1.0569999999999999</v>
      </c>
      <c r="Q781" s="7">
        <v>2.6429999999999998</v>
      </c>
      <c r="R781" s="7"/>
      <c r="S781" s="7"/>
      <c r="T781" s="36"/>
      <c r="U781" s="6"/>
      <c r="V781" s="5"/>
      <c r="W781" s="5"/>
      <c r="X781" s="25"/>
      <c r="Y781" s="5"/>
      <c r="Z781" s="35"/>
    </row>
    <row r="782" spans="2:26" x14ac:dyDescent="0.25">
      <c r="B782" s="24"/>
      <c r="C782" s="8" t="s">
        <v>1081</v>
      </c>
      <c r="D782" s="8" t="s">
        <v>1125</v>
      </c>
      <c r="E782" s="8"/>
      <c r="F782" s="5">
        <v>3680</v>
      </c>
      <c r="G782" s="5">
        <v>2950</v>
      </c>
      <c r="H782" s="5">
        <v>120</v>
      </c>
      <c r="I782" s="5" t="s">
        <v>356</v>
      </c>
      <c r="J782" s="5" t="s">
        <v>750</v>
      </c>
      <c r="K782" s="5"/>
      <c r="L782" s="29" t="s">
        <v>378</v>
      </c>
      <c r="M782" s="6">
        <v>45859</v>
      </c>
      <c r="N782" s="55">
        <v>0</v>
      </c>
      <c r="O782" s="6"/>
      <c r="P782" s="7">
        <v>1.403</v>
      </c>
      <c r="Q782" s="7">
        <v>3.508</v>
      </c>
      <c r="R782" s="7"/>
      <c r="S782" s="7"/>
      <c r="T782" s="36"/>
      <c r="U782" s="6"/>
      <c r="V782" s="5"/>
      <c r="W782" s="5"/>
      <c r="X782" s="25"/>
      <c r="Y782" s="5"/>
      <c r="Z782" s="35"/>
    </row>
    <row r="783" spans="2:26" x14ac:dyDescent="0.25">
      <c r="B783" s="24"/>
      <c r="C783" s="8" t="s">
        <v>1082</v>
      </c>
      <c r="D783" s="8" t="s">
        <v>1125</v>
      </c>
      <c r="E783" s="8"/>
      <c r="F783" s="5">
        <v>4000</v>
      </c>
      <c r="G783" s="5">
        <v>2950</v>
      </c>
      <c r="H783" s="5">
        <v>120</v>
      </c>
      <c r="I783" s="5" t="s">
        <v>356</v>
      </c>
      <c r="J783" s="5" t="s">
        <v>750</v>
      </c>
      <c r="K783" s="5"/>
      <c r="L783" s="29" t="s">
        <v>378</v>
      </c>
      <c r="M783" s="6">
        <v>45859</v>
      </c>
      <c r="N783" s="55">
        <v>0</v>
      </c>
      <c r="O783" s="6"/>
      <c r="P783" s="7">
        <v>1.4830000000000001</v>
      </c>
      <c r="Q783" s="7">
        <v>3.7080000000000002</v>
      </c>
      <c r="R783" s="7"/>
      <c r="S783" s="7"/>
      <c r="T783" s="36"/>
      <c r="U783" s="6"/>
      <c r="V783" s="5"/>
      <c r="W783" s="5"/>
      <c r="X783" s="25"/>
      <c r="Y783" s="5"/>
      <c r="Z783" s="35"/>
    </row>
    <row r="784" spans="2:26" x14ac:dyDescent="0.25">
      <c r="B784" s="24"/>
      <c r="C784" s="8" t="s">
        <v>1138</v>
      </c>
      <c r="D784" s="8" t="s">
        <v>1125</v>
      </c>
      <c r="E784" s="8"/>
      <c r="F784" s="5">
        <v>4000</v>
      </c>
      <c r="G784" s="5">
        <v>2950</v>
      </c>
      <c r="H784" s="5">
        <v>120</v>
      </c>
      <c r="I784" s="5" t="s">
        <v>356</v>
      </c>
      <c r="J784" s="5" t="s">
        <v>750</v>
      </c>
      <c r="K784" s="5"/>
      <c r="L784" s="29" t="s">
        <v>378</v>
      </c>
      <c r="M784" s="6">
        <v>45859</v>
      </c>
      <c r="N784" s="28">
        <v>0</v>
      </c>
      <c r="O784" s="6"/>
      <c r="P784" s="7">
        <v>1.4830000000000001</v>
      </c>
      <c r="Q784" s="7">
        <v>3.7080000000000002</v>
      </c>
      <c r="R784" s="7"/>
      <c r="S784" s="7"/>
      <c r="T784" s="36"/>
      <c r="U784" s="6"/>
      <c r="V784" s="5"/>
      <c r="W784" s="5"/>
      <c r="X784" s="25"/>
      <c r="Y784" s="5"/>
      <c r="Z784" s="35"/>
    </row>
    <row r="785" spans="2:26" x14ac:dyDescent="0.25">
      <c r="B785" s="24"/>
      <c r="C785" s="8" t="s">
        <v>1083</v>
      </c>
      <c r="D785" s="8" t="s">
        <v>1125</v>
      </c>
      <c r="E785" s="8"/>
      <c r="F785" s="5">
        <v>4350</v>
      </c>
      <c r="G785" s="5">
        <v>2950</v>
      </c>
      <c r="H785" s="5">
        <v>120</v>
      </c>
      <c r="I785" s="5" t="s">
        <v>356</v>
      </c>
      <c r="J785" s="5" t="s">
        <v>750</v>
      </c>
      <c r="K785" s="5"/>
      <c r="L785" s="29" t="s">
        <v>378</v>
      </c>
      <c r="M785" s="6">
        <v>45859</v>
      </c>
      <c r="N785" s="55">
        <v>0</v>
      </c>
      <c r="O785" s="6"/>
      <c r="P785" s="7">
        <v>1.5780000000000001</v>
      </c>
      <c r="Q785" s="7">
        <v>3.9449999999999998</v>
      </c>
      <c r="R785" s="7"/>
      <c r="S785" s="7"/>
      <c r="T785" s="36"/>
      <c r="U785" s="6"/>
      <c r="V785" s="5"/>
      <c r="W785" s="5"/>
      <c r="X785" s="25"/>
      <c r="Y785" s="5"/>
      <c r="Z785" s="35"/>
    </row>
    <row r="786" spans="2:26" x14ac:dyDescent="0.25">
      <c r="B786" s="24"/>
      <c r="C786" s="8" t="s">
        <v>1139</v>
      </c>
      <c r="D786" s="8" t="s">
        <v>1125</v>
      </c>
      <c r="E786" s="8"/>
      <c r="F786" s="5">
        <v>4350</v>
      </c>
      <c r="G786" s="5">
        <v>2950</v>
      </c>
      <c r="H786" s="5">
        <v>120</v>
      </c>
      <c r="I786" s="5" t="s">
        <v>356</v>
      </c>
      <c r="J786" s="5" t="s">
        <v>750</v>
      </c>
      <c r="K786" s="5"/>
      <c r="L786" s="29" t="s">
        <v>378</v>
      </c>
      <c r="M786" s="6">
        <v>45859</v>
      </c>
      <c r="N786" s="28">
        <v>0</v>
      </c>
      <c r="O786" s="6"/>
      <c r="P786" s="7">
        <v>1.5780000000000001</v>
      </c>
      <c r="Q786" s="7">
        <v>3.9449999999999998</v>
      </c>
      <c r="R786" s="7"/>
      <c r="S786" s="7"/>
      <c r="T786" s="36"/>
      <c r="U786" s="6"/>
      <c r="V786" s="5"/>
      <c r="W786" s="5"/>
      <c r="X786" s="25"/>
      <c r="Y786" s="5"/>
      <c r="Z786" s="35"/>
    </row>
    <row r="787" spans="2:26" x14ac:dyDescent="0.25">
      <c r="B787" s="24"/>
      <c r="C787" s="8" t="s">
        <v>1084</v>
      </c>
      <c r="D787" s="8" t="s">
        <v>1125</v>
      </c>
      <c r="E787" s="8"/>
      <c r="F787" s="5">
        <v>3920</v>
      </c>
      <c r="G787" s="5">
        <v>2950</v>
      </c>
      <c r="H787" s="5">
        <v>120</v>
      </c>
      <c r="I787" s="5" t="s">
        <v>356</v>
      </c>
      <c r="J787" s="5" t="s">
        <v>750</v>
      </c>
      <c r="K787" s="5"/>
      <c r="L787" s="29" t="s">
        <v>378</v>
      </c>
      <c r="M787" s="6">
        <v>45859</v>
      </c>
      <c r="N787" s="55">
        <v>0</v>
      </c>
      <c r="O787" s="6"/>
      <c r="P787" s="7">
        <v>1.466</v>
      </c>
      <c r="Q787" s="7">
        <v>3.665</v>
      </c>
      <c r="R787" s="7"/>
      <c r="S787" s="7"/>
      <c r="T787" s="36"/>
      <c r="U787" s="6"/>
      <c r="V787" s="5"/>
      <c r="W787" s="5"/>
      <c r="X787" s="25"/>
      <c r="Y787" s="5"/>
      <c r="Z787" s="35"/>
    </row>
    <row r="788" spans="2:26" x14ac:dyDescent="0.25">
      <c r="B788" s="24"/>
      <c r="C788" s="8" t="s">
        <v>1085</v>
      </c>
      <c r="D788" s="8" t="s">
        <v>1125</v>
      </c>
      <c r="E788" s="8"/>
      <c r="F788" s="5">
        <v>4253</v>
      </c>
      <c r="G788" s="5">
        <v>1135</v>
      </c>
      <c r="H788" s="5">
        <v>120</v>
      </c>
      <c r="I788" s="5" t="s">
        <v>18</v>
      </c>
      <c r="J788" s="5"/>
      <c r="K788" s="5"/>
      <c r="L788" s="29" t="s">
        <v>378</v>
      </c>
      <c r="M788" s="6">
        <v>45859</v>
      </c>
      <c r="N788" s="55">
        <v>0</v>
      </c>
      <c r="O788" s="6"/>
      <c r="P788" s="7">
        <v>0.57899999999999996</v>
      </c>
      <c r="Q788" s="7">
        <v>1.448</v>
      </c>
      <c r="R788" s="7"/>
      <c r="S788" s="7"/>
      <c r="T788" s="36"/>
      <c r="U788" s="6"/>
      <c r="V788" s="5"/>
      <c r="W788" s="5"/>
      <c r="X788" s="25"/>
      <c r="Y788" s="5"/>
      <c r="Z788" s="35"/>
    </row>
    <row r="789" spans="2:26" x14ac:dyDescent="0.25">
      <c r="B789" s="24"/>
      <c r="C789" s="8" t="s">
        <v>1086</v>
      </c>
      <c r="D789" s="8" t="s">
        <v>1125</v>
      </c>
      <c r="E789" s="8"/>
      <c r="F789" s="5">
        <v>4251</v>
      </c>
      <c r="G789" s="5">
        <v>1280</v>
      </c>
      <c r="H789" s="5">
        <v>120</v>
      </c>
      <c r="I789" s="5" t="s">
        <v>18</v>
      </c>
      <c r="J789" s="5"/>
      <c r="K789" s="5"/>
      <c r="L789" s="29" t="s">
        <v>378</v>
      </c>
      <c r="M789" s="6">
        <v>45859</v>
      </c>
      <c r="N789" s="55">
        <v>0</v>
      </c>
      <c r="O789" s="6"/>
      <c r="P789" s="7">
        <v>0.65300000000000002</v>
      </c>
      <c r="Q789" s="7">
        <v>1.633</v>
      </c>
      <c r="R789" s="7"/>
      <c r="S789" s="7"/>
      <c r="T789" s="36"/>
      <c r="U789" s="6"/>
      <c r="V789" s="5"/>
      <c r="W789" s="5"/>
      <c r="X789" s="25"/>
      <c r="Y789" s="5"/>
      <c r="Z789" s="35"/>
    </row>
    <row r="790" spans="2:26" x14ac:dyDescent="0.25">
      <c r="B790" s="24"/>
      <c r="C790" s="8" t="s">
        <v>1087</v>
      </c>
      <c r="D790" s="8" t="s">
        <v>1125</v>
      </c>
      <c r="E790" s="8"/>
      <c r="F790" s="5">
        <v>4251</v>
      </c>
      <c r="G790" s="5">
        <v>1280</v>
      </c>
      <c r="H790" s="5">
        <v>120</v>
      </c>
      <c r="I790" s="5" t="s">
        <v>18</v>
      </c>
      <c r="J790" s="5"/>
      <c r="K790" s="5"/>
      <c r="L790" s="29" t="s">
        <v>378</v>
      </c>
      <c r="M790" s="6">
        <v>45859</v>
      </c>
      <c r="N790" s="55">
        <v>0</v>
      </c>
      <c r="O790" s="6"/>
      <c r="P790" s="7">
        <v>0.65300000000000002</v>
      </c>
      <c r="Q790" s="7">
        <v>1.633</v>
      </c>
      <c r="R790" s="7"/>
      <c r="S790" s="7"/>
      <c r="T790" s="36"/>
      <c r="U790" s="6"/>
      <c r="V790" s="5"/>
      <c r="W790" s="5"/>
      <c r="X790" s="25"/>
      <c r="Y790" s="5"/>
      <c r="Z790" s="35"/>
    </row>
    <row r="791" spans="2:26" x14ac:dyDescent="0.25">
      <c r="B791" s="24"/>
      <c r="C791" s="8" t="s">
        <v>1088</v>
      </c>
      <c r="D791" s="8" t="s">
        <v>1125</v>
      </c>
      <c r="E791" s="8"/>
      <c r="F791" s="5">
        <v>4895</v>
      </c>
      <c r="G791" s="5">
        <v>1365</v>
      </c>
      <c r="H791" s="5">
        <v>120</v>
      </c>
      <c r="I791" s="5" t="s">
        <v>18</v>
      </c>
      <c r="J791" s="5"/>
      <c r="K791" s="5"/>
      <c r="L791" s="29" t="s">
        <v>378</v>
      </c>
      <c r="M791" s="6">
        <v>45859</v>
      </c>
      <c r="N791" s="55">
        <v>0</v>
      </c>
      <c r="O791" s="6"/>
      <c r="P791" s="7">
        <v>0.80200000000000005</v>
      </c>
      <c r="Q791" s="7">
        <v>2.0049999999999999</v>
      </c>
      <c r="R791" s="7"/>
      <c r="S791" s="7"/>
      <c r="T791" s="36"/>
      <c r="U791" s="6"/>
      <c r="V791" s="5"/>
      <c r="W791" s="5"/>
      <c r="X791" s="25"/>
      <c r="Y791" s="5"/>
      <c r="Z791" s="35"/>
    </row>
    <row r="792" spans="2:26" x14ac:dyDescent="0.25">
      <c r="B792" s="24"/>
      <c r="C792" s="8" t="s">
        <v>1089</v>
      </c>
      <c r="D792" s="8" t="s">
        <v>1125</v>
      </c>
      <c r="E792" s="8"/>
      <c r="F792" s="5">
        <v>4894</v>
      </c>
      <c r="G792" s="5">
        <v>1450</v>
      </c>
      <c r="H792" s="5">
        <v>120</v>
      </c>
      <c r="I792" s="5" t="s">
        <v>18</v>
      </c>
      <c r="J792" s="5"/>
      <c r="K792" s="5"/>
      <c r="L792" s="29" t="s">
        <v>378</v>
      </c>
      <c r="M792" s="6">
        <v>45859</v>
      </c>
      <c r="N792" s="55">
        <v>0</v>
      </c>
      <c r="O792" s="6"/>
      <c r="P792" s="7">
        <v>0.85199999999999998</v>
      </c>
      <c r="Q792" s="7">
        <v>2.13</v>
      </c>
      <c r="R792" s="7"/>
      <c r="S792" s="7"/>
      <c r="T792" s="36"/>
      <c r="U792" s="6"/>
      <c r="V792" s="5"/>
      <c r="W792" s="5"/>
      <c r="X792" s="25"/>
      <c r="Y792" s="5"/>
      <c r="Z792" s="35"/>
    </row>
    <row r="793" spans="2:26" x14ac:dyDescent="0.25">
      <c r="B793" s="24"/>
      <c r="C793" s="8" t="s">
        <v>1090</v>
      </c>
      <c r="D793" s="8" t="s">
        <v>1125</v>
      </c>
      <c r="E793" s="8"/>
      <c r="F793" s="5">
        <v>4960</v>
      </c>
      <c r="G793" s="5">
        <v>2565</v>
      </c>
      <c r="H793" s="5">
        <v>120</v>
      </c>
      <c r="I793" s="5" t="s">
        <v>18</v>
      </c>
      <c r="J793" s="5"/>
      <c r="K793" s="5"/>
      <c r="L793" s="29" t="s">
        <v>378</v>
      </c>
      <c r="M793" s="6">
        <v>45859</v>
      </c>
      <c r="N793" s="55">
        <v>0</v>
      </c>
      <c r="O793" s="6"/>
      <c r="P793" s="7">
        <v>1.5269999999999999</v>
      </c>
      <c r="Q793" s="7">
        <v>3.8180000000000001</v>
      </c>
      <c r="R793" s="7"/>
      <c r="S793" s="7"/>
      <c r="T793" s="36"/>
      <c r="U793" s="6"/>
      <c r="V793" s="5"/>
      <c r="W793" s="5"/>
      <c r="X793" s="25"/>
      <c r="Y793" s="5"/>
      <c r="Z793" s="35"/>
    </row>
    <row r="794" spans="2:26" x14ac:dyDescent="0.25">
      <c r="B794" s="24"/>
      <c r="C794" s="8" t="s">
        <v>1091</v>
      </c>
      <c r="D794" s="8" t="s">
        <v>1125</v>
      </c>
      <c r="E794" s="8"/>
      <c r="F794" s="5"/>
      <c r="G794" s="5"/>
      <c r="H794" s="5"/>
      <c r="I794" s="5"/>
      <c r="J794" s="5"/>
      <c r="K794" s="5"/>
      <c r="L794" s="29" t="s">
        <v>378</v>
      </c>
      <c r="M794" s="6">
        <v>45859</v>
      </c>
      <c r="N794" s="55"/>
      <c r="O794" s="6"/>
      <c r="P794" s="7"/>
      <c r="Q794" s="7"/>
      <c r="R794" s="7"/>
      <c r="S794" s="7"/>
      <c r="T794" s="36"/>
      <c r="U794" s="6"/>
      <c r="V794" s="5"/>
      <c r="W794" s="5"/>
      <c r="X794" s="25"/>
      <c r="Y794" s="5"/>
      <c r="Z794" s="35"/>
    </row>
    <row r="795" spans="2:26" x14ac:dyDescent="0.25">
      <c r="B795" s="24"/>
      <c r="C795" s="8" t="s">
        <v>1092</v>
      </c>
      <c r="D795" s="8" t="s">
        <v>1125</v>
      </c>
      <c r="E795" s="8"/>
      <c r="F795" s="5"/>
      <c r="G795" s="5"/>
      <c r="H795" s="5"/>
      <c r="I795" s="5"/>
      <c r="J795" s="5"/>
      <c r="K795" s="5"/>
      <c r="L795" s="29" t="s">
        <v>378</v>
      </c>
      <c r="M795" s="6">
        <v>45859</v>
      </c>
      <c r="N795" s="55"/>
      <c r="O795" s="6"/>
      <c r="P795" s="7"/>
      <c r="Q795" s="7"/>
      <c r="R795" s="7"/>
      <c r="S795" s="7"/>
      <c r="T795" s="36"/>
      <c r="U795" s="6"/>
      <c r="V795" s="5"/>
      <c r="W795" s="5"/>
      <c r="X795" s="25"/>
      <c r="Y795" s="5"/>
      <c r="Z795" s="35"/>
    </row>
    <row r="796" spans="2:26" x14ac:dyDescent="0.25">
      <c r="B796" s="24"/>
      <c r="C796" s="8" t="s">
        <v>1093</v>
      </c>
      <c r="D796" s="8" t="s">
        <v>1125</v>
      </c>
      <c r="E796" s="8"/>
      <c r="F796" s="5"/>
      <c r="G796" s="5"/>
      <c r="H796" s="5"/>
      <c r="I796" s="5"/>
      <c r="J796" s="5"/>
      <c r="K796" s="5"/>
      <c r="L796" s="29" t="s">
        <v>378</v>
      </c>
      <c r="M796" s="6">
        <v>45859</v>
      </c>
      <c r="N796" s="55"/>
      <c r="O796" s="6"/>
      <c r="P796" s="7"/>
      <c r="Q796" s="7"/>
      <c r="R796" s="7"/>
      <c r="S796" s="7"/>
      <c r="T796" s="36"/>
      <c r="U796" s="6"/>
      <c r="V796" s="5"/>
      <c r="W796" s="5"/>
      <c r="X796" s="25"/>
      <c r="Y796" s="5"/>
      <c r="Z796" s="35"/>
    </row>
    <row r="797" spans="2:26" x14ac:dyDescent="0.25">
      <c r="B797" s="24"/>
      <c r="C797" s="8" t="s">
        <v>1094</v>
      </c>
      <c r="D797" s="8" t="s">
        <v>1125</v>
      </c>
      <c r="E797" s="8"/>
      <c r="F797" s="5"/>
      <c r="G797" s="5"/>
      <c r="H797" s="5"/>
      <c r="I797" s="5"/>
      <c r="J797" s="5"/>
      <c r="K797" s="5"/>
      <c r="L797" s="29" t="s">
        <v>378</v>
      </c>
      <c r="M797" s="6">
        <v>45859</v>
      </c>
      <c r="N797" s="55"/>
      <c r="O797" s="6"/>
      <c r="P797" s="7"/>
      <c r="Q797" s="7"/>
      <c r="R797" s="7"/>
      <c r="S797" s="7"/>
      <c r="T797" s="36"/>
      <c r="U797" s="6"/>
      <c r="V797" s="5"/>
      <c r="W797" s="5"/>
      <c r="X797" s="25"/>
      <c r="Y797" s="5"/>
      <c r="Z797" s="35"/>
    </row>
    <row r="798" spans="2:26" x14ac:dyDescent="0.25">
      <c r="B798" s="24"/>
      <c r="C798" s="8" t="s">
        <v>1095</v>
      </c>
      <c r="D798" s="8" t="s">
        <v>1125</v>
      </c>
      <c r="E798" s="8"/>
      <c r="F798" s="5"/>
      <c r="G798" s="5"/>
      <c r="H798" s="5"/>
      <c r="I798" s="5"/>
      <c r="J798" s="5"/>
      <c r="K798" s="5"/>
      <c r="L798" s="29" t="s">
        <v>378</v>
      </c>
      <c r="M798" s="6">
        <v>45859</v>
      </c>
      <c r="N798" s="55"/>
      <c r="O798" s="6"/>
      <c r="P798" s="7"/>
      <c r="Q798" s="7"/>
      <c r="R798" s="7"/>
      <c r="S798" s="7"/>
      <c r="T798" s="36"/>
      <c r="U798" s="6"/>
      <c r="V798" s="5"/>
      <c r="W798" s="5"/>
      <c r="X798" s="25"/>
      <c r="Y798" s="5"/>
      <c r="Z798" s="35"/>
    </row>
    <row r="799" spans="2:26" x14ac:dyDescent="0.25">
      <c r="B799" s="24"/>
      <c r="C799" s="8" t="s">
        <v>1096</v>
      </c>
      <c r="D799" s="8" t="s">
        <v>1125</v>
      </c>
      <c r="E799" s="8"/>
      <c r="F799" s="5"/>
      <c r="G799" s="5"/>
      <c r="H799" s="5"/>
      <c r="I799" s="5"/>
      <c r="J799" s="5"/>
      <c r="K799" s="5"/>
      <c r="L799" s="29" t="s">
        <v>378</v>
      </c>
      <c r="M799" s="6">
        <v>45859</v>
      </c>
      <c r="N799" s="55"/>
      <c r="O799" s="6"/>
      <c r="P799" s="7"/>
      <c r="Q799" s="7"/>
      <c r="R799" s="7"/>
      <c r="S799" s="7"/>
      <c r="T799" s="36"/>
      <c r="U799" s="6"/>
      <c r="V799" s="5"/>
      <c r="W799" s="5"/>
      <c r="X799" s="25"/>
      <c r="Y799" s="5"/>
      <c r="Z799" s="35"/>
    </row>
    <row r="800" spans="2:26" x14ac:dyDescent="0.25">
      <c r="B800" s="24"/>
      <c r="C800" s="8" t="s">
        <v>1097</v>
      </c>
      <c r="D800" s="8" t="s">
        <v>1125</v>
      </c>
      <c r="E800" s="8"/>
      <c r="F800" s="5"/>
      <c r="G800" s="5"/>
      <c r="H800" s="5"/>
      <c r="I800" s="5"/>
      <c r="J800" s="5"/>
      <c r="K800" s="5"/>
      <c r="L800" s="29" t="s">
        <v>378</v>
      </c>
      <c r="M800" s="6">
        <v>45859</v>
      </c>
      <c r="N800" s="55"/>
      <c r="O800" s="6"/>
      <c r="P800" s="7"/>
      <c r="Q800" s="7"/>
      <c r="R800" s="7"/>
      <c r="S800" s="7"/>
      <c r="T800" s="36"/>
      <c r="U800" s="6"/>
      <c r="V800" s="5"/>
      <c r="W800" s="5"/>
      <c r="X800" s="25"/>
      <c r="Y800" s="5"/>
      <c r="Z800" s="35"/>
    </row>
    <row r="801" spans="2:26" x14ac:dyDescent="0.25">
      <c r="B801" s="24"/>
      <c r="C801" s="8" t="s">
        <v>1098</v>
      </c>
      <c r="D801" s="8" t="s">
        <v>1125</v>
      </c>
      <c r="E801" s="8"/>
      <c r="F801" s="5"/>
      <c r="G801" s="5"/>
      <c r="H801" s="5"/>
      <c r="I801" s="5"/>
      <c r="J801" s="5"/>
      <c r="K801" s="5"/>
      <c r="L801" s="29" t="s">
        <v>378</v>
      </c>
      <c r="M801" s="6">
        <v>45859</v>
      </c>
      <c r="N801" s="55"/>
      <c r="O801" s="6"/>
      <c r="P801" s="7"/>
      <c r="Q801" s="7"/>
      <c r="R801" s="7"/>
      <c r="S801" s="7"/>
      <c r="T801" s="36"/>
      <c r="U801" s="6"/>
      <c r="V801" s="5"/>
      <c r="W801" s="5"/>
      <c r="X801" s="25"/>
      <c r="Y801" s="5"/>
      <c r="Z801" s="35"/>
    </row>
    <row r="802" spans="2:26" x14ac:dyDescent="0.25">
      <c r="B802" s="24"/>
      <c r="C802" s="8" t="s">
        <v>1099</v>
      </c>
      <c r="D802" s="8" t="s">
        <v>1125</v>
      </c>
      <c r="E802" s="8"/>
      <c r="F802" s="5"/>
      <c r="G802" s="5"/>
      <c r="H802" s="5"/>
      <c r="I802" s="5"/>
      <c r="J802" s="5"/>
      <c r="K802" s="5"/>
      <c r="L802" s="29" t="s">
        <v>378</v>
      </c>
      <c r="M802" s="6">
        <v>45859</v>
      </c>
      <c r="N802" s="55"/>
      <c r="O802" s="6"/>
      <c r="P802" s="7"/>
      <c r="Q802" s="7"/>
      <c r="R802" s="7"/>
      <c r="S802" s="7"/>
      <c r="T802" s="36"/>
      <c r="U802" s="6"/>
      <c r="V802" s="5"/>
      <c r="W802" s="5"/>
      <c r="X802" s="25"/>
      <c r="Y802" s="5"/>
      <c r="Z802" s="35"/>
    </row>
    <row r="803" spans="2:26" x14ac:dyDescent="0.25">
      <c r="B803" s="24"/>
      <c r="C803" s="8" t="s">
        <v>1100</v>
      </c>
      <c r="D803" s="8" t="s">
        <v>1125</v>
      </c>
      <c r="E803" s="8"/>
      <c r="F803" s="5"/>
      <c r="G803" s="5"/>
      <c r="H803" s="5"/>
      <c r="I803" s="5"/>
      <c r="J803" s="5"/>
      <c r="K803" s="5"/>
      <c r="L803" s="29" t="s">
        <v>378</v>
      </c>
      <c r="M803" s="6">
        <v>45859</v>
      </c>
      <c r="N803" s="55"/>
      <c r="O803" s="6"/>
      <c r="P803" s="7"/>
      <c r="Q803" s="7"/>
      <c r="R803" s="7"/>
      <c r="S803" s="7"/>
      <c r="T803" s="36"/>
      <c r="U803" s="6"/>
      <c r="V803" s="5"/>
      <c r="W803" s="5"/>
      <c r="X803" s="25"/>
      <c r="Y803" s="5"/>
      <c r="Z803" s="35"/>
    </row>
    <row r="804" spans="2:26" x14ac:dyDescent="0.25">
      <c r="B804" s="24"/>
      <c r="C804" s="8" t="s">
        <v>1101</v>
      </c>
      <c r="D804" s="8" t="s">
        <v>1125</v>
      </c>
      <c r="E804" s="8"/>
      <c r="F804" s="5"/>
      <c r="G804" s="5"/>
      <c r="H804" s="5"/>
      <c r="I804" s="5"/>
      <c r="J804" s="5"/>
      <c r="K804" s="5"/>
      <c r="L804" s="29" t="s">
        <v>378</v>
      </c>
      <c r="M804" s="6">
        <v>45859</v>
      </c>
      <c r="N804" s="55"/>
      <c r="O804" s="6"/>
      <c r="P804" s="7"/>
      <c r="Q804" s="7"/>
      <c r="R804" s="7"/>
      <c r="S804" s="7"/>
      <c r="T804" s="36"/>
      <c r="U804" s="6"/>
      <c r="V804" s="5"/>
      <c r="W804" s="5"/>
      <c r="X804" s="25"/>
      <c r="Y804" s="5"/>
      <c r="Z804" s="35"/>
    </row>
    <row r="805" spans="2:26" x14ac:dyDescent="0.25">
      <c r="B805" s="24"/>
      <c r="C805" s="8" t="s">
        <v>1102</v>
      </c>
      <c r="D805" s="8" t="s">
        <v>1125</v>
      </c>
      <c r="E805" s="8"/>
      <c r="F805" s="5"/>
      <c r="G805" s="5"/>
      <c r="H805" s="5"/>
      <c r="I805" s="5"/>
      <c r="J805" s="5"/>
      <c r="K805" s="5"/>
      <c r="L805" s="29" t="s">
        <v>378</v>
      </c>
      <c r="M805" s="6">
        <v>45859</v>
      </c>
      <c r="N805" s="55"/>
      <c r="O805" s="6"/>
      <c r="P805" s="7"/>
      <c r="Q805" s="7"/>
      <c r="R805" s="7"/>
      <c r="S805" s="7"/>
      <c r="T805" s="36"/>
      <c r="U805" s="6"/>
      <c r="V805" s="5"/>
      <c r="W805" s="5"/>
      <c r="X805" s="25"/>
      <c r="Y805" s="5"/>
      <c r="Z805" s="35"/>
    </row>
    <row r="806" spans="2:26" x14ac:dyDescent="0.25">
      <c r="B806" s="24"/>
      <c r="C806" s="8" t="s">
        <v>1103</v>
      </c>
      <c r="D806" s="8" t="s">
        <v>1125</v>
      </c>
      <c r="E806" s="8"/>
      <c r="F806" s="5"/>
      <c r="G806" s="5"/>
      <c r="H806" s="5"/>
      <c r="I806" s="5"/>
      <c r="J806" s="5"/>
      <c r="K806" s="5"/>
      <c r="L806" s="29" t="s">
        <v>378</v>
      </c>
      <c r="M806" s="6">
        <v>45859</v>
      </c>
      <c r="N806" s="55"/>
      <c r="O806" s="6"/>
      <c r="P806" s="7"/>
      <c r="Q806" s="7"/>
      <c r="R806" s="7"/>
      <c r="S806" s="7"/>
      <c r="T806" s="36"/>
      <c r="U806" s="6"/>
      <c r="V806" s="5"/>
      <c r="W806" s="5"/>
      <c r="X806" s="25"/>
      <c r="Y806" s="5"/>
      <c r="Z806" s="35"/>
    </row>
    <row r="807" spans="2:26" x14ac:dyDescent="0.25">
      <c r="B807" s="24"/>
      <c r="C807" s="8" t="s">
        <v>1104</v>
      </c>
      <c r="D807" s="8" t="s">
        <v>1125</v>
      </c>
      <c r="E807" s="8"/>
      <c r="F807" s="5"/>
      <c r="G807" s="5"/>
      <c r="H807" s="5"/>
      <c r="I807" s="5"/>
      <c r="J807" s="5"/>
      <c r="K807" s="5"/>
      <c r="L807" s="29" t="s">
        <v>378</v>
      </c>
      <c r="M807" s="6">
        <v>45859</v>
      </c>
      <c r="N807" s="55"/>
      <c r="O807" s="6"/>
      <c r="P807" s="7"/>
      <c r="Q807" s="7"/>
      <c r="R807" s="7"/>
      <c r="S807" s="7"/>
      <c r="T807" s="36"/>
      <c r="U807" s="6"/>
      <c r="V807" s="5"/>
      <c r="W807" s="5"/>
      <c r="X807" s="25"/>
      <c r="Y807" s="5"/>
      <c r="Z807" s="35"/>
    </row>
    <row r="808" spans="2:26" x14ac:dyDescent="0.25">
      <c r="B808" s="24"/>
      <c r="C808" s="8" t="s">
        <v>1105</v>
      </c>
      <c r="D808" s="8" t="s">
        <v>1125</v>
      </c>
      <c r="E808" s="8"/>
      <c r="F808" s="5"/>
      <c r="G808" s="5"/>
      <c r="H808" s="5"/>
      <c r="I808" s="5"/>
      <c r="J808" s="5"/>
      <c r="K808" s="5"/>
      <c r="L808" s="29" t="s">
        <v>378</v>
      </c>
      <c r="M808" s="6">
        <v>45859</v>
      </c>
      <c r="N808" s="55"/>
      <c r="O808" s="6"/>
      <c r="P808" s="7"/>
      <c r="Q808" s="7"/>
      <c r="R808" s="7"/>
      <c r="S808" s="7"/>
      <c r="T808" s="36"/>
      <c r="U808" s="6"/>
      <c r="V808" s="5"/>
      <c r="W808" s="5"/>
      <c r="X808" s="25"/>
      <c r="Y808" s="5"/>
      <c r="Z808" s="35"/>
    </row>
    <row r="809" spans="2:26" x14ac:dyDescent="0.25">
      <c r="B809" s="24"/>
      <c r="C809" s="8" t="s">
        <v>1106</v>
      </c>
      <c r="D809" s="8" t="s">
        <v>1125</v>
      </c>
      <c r="E809" s="8"/>
      <c r="F809" s="5"/>
      <c r="G809" s="5"/>
      <c r="H809" s="5"/>
      <c r="I809" s="5"/>
      <c r="J809" s="5"/>
      <c r="K809" s="5"/>
      <c r="L809" s="29" t="s">
        <v>378</v>
      </c>
      <c r="M809" s="6">
        <v>45859</v>
      </c>
      <c r="N809" s="55"/>
      <c r="O809" s="6"/>
      <c r="P809" s="7"/>
      <c r="Q809" s="7"/>
      <c r="R809" s="7"/>
      <c r="S809" s="7"/>
      <c r="T809" s="36"/>
      <c r="U809" s="6"/>
      <c r="V809" s="5"/>
      <c r="W809" s="5"/>
      <c r="X809" s="25"/>
      <c r="Y809" s="5"/>
      <c r="Z809" s="35"/>
    </row>
    <row r="810" spans="2:26" x14ac:dyDescent="0.25">
      <c r="B810" s="24"/>
      <c r="C810" s="8" t="s">
        <v>1107</v>
      </c>
      <c r="D810" s="8" t="s">
        <v>1125</v>
      </c>
      <c r="E810" s="8"/>
      <c r="F810" s="5"/>
      <c r="G810" s="5"/>
      <c r="H810" s="5"/>
      <c r="I810" s="5"/>
      <c r="J810" s="5"/>
      <c r="K810" s="5"/>
      <c r="L810" s="29" t="s">
        <v>378</v>
      </c>
      <c r="M810" s="6">
        <v>45859</v>
      </c>
      <c r="N810" s="55"/>
      <c r="O810" s="6"/>
      <c r="P810" s="7"/>
      <c r="Q810" s="7"/>
      <c r="R810" s="7"/>
      <c r="S810" s="7"/>
      <c r="T810" s="36"/>
      <c r="U810" s="6"/>
      <c r="V810" s="5"/>
      <c r="W810" s="5"/>
      <c r="X810" s="25"/>
      <c r="Y810" s="5"/>
      <c r="Z810" s="35"/>
    </row>
    <row r="811" spans="2:26" x14ac:dyDescent="0.25">
      <c r="B811" s="24"/>
      <c r="C811" s="8" t="s">
        <v>1108</v>
      </c>
      <c r="D811" s="8" t="s">
        <v>1125</v>
      </c>
      <c r="E811" s="8"/>
      <c r="F811" s="5"/>
      <c r="G811" s="5"/>
      <c r="H811" s="5"/>
      <c r="I811" s="5"/>
      <c r="J811" s="5"/>
      <c r="K811" s="5"/>
      <c r="L811" s="29" t="s">
        <v>378</v>
      </c>
      <c r="M811" s="6">
        <v>45859</v>
      </c>
      <c r="N811" s="28"/>
      <c r="O811" s="6"/>
      <c r="P811" s="7"/>
      <c r="Q811" s="7"/>
      <c r="R811" s="7"/>
      <c r="S811" s="7"/>
      <c r="T811" s="36"/>
      <c r="U811" s="6"/>
      <c r="V811" s="5"/>
      <c r="W811" s="5"/>
      <c r="X811" s="25"/>
      <c r="Y811" s="5"/>
      <c r="Z811" s="35"/>
    </row>
    <row r="812" spans="2:26" x14ac:dyDescent="0.25">
      <c r="B812" s="24"/>
      <c r="C812" s="8" t="s">
        <v>1109</v>
      </c>
      <c r="D812" s="8" t="s">
        <v>1125</v>
      </c>
      <c r="E812" s="8"/>
      <c r="F812" s="5"/>
      <c r="G812" s="5"/>
      <c r="H812" s="5"/>
      <c r="I812" s="5"/>
      <c r="J812" s="5"/>
      <c r="K812" s="5"/>
      <c r="L812" s="29" t="s">
        <v>378</v>
      </c>
      <c r="M812" s="6">
        <v>45859</v>
      </c>
      <c r="N812" s="28"/>
      <c r="O812" s="6"/>
      <c r="P812" s="7"/>
      <c r="Q812" s="7"/>
      <c r="R812" s="7"/>
      <c r="S812" s="7"/>
      <c r="T812" s="36"/>
      <c r="U812" s="6"/>
      <c r="V812" s="5"/>
      <c r="W812" s="5"/>
      <c r="X812" s="25"/>
      <c r="Y812" s="5"/>
      <c r="Z812" s="35"/>
    </row>
    <row r="813" spans="2:26" x14ac:dyDescent="0.25">
      <c r="B813" s="24"/>
      <c r="C813" s="8" t="s">
        <v>1110</v>
      </c>
      <c r="D813" s="8" t="s">
        <v>1125</v>
      </c>
      <c r="E813" s="8"/>
      <c r="F813" s="5"/>
      <c r="G813" s="5"/>
      <c r="H813" s="5"/>
      <c r="I813" s="5"/>
      <c r="J813" s="5"/>
      <c r="K813" s="5"/>
      <c r="L813" s="29" t="s">
        <v>378</v>
      </c>
      <c r="M813" s="6">
        <v>45859</v>
      </c>
      <c r="N813" s="55"/>
      <c r="O813" s="6"/>
      <c r="P813" s="7"/>
      <c r="Q813" s="7"/>
      <c r="R813" s="7"/>
      <c r="S813" s="7"/>
      <c r="T813" s="36"/>
      <c r="U813" s="6"/>
      <c r="V813" s="5"/>
      <c r="W813" s="5"/>
      <c r="X813" s="25"/>
      <c r="Y813" s="5"/>
      <c r="Z813" s="35"/>
    </row>
    <row r="814" spans="2:26" x14ac:dyDescent="0.25">
      <c r="B814" s="24"/>
      <c r="C814" s="8" t="s">
        <v>1111</v>
      </c>
      <c r="D814" s="8" t="s">
        <v>1125</v>
      </c>
      <c r="E814" s="8"/>
      <c r="F814" s="5"/>
      <c r="G814" s="5"/>
      <c r="H814" s="5"/>
      <c r="I814" s="5"/>
      <c r="J814" s="5"/>
      <c r="K814" s="5"/>
      <c r="L814" s="29" t="s">
        <v>378</v>
      </c>
      <c r="M814" s="6">
        <v>45859</v>
      </c>
      <c r="N814" s="55"/>
      <c r="O814" s="6"/>
      <c r="P814" s="7"/>
      <c r="Q814" s="7"/>
      <c r="R814" s="7"/>
      <c r="S814" s="7"/>
      <c r="T814" s="36"/>
      <c r="U814" s="6"/>
      <c r="V814" s="5"/>
      <c r="W814" s="5"/>
      <c r="X814" s="25"/>
      <c r="Y814" s="5"/>
      <c r="Z814" s="35"/>
    </row>
    <row r="815" spans="2:26" x14ac:dyDescent="0.25">
      <c r="B815" s="24"/>
      <c r="C815" s="8" t="s">
        <v>1112</v>
      </c>
      <c r="D815" s="8" t="s">
        <v>1125</v>
      </c>
      <c r="E815" s="8"/>
      <c r="F815" s="5"/>
      <c r="G815" s="5"/>
      <c r="H815" s="5"/>
      <c r="I815" s="5"/>
      <c r="J815" s="5"/>
      <c r="K815" s="5"/>
      <c r="L815" s="29" t="s">
        <v>378</v>
      </c>
      <c r="M815" s="6">
        <v>45859</v>
      </c>
      <c r="N815" s="55"/>
      <c r="O815" s="6"/>
      <c r="P815" s="7"/>
      <c r="Q815" s="7"/>
      <c r="R815" s="7"/>
      <c r="S815" s="7"/>
      <c r="T815" s="36"/>
      <c r="U815" s="6"/>
      <c r="V815" s="5"/>
      <c r="W815" s="5"/>
      <c r="X815" s="25"/>
      <c r="Y815" s="5"/>
      <c r="Z815" s="35"/>
    </row>
    <row r="816" spans="2:26" x14ac:dyDescent="0.25">
      <c r="B816" s="24"/>
      <c r="C816" s="8" t="s">
        <v>1113</v>
      </c>
      <c r="D816" s="8" t="s">
        <v>1125</v>
      </c>
      <c r="E816" s="8"/>
      <c r="F816" s="5"/>
      <c r="G816" s="5"/>
      <c r="H816" s="5"/>
      <c r="I816" s="5"/>
      <c r="J816" s="5"/>
      <c r="K816" s="5"/>
      <c r="L816" s="29" t="s">
        <v>378</v>
      </c>
      <c r="M816" s="6">
        <v>45859</v>
      </c>
      <c r="N816" s="55"/>
      <c r="O816" s="6"/>
      <c r="P816" s="7"/>
      <c r="Q816" s="7"/>
      <c r="R816" s="7"/>
      <c r="S816" s="7"/>
      <c r="T816" s="36"/>
      <c r="U816" s="6"/>
      <c r="V816" s="5"/>
      <c r="W816" s="5"/>
      <c r="X816" s="25"/>
      <c r="Y816" s="5"/>
      <c r="Z816" s="35"/>
    </row>
    <row r="817" spans="2:26" x14ac:dyDescent="0.25">
      <c r="B817" s="24"/>
      <c r="C817" s="8" t="s">
        <v>1114</v>
      </c>
      <c r="D817" s="8" t="s">
        <v>1125</v>
      </c>
      <c r="E817" s="8"/>
      <c r="F817" s="5"/>
      <c r="G817" s="5"/>
      <c r="H817" s="5"/>
      <c r="I817" s="5"/>
      <c r="J817" s="5"/>
      <c r="K817" s="5"/>
      <c r="L817" s="29" t="s">
        <v>378</v>
      </c>
      <c r="M817" s="6">
        <v>45859</v>
      </c>
      <c r="N817" s="55"/>
      <c r="O817" s="6"/>
      <c r="P817" s="7"/>
      <c r="Q817" s="7"/>
      <c r="R817" s="7"/>
      <c r="S817" s="7"/>
      <c r="T817" s="36"/>
      <c r="U817" s="6"/>
      <c r="V817" s="5"/>
      <c r="W817" s="5"/>
      <c r="X817" s="25"/>
      <c r="Y817" s="5"/>
      <c r="Z817" s="35"/>
    </row>
    <row r="818" spans="2:26" x14ac:dyDescent="0.25">
      <c r="B818" s="24"/>
      <c r="C818" s="8" t="s">
        <v>1115</v>
      </c>
      <c r="D818" s="8" t="s">
        <v>1125</v>
      </c>
      <c r="E818" s="8"/>
      <c r="F818" s="5"/>
      <c r="G818" s="5"/>
      <c r="H818" s="5"/>
      <c r="I818" s="5"/>
      <c r="J818" s="5"/>
      <c r="K818" s="5"/>
      <c r="L818" s="29" t="s">
        <v>378</v>
      </c>
      <c r="M818" s="6">
        <v>45859</v>
      </c>
      <c r="N818" s="55"/>
      <c r="O818" s="6"/>
      <c r="P818" s="7"/>
      <c r="Q818" s="7"/>
      <c r="R818" s="7"/>
      <c r="S818" s="7"/>
      <c r="T818" s="36"/>
      <c r="U818" s="6"/>
      <c r="V818" s="5"/>
      <c r="W818" s="5"/>
      <c r="X818" s="25"/>
      <c r="Y818" s="5"/>
      <c r="Z818" s="35"/>
    </row>
    <row r="819" spans="2:26" x14ac:dyDescent="0.25">
      <c r="B819" s="24"/>
      <c r="C819" s="8" t="s">
        <v>1116</v>
      </c>
      <c r="D819" s="8" t="s">
        <v>1125</v>
      </c>
      <c r="E819" s="8"/>
      <c r="F819" s="5"/>
      <c r="G819" s="5"/>
      <c r="H819" s="5"/>
      <c r="I819" s="5"/>
      <c r="J819" s="5"/>
      <c r="K819" s="5"/>
      <c r="L819" s="29" t="s">
        <v>378</v>
      </c>
      <c r="M819" s="6">
        <v>45859</v>
      </c>
      <c r="N819" s="55"/>
      <c r="O819" s="6"/>
      <c r="P819" s="7"/>
      <c r="Q819" s="7"/>
      <c r="R819" s="7"/>
      <c r="S819" s="7"/>
      <c r="T819" s="36"/>
      <c r="U819" s="6"/>
      <c r="V819" s="5"/>
      <c r="W819" s="5"/>
      <c r="X819" s="25"/>
      <c r="Y819" s="5"/>
      <c r="Z819" s="35"/>
    </row>
    <row r="820" spans="2:26" x14ac:dyDescent="0.25">
      <c r="B820" s="24"/>
      <c r="C820" s="8" t="s">
        <v>1117</v>
      </c>
      <c r="D820" s="8" t="s">
        <v>1125</v>
      </c>
      <c r="E820" s="8"/>
      <c r="F820" s="5"/>
      <c r="G820" s="5"/>
      <c r="H820" s="5"/>
      <c r="I820" s="5"/>
      <c r="J820" s="5"/>
      <c r="K820" s="5"/>
      <c r="L820" s="29" t="s">
        <v>378</v>
      </c>
      <c r="M820" s="6">
        <v>45859</v>
      </c>
      <c r="N820" s="55"/>
      <c r="O820" s="6"/>
      <c r="P820" s="7"/>
      <c r="Q820" s="7"/>
      <c r="R820" s="7"/>
      <c r="S820" s="7"/>
      <c r="T820" s="36"/>
      <c r="U820" s="6"/>
      <c r="V820" s="5"/>
      <c r="W820" s="5"/>
      <c r="X820" s="25"/>
      <c r="Y820" s="5"/>
      <c r="Z820" s="35"/>
    </row>
    <row r="821" spans="2:26" x14ac:dyDescent="0.25">
      <c r="B821" s="24"/>
      <c r="C821" s="8" t="s">
        <v>1118</v>
      </c>
      <c r="D821" s="8" t="s">
        <v>1125</v>
      </c>
      <c r="E821" s="8"/>
      <c r="F821" s="5"/>
      <c r="G821" s="5"/>
      <c r="H821" s="5"/>
      <c r="I821" s="5"/>
      <c r="J821" s="5"/>
      <c r="K821" s="5"/>
      <c r="L821" s="29" t="s">
        <v>378</v>
      </c>
      <c r="M821" s="6">
        <v>45859</v>
      </c>
      <c r="N821" s="55"/>
      <c r="O821" s="6"/>
      <c r="P821" s="7"/>
      <c r="Q821" s="7"/>
      <c r="R821" s="7"/>
      <c r="S821" s="7"/>
      <c r="T821" s="36"/>
      <c r="U821" s="6"/>
      <c r="V821" s="5"/>
      <c r="W821" s="5"/>
      <c r="X821" s="25"/>
      <c r="Y821" s="5"/>
      <c r="Z821" s="35"/>
    </row>
    <row r="822" spans="2:26" x14ac:dyDescent="0.25">
      <c r="B822" s="24"/>
      <c r="C822" s="8" t="s">
        <v>1119</v>
      </c>
      <c r="D822" s="8" t="s">
        <v>1125</v>
      </c>
      <c r="E822" s="8"/>
      <c r="F822" s="5"/>
      <c r="G822" s="5"/>
      <c r="H822" s="5"/>
      <c r="I822" s="5"/>
      <c r="J822" s="5"/>
      <c r="K822" s="5"/>
      <c r="L822" s="29" t="s">
        <v>378</v>
      </c>
      <c r="M822" s="6">
        <v>45859</v>
      </c>
      <c r="N822" s="55"/>
      <c r="O822" s="6"/>
      <c r="P822" s="7"/>
      <c r="Q822" s="7"/>
      <c r="R822" s="7"/>
      <c r="S822" s="7"/>
      <c r="T822" s="36"/>
      <c r="U822" s="6"/>
      <c r="V822" s="5"/>
      <c r="W822" s="5"/>
      <c r="X822" s="25"/>
      <c r="Y822" s="5"/>
      <c r="Z822" s="35"/>
    </row>
    <row r="823" spans="2:26" x14ac:dyDescent="0.25">
      <c r="B823" s="24"/>
      <c r="C823" s="8" t="s">
        <v>1120</v>
      </c>
      <c r="D823" s="8" t="s">
        <v>1125</v>
      </c>
      <c r="E823" s="8"/>
      <c r="F823" s="5"/>
      <c r="G823" s="5"/>
      <c r="H823" s="5"/>
      <c r="I823" s="5"/>
      <c r="J823" s="5"/>
      <c r="K823" s="5"/>
      <c r="L823" s="29" t="s">
        <v>378</v>
      </c>
      <c r="M823" s="6">
        <v>45859</v>
      </c>
      <c r="N823" s="55"/>
      <c r="O823" s="6"/>
      <c r="P823" s="7"/>
      <c r="Q823" s="7"/>
      <c r="R823" s="7"/>
      <c r="S823" s="7"/>
      <c r="T823" s="36"/>
      <c r="U823" s="6"/>
      <c r="V823" s="5"/>
      <c r="W823" s="5"/>
      <c r="X823" s="25"/>
      <c r="Y823" s="5"/>
      <c r="Z823" s="35"/>
    </row>
    <row r="824" spans="2:26" x14ac:dyDescent="0.25">
      <c r="B824" s="24"/>
      <c r="C824" s="8" t="s">
        <v>1121</v>
      </c>
      <c r="D824" s="8" t="s">
        <v>1125</v>
      </c>
      <c r="E824" s="8"/>
      <c r="F824" s="5"/>
      <c r="G824" s="5"/>
      <c r="H824" s="5"/>
      <c r="I824" s="5"/>
      <c r="J824" s="5"/>
      <c r="K824" s="5"/>
      <c r="L824" s="29" t="s">
        <v>378</v>
      </c>
      <c r="M824" s="6">
        <v>45859</v>
      </c>
      <c r="N824" s="55"/>
      <c r="O824" s="6"/>
      <c r="P824" s="7"/>
      <c r="Q824" s="7"/>
      <c r="R824" s="7"/>
      <c r="S824" s="7"/>
      <c r="T824" s="36"/>
      <c r="U824" s="6"/>
      <c r="V824" s="5"/>
      <c r="W824" s="5"/>
      <c r="X824" s="25"/>
      <c r="Y824" s="5"/>
      <c r="Z824" s="35"/>
    </row>
    <row r="825" spans="2:26" x14ac:dyDescent="0.25">
      <c r="B825" s="24"/>
      <c r="C825" s="8" t="s">
        <v>1122</v>
      </c>
      <c r="D825" s="8" t="s">
        <v>1125</v>
      </c>
      <c r="E825" s="8"/>
      <c r="F825" s="5"/>
      <c r="G825" s="5"/>
      <c r="H825" s="5"/>
      <c r="I825" s="5"/>
      <c r="J825" s="5"/>
      <c r="K825" s="5"/>
      <c r="L825" s="29" t="s">
        <v>378</v>
      </c>
      <c r="M825" s="6">
        <v>45859</v>
      </c>
      <c r="N825" s="55"/>
      <c r="O825" s="6"/>
      <c r="P825" s="7"/>
      <c r="Q825" s="7"/>
      <c r="R825" s="7"/>
      <c r="S825" s="7"/>
      <c r="T825" s="36"/>
      <c r="U825" s="6"/>
      <c r="V825" s="5"/>
      <c r="W825" s="5"/>
      <c r="X825" s="25"/>
      <c r="Y825" s="5"/>
      <c r="Z825" s="35"/>
    </row>
    <row r="826" spans="2:26" x14ac:dyDescent="0.25">
      <c r="B826" s="24"/>
      <c r="C826" s="8" t="s">
        <v>1123</v>
      </c>
      <c r="D826" s="8" t="s">
        <v>1125</v>
      </c>
      <c r="E826" s="8"/>
      <c r="F826" s="5"/>
      <c r="G826" s="5"/>
      <c r="H826" s="5"/>
      <c r="I826" s="5"/>
      <c r="J826" s="5"/>
      <c r="K826" s="5"/>
      <c r="L826" s="29" t="s">
        <v>378</v>
      </c>
      <c r="M826" s="6">
        <v>45859</v>
      </c>
      <c r="N826" s="55"/>
      <c r="O826" s="6"/>
      <c r="P826" s="7"/>
      <c r="Q826" s="7"/>
      <c r="R826" s="7"/>
      <c r="S826" s="7"/>
      <c r="T826" s="36"/>
      <c r="U826" s="6"/>
      <c r="V826" s="5"/>
      <c r="W826" s="5"/>
      <c r="X826" s="25"/>
      <c r="Y826" s="5"/>
      <c r="Z826" s="35"/>
    </row>
    <row r="827" spans="2:26" x14ac:dyDescent="0.25">
      <c r="B827" s="24"/>
      <c r="C827" s="8" t="s">
        <v>1124</v>
      </c>
      <c r="D827" s="8" t="s">
        <v>1125</v>
      </c>
      <c r="E827" s="8"/>
      <c r="F827" s="5"/>
      <c r="G827" s="5"/>
      <c r="H827" s="5"/>
      <c r="I827" s="5"/>
      <c r="J827" s="5"/>
      <c r="K827" s="5"/>
      <c r="L827" s="29" t="s">
        <v>378</v>
      </c>
      <c r="M827" s="6">
        <v>45859</v>
      </c>
      <c r="N827" s="55"/>
      <c r="O827" s="6"/>
      <c r="P827" s="7"/>
      <c r="Q827" s="7"/>
      <c r="R827" s="7"/>
      <c r="S827" s="7"/>
      <c r="T827" s="36"/>
      <c r="U827" s="6"/>
      <c r="V827" s="5"/>
      <c r="W827" s="5"/>
      <c r="X827" s="25"/>
      <c r="Y827" s="5"/>
      <c r="Z827" s="35"/>
    </row>
    <row r="828" spans="2:26" x14ac:dyDescent="0.25">
      <c r="N828"/>
    </row>
    <row r="829" spans="2:26" x14ac:dyDescent="0.25">
      <c r="N829"/>
    </row>
    <row r="830" spans="2:26" x14ac:dyDescent="0.25">
      <c r="N830"/>
    </row>
    <row r="831" spans="2:26" x14ac:dyDescent="0.25">
      <c r="N831"/>
    </row>
    <row r="832" spans="2:26" x14ac:dyDescent="0.25">
      <c r="N832"/>
    </row>
    <row r="833" spans="14:14" x14ac:dyDescent="0.25">
      <c r="N833"/>
    </row>
    <row r="834" spans="14:14" x14ac:dyDescent="0.25">
      <c r="N834"/>
    </row>
    <row r="835" spans="14:14" x14ac:dyDescent="0.25">
      <c r="N835"/>
    </row>
    <row r="836" spans="14:14" x14ac:dyDescent="0.25">
      <c r="N836"/>
    </row>
    <row r="837" spans="14:14" x14ac:dyDescent="0.25">
      <c r="N837"/>
    </row>
    <row r="838" spans="14:14" x14ac:dyDescent="0.25">
      <c r="N838"/>
    </row>
    <row r="839" spans="14:14" x14ac:dyDescent="0.25">
      <c r="N839"/>
    </row>
    <row r="840" spans="14:14" x14ac:dyDescent="0.25">
      <c r="N840"/>
    </row>
    <row r="841" spans="14:14" x14ac:dyDescent="0.25">
      <c r="N841"/>
    </row>
    <row r="842" spans="14:14" x14ac:dyDescent="0.25">
      <c r="N842"/>
    </row>
    <row r="843" spans="14:14" x14ac:dyDescent="0.25">
      <c r="N843"/>
    </row>
    <row r="844" spans="14:14" x14ac:dyDescent="0.25">
      <c r="N844"/>
    </row>
    <row r="845" spans="14:14" x14ac:dyDescent="0.25">
      <c r="N845"/>
    </row>
    <row r="846" spans="14:14" x14ac:dyDescent="0.25">
      <c r="N846"/>
    </row>
    <row r="847" spans="14:14" x14ac:dyDescent="0.25">
      <c r="N847"/>
    </row>
    <row r="848" spans="14:14" x14ac:dyDescent="0.25">
      <c r="N848"/>
    </row>
    <row r="849" spans="14:14" x14ac:dyDescent="0.25">
      <c r="N849"/>
    </row>
    <row r="850" spans="14:14" x14ac:dyDescent="0.25">
      <c r="N850"/>
    </row>
    <row r="851" spans="14:14" x14ac:dyDescent="0.25">
      <c r="N851"/>
    </row>
    <row r="852" spans="14:14" x14ac:dyDescent="0.25">
      <c r="N852"/>
    </row>
    <row r="853" spans="14:14" x14ac:dyDescent="0.25">
      <c r="N853"/>
    </row>
    <row r="854" spans="14:14" x14ac:dyDescent="0.25">
      <c r="N854"/>
    </row>
    <row r="855" spans="14:14" x14ac:dyDescent="0.25">
      <c r="N855"/>
    </row>
    <row r="856" spans="14:14" x14ac:dyDescent="0.25">
      <c r="N856"/>
    </row>
    <row r="857" spans="14:14" x14ac:dyDescent="0.25">
      <c r="N857"/>
    </row>
    <row r="858" spans="14:14" x14ac:dyDescent="0.25">
      <c r="N858"/>
    </row>
    <row r="859" spans="14:14" x14ac:dyDescent="0.25">
      <c r="N859"/>
    </row>
    <row r="860" spans="14:14" x14ac:dyDescent="0.25">
      <c r="N860"/>
    </row>
    <row r="861" spans="14:14" x14ac:dyDescent="0.25">
      <c r="N861"/>
    </row>
    <row r="862" spans="14:14" x14ac:dyDescent="0.25">
      <c r="N862"/>
    </row>
    <row r="863" spans="14:14" x14ac:dyDescent="0.25">
      <c r="N863"/>
    </row>
    <row r="864" spans="14:14" x14ac:dyDescent="0.25">
      <c r="N864"/>
    </row>
    <row r="865" spans="14:14" x14ac:dyDescent="0.25">
      <c r="N865"/>
    </row>
    <row r="866" spans="14:14" x14ac:dyDescent="0.25">
      <c r="N866"/>
    </row>
    <row r="867" spans="14:14" x14ac:dyDescent="0.25">
      <c r="N867"/>
    </row>
    <row r="868" spans="14:14" x14ac:dyDescent="0.25">
      <c r="N868"/>
    </row>
    <row r="869" spans="14:14" x14ac:dyDescent="0.25">
      <c r="N869"/>
    </row>
    <row r="870" spans="14:14" x14ac:dyDescent="0.25">
      <c r="N870"/>
    </row>
    <row r="871" spans="14:14" x14ac:dyDescent="0.25">
      <c r="N871"/>
    </row>
    <row r="872" spans="14:14" x14ac:dyDescent="0.25">
      <c r="N872"/>
    </row>
    <row r="873" spans="14:14" x14ac:dyDescent="0.25">
      <c r="N873"/>
    </row>
    <row r="874" spans="14:14" x14ac:dyDescent="0.25">
      <c r="N874"/>
    </row>
    <row r="875" spans="14:14" x14ac:dyDescent="0.25">
      <c r="N875"/>
    </row>
    <row r="876" spans="14:14" x14ac:dyDescent="0.25">
      <c r="N876"/>
    </row>
    <row r="877" spans="14:14" x14ac:dyDescent="0.25">
      <c r="N877"/>
    </row>
    <row r="878" spans="14:14" x14ac:dyDescent="0.25">
      <c r="N878"/>
    </row>
    <row r="879" spans="14:14" x14ac:dyDescent="0.25">
      <c r="N879"/>
    </row>
    <row r="880" spans="14:14" x14ac:dyDescent="0.25">
      <c r="N880"/>
    </row>
    <row r="881" spans="14:14" x14ac:dyDescent="0.25">
      <c r="N881"/>
    </row>
    <row r="882" spans="14:14" x14ac:dyDescent="0.25">
      <c r="N882"/>
    </row>
    <row r="883" spans="14:14" x14ac:dyDescent="0.25">
      <c r="N883"/>
    </row>
    <row r="884" spans="14:14" x14ac:dyDescent="0.25">
      <c r="N884"/>
    </row>
    <row r="885" spans="14:14" x14ac:dyDescent="0.25">
      <c r="N885"/>
    </row>
    <row r="886" spans="14:14" x14ac:dyDescent="0.25">
      <c r="N886"/>
    </row>
    <row r="887" spans="14:14" x14ac:dyDescent="0.25">
      <c r="N887"/>
    </row>
    <row r="888" spans="14:14" x14ac:dyDescent="0.25">
      <c r="N888"/>
    </row>
    <row r="889" spans="14:14" x14ac:dyDescent="0.25">
      <c r="N889"/>
    </row>
    <row r="890" spans="14:14" x14ac:dyDescent="0.25">
      <c r="N890"/>
    </row>
    <row r="891" spans="14:14" x14ac:dyDescent="0.25">
      <c r="N891"/>
    </row>
    <row r="892" spans="14:14" x14ac:dyDescent="0.25">
      <c r="N892"/>
    </row>
    <row r="893" spans="14:14" x14ac:dyDescent="0.25">
      <c r="N893"/>
    </row>
    <row r="894" spans="14:14" x14ac:dyDescent="0.25">
      <c r="N894"/>
    </row>
    <row r="895" spans="14:14" x14ac:dyDescent="0.25">
      <c r="N895"/>
    </row>
  </sheetData>
  <sortState xmlns:xlrd2="http://schemas.microsoft.com/office/spreadsheetml/2017/richdata2" ref="N477:N895">
    <sortCondition ref="N477:N895"/>
  </sortState>
  <phoneticPr fontId="3" type="noConversion"/>
  <conditionalFormatting sqref="C1:C584 C593:C1048576">
    <cfRule type="duplicateValues" dxfId="414" priority="5"/>
  </conditionalFormatting>
  <conditionalFormatting sqref="C1:C1048576">
    <cfRule type="duplicateValues" dxfId="413" priority="3"/>
  </conditionalFormatting>
  <pageMargins left="0.25" right="0.17" top="0.75" bottom="0.75" header="0.3" footer="0.3"/>
  <pageSetup paperSize="8" scale="68" fitToHeight="2" orientation="portrait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E35A-C405-4725-BBD2-20FF96E9838A}">
  <sheetPr filterMode="1"/>
  <dimension ref="A1:Q1113"/>
  <sheetViews>
    <sheetView zoomScaleNormal="100" zoomScaleSheetLayoutView="100" workbookViewId="0">
      <pane xSplit="4" ySplit="2" topLeftCell="E688" activePane="bottomRight" state="frozen"/>
      <selection pane="topRight" activeCell="D1" sqref="D1"/>
      <selection pane="bottomLeft" activeCell="A3" sqref="A3"/>
      <selection pane="bottomRight" activeCell="A743" sqref="A743"/>
    </sheetView>
  </sheetViews>
  <sheetFormatPr defaultRowHeight="15" x14ac:dyDescent="0.25"/>
  <cols>
    <col min="1" max="1" width="21" style="151" bestFit="1" customWidth="1"/>
    <col min="2" max="2" width="11.28515625" style="151" customWidth="1"/>
    <col min="3" max="3" width="9.28515625" style="151" customWidth="1"/>
    <col min="4" max="5" width="10.7109375" style="151" customWidth="1"/>
    <col min="6" max="13" width="8.85546875" style="151"/>
    <col min="15" max="15" width="20.85546875" bestFit="1" customWidth="1"/>
  </cols>
  <sheetData>
    <row r="1" spans="1:17" ht="31.9" customHeight="1" x14ac:dyDescent="0.25">
      <c r="A1" s="177"/>
      <c r="B1" s="177"/>
      <c r="C1" s="177"/>
      <c r="D1" s="177"/>
      <c r="E1" s="134">
        <f t="shared" ref="E1:N1" si="0">SUBTOTAL(9,E3:E1048576)</f>
        <v>16.2</v>
      </c>
      <c r="F1" s="134">
        <f t="shared" si="0"/>
        <v>9</v>
      </c>
      <c r="G1" s="134">
        <f t="shared" si="0"/>
        <v>9</v>
      </c>
      <c r="H1" s="134">
        <f t="shared" si="0"/>
        <v>0</v>
      </c>
      <c r="I1" s="134">
        <f t="shared" si="0"/>
        <v>6</v>
      </c>
      <c r="J1" s="134">
        <f t="shared" si="0"/>
        <v>3</v>
      </c>
      <c r="K1" s="134">
        <f t="shared" si="0"/>
        <v>3</v>
      </c>
      <c r="L1" s="134">
        <f t="shared" si="0"/>
        <v>4</v>
      </c>
      <c r="M1" s="134">
        <f t="shared" si="0"/>
        <v>5</v>
      </c>
      <c r="N1" s="134">
        <f t="shared" si="0"/>
        <v>11.611000000000001</v>
      </c>
    </row>
    <row r="2" spans="1:17" ht="45" x14ac:dyDescent="0.25">
      <c r="A2" s="177" t="s">
        <v>1141</v>
      </c>
      <c r="B2" s="177" t="s">
        <v>1691</v>
      </c>
      <c r="C2" s="177" t="s">
        <v>1140</v>
      </c>
      <c r="D2" s="177" t="s">
        <v>1142</v>
      </c>
      <c r="E2" s="168" t="s">
        <v>2190</v>
      </c>
      <c r="F2" s="135" t="s">
        <v>1143</v>
      </c>
      <c r="G2" s="136" t="s">
        <v>1144</v>
      </c>
      <c r="H2" s="135" t="s">
        <v>1145</v>
      </c>
      <c r="I2" s="137" t="s">
        <v>1146</v>
      </c>
      <c r="J2" s="135" t="s">
        <v>1147</v>
      </c>
      <c r="K2" s="138" t="s">
        <v>1148</v>
      </c>
      <c r="L2" s="139" t="s">
        <v>1149</v>
      </c>
      <c r="M2" s="135" t="s">
        <v>1150</v>
      </c>
      <c r="Q2" t="s">
        <v>1692</v>
      </c>
    </row>
    <row r="3" spans="1:17" hidden="1" x14ac:dyDescent="0.25">
      <c r="A3" s="151" t="s">
        <v>1166</v>
      </c>
      <c r="B3" s="233" t="str">
        <f>VLOOKUP(A3,'AFC Data details'!$B:$E,4,0)</f>
        <v>V17</v>
      </c>
      <c r="C3" s="151" t="str">
        <f>_xlfn.XLOOKUP(A3,'AFC Data details'!$B:$B,'AFC Data details'!$D:$D)</f>
        <v>MOCKUP</v>
      </c>
      <c r="D3" s="151" t="s">
        <v>602</v>
      </c>
      <c r="E3" s="151">
        <f>VLOOKUP(A3,'AFC Data details'!$B:$P,15,0)</f>
        <v>1.7869999999999999</v>
      </c>
      <c r="F3" s="151">
        <f>SUMIFS('AFC Data details'!C:C,'AFC Data details'!$B:$B,'Element wise-detail Summary'!$A3)</f>
        <v>1</v>
      </c>
      <c r="G3" s="151">
        <f>SUMIFS(Cast!$C:$C,Cast!$B:$B,'Element wise-detail Summary'!$A3)</f>
        <v>1</v>
      </c>
      <c r="H3" s="151">
        <f>F3-G3</f>
        <v>0</v>
      </c>
      <c r="I3" s="151">
        <f>SUMIFS(Del!$C:$C,Del!$B:$B,'Element wise-detail Summary'!$A3)</f>
        <v>1</v>
      </c>
      <c r="J3" s="151">
        <f>F3-I3</f>
        <v>0</v>
      </c>
      <c r="K3" s="151">
        <f>G3-I3</f>
        <v>0</v>
      </c>
      <c r="L3" s="151">
        <f>SUMIF(Ere!$B:$B,'Element wise-detail Summary'!$A3,Ere!$C:$C)</f>
        <v>1</v>
      </c>
      <c r="M3" s="151">
        <f>F3-L3</f>
        <v>0</v>
      </c>
      <c r="N3">
        <f>I3*E3</f>
        <v>1.7869999999999999</v>
      </c>
      <c r="Q3" t="s">
        <v>1693</v>
      </c>
    </row>
    <row r="4" spans="1:17" hidden="1" x14ac:dyDescent="0.25">
      <c r="A4" s="151" t="s">
        <v>1176</v>
      </c>
      <c r="B4" s="233" t="str">
        <f>VLOOKUP(A4,'AFC Data details'!$B:$E,4,0)</f>
        <v>V17</v>
      </c>
      <c r="C4" s="151" t="str">
        <f>_xlfn.XLOOKUP(A4,'AFC Data details'!$B:$B,'AFC Data details'!$D:$D)</f>
        <v>MOCKUP</v>
      </c>
      <c r="D4" s="151" t="s">
        <v>602</v>
      </c>
      <c r="E4" s="151">
        <f>VLOOKUP(A4,'AFC Data details'!$B:$P,15,0)</f>
        <v>1.7789999999999999</v>
      </c>
      <c r="F4" s="151">
        <f>SUMIFS('AFC Data details'!C:C,'AFC Data details'!$B:$B,'Element wise-detail Summary'!$A4)</f>
        <v>1</v>
      </c>
      <c r="G4" s="151">
        <f>SUMIFS(Cast!$C:$C,Cast!$B:$B,'Element wise-detail Summary'!$A4)</f>
        <v>1</v>
      </c>
      <c r="H4" s="151">
        <f t="shared" ref="H4:H67" si="1">F4-G4</f>
        <v>0</v>
      </c>
      <c r="I4" s="151">
        <f>SUMIFS(Del!$C:$C,Del!$B:$B,'Element wise-detail Summary'!$A4)</f>
        <v>1</v>
      </c>
      <c r="J4" s="151">
        <f t="shared" ref="J4:J67" si="2">F4-I4</f>
        <v>0</v>
      </c>
      <c r="K4" s="151">
        <f t="shared" ref="K4:K67" si="3">G4-I4</f>
        <v>0</v>
      </c>
      <c r="L4" s="151">
        <f>SUMIF(Ere!$B:$B,'Element wise-detail Summary'!$A4,Ere!$C:$C)</f>
        <v>1</v>
      </c>
      <c r="M4" s="151">
        <f t="shared" ref="M4:M67" si="4">F4-L4</f>
        <v>0</v>
      </c>
      <c r="N4">
        <f t="shared" ref="N4:N67" si="5">I4*E4</f>
        <v>1.7789999999999999</v>
      </c>
      <c r="Q4" t="s">
        <v>1694</v>
      </c>
    </row>
    <row r="5" spans="1:17" hidden="1" x14ac:dyDescent="0.25">
      <c r="A5" s="151" t="s">
        <v>1181</v>
      </c>
      <c r="B5" s="233" t="str">
        <f>VLOOKUP(A5,'AFC Data details'!$B:$E,4,0)</f>
        <v>V17</v>
      </c>
      <c r="C5" s="151" t="str">
        <f>_xlfn.XLOOKUP(A5,'AFC Data details'!$B:$B,'AFC Data details'!$D:$D)</f>
        <v>MOCKUP</v>
      </c>
      <c r="D5" s="151" t="s">
        <v>602</v>
      </c>
      <c r="E5" s="151">
        <f>VLOOKUP(A5,'AFC Data details'!$B:$P,15,0)</f>
        <v>1.7789999999999999</v>
      </c>
      <c r="F5" s="151">
        <f>SUMIFS('AFC Data details'!C:C,'AFC Data details'!$B:$B,'Element wise-detail Summary'!$A5)</f>
        <v>1</v>
      </c>
      <c r="G5" s="151">
        <f>SUMIFS(Cast!$C:$C,Cast!$B:$B,'Element wise-detail Summary'!$A5)</f>
        <v>1</v>
      </c>
      <c r="H5" s="151">
        <f t="shared" si="1"/>
        <v>0</v>
      </c>
      <c r="I5" s="151">
        <f>SUMIFS(Del!$C:$C,Del!$B:$B,'Element wise-detail Summary'!$A5)</f>
        <v>1</v>
      </c>
      <c r="J5" s="151">
        <f t="shared" si="2"/>
        <v>0</v>
      </c>
      <c r="K5" s="151">
        <f t="shared" si="3"/>
        <v>0</v>
      </c>
      <c r="L5" s="151">
        <f>SUMIF(Ere!$B:$B,'Element wise-detail Summary'!$A5,Ere!$C:$C)</f>
        <v>1</v>
      </c>
      <c r="M5" s="151">
        <f t="shared" si="4"/>
        <v>0</v>
      </c>
      <c r="N5">
        <f t="shared" si="5"/>
        <v>1.7789999999999999</v>
      </c>
      <c r="Q5" t="s">
        <v>1695</v>
      </c>
    </row>
    <row r="6" spans="1:17" hidden="1" x14ac:dyDescent="0.25">
      <c r="A6" s="151" t="s">
        <v>1178</v>
      </c>
      <c r="B6" s="233" t="str">
        <f>VLOOKUP(A6,'AFC Data details'!$B:$E,4,0)</f>
        <v>V17</v>
      </c>
      <c r="C6" s="151" t="str">
        <f>_xlfn.XLOOKUP(A6,'AFC Data details'!$B:$B,'AFC Data details'!$D:$D)</f>
        <v>MOCKUP</v>
      </c>
      <c r="D6" s="151" t="s">
        <v>602</v>
      </c>
      <c r="E6" s="151">
        <f>VLOOKUP(A6,'AFC Data details'!$B:$P,15,0)</f>
        <v>1.8939999999999999</v>
      </c>
      <c r="F6" s="151">
        <f>SUMIFS('AFC Data details'!C:C,'AFC Data details'!$B:$B,'Element wise-detail Summary'!$A6)</f>
        <v>1</v>
      </c>
      <c r="G6" s="151">
        <f>SUMIFS(Cast!$C:$C,Cast!$B:$B,'Element wise-detail Summary'!$A6)</f>
        <v>1</v>
      </c>
      <c r="H6" s="151">
        <f t="shared" si="1"/>
        <v>0</v>
      </c>
      <c r="I6" s="151">
        <f>SUMIFS(Del!$C:$C,Del!$B:$B,'Element wise-detail Summary'!$A6)</f>
        <v>1</v>
      </c>
      <c r="J6" s="151">
        <f t="shared" si="2"/>
        <v>0</v>
      </c>
      <c r="K6" s="151">
        <f t="shared" si="3"/>
        <v>0</v>
      </c>
      <c r="L6" s="151">
        <f>SUMIF(Ere!$B:$B,'Element wise-detail Summary'!$A6,Ere!$C:$C)</f>
        <v>1</v>
      </c>
      <c r="M6" s="151">
        <f t="shared" si="4"/>
        <v>0</v>
      </c>
      <c r="N6">
        <f t="shared" si="5"/>
        <v>1.8939999999999999</v>
      </c>
      <c r="Q6" t="s">
        <v>1696</v>
      </c>
    </row>
    <row r="7" spans="1:17" hidden="1" x14ac:dyDescent="0.25">
      <c r="A7" s="151" t="s">
        <v>1180</v>
      </c>
      <c r="B7" s="233" t="str">
        <f>VLOOKUP(A7,'AFC Data details'!$B:$E,4,0)</f>
        <v>V17</v>
      </c>
      <c r="C7" s="151" t="str">
        <f>_xlfn.XLOOKUP(A7,'AFC Data details'!$B:$B,'AFC Data details'!$D:$D)</f>
        <v>MOCKUP</v>
      </c>
      <c r="D7" s="151" t="s">
        <v>602</v>
      </c>
      <c r="E7" s="151">
        <f>VLOOKUP(A7,'AFC Data details'!$B:$P,15,0)</f>
        <v>1.8939999999999999</v>
      </c>
      <c r="F7" s="151">
        <f>SUMIFS('AFC Data details'!C:C,'AFC Data details'!$B:$B,'Element wise-detail Summary'!$A7)</f>
        <v>1</v>
      </c>
      <c r="G7" s="151">
        <f>SUMIFS(Cast!$C:$C,Cast!$B:$B,'Element wise-detail Summary'!$A7)</f>
        <v>1</v>
      </c>
      <c r="H7" s="151">
        <f t="shared" si="1"/>
        <v>0</v>
      </c>
      <c r="I7" s="151">
        <f>SUMIFS(Del!$C:$C,Del!$B:$B,'Element wise-detail Summary'!$A7)</f>
        <v>1</v>
      </c>
      <c r="J7" s="151">
        <f t="shared" si="2"/>
        <v>0</v>
      </c>
      <c r="K7" s="151">
        <f t="shared" si="3"/>
        <v>0</v>
      </c>
      <c r="L7" s="151">
        <f>SUMIF(Ere!$B:$B,'Element wise-detail Summary'!$A7,Ere!$C:$C)</f>
        <v>1</v>
      </c>
      <c r="M7" s="151">
        <f t="shared" si="4"/>
        <v>0</v>
      </c>
      <c r="N7">
        <f t="shared" si="5"/>
        <v>1.8939999999999999</v>
      </c>
    </row>
    <row r="8" spans="1:17" hidden="1" x14ac:dyDescent="0.25">
      <c r="A8" s="151" t="s">
        <v>1168</v>
      </c>
      <c r="B8" s="233" t="str">
        <f>VLOOKUP(A8,'AFC Data details'!$B:$E,4,0)</f>
        <v>V17</v>
      </c>
      <c r="C8" s="151" t="str">
        <f>_xlfn.XLOOKUP(A8,'AFC Data details'!$B:$B,'AFC Data details'!$D:$D)</f>
        <v>MOCKUP</v>
      </c>
      <c r="D8" s="151" t="s">
        <v>602</v>
      </c>
      <c r="E8" s="151">
        <f>VLOOKUP(A8,'AFC Data details'!$B:$P,15,0)</f>
        <v>1.9770000000000001</v>
      </c>
      <c r="F8" s="151">
        <f>SUMIFS('AFC Data details'!C:C,'AFC Data details'!$B:$B,'Element wise-detail Summary'!$A8)</f>
        <v>1</v>
      </c>
      <c r="G8" s="151">
        <f>SUMIFS(Cast!$C:$C,Cast!$B:$B,'Element wise-detail Summary'!$A8)</f>
        <v>1</v>
      </c>
      <c r="H8" s="151">
        <f t="shared" si="1"/>
        <v>0</v>
      </c>
      <c r="I8" s="151">
        <f>SUMIFS(Del!$C:$C,Del!$B:$B,'Element wise-detail Summary'!$A8)</f>
        <v>1</v>
      </c>
      <c r="J8" s="151">
        <f t="shared" si="2"/>
        <v>0</v>
      </c>
      <c r="K8" s="151">
        <f t="shared" si="3"/>
        <v>0</v>
      </c>
      <c r="L8" s="151">
        <f>SUMIF(Ere!$B:$B,'Element wise-detail Summary'!$A8,Ere!$C:$C)</f>
        <v>1</v>
      </c>
      <c r="M8" s="151">
        <f t="shared" si="4"/>
        <v>0</v>
      </c>
      <c r="N8">
        <f t="shared" si="5"/>
        <v>1.9770000000000001</v>
      </c>
    </row>
    <row r="9" spans="1:17" hidden="1" x14ac:dyDescent="0.25">
      <c r="A9" s="151" t="s">
        <v>1187</v>
      </c>
      <c r="B9" s="233" t="str">
        <f>VLOOKUP(A9,'AFC Data details'!$B:$E,4,0)</f>
        <v>V17</v>
      </c>
      <c r="C9" s="151" t="str">
        <f>_xlfn.XLOOKUP(A9,'AFC Data details'!$B:$B,'AFC Data details'!$D:$D)</f>
        <v>MOCKUP</v>
      </c>
      <c r="D9" s="151" t="s">
        <v>602</v>
      </c>
      <c r="E9" s="151">
        <f>VLOOKUP(A9,'AFC Data details'!$B:$P,15,0)</f>
        <v>2.1379999999999999</v>
      </c>
      <c r="F9" s="151">
        <f>SUMIFS('AFC Data details'!C:C,'AFC Data details'!$B:$B,'Element wise-detail Summary'!$A9)</f>
        <v>1</v>
      </c>
      <c r="G9" s="151">
        <f>SUMIFS(Cast!$C:$C,Cast!$B:$B,'Element wise-detail Summary'!$A9)</f>
        <v>1</v>
      </c>
      <c r="H9" s="151">
        <f t="shared" si="1"/>
        <v>0</v>
      </c>
      <c r="I9" s="151">
        <f>SUMIFS(Del!$C:$C,Del!$B:$B,'Element wise-detail Summary'!$A9)</f>
        <v>1</v>
      </c>
      <c r="J9" s="151">
        <f t="shared" si="2"/>
        <v>0</v>
      </c>
      <c r="K9" s="151">
        <f t="shared" si="3"/>
        <v>0</v>
      </c>
      <c r="L9" s="151">
        <f>SUMIF(Ere!$B:$B,'Element wise-detail Summary'!$A9,Ere!$C:$C)</f>
        <v>1</v>
      </c>
      <c r="M9" s="151">
        <f t="shared" si="4"/>
        <v>0</v>
      </c>
      <c r="N9">
        <f t="shared" si="5"/>
        <v>2.1379999999999999</v>
      </c>
    </row>
    <row r="10" spans="1:17" hidden="1" x14ac:dyDescent="0.25">
      <c r="A10" s="151" t="s">
        <v>1194</v>
      </c>
      <c r="B10" s="233" t="str">
        <f>VLOOKUP(A10,'AFC Data details'!$B:$E,4,0)</f>
        <v>V17</v>
      </c>
      <c r="C10" s="151" t="str">
        <f>_xlfn.XLOOKUP(A10,'AFC Data details'!$B:$B,'AFC Data details'!$D:$D)</f>
        <v>MOCKUP</v>
      </c>
      <c r="D10" s="151" t="s">
        <v>602</v>
      </c>
      <c r="E10" s="151">
        <f>VLOOKUP(A10,'AFC Data details'!$B:$P,15,0)</f>
        <v>1.9910000000000001</v>
      </c>
      <c r="F10" s="151">
        <f>SUMIFS('AFC Data details'!C:C,'AFC Data details'!$B:$B,'Element wise-detail Summary'!$A10)</f>
        <v>1</v>
      </c>
      <c r="G10" s="151">
        <f>SUMIFS(Cast!$C:$C,Cast!$B:$B,'Element wise-detail Summary'!$A10)</f>
        <v>1</v>
      </c>
      <c r="H10" s="151">
        <f t="shared" si="1"/>
        <v>0</v>
      </c>
      <c r="I10" s="151">
        <f>SUMIFS(Del!$C:$C,Del!$B:$B,'Element wise-detail Summary'!$A10)</f>
        <v>1</v>
      </c>
      <c r="J10" s="151">
        <f t="shared" si="2"/>
        <v>0</v>
      </c>
      <c r="K10" s="151">
        <f t="shared" si="3"/>
        <v>0</v>
      </c>
      <c r="L10" s="151">
        <f>SUMIF(Ere!$B:$B,'Element wise-detail Summary'!$A10,Ere!$C:$C)</f>
        <v>1</v>
      </c>
      <c r="M10" s="151">
        <f t="shared" si="4"/>
        <v>0</v>
      </c>
      <c r="N10">
        <f t="shared" si="5"/>
        <v>1.9910000000000001</v>
      </c>
    </row>
    <row r="11" spans="1:17" hidden="1" x14ac:dyDescent="0.25">
      <c r="A11" s="151" t="s">
        <v>1190</v>
      </c>
      <c r="B11" s="233" t="str">
        <f>VLOOKUP(A11,'AFC Data details'!$B:$E,4,0)</f>
        <v>V17</v>
      </c>
      <c r="C11" s="151" t="str">
        <f>_xlfn.XLOOKUP(A11,'AFC Data details'!$B:$B,'AFC Data details'!$D:$D)</f>
        <v>MOCKUP</v>
      </c>
      <c r="D11" s="151" t="s">
        <v>602</v>
      </c>
      <c r="E11" s="151">
        <f>VLOOKUP(A11,'AFC Data details'!$B:$P,15,0)</f>
        <v>2.2160000000000002</v>
      </c>
      <c r="F11" s="151">
        <f>SUMIFS('AFC Data details'!C:C,'AFC Data details'!$B:$B,'Element wise-detail Summary'!$A11)</f>
        <v>1</v>
      </c>
      <c r="G11" s="151">
        <f>SUMIFS(Cast!$C:$C,Cast!$B:$B,'Element wise-detail Summary'!$A11)</f>
        <v>1</v>
      </c>
      <c r="H11" s="151">
        <f t="shared" si="1"/>
        <v>0</v>
      </c>
      <c r="I11" s="151">
        <f>SUMIFS(Del!$C:$C,Del!$B:$B,'Element wise-detail Summary'!$A11)</f>
        <v>1</v>
      </c>
      <c r="J11" s="151">
        <f t="shared" si="2"/>
        <v>0</v>
      </c>
      <c r="K11" s="151">
        <f t="shared" si="3"/>
        <v>0</v>
      </c>
      <c r="L11" s="151">
        <f>SUMIF(Ere!$B:$B,'Element wise-detail Summary'!$A11,Ere!$C:$C)</f>
        <v>1</v>
      </c>
      <c r="M11" s="151">
        <f t="shared" si="4"/>
        <v>0</v>
      </c>
      <c r="N11">
        <f t="shared" si="5"/>
        <v>2.2160000000000002</v>
      </c>
    </row>
    <row r="12" spans="1:17" hidden="1" x14ac:dyDescent="0.25">
      <c r="A12" s="151" t="s">
        <v>1172</v>
      </c>
      <c r="B12" s="233" t="str">
        <f>VLOOKUP(A12,'AFC Data details'!$B:$E,4,0)</f>
        <v>V17</v>
      </c>
      <c r="C12" s="151" t="str">
        <f>_xlfn.XLOOKUP(A12,'AFC Data details'!$B:$B,'AFC Data details'!$D:$D)</f>
        <v>MOCKUP</v>
      </c>
      <c r="D12" s="151" t="s">
        <v>602</v>
      </c>
      <c r="E12" s="151">
        <f>VLOOKUP(A12,'AFC Data details'!$B:$P,15,0)</f>
        <v>1.413</v>
      </c>
      <c r="F12" s="151">
        <f>SUMIFS('AFC Data details'!C:C,'AFC Data details'!$B:$B,'Element wise-detail Summary'!$A12)</f>
        <v>1</v>
      </c>
      <c r="G12" s="151">
        <f>SUMIFS(Cast!$C:$C,Cast!$B:$B,'Element wise-detail Summary'!$A12)</f>
        <v>1</v>
      </c>
      <c r="H12" s="151">
        <f t="shared" si="1"/>
        <v>0</v>
      </c>
      <c r="I12" s="151">
        <f>SUMIFS(Del!$C:$C,Del!$B:$B,'Element wise-detail Summary'!$A12)</f>
        <v>1</v>
      </c>
      <c r="J12" s="151">
        <f t="shared" si="2"/>
        <v>0</v>
      </c>
      <c r="K12" s="151">
        <f t="shared" si="3"/>
        <v>0</v>
      </c>
      <c r="L12" s="151">
        <f>SUMIF(Ere!$B:$B,'Element wise-detail Summary'!$A12,Ere!$C:$C)</f>
        <v>1</v>
      </c>
      <c r="M12" s="151">
        <f t="shared" si="4"/>
        <v>0</v>
      </c>
      <c r="N12">
        <f t="shared" si="5"/>
        <v>1.413</v>
      </c>
    </row>
    <row r="13" spans="1:17" hidden="1" x14ac:dyDescent="0.25">
      <c r="A13" s="151" t="s">
        <v>1177</v>
      </c>
      <c r="B13" s="233" t="str">
        <f>VLOOKUP(A13,'AFC Data details'!$B:$E,4,0)</f>
        <v>V17</v>
      </c>
      <c r="C13" s="151" t="str">
        <f>_xlfn.XLOOKUP(A13,'AFC Data details'!$B:$B,'AFC Data details'!$D:$D)</f>
        <v>MOCKUP</v>
      </c>
      <c r="D13" s="151" t="s">
        <v>602</v>
      </c>
      <c r="E13" s="151">
        <f>VLOOKUP(A13,'AFC Data details'!$B:$P,15,0)</f>
        <v>1.69</v>
      </c>
      <c r="F13" s="151">
        <f>SUMIFS('AFC Data details'!C:C,'AFC Data details'!$B:$B,'Element wise-detail Summary'!$A13)</f>
        <v>1</v>
      </c>
      <c r="G13" s="151">
        <f>SUMIFS(Cast!$C:$C,Cast!$B:$B,'Element wise-detail Summary'!$A13)</f>
        <v>1</v>
      </c>
      <c r="H13" s="151">
        <f t="shared" si="1"/>
        <v>0</v>
      </c>
      <c r="I13" s="151">
        <f>SUMIFS(Del!$C:$C,Del!$B:$B,'Element wise-detail Summary'!$A13)</f>
        <v>1</v>
      </c>
      <c r="J13" s="151">
        <f t="shared" si="2"/>
        <v>0</v>
      </c>
      <c r="K13" s="151">
        <f t="shared" si="3"/>
        <v>0</v>
      </c>
      <c r="L13" s="151">
        <f>SUMIF(Ere!$B:$B,'Element wise-detail Summary'!$A13,Ere!$C:$C)</f>
        <v>1</v>
      </c>
      <c r="M13" s="151">
        <f t="shared" si="4"/>
        <v>0</v>
      </c>
      <c r="N13">
        <f t="shared" si="5"/>
        <v>1.69</v>
      </c>
    </row>
    <row r="14" spans="1:17" hidden="1" x14ac:dyDescent="0.25">
      <c r="A14" s="151" t="s">
        <v>1175</v>
      </c>
      <c r="B14" s="233" t="str">
        <f>VLOOKUP(A14,'AFC Data details'!$B:$E,4,0)</f>
        <v>V17</v>
      </c>
      <c r="C14" s="151" t="str">
        <f>_xlfn.XLOOKUP(A14,'AFC Data details'!$B:$B,'AFC Data details'!$D:$D)</f>
        <v>MOCKUP</v>
      </c>
      <c r="D14" s="151" t="s">
        <v>602</v>
      </c>
      <c r="E14" s="151">
        <f>VLOOKUP(A14,'AFC Data details'!$B:$P,15,0)</f>
        <v>1.69</v>
      </c>
      <c r="F14" s="151">
        <f>SUMIFS('AFC Data details'!C:C,'AFC Data details'!$B:$B,'Element wise-detail Summary'!$A14)</f>
        <v>1</v>
      </c>
      <c r="G14" s="151">
        <f>SUMIFS(Cast!$C:$C,Cast!$B:$B,'Element wise-detail Summary'!$A14)</f>
        <v>1</v>
      </c>
      <c r="H14" s="151">
        <f t="shared" si="1"/>
        <v>0</v>
      </c>
      <c r="I14" s="151">
        <f>SUMIFS(Del!$C:$C,Del!$B:$B,'Element wise-detail Summary'!$A14)</f>
        <v>1</v>
      </c>
      <c r="J14" s="151">
        <f t="shared" si="2"/>
        <v>0</v>
      </c>
      <c r="K14" s="151">
        <f t="shared" si="3"/>
        <v>0</v>
      </c>
      <c r="L14" s="151">
        <f>SUMIF(Ere!$B:$B,'Element wise-detail Summary'!$A14,Ere!$C:$C)</f>
        <v>1</v>
      </c>
      <c r="M14" s="151">
        <f t="shared" si="4"/>
        <v>0</v>
      </c>
      <c r="N14">
        <f t="shared" si="5"/>
        <v>1.69</v>
      </c>
    </row>
    <row r="15" spans="1:17" hidden="1" x14ac:dyDescent="0.25">
      <c r="A15" s="151" t="s">
        <v>1185</v>
      </c>
      <c r="B15" s="233" t="str">
        <f>VLOOKUP(A15,'AFC Data details'!$B:$E,4,0)</f>
        <v>V17</v>
      </c>
      <c r="C15" s="151" t="str">
        <f>_xlfn.XLOOKUP(A15,'AFC Data details'!$B:$B,'AFC Data details'!$D:$D)</f>
        <v>MOCKUP</v>
      </c>
      <c r="D15" s="151" t="s">
        <v>602</v>
      </c>
      <c r="E15" s="151">
        <f>VLOOKUP(A15,'AFC Data details'!$B:$P,15,0)</f>
        <v>1.8620000000000001</v>
      </c>
      <c r="F15" s="151">
        <f>SUMIFS('AFC Data details'!C:C,'AFC Data details'!$B:$B,'Element wise-detail Summary'!$A15)</f>
        <v>1</v>
      </c>
      <c r="G15" s="151">
        <f>SUMIFS(Cast!$C:$C,Cast!$B:$B,'Element wise-detail Summary'!$A15)</f>
        <v>1</v>
      </c>
      <c r="H15" s="151">
        <f t="shared" si="1"/>
        <v>0</v>
      </c>
      <c r="I15" s="151">
        <f>SUMIFS(Del!$C:$C,Del!$B:$B,'Element wise-detail Summary'!$A15)</f>
        <v>1</v>
      </c>
      <c r="J15" s="151">
        <f t="shared" si="2"/>
        <v>0</v>
      </c>
      <c r="K15" s="151">
        <f t="shared" si="3"/>
        <v>0</v>
      </c>
      <c r="L15" s="151">
        <f>SUMIF(Ere!$B:$B,'Element wise-detail Summary'!$A15,Ere!$C:$C)</f>
        <v>1</v>
      </c>
      <c r="M15" s="151">
        <f t="shared" si="4"/>
        <v>0</v>
      </c>
      <c r="N15">
        <f t="shared" si="5"/>
        <v>1.8620000000000001</v>
      </c>
    </row>
    <row r="16" spans="1:17" hidden="1" x14ac:dyDescent="0.25">
      <c r="A16" s="151" t="s">
        <v>1174</v>
      </c>
      <c r="B16" s="233" t="str">
        <f>VLOOKUP(A16,'AFC Data details'!$B:$E,4,0)</f>
        <v>V18</v>
      </c>
      <c r="C16" s="151" t="str">
        <f>_xlfn.XLOOKUP(A16,'AFC Data details'!$B:$B,'AFC Data details'!$D:$D)</f>
        <v>MOCKUP</v>
      </c>
      <c r="D16" s="151" t="s">
        <v>602</v>
      </c>
      <c r="E16" s="151">
        <f>VLOOKUP(A16,'AFC Data details'!$B:$P,15,0)</f>
        <v>1.2509999999999999</v>
      </c>
      <c r="F16" s="151">
        <f>SUMIFS('AFC Data details'!C:C,'AFC Data details'!$B:$B,'Element wise-detail Summary'!$A16)</f>
        <v>1</v>
      </c>
      <c r="G16" s="151">
        <f>SUMIFS(Cast!$C:$C,Cast!$B:$B,'Element wise-detail Summary'!$A16)</f>
        <v>1</v>
      </c>
      <c r="H16" s="151">
        <f t="shared" si="1"/>
        <v>0</v>
      </c>
      <c r="I16" s="151">
        <f>SUMIFS(Del!$C:$C,Del!$B:$B,'Element wise-detail Summary'!$A16)</f>
        <v>1</v>
      </c>
      <c r="J16" s="151">
        <f t="shared" si="2"/>
        <v>0</v>
      </c>
      <c r="K16" s="151">
        <f t="shared" si="3"/>
        <v>0</v>
      </c>
      <c r="L16" s="151">
        <f>SUMIF(Ere!$B:$B,'Element wise-detail Summary'!$A16,Ere!$C:$C)</f>
        <v>1</v>
      </c>
      <c r="M16" s="151">
        <f t="shared" si="4"/>
        <v>0</v>
      </c>
      <c r="N16">
        <f t="shared" si="5"/>
        <v>1.2509999999999999</v>
      </c>
    </row>
    <row r="17" spans="1:14" hidden="1" x14ac:dyDescent="0.25">
      <c r="A17" s="151" t="s">
        <v>1197</v>
      </c>
      <c r="B17" s="233" t="str">
        <f>VLOOKUP(A17,'AFC Data details'!$B:$E,4,0)</f>
        <v>V18</v>
      </c>
      <c r="C17" s="151" t="str">
        <f>_xlfn.XLOOKUP(A17,'AFC Data details'!$B:$B,'AFC Data details'!$D:$D)</f>
        <v>MOCKUP</v>
      </c>
      <c r="D17" s="151" t="s">
        <v>602</v>
      </c>
      <c r="E17" s="151">
        <f>VLOOKUP(A17,'AFC Data details'!$B:$P,15,0)</f>
        <v>1.595</v>
      </c>
      <c r="F17" s="151">
        <f>SUMIFS('AFC Data details'!C:C,'AFC Data details'!$B:$B,'Element wise-detail Summary'!$A17)</f>
        <v>1</v>
      </c>
      <c r="G17" s="151">
        <f>SUMIFS(Cast!$C:$C,Cast!$B:$B,'Element wise-detail Summary'!$A17)</f>
        <v>1</v>
      </c>
      <c r="H17" s="151">
        <f t="shared" si="1"/>
        <v>0</v>
      </c>
      <c r="I17" s="151">
        <f>SUMIFS(Del!$C:$C,Del!$B:$B,'Element wise-detail Summary'!$A17)</f>
        <v>1</v>
      </c>
      <c r="J17" s="151">
        <f t="shared" si="2"/>
        <v>0</v>
      </c>
      <c r="K17" s="151">
        <f t="shared" si="3"/>
        <v>0</v>
      </c>
      <c r="L17" s="151">
        <f>SUMIF(Ere!$B:$B,'Element wise-detail Summary'!$A17,Ere!$C:$C)</f>
        <v>1</v>
      </c>
      <c r="M17" s="151">
        <f t="shared" si="4"/>
        <v>0</v>
      </c>
      <c r="N17">
        <f t="shared" si="5"/>
        <v>1.595</v>
      </c>
    </row>
    <row r="18" spans="1:14" hidden="1" x14ac:dyDescent="0.25">
      <c r="A18" s="151" t="s">
        <v>1167</v>
      </c>
      <c r="B18" s="233" t="str">
        <f>VLOOKUP(A18,'AFC Data details'!$B:$E,4,0)</f>
        <v>V18</v>
      </c>
      <c r="C18" s="151" t="str">
        <f>_xlfn.XLOOKUP(A18,'AFC Data details'!$B:$B,'AFC Data details'!$D:$D)</f>
        <v>MOCKUP</v>
      </c>
      <c r="D18" s="151" t="s">
        <v>602</v>
      </c>
      <c r="E18" s="151">
        <f>VLOOKUP(A18,'AFC Data details'!$B:$P,15,0)</f>
        <v>1.617</v>
      </c>
      <c r="F18" s="151">
        <f>SUMIFS('AFC Data details'!C:C,'AFC Data details'!$B:$B,'Element wise-detail Summary'!$A18)</f>
        <v>1</v>
      </c>
      <c r="G18" s="151">
        <f>SUMIFS(Cast!$C:$C,Cast!$B:$B,'Element wise-detail Summary'!$A18)</f>
        <v>1</v>
      </c>
      <c r="H18" s="151">
        <f t="shared" si="1"/>
        <v>0</v>
      </c>
      <c r="I18" s="151">
        <f>SUMIFS(Del!$C:$C,Del!$B:$B,'Element wise-detail Summary'!$A18)</f>
        <v>1</v>
      </c>
      <c r="J18" s="151">
        <f t="shared" si="2"/>
        <v>0</v>
      </c>
      <c r="K18" s="151">
        <f t="shared" si="3"/>
        <v>0</v>
      </c>
      <c r="L18" s="151">
        <f>SUMIF(Ere!$B:$B,'Element wise-detail Summary'!$A18,Ere!$C:$C)</f>
        <v>1</v>
      </c>
      <c r="M18" s="151">
        <f t="shared" si="4"/>
        <v>0</v>
      </c>
      <c r="N18">
        <f t="shared" si="5"/>
        <v>1.617</v>
      </c>
    </row>
    <row r="19" spans="1:14" hidden="1" x14ac:dyDescent="0.25">
      <c r="A19" s="151" t="s">
        <v>1184</v>
      </c>
      <c r="B19" s="233" t="str">
        <f>VLOOKUP(A19,'AFC Data details'!$B:$E,4,0)</f>
        <v>V18</v>
      </c>
      <c r="C19" s="151" t="str">
        <f>_xlfn.XLOOKUP(A19,'AFC Data details'!$B:$B,'AFC Data details'!$D:$D)</f>
        <v>MOCKUP</v>
      </c>
      <c r="D19" s="151" t="s">
        <v>602</v>
      </c>
      <c r="E19" s="151">
        <f>VLOOKUP(A19,'AFC Data details'!$B:$P,15,0)</f>
        <v>1.617</v>
      </c>
      <c r="F19" s="151">
        <f>SUMIFS('AFC Data details'!C:C,'AFC Data details'!$B:$B,'Element wise-detail Summary'!$A19)</f>
        <v>1</v>
      </c>
      <c r="G19" s="151">
        <f>SUMIFS(Cast!$C:$C,Cast!$B:$B,'Element wise-detail Summary'!$A19)</f>
        <v>1</v>
      </c>
      <c r="H19" s="151">
        <f t="shared" si="1"/>
        <v>0</v>
      </c>
      <c r="I19" s="151">
        <f>SUMIFS(Del!$C:$C,Del!$B:$B,'Element wise-detail Summary'!$A19)</f>
        <v>1</v>
      </c>
      <c r="J19" s="151">
        <f t="shared" si="2"/>
        <v>0</v>
      </c>
      <c r="K19" s="151">
        <f t="shared" si="3"/>
        <v>0</v>
      </c>
      <c r="L19" s="151">
        <f>SUMIF(Ere!$B:$B,'Element wise-detail Summary'!$A19,Ere!$C:$C)</f>
        <v>1</v>
      </c>
      <c r="M19" s="151">
        <f t="shared" si="4"/>
        <v>0</v>
      </c>
      <c r="N19">
        <f t="shared" si="5"/>
        <v>1.617</v>
      </c>
    </row>
    <row r="20" spans="1:14" hidden="1" x14ac:dyDescent="0.25">
      <c r="A20" s="151" t="s">
        <v>1189</v>
      </c>
      <c r="B20" s="233" t="str">
        <f>VLOOKUP(A20,'AFC Data details'!$B:$E,4,0)</f>
        <v>V18</v>
      </c>
      <c r="C20" s="151" t="str">
        <f>_xlfn.XLOOKUP(A20,'AFC Data details'!$B:$B,'AFC Data details'!$D:$D)</f>
        <v>MOCKUP</v>
      </c>
      <c r="D20" s="151" t="s">
        <v>602</v>
      </c>
      <c r="E20" s="151">
        <f>VLOOKUP(A20,'AFC Data details'!$B:$P,15,0)</f>
        <v>1.617</v>
      </c>
      <c r="F20" s="151">
        <f>SUMIFS('AFC Data details'!C:C,'AFC Data details'!$B:$B,'Element wise-detail Summary'!$A20)</f>
        <v>1</v>
      </c>
      <c r="G20" s="151">
        <f>SUMIFS(Cast!$C:$C,Cast!$B:$B,'Element wise-detail Summary'!$A20)</f>
        <v>1</v>
      </c>
      <c r="H20" s="151">
        <f t="shared" si="1"/>
        <v>0</v>
      </c>
      <c r="I20" s="151">
        <f>SUMIFS(Del!$C:$C,Del!$B:$B,'Element wise-detail Summary'!$A20)</f>
        <v>1</v>
      </c>
      <c r="J20" s="151">
        <f t="shared" si="2"/>
        <v>0</v>
      </c>
      <c r="K20" s="151">
        <f t="shared" si="3"/>
        <v>0</v>
      </c>
      <c r="L20" s="151">
        <f>SUMIF(Ere!$B:$B,'Element wise-detail Summary'!$A20,Ere!$C:$C)</f>
        <v>1</v>
      </c>
      <c r="M20" s="151">
        <f t="shared" si="4"/>
        <v>0</v>
      </c>
      <c r="N20">
        <f t="shared" si="5"/>
        <v>1.617</v>
      </c>
    </row>
    <row r="21" spans="1:14" hidden="1" x14ac:dyDescent="0.25">
      <c r="A21" s="151" t="s">
        <v>1196</v>
      </c>
      <c r="B21" s="233" t="str">
        <f>VLOOKUP(A21,'AFC Data details'!$B:$E,4,0)</f>
        <v>V18</v>
      </c>
      <c r="C21" s="151" t="str">
        <f>_xlfn.XLOOKUP(A21,'AFC Data details'!$B:$B,'AFC Data details'!$D:$D)</f>
        <v>MOCKUP</v>
      </c>
      <c r="D21" s="151" t="s">
        <v>602</v>
      </c>
      <c r="E21" s="151">
        <f>VLOOKUP(A21,'AFC Data details'!$B:$P,15,0)</f>
        <v>1.617</v>
      </c>
      <c r="F21" s="151">
        <f>SUMIFS('AFC Data details'!C:C,'AFC Data details'!$B:$B,'Element wise-detail Summary'!$A21)</f>
        <v>1</v>
      </c>
      <c r="G21" s="151">
        <f>SUMIFS(Cast!$C:$C,Cast!$B:$B,'Element wise-detail Summary'!$A21)</f>
        <v>1</v>
      </c>
      <c r="H21" s="151">
        <f t="shared" si="1"/>
        <v>0</v>
      </c>
      <c r="I21" s="151">
        <f>SUMIFS(Del!$C:$C,Del!$B:$B,'Element wise-detail Summary'!$A21)</f>
        <v>1</v>
      </c>
      <c r="J21" s="151">
        <f t="shared" si="2"/>
        <v>0</v>
      </c>
      <c r="K21" s="151">
        <f t="shared" si="3"/>
        <v>0</v>
      </c>
      <c r="L21" s="151">
        <f>SUMIF(Ere!$B:$B,'Element wise-detail Summary'!$A21,Ere!$C:$C)</f>
        <v>1</v>
      </c>
      <c r="M21" s="151">
        <f t="shared" si="4"/>
        <v>0</v>
      </c>
      <c r="N21">
        <f t="shared" si="5"/>
        <v>1.617</v>
      </c>
    </row>
    <row r="22" spans="1:14" hidden="1" x14ac:dyDescent="0.25">
      <c r="A22" s="151" t="s">
        <v>1192</v>
      </c>
      <c r="B22" s="233" t="str">
        <f>VLOOKUP(A22,'AFC Data details'!$B:$E,4,0)</f>
        <v>V18</v>
      </c>
      <c r="C22" s="151" t="str">
        <f>_xlfn.XLOOKUP(A22,'AFC Data details'!$B:$B,'AFC Data details'!$D:$D)</f>
        <v>MOCKUP</v>
      </c>
      <c r="D22" s="151" t="s">
        <v>602</v>
      </c>
      <c r="E22" s="151">
        <f>VLOOKUP(A22,'AFC Data details'!$B:$P,15,0)</f>
        <v>1.617</v>
      </c>
      <c r="F22" s="151">
        <f>SUMIFS('AFC Data details'!C:C,'AFC Data details'!$B:$B,'Element wise-detail Summary'!$A22)</f>
        <v>1</v>
      </c>
      <c r="G22" s="151">
        <f>SUMIFS(Cast!$C:$C,Cast!$B:$B,'Element wise-detail Summary'!$A22)</f>
        <v>1</v>
      </c>
      <c r="H22" s="151">
        <f t="shared" si="1"/>
        <v>0</v>
      </c>
      <c r="I22" s="151">
        <f>SUMIFS(Del!$C:$C,Del!$B:$B,'Element wise-detail Summary'!$A22)</f>
        <v>1</v>
      </c>
      <c r="J22" s="151">
        <f t="shared" si="2"/>
        <v>0</v>
      </c>
      <c r="K22" s="151">
        <f t="shared" si="3"/>
        <v>0</v>
      </c>
      <c r="L22" s="151">
        <f>SUMIF(Ere!$B:$B,'Element wise-detail Summary'!$A22,Ere!$C:$C)</f>
        <v>1</v>
      </c>
      <c r="M22" s="151">
        <f t="shared" si="4"/>
        <v>0</v>
      </c>
      <c r="N22">
        <f t="shared" si="5"/>
        <v>1.617</v>
      </c>
    </row>
    <row r="23" spans="1:14" hidden="1" x14ac:dyDescent="0.25">
      <c r="A23" s="151" t="s">
        <v>1183</v>
      </c>
      <c r="B23" s="233" t="str">
        <f>VLOOKUP(A23,'AFC Data details'!$B:$E,4,0)</f>
        <v>V18</v>
      </c>
      <c r="C23" s="151" t="str">
        <f>_xlfn.XLOOKUP(A23,'AFC Data details'!$B:$B,'AFC Data details'!$D:$D)</f>
        <v>MOCKUP</v>
      </c>
      <c r="D23" s="151" t="s">
        <v>602</v>
      </c>
      <c r="E23" s="151">
        <f>VLOOKUP(A23,'AFC Data details'!$B:$P,15,0)</f>
        <v>1.401</v>
      </c>
      <c r="F23" s="151">
        <f>SUMIFS('AFC Data details'!C:C,'AFC Data details'!$B:$B,'Element wise-detail Summary'!$A23)</f>
        <v>1</v>
      </c>
      <c r="G23" s="151">
        <f>SUMIFS(Cast!$C:$C,Cast!$B:$B,'Element wise-detail Summary'!$A23)</f>
        <v>1</v>
      </c>
      <c r="H23" s="151">
        <f t="shared" si="1"/>
        <v>0</v>
      </c>
      <c r="I23" s="151">
        <f>SUMIFS(Del!$C:$C,Del!$B:$B,'Element wise-detail Summary'!$A23)</f>
        <v>1</v>
      </c>
      <c r="J23" s="151">
        <f t="shared" si="2"/>
        <v>0</v>
      </c>
      <c r="K23" s="151">
        <f t="shared" si="3"/>
        <v>0</v>
      </c>
      <c r="L23" s="151">
        <f>SUMIF(Ere!$B:$B,'Element wise-detail Summary'!$A23,Ere!$C:$C)</f>
        <v>1</v>
      </c>
      <c r="M23" s="151">
        <f t="shared" si="4"/>
        <v>0</v>
      </c>
      <c r="N23">
        <f t="shared" si="5"/>
        <v>1.401</v>
      </c>
    </row>
    <row r="24" spans="1:14" hidden="1" x14ac:dyDescent="0.25">
      <c r="A24" s="151" t="s">
        <v>1188</v>
      </c>
      <c r="B24" s="233" t="str">
        <f>VLOOKUP(A24,'AFC Data details'!$B:$E,4,0)</f>
        <v>V18</v>
      </c>
      <c r="C24" s="151" t="str">
        <f>_xlfn.XLOOKUP(A24,'AFC Data details'!$B:$B,'AFC Data details'!$D:$D)</f>
        <v>MOCKUP</v>
      </c>
      <c r="D24" s="151" t="s">
        <v>602</v>
      </c>
      <c r="E24" s="151">
        <f>VLOOKUP(A24,'AFC Data details'!$B:$P,15,0)</f>
        <v>1.401</v>
      </c>
      <c r="F24" s="151">
        <f>SUMIFS('AFC Data details'!C:C,'AFC Data details'!$B:$B,'Element wise-detail Summary'!$A24)</f>
        <v>1</v>
      </c>
      <c r="G24" s="151">
        <f>SUMIFS(Cast!$C:$C,Cast!$B:$B,'Element wise-detail Summary'!$A24)</f>
        <v>1</v>
      </c>
      <c r="H24" s="151">
        <f t="shared" si="1"/>
        <v>0</v>
      </c>
      <c r="I24" s="151">
        <f>SUMIFS(Del!$C:$C,Del!$B:$B,'Element wise-detail Summary'!$A24)</f>
        <v>1</v>
      </c>
      <c r="J24" s="151">
        <f t="shared" si="2"/>
        <v>0</v>
      </c>
      <c r="K24" s="151">
        <f t="shared" si="3"/>
        <v>0</v>
      </c>
      <c r="L24" s="151">
        <f>SUMIF(Ere!$B:$B,'Element wise-detail Summary'!$A24,Ere!$C:$C)</f>
        <v>1</v>
      </c>
      <c r="M24" s="151">
        <f t="shared" si="4"/>
        <v>0</v>
      </c>
      <c r="N24">
        <f t="shared" si="5"/>
        <v>1.401</v>
      </c>
    </row>
    <row r="25" spans="1:14" hidden="1" x14ac:dyDescent="0.25">
      <c r="A25" s="151" t="s">
        <v>1193</v>
      </c>
      <c r="B25" s="233" t="str">
        <f>VLOOKUP(A25,'AFC Data details'!$B:$E,4,0)</f>
        <v>V18</v>
      </c>
      <c r="C25" s="151" t="str">
        <f>_xlfn.XLOOKUP(A25,'AFC Data details'!$B:$B,'AFC Data details'!$D:$D)</f>
        <v>MOCKUP</v>
      </c>
      <c r="D25" s="151" t="s">
        <v>602</v>
      </c>
      <c r="E25" s="151">
        <f>VLOOKUP(A25,'AFC Data details'!$B:$P,15,0)</f>
        <v>1.2210000000000001</v>
      </c>
      <c r="F25" s="151">
        <f>SUMIFS('AFC Data details'!C:C,'AFC Data details'!$B:$B,'Element wise-detail Summary'!$A25)</f>
        <v>1</v>
      </c>
      <c r="G25" s="151">
        <f>SUMIFS(Cast!$C:$C,Cast!$B:$B,'Element wise-detail Summary'!$A25)</f>
        <v>1</v>
      </c>
      <c r="H25" s="151">
        <f t="shared" si="1"/>
        <v>0</v>
      </c>
      <c r="I25" s="151">
        <f>SUMIFS(Del!$C:$C,Del!$B:$B,'Element wise-detail Summary'!$A25)</f>
        <v>1</v>
      </c>
      <c r="J25" s="151">
        <f t="shared" si="2"/>
        <v>0</v>
      </c>
      <c r="K25" s="151">
        <f t="shared" si="3"/>
        <v>0</v>
      </c>
      <c r="L25" s="151">
        <f>SUMIF(Ere!$B:$B,'Element wise-detail Summary'!$A25,Ere!$C:$C)</f>
        <v>1</v>
      </c>
      <c r="M25" s="151">
        <f t="shared" si="4"/>
        <v>0</v>
      </c>
      <c r="N25">
        <f t="shared" si="5"/>
        <v>1.2210000000000001</v>
      </c>
    </row>
    <row r="26" spans="1:14" hidden="1" x14ac:dyDescent="0.25">
      <c r="A26" s="151" t="s">
        <v>1165</v>
      </c>
      <c r="B26" s="233" t="str">
        <f>VLOOKUP(A26,'AFC Data details'!$B:$E,4,0)</f>
        <v>V18</v>
      </c>
      <c r="C26" s="151" t="str">
        <f>_xlfn.XLOOKUP(A26,'AFC Data details'!$B:$B,'AFC Data details'!$D:$D)</f>
        <v>MOCKUP</v>
      </c>
      <c r="D26" s="151" t="s">
        <v>602</v>
      </c>
      <c r="E26" s="151">
        <f>VLOOKUP(A26,'AFC Data details'!$B:$P,15,0)</f>
        <v>2.1379999999999999</v>
      </c>
      <c r="F26" s="151">
        <f>SUMIFS('AFC Data details'!C:C,'AFC Data details'!$B:$B,'Element wise-detail Summary'!$A26)</f>
        <v>1</v>
      </c>
      <c r="G26" s="151">
        <f>SUMIFS(Cast!$C:$C,Cast!$B:$B,'Element wise-detail Summary'!$A26)</f>
        <v>1</v>
      </c>
      <c r="H26" s="151">
        <f t="shared" si="1"/>
        <v>0</v>
      </c>
      <c r="I26" s="151">
        <f>SUMIFS(Del!$C:$C,Del!$B:$B,'Element wise-detail Summary'!$A26)</f>
        <v>1</v>
      </c>
      <c r="J26" s="151">
        <f t="shared" si="2"/>
        <v>0</v>
      </c>
      <c r="K26" s="151">
        <f t="shared" si="3"/>
        <v>0</v>
      </c>
      <c r="L26" s="151">
        <f>SUMIF(Ere!$B:$B,'Element wise-detail Summary'!$A26,Ere!$C:$C)</f>
        <v>1</v>
      </c>
      <c r="M26" s="151">
        <f t="shared" si="4"/>
        <v>0</v>
      </c>
      <c r="N26">
        <f t="shared" si="5"/>
        <v>2.1379999999999999</v>
      </c>
    </row>
    <row r="27" spans="1:14" hidden="1" x14ac:dyDescent="0.25">
      <c r="A27" s="151" t="s">
        <v>1169</v>
      </c>
      <c r="B27" s="233" t="str">
        <f>VLOOKUP(A27,'AFC Data details'!$B:$E,4,0)</f>
        <v>V18</v>
      </c>
      <c r="C27" s="151" t="str">
        <f>_xlfn.XLOOKUP(A27,'AFC Data details'!$B:$B,'AFC Data details'!$D:$D)</f>
        <v>MOCKUP</v>
      </c>
      <c r="D27" s="151" t="s">
        <v>602</v>
      </c>
      <c r="E27" s="151">
        <f>VLOOKUP(A27,'AFC Data details'!$B:$P,15,0)</f>
        <v>1.462</v>
      </c>
      <c r="F27" s="151">
        <f>SUMIFS('AFC Data details'!C:C,'AFC Data details'!$B:$B,'Element wise-detail Summary'!$A27)</f>
        <v>1</v>
      </c>
      <c r="G27" s="151">
        <f>SUMIFS(Cast!$C:$C,Cast!$B:$B,'Element wise-detail Summary'!$A27)</f>
        <v>1</v>
      </c>
      <c r="H27" s="151">
        <f t="shared" si="1"/>
        <v>0</v>
      </c>
      <c r="I27" s="151">
        <f>SUMIFS(Del!$C:$C,Del!$B:$B,'Element wise-detail Summary'!$A27)</f>
        <v>1</v>
      </c>
      <c r="J27" s="151">
        <f t="shared" si="2"/>
        <v>0</v>
      </c>
      <c r="K27" s="151">
        <f t="shared" si="3"/>
        <v>0</v>
      </c>
      <c r="L27" s="151">
        <f>SUMIF(Ere!$B:$B,'Element wise-detail Summary'!$A27,Ere!$C:$C)</f>
        <v>1</v>
      </c>
      <c r="M27" s="151">
        <f t="shared" si="4"/>
        <v>0</v>
      </c>
      <c r="N27">
        <f t="shared" si="5"/>
        <v>1.462</v>
      </c>
    </row>
    <row r="28" spans="1:14" hidden="1" x14ac:dyDescent="0.25">
      <c r="A28" s="151" t="s">
        <v>1170</v>
      </c>
      <c r="B28" s="233" t="str">
        <f>VLOOKUP(A28,'AFC Data details'!$B:$E,4,0)</f>
        <v>V18</v>
      </c>
      <c r="C28" s="151" t="str">
        <f>_xlfn.XLOOKUP(A28,'AFC Data details'!$B:$B,'AFC Data details'!$D:$D)</f>
        <v>MOCKUP</v>
      </c>
      <c r="D28" s="151" t="s">
        <v>602</v>
      </c>
      <c r="E28" s="151">
        <f>VLOOKUP(A28,'AFC Data details'!$B:$P,15,0)</f>
        <v>1.462</v>
      </c>
      <c r="F28" s="151">
        <f>SUMIFS('AFC Data details'!C:C,'AFC Data details'!$B:$B,'Element wise-detail Summary'!$A28)</f>
        <v>1</v>
      </c>
      <c r="G28" s="151">
        <f>SUMIFS(Cast!$C:$C,Cast!$B:$B,'Element wise-detail Summary'!$A28)</f>
        <v>1</v>
      </c>
      <c r="H28" s="151">
        <f t="shared" si="1"/>
        <v>0</v>
      </c>
      <c r="I28" s="151">
        <f>SUMIFS(Del!$C:$C,Del!$B:$B,'Element wise-detail Summary'!$A28)</f>
        <v>1</v>
      </c>
      <c r="J28" s="151">
        <f t="shared" si="2"/>
        <v>0</v>
      </c>
      <c r="K28" s="151">
        <f t="shared" si="3"/>
        <v>0</v>
      </c>
      <c r="L28" s="151">
        <f>SUMIF(Ere!$B:$B,'Element wise-detail Summary'!$A28,Ere!$C:$C)</f>
        <v>1</v>
      </c>
      <c r="M28" s="151">
        <f t="shared" si="4"/>
        <v>0</v>
      </c>
      <c r="N28">
        <f t="shared" si="5"/>
        <v>1.462</v>
      </c>
    </row>
    <row r="29" spans="1:14" hidden="1" x14ac:dyDescent="0.25">
      <c r="A29" s="151" t="s">
        <v>1171</v>
      </c>
      <c r="B29" s="233" t="str">
        <f>VLOOKUP(A29,'AFC Data details'!$B:$E,4,0)</f>
        <v>V18</v>
      </c>
      <c r="C29" s="151" t="str">
        <f>_xlfn.XLOOKUP(A29,'AFC Data details'!$B:$B,'AFC Data details'!$D:$D)</f>
        <v>MOCKUP</v>
      </c>
      <c r="D29" s="151" t="s">
        <v>602</v>
      </c>
      <c r="E29" s="151">
        <f>VLOOKUP(A29,'AFC Data details'!$B:$P,15,0)</f>
        <v>1.462</v>
      </c>
      <c r="F29" s="151">
        <f>SUMIFS('AFC Data details'!C:C,'AFC Data details'!$B:$B,'Element wise-detail Summary'!$A29)</f>
        <v>1</v>
      </c>
      <c r="G29" s="151">
        <f>SUMIFS(Cast!$C:$C,Cast!$B:$B,'Element wise-detail Summary'!$A29)</f>
        <v>1</v>
      </c>
      <c r="H29" s="151">
        <f t="shared" si="1"/>
        <v>0</v>
      </c>
      <c r="I29" s="151">
        <f>SUMIFS(Del!$C:$C,Del!$B:$B,'Element wise-detail Summary'!$A29)</f>
        <v>1</v>
      </c>
      <c r="J29" s="151">
        <f t="shared" si="2"/>
        <v>0</v>
      </c>
      <c r="K29" s="151">
        <f t="shared" si="3"/>
        <v>0</v>
      </c>
      <c r="L29" s="151">
        <f>SUMIF(Ere!$B:$B,'Element wise-detail Summary'!$A29,Ere!$C:$C)</f>
        <v>1</v>
      </c>
      <c r="M29" s="151">
        <f t="shared" si="4"/>
        <v>0</v>
      </c>
      <c r="N29">
        <f t="shared" si="5"/>
        <v>1.462</v>
      </c>
    </row>
    <row r="30" spans="1:14" hidden="1" x14ac:dyDescent="0.25">
      <c r="A30" s="151" t="s">
        <v>1173</v>
      </c>
      <c r="B30" s="233" t="str">
        <f>VLOOKUP(A30,'AFC Data details'!$B:$E,4,0)</f>
        <v>V18</v>
      </c>
      <c r="C30" s="151" t="str">
        <f>_xlfn.XLOOKUP(A30,'AFC Data details'!$B:$B,'AFC Data details'!$D:$D)</f>
        <v>MOCKUP</v>
      </c>
      <c r="D30" s="151" t="s">
        <v>602</v>
      </c>
      <c r="E30" s="151">
        <f>VLOOKUP(A30,'AFC Data details'!$B:$P,15,0)</f>
        <v>1.8580000000000001</v>
      </c>
      <c r="F30" s="151">
        <f>SUMIFS('AFC Data details'!C:C,'AFC Data details'!$B:$B,'Element wise-detail Summary'!$A30)</f>
        <v>1</v>
      </c>
      <c r="G30" s="151">
        <f>SUMIFS(Cast!$C:$C,Cast!$B:$B,'Element wise-detail Summary'!$A30)</f>
        <v>1</v>
      </c>
      <c r="H30" s="151">
        <f t="shared" si="1"/>
        <v>0</v>
      </c>
      <c r="I30" s="151">
        <f>SUMIFS(Del!$C:$C,Del!$B:$B,'Element wise-detail Summary'!$A30)</f>
        <v>1</v>
      </c>
      <c r="J30" s="151">
        <f t="shared" si="2"/>
        <v>0</v>
      </c>
      <c r="K30" s="151">
        <f t="shared" si="3"/>
        <v>0</v>
      </c>
      <c r="L30" s="151">
        <f>SUMIF(Ere!$B:$B,'Element wise-detail Summary'!$A30,Ere!$C:$C)</f>
        <v>1</v>
      </c>
      <c r="M30" s="151">
        <f t="shared" si="4"/>
        <v>0</v>
      </c>
      <c r="N30">
        <f t="shared" si="5"/>
        <v>1.8580000000000001</v>
      </c>
    </row>
    <row r="31" spans="1:14" hidden="1" x14ac:dyDescent="0.25">
      <c r="A31" s="151" t="s">
        <v>1215</v>
      </c>
      <c r="B31" s="233" t="str">
        <f>VLOOKUP(A31,'AFC Data details'!$B:$E,4,0)</f>
        <v>V19</v>
      </c>
      <c r="C31" s="144" t="s">
        <v>1693</v>
      </c>
      <c r="D31" s="151" t="s">
        <v>602</v>
      </c>
      <c r="E31" s="151">
        <f>VLOOKUP(A31,'AFC Data details'!$B:$P,15,0)</f>
        <v>1.33</v>
      </c>
      <c r="F31" s="151">
        <f>SUMIFS('AFC Data details'!C:C,'AFC Data details'!$B:$B,'Element wise-detail Summary'!$A31)</f>
        <v>1</v>
      </c>
      <c r="G31" s="151">
        <f>SUMIFS(Cast!$C:$C,Cast!$B:$B,'Element wise-detail Summary'!$A31)</f>
        <v>1</v>
      </c>
      <c r="H31" s="151">
        <f t="shared" si="1"/>
        <v>0</v>
      </c>
      <c r="I31" s="151">
        <f>SUMIFS(Del!$C:$C,Del!$B:$B,'Element wise-detail Summary'!$A31)</f>
        <v>1</v>
      </c>
      <c r="J31" s="151">
        <f t="shared" si="2"/>
        <v>0</v>
      </c>
      <c r="K31" s="151">
        <f t="shared" si="3"/>
        <v>0</v>
      </c>
      <c r="L31" s="151">
        <f>SUMIF(Ere!$B:$B,'Element wise-detail Summary'!$A31,Ere!$C:$C)</f>
        <v>1</v>
      </c>
      <c r="M31" s="151">
        <f t="shared" si="4"/>
        <v>0</v>
      </c>
      <c r="N31">
        <f t="shared" si="5"/>
        <v>1.33</v>
      </c>
    </row>
    <row r="32" spans="1:14" hidden="1" x14ac:dyDescent="0.25">
      <c r="A32" s="151" t="s">
        <v>1216</v>
      </c>
      <c r="B32" s="233" t="str">
        <f>VLOOKUP(A32,'AFC Data details'!$B:$E,4,0)</f>
        <v>V19</v>
      </c>
      <c r="C32" s="144" t="s">
        <v>1693</v>
      </c>
      <c r="D32" s="151" t="s">
        <v>602</v>
      </c>
      <c r="E32" s="151">
        <f>VLOOKUP(A32,'AFC Data details'!$B:$P,15,0)</f>
        <v>1.33</v>
      </c>
      <c r="F32" s="151">
        <f>SUMIFS('AFC Data details'!C:C,'AFC Data details'!$B:$B,'Element wise-detail Summary'!$A32)</f>
        <v>1</v>
      </c>
      <c r="G32" s="151">
        <f>SUMIFS(Cast!$C:$C,Cast!$B:$B,'Element wise-detail Summary'!$A32)</f>
        <v>1</v>
      </c>
      <c r="H32" s="151">
        <f t="shared" si="1"/>
        <v>0</v>
      </c>
      <c r="I32" s="151">
        <f>SUMIFS(Del!$C:$C,Del!$B:$B,'Element wise-detail Summary'!$A32)</f>
        <v>1</v>
      </c>
      <c r="J32" s="151">
        <f t="shared" si="2"/>
        <v>0</v>
      </c>
      <c r="K32" s="151">
        <f t="shared" si="3"/>
        <v>0</v>
      </c>
      <c r="L32" s="151">
        <f>SUMIF(Ere!$B:$B,'Element wise-detail Summary'!$A32,Ere!$C:$C)</f>
        <v>1</v>
      </c>
      <c r="M32" s="151">
        <f t="shared" si="4"/>
        <v>0</v>
      </c>
      <c r="N32">
        <f t="shared" si="5"/>
        <v>1.33</v>
      </c>
    </row>
    <row r="33" spans="1:14" hidden="1" x14ac:dyDescent="0.25">
      <c r="A33" s="151" t="s">
        <v>1217</v>
      </c>
      <c r="B33" s="233" t="str">
        <f>VLOOKUP(A33,'AFC Data details'!$B:$E,4,0)</f>
        <v>V19</v>
      </c>
      <c r="C33" s="144" t="s">
        <v>1693</v>
      </c>
      <c r="D33" s="151" t="s">
        <v>602</v>
      </c>
      <c r="E33" s="151">
        <f>VLOOKUP(A33,'AFC Data details'!$B:$P,15,0)</f>
        <v>1.73</v>
      </c>
      <c r="F33" s="151">
        <f>SUMIFS('AFC Data details'!C:C,'AFC Data details'!$B:$B,'Element wise-detail Summary'!$A33)</f>
        <v>1</v>
      </c>
      <c r="G33" s="151">
        <f>SUMIFS(Cast!$C:$C,Cast!$B:$B,'Element wise-detail Summary'!$A33)</f>
        <v>1</v>
      </c>
      <c r="H33" s="151">
        <f t="shared" si="1"/>
        <v>0</v>
      </c>
      <c r="I33" s="151">
        <f>SUMIFS(Del!$C:$C,Del!$B:$B,'Element wise-detail Summary'!$A33)</f>
        <v>1</v>
      </c>
      <c r="J33" s="151">
        <f t="shared" si="2"/>
        <v>0</v>
      </c>
      <c r="K33" s="151">
        <f t="shared" si="3"/>
        <v>0</v>
      </c>
      <c r="L33" s="151">
        <f>SUMIF(Ere!$B:$B,'Element wise-detail Summary'!$A33,Ere!$C:$C)</f>
        <v>1</v>
      </c>
      <c r="M33" s="151">
        <f t="shared" si="4"/>
        <v>0</v>
      </c>
      <c r="N33">
        <f t="shared" si="5"/>
        <v>1.73</v>
      </c>
    </row>
    <row r="34" spans="1:14" hidden="1" x14ac:dyDescent="0.25">
      <c r="A34" s="151" t="s">
        <v>1218</v>
      </c>
      <c r="B34" s="233" t="str">
        <f>VLOOKUP(A34,'AFC Data details'!$B:$E,4,0)</f>
        <v>V19</v>
      </c>
      <c r="C34" s="144" t="s">
        <v>1693</v>
      </c>
      <c r="D34" s="151" t="s">
        <v>602</v>
      </c>
      <c r="E34" s="151">
        <f>VLOOKUP(A34,'AFC Data details'!$B:$P,15,0)</f>
        <v>1.9490000000000001</v>
      </c>
      <c r="F34" s="151">
        <f>SUMIFS('AFC Data details'!C:C,'AFC Data details'!$B:$B,'Element wise-detail Summary'!$A34)</f>
        <v>1</v>
      </c>
      <c r="G34" s="151">
        <f>SUMIFS(Cast!$C:$C,Cast!$B:$B,'Element wise-detail Summary'!$A34)</f>
        <v>1</v>
      </c>
      <c r="H34" s="151">
        <f t="shared" si="1"/>
        <v>0</v>
      </c>
      <c r="I34" s="151">
        <f>SUMIFS(Del!$C:$C,Del!$B:$B,'Element wise-detail Summary'!$A34)</f>
        <v>1</v>
      </c>
      <c r="J34" s="151">
        <f t="shared" si="2"/>
        <v>0</v>
      </c>
      <c r="K34" s="151">
        <f t="shared" si="3"/>
        <v>0</v>
      </c>
      <c r="L34" s="151">
        <f>SUMIF(Ere!$B:$B,'Element wise-detail Summary'!$A34,Ere!$C:$C)</f>
        <v>1</v>
      </c>
      <c r="M34" s="151">
        <f t="shared" si="4"/>
        <v>0</v>
      </c>
      <c r="N34">
        <f t="shared" si="5"/>
        <v>1.9490000000000001</v>
      </c>
    </row>
    <row r="35" spans="1:14" hidden="1" x14ac:dyDescent="0.25">
      <c r="A35" s="151" t="s">
        <v>1219</v>
      </c>
      <c r="B35" s="233" t="str">
        <f>VLOOKUP(A35,'AFC Data details'!$B:$E,4,0)</f>
        <v>V19</v>
      </c>
      <c r="C35" s="144" t="s">
        <v>1693</v>
      </c>
      <c r="D35" s="151" t="s">
        <v>602</v>
      </c>
      <c r="E35" s="151">
        <f>VLOOKUP(A35,'AFC Data details'!$B:$P,15,0)</f>
        <v>2.508</v>
      </c>
      <c r="F35" s="151">
        <f>SUMIFS('AFC Data details'!C:C,'AFC Data details'!$B:$B,'Element wise-detail Summary'!$A35)</f>
        <v>1</v>
      </c>
      <c r="G35" s="151">
        <f>SUMIFS(Cast!$C:$C,Cast!$B:$B,'Element wise-detail Summary'!$A35)</f>
        <v>1</v>
      </c>
      <c r="H35" s="151">
        <f t="shared" si="1"/>
        <v>0</v>
      </c>
      <c r="I35" s="151">
        <f>SUMIFS(Del!$C:$C,Del!$B:$B,'Element wise-detail Summary'!$A35)</f>
        <v>1</v>
      </c>
      <c r="J35" s="151">
        <f t="shared" si="2"/>
        <v>0</v>
      </c>
      <c r="K35" s="151">
        <f t="shared" si="3"/>
        <v>0</v>
      </c>
      <c r="L35" s="151">
        <f>SUMIF(Ere!$B:$B,'Element wise-detail Summary'!$A35,Ere!$C:$C)</f>
        <v>0</v>
      </c>
      <c r="M35" s="151">
        <f t="shared" si="4"/>
        <v>1</v>
      </c>
      <c r="N35">
        <f t="shared" si="5"/>
        <v>2.508</v>
      </c>
    </row>
    <row r="36" spans="1:14" hidden="1" x14ac:dyDescent="0.25">
      <c r="A36" s="151" t="s">
        <v>1221</v>
      </c>
      <c r="B36" s="233" t="str">
        <f>VLOOKUP(A36,'AFC Data details'!$B:$E,4,0)</f>
        <v>V19</v>
      </c>
      <c r="C36" s="144" t="s">
        <v>1693</v>
      </c>
      <c r="D36" s="151" t="s">
        <v>602</v>
      </c>
      <c r="E36" s="151">
        <f>VLOOKUP(A36,'AFC Data details'!$B:$P,15,0)</f>
        <v>2.8479999999999999</v>
      </c>
      <c r="F36" s="151">
        <f>SUMIFS('AFC Data details'!C:C,'AFC Data details'!$B:$B,'Element wise-detail Summary'!$A36)</f>
        <v>1</v>
      </c>
      <c r="G36" s="151">
        <f>SUMIFS(Cast!$C:$C,Cast!$B:$B,'Element wise-detail Summary'!$A36)</f>
        <v>1</v>
      </c>
      <c r="H36" s="151">
        <f t="shared" si="1"/>
        <v>0</v>
      </c>
      <c r="I36" s="151">
        <f>SUMIFS(Del!$C:$C,Del!$B:$B,'Element wise-detail Summary'!$A36)</f>
        <v>1</v>
      </c>
      <c r="J36" s="151">
        <f t="shared" si="2"/>
        <v>0</v>
      </c>
      <c r="K36" s="151">
        <f t="shared" si="3"/>
        <v>0</v>
      </c>
      <c r="L36" s="151">
        <f>SUMIF(Ere!$B:$B,'Element wise-detail Summary'!$A36,Ere!$C:$C)</f>
        <v>1</v>
      </c>
      <c r="M36" s="151">
        <f t="shared" si="4"/>
        <v>0</v>
      </c>
      <c r="N36">
        <f t="shared" si="5"/>
        <v>2.8479999999999999</v>
      </c>
    </row>
    <row r="37" spans="1:14" hidden="1" x14ac:dyDescent="0.25">
      <c r="A37" s="151" t="s">
        <v>1182</v>
      </c>
      <c r="B37" s="233" t="str">
        <f>VLOOKUP(A37,'AFC Data details'!$B:$E,4,0)</f>
        <v>V19</v>
      </c>
      <c r="C37" s="144" t="s">
        <v>1693</v>
      </c>
      <c r="D37" s="151" t="s">
        <v>602</v>
      </c>
      <c r="E37" s="151">
        <f>VLOOKUP(A37,'AFC Data details'!$B:$P,15,0)</f>
        <v>2.923</v>
      </c>
      <c r="F37" s="151">
        <f>SUMIFS('AFC Data details'!C:C,'AFC Data details'!$B:$B,'Element wise-detail Summary'!$A37)</f>
        <v>1</v>
      </c>
      <c r="G37" s="151">
        <f>SUMIFS(Cast!$C:$C,Cast!$B:$B,'Element wise-detail Summary'!$A37)</f>
        <v>1</v>
      </c>
      <c r="H37" s="151">
        <f t="shared" si="1"/>
        <v>0</v>
      </c>
      <c r="I37" s="151">
        <f>SUMIFS(Del!$C:$C,Del!$B:$B,'Element wise-detail Summary'!$A37)</f>
        <v>1</v>
      </c>
      <c r="J37" s="151">
        <f t="shared" si="2"/>
        <v>0</v>
      </c>
      <c r="K37" s="151">
        <f t="shared" si="3"/>
        <v>0</v>
      </c>
      <c r="L37" s="151">
        <f>SUMIF(Ere!$B:$B,'Element wise-detail Summary'!$A37,Ere!$C:$C)</f>
        <v>1</v>
      </c>
      <c r="M37" s="151">
        <f t="shared" si="4"/>
        <v>0</v>
      </c>
      <c r="N37">
        <f t="shared" si="5"/>
        <v>2.923</v>
      </c>
    </row>
    <row r="38" spans="1:14" hidden="1" x14ac:dyDescent="0.25">
      <c r="A38" s="151" t="s">
        <v>1204</v>
      </c>
      <c r="B38" s="233" t="str">
        <f>VLOOKUP(A38,'AFC Data details'!$B:$E,4,0)</f>
        <v>V19</v>
      </c>
      <c r="C38" s="144" t="s">
        <v>1693</v>
      </c>
      <c r="D38" s="151" t="s">
        <v>602</v>
      </c>
      <c r="E38" s="151">
        <f>VLOOKUP(A38,'AFC Data details'!$B:$P,15,0)</f>
        <v>2.923</v>
      </c>
      <c r="F38" s="151">
        <f>SUMIFS('AFC Data details'!C:C,'AFC Data details'!$B:$B,'Element wise-detail Summary'!$A38)</f>
        <v>1</v>
      </c>
      <c r="G38" s="151">
        <f>SUMIFS(Cast!$C:$C,Cast!$B:$B,'Element wise-detail Summary'!$A38)</f>
        <v>1</v>
      </c>
      <c r="H38" s="151">
        <f t="shared" si="1"/>
        <v>0</v>
      </c>
      <c r="I38" s="151">
        <f>SUMIFS(Del!$C:$C,Del!$B:$B,'Element wise-detail Summary'!$A38)</f>
        <v>1</v>
      </c>
      <c r="J38" s="151">
        <f t="shared" si="2"/>
        <v>0</v>
      </c>
      <c r="K38" s="151">
        <f t="shared" si="3"/>
        <v>0</v>
      </c>
      <c r="L38" s="151">
        <f>SUMIF(Ere!$B:$B,'Element wise-detail Summary'!$A38,Ere!$C:$C)</f>
        <v>1</v>
      </c>
      <c r="M38" s="151">
        <f t="shared" si="4"/>
        <v>0</v>
      </c>
      <c r="N38">
        <f t="shared" si="5"/>
        <v>2.923</v>
      </c>
    </row>
    <row r="39" spans="1:14" hidden="1" x14ac:dyDescent="0.25">
      <c r="A39" s="151" t="s">
        <v>1223</v>
      </c>
      <c r="B39" s="233" t="str">
        <f>VLOOKUP(A39,'AFC Data details'!$B:$E,4,0)</f>
        <v>V19</v>
      </c>
      <c r="C39" s="144" t="s">
        <v>1693</v>
      </c>
      <c r="D39" s="151" t="s">
        <v>602</v>
      </c>
      <c r="E39" s="151">
        <f>VLOOKUP(A39,'AFC Data details'!$B:$P,15,0)</f>
        <v>2.6349999999999998</v>
      </c>
      <c r="F39" s="151">
        <f>SUMIFS('AFC Data details'!C:C,'AFC Data details'!$B:$B,'Element wise-detail Summary'!$A39)</f>
        <v>1</v>
      </c>
      <c r="G39" s="151">
        <f>SUMIFS(Cast!$C:$C,Cast!$B:$B,'Element wise-detail Summary'!$A39)</f>
        <v>1</v>
      </c>
      <c r="H39" s="151">
        <f t="shared" si="1"/>
        <v>0</v>
      </c>
      <c r="I39" s="151">
        <f>SUMIFS(Del!$C:$C,Del!$B:$B,'Element wise-detail Summary'!$A39)</f>
        <v>1</v>
      </c>
      <c r="J39" s="151">
        <f t="shared" si="2"/>
        <v>0</v>
      </c>
      <c r="K39" s="151">
        <f t="shared" si="3"/>
        <v>0</v>
      </c>
      <c r="L39" s="151">
        <f>SUMIF(Ere!$B:$B,'Element wise-detail Summary'!$A39,Ere!$C:$C)</f>
        <v>1</v>
      </c>
      <c r="M39" s="151">
        <f t="shared" si="4"/>
        <v>0</v>
      </c>
      <c r="N39">
        <f t="shared" si="5"/>
        <v>2.6349999999999998</v>
      </c>
    </row>
    <row r="40" spans="1:14" hidden="1" x14ac:dyDescent="0.25">
      <c r="A40" s="151" t="s">
        <v>1225</v>
      </c>
      <c r="B40" s="233" t="str">
        <f>VLOOKUP(A40,'AFC Data details'!$B:$E,4,0)</f>
        <v>V19</v>
      </c>
      <c r="C40" s="144" t="s">
        <v>1693</v>
      </c>
      <c r="D40" s="151" t="s">
        <v>602</v>
      </c>
      <c r="E40" s="151">
        <f>VLOOKUP(A40,'AFC Data details'!$B:$P,15,0)</f>
        <v>2.96</v>
      </c>
      <c r="F40" s="151">
        <f>SUMIFS('AFC Data details'!C:C,'AFC Data details'!$B:$B,'Element wise-detail Summary'!$A40)</f>
        <v>1</v>
      </c>
      <c r="G40" s="151">
        <f>SUMIFS(Cast!$C:$C,Cast!$B:$B,'Element wise-detail Summary'!$A40)</f>
        <v>1</v>
      </c>
      <c r="H40" s="151">
        <f t="shared" si="1"/>
        <v>0</v>
      </c>
      <c r="I40" s="151">
        <f>SUMIFS(Del!$C:$C,Del!$B:$B,'Element wise-detail Summary'!$A40)</f>
        <v>1</v>
      </c>
      <c r="J40" s="151">
        <f t="shared" si="2"/>
        <v>0</v>
      </c>
      <c r="K40" s="151">
        <f t="shared" si="3"/>
        <v>0</v>
      </c>
      <c r="L40" s="151">
        <f>SUMIF(Ere!$B:$B,'Element wise-detail Summary'!$A40,Ere!$C:$C)</f>
        <v>1</v>
      </c>
      <c r="M40" s="151">
        <f t="shared" si="4"/>
        <v>0</v>
      </c>
      <c r="N40">
        <f t="shared" si="5"/>
        <v>2.96</v>
      </c>
    </row>
    <row r="41" spans="1:14" hidden="1" x14ac:dyDescent="0.25">
      <c r="A41" s="151" t="s">
        <v>1226</v>
      </c>
      <c r="B41" s="233" t="str">
        <f>VLOOKUP(A41,'AFC Data details'!$B:$E,4,0)</f>
        <v>V19</v>
      </c>
      <c r="C41" s="144" t="s">
        <v>1693</v>
      </c>
      <c r="D41" s="151" t="s">
        <v>602</v>
      </c>
      <c r="E41" s="151">
        <f>VLOOKUP(A41,'AFC Data details'!$B:$P,15,0)</f>
        <v>3.032</v>
      </c>
      <c r="F41" s="151">
        <f>SUMIFS('AFC Data details'!C:C,'AFC Data details'!$B:$B,'Element wise-detail Summary'!$A41)</f>
        <v>1</v>
      </c>
      <c r="G41" s="151">
        <f>SUMIFS(Cast!$C:$C,Cast!$B:$B,'Element wise-detail Summary'!$A41)</f>
        <v>1</v>
      </c>
      <c r="H41" s="151">
        <f t="shared" si="1"/>
        <v>0</v>
      </c>
      <c r="I41" s="151">
        <f>SUMIFS(Del!$C:$C,Del!$B:$B,'Element wise-detail Summary'!$A41)</f>
        <v>1</v>
      </c>
      <c r="J41" s="151">
        <f t="shared" si="2"/>
        <v>0</v>
      </c>
      <c r="K41" s="151">
        <f t="shared" si="3"/>
        <v>0</v>
      </c>
      <c r="L41" s="151">
        <f>SUMIF(Ere!$B:$B,'Element wise-detail Summary'!$A41,Ere!$C:$C)</f>
        <v>1</v>
      </c>
      <c r="M41" s="151">
        <f t="shared" si="4"/>
        <v>0</v>
      </c>
      <c r="N41">
        <f t="shared" si="5"/>
        <v>3.032</v>
      </c>
    </row>
    <row r="42" spans="1:14" hidden="1" x14ac:dyDescent="0.25">
      <c r="A42" s="151" t="s">
        <v>1227</v>
      </c>
      <c r="B42" s="233" t="str">
        <f>VLOOKUP(A42,'AFC Data details'!$B:$E,4,0)</f>
        <v>V19</v>
      </c>
      <c r="C42" s="144" t="s">
        <v>1693</v>
      </c>
      <c r="D42" s="151" t="s">
        <v>602</v>
      </c>
      <c r="E42" s="151">
        <f>VLOOKUP(A42,'AFC Data details'!$B:$P,15,0)</f>
        <v>3.1030000000000002</v>
      </c>
      <c r="F42" s="151">
        <f>SUMIFS('AFC Data details'!C:C,'AFC Data details'!$B:$B,'Element wise-detail Summary'!$A42)</f>
        <v>1</v>
      </c>
      <c r="G42" s="151">
        <f>SUMIFS(Cast!$C:$C,Cast!$B:$B,'Element wise-detail Summary'!$A42)</f>
        <v>1</v>
      </c>
      <c r="H42" s="151">
        <f t="shared" si="1"/>
        <v>0</v>
      </c>
      <c r="I42" s="151">
        <f>SUMIFS(Del!$C:$C,Del!$B:$B,'Element wise-detail Summary'!$A42)</f>
        <v>1</v>
      </c>
      <c r="J42" s="151">
        <f t="shared" si="2"/>
        <v>0</v>
      </c>
      <c r="K42" s="151">
        <f t="shared" si="3"/>
        <v>0</v>
      </c>
      <c r="L42" s="151">
        <f>SUMIF(Ere!$B:$B,'Element wise-detail Summary'!$A42,Ere!$C:$C)</f>
        <v>1</v>
      </c>
      <c r="M42" s="151">
        <f t="shared" si="4"/>
        <v>0</v>
      </c>
      <c r="N42">
        <f t="shared" si="5"/>
        <v>3.1030000000000002</v>
      </c>
    </row>
    <row r="43" spans="1:14" hidden="1" x14ac:dyDescent="0.25">
      <c r="A43" s="151" t="s">
        <v>1198</v>
      </c>
      <c r="B43" s="233" t="str">
        <f>VLOOKUP(A43,'AFC Data details'!$B:$E,4,0)</f>
        <v>V19</v>
      </c>
      <c r="C43" s="144" t="s">
        <v>1693</v>
      </c>
      <c r="D43" s="151" t="s">
        <v>602</v>
      </c>
      <c r="E43" s="151">
        <f>VLOOKUP(A43,'AFC Data details'!$B:$P,15,0)</f>
        <v>1.0660000000000001</v>
      </c>
      <c r="F43" s="151">
        <f>SUMIFS('AFC Data details'!C:C,'AFC Data details'!$B:$B,'Element wise-detail Summary'!$A43)</f>
        <v>1</v>
      </c>
      <c r="G43" s="151">
        <f>SUMIFS(Cast!$C:$C,Cast!$B:$B,'Element wise-detail Summary'!$A43)</f>
        <v>1</v>
      </c>
      <c r="H43" s="151">
        <f t="shared" si="1"/>
        <v>0</v>
      </c>
      <c r="I43" s="151">
        <f>SUMIFS(Del!$C:$C,Del!$B:$B,'Element wise-detail Summary'!$A43)</f>
        <v>1</v>
      </c>
      <c r="J43" s="151">
        <f t="shared" si="2"/>
        <v>0</v>
      </c>
      <c r="K43" s="151">
        <f t="shared" si="3"/>
        <v>0</v>
      </c>
      <c r="L43" s="151">
        <f>SUMIF(Ere!$B:$B,'Element wise-detail Summary'!$A43,Ere!$C:$C)</f>
        <v>1</v>
      </c>
      <c r="M43" s="151">
        <f t="shared" si="4"/>
        <v>0</v>
      </c>
      <c r="N43">
        <f t="shared" si="5"/>
        <v>1.0660000000000001</v>
      </c>
    </row>
    <row r="44" spans="1:14" hidden="1" x14ac:dyDescent="0.25">
      <c r="A44" s="151" t="s">
        <v>1229</v>
      </c>
      <c r="B44" s="233" t="str">
        <f>VLOOKUP(A44,'AFC Data details'!$B:$E,4,0)</f>
        <v>V34</v>
      </c>
      <c r="C44" s="144" t="s">
        <v>1693</v>
      </c>
      <c r="D44" s="151" t="s">
        <v>602</v>
      </c>
      <c r="E44" s="151">
        <f>VLOOKUP(A44,'AFC Data details'!$B:$P,15,0)</f>
        <v>1.0660000000000001</v>
      </c>
      <c r="F44" s="151">
        <f>SUMIFS('AFC Data details'!C:C,'AFC Data details'!$B:$B,'Element wise-detail Summary'!$A44)</f>
        <v>1</v>
      </c>
      <c r="G44" s="151">
        <f>SUMIFS(Cast!$C:$C,Cast!$B:$B,'Element wise-detail Summary'!$A44)</f>
        <v>1</v>
      </c>
      <c r="H44" s="151">
        <f t="shared" si="1"/>
        <v>0</v>
      </c>
      <c r="I44" s="151">
        <f>SUMIFS(Del!$C:$C,Del!$B:$B,'Element wise-detail Summary'!$A44)</f>
        <v>1</v>
      </c>
      <c r="J44" s="151">
        <f t="shared" si="2"/>
        <v>0</v>
      </c>
      <c r="K44" s="151">
        <f t="shared" si="3"/>
        <v>0</v>
      </c>
      <c r="L44" s="151">
        <f>SUMIF(Ere!$B:$B,'Element wise-detail Summary'!$A44,Ere!$C:$C)</f>
        <v>1</v>
      </c>
      <c r="M44" s="151">
        <f t="shared" si="4"/>
        <v>0</v>
      </c>
      <c r="N44">
        <f t="shared" si="5"/>
        <v>1.0660000000000001</v>
      </c>
    </row>
    <row r="45" spans="1:14" hidden="1" x14ac:dyDescent="0.25">
      <c r="A45" s="151" t="s">
        <v>1179</v>
      </c>
      <c r="B45" s="233" t="str">
        <f>VLOOKUP(A45,'AFC Data details'!$B:$E,4,0)</f>
        <v>V19</v>
      </c>
      <c r="C45" s="144" t="s">
        <v>1693</v>
      </c>
      <c r="D45" s="151" t="s">
        <v>602</v>
      </c>
      <c r="E45" s="151">
        <f>VLOOKUP(A45,'AFC Data details'!$B:$P,15,0)</f>
        <v>1.4179999999999999</v>
      </c>
      <c r="F45" s="151">
        <f>SUMIFS('AFC Data details'!C:C,'AFC Data details'!$B:$B,'Element wise-detail Summary'!$A45)</f>
        <v>1</v>
      </c>
      <c r="G45" s="151">
        <f>SUMIFS(Cast!$C:$C,Cast!$B:$B,'Element wise-detail Summary'!$A45)</f>
        <v>1</v>
      </c>
      <c r="H45" s="151">
        <f t="shared" si="1"/>
        <v>0</v>
      </c>
      <c r="I45" s="151">
        <f>SUMIFS(Del!$C:$C,Del!$B:$B,'Element wise-detail Summary'!$A45)</f>
        <v>1</v>
      </c>
      <c r="J45" s="151">
        <f t="shared" si="2"/>
        <v>0</v>
      </c>
      <c r="K45" s="151">
        <f t="shared" si="3"/>
        <v>0</v>
      </c>
      <c r="L45" s="151">
        <f>SUMIF(Ere!$B:$B,'Element wise-detail Summary'!$A45,Ere!$C:$C)</f>
        <v>1</v>
      </c>
      <c r="M45" s="151">
        <f t="shared" si="4"/>
        <v>0</v>
      </c>
      <c r="N45">
        <f t="shared" si="5"/>
        <v>1.4179999999999999</v>
      </c>
    </row>
    <row r="46" spans="1:14" hidden="1" x14ac:dyDescent="0.25">
      <c r="A46" s="151" t="s">
        <v>1231</v>
      </c>
      <c r="B46" s="233" t="str">
        <f>VLOOKUP(A46,'AFC Data details'!$B:$E,4,0)</f>
        <v>V25</v>
      </c>
      <c r="C46" s="144" t="s">
        <v>1693</v>
      </c>
      <c r="D46" s="151" t="s">
        <v>602</v>
      </c>
      <c r="E46" s="151">
        <f>VLOOKUP(A46,'AFC Data details'!$B:$P,15,0)</f>
        <v>1.4179999999999999</v>
      </c>
      <c r="F46" s="151">
        <f>SUMIFS('AFC Data details'!C:C,'AFC Data details'!$B:$B,'Element wise-detail Summary'!$A46)</f>
        <v>1</v>
      </c>
      <c r="G46" s="151">
        <f>SUMIFS(Cast!$C:$C,Cast!$B:$B,'Element wise-detail Summary'!$A46)</f>
        <v>1</v>
      </c>
      <c r="H46" s="151">
        <f t="shared" si="1"/>
        <v>0</v>
      </c>
      <c r="I46" s="151">
        <f>SUMIFS(Del!$C:$C,Del!$B:$B,'Element wise-detail Summary'!$A46)</f>
        <v>1</v>
      </c>
      <c r="J46" s="151">
        <f t="shared" si="2"/>
        <v>0</v>
      </c>
      <c r="K46" s="151">
        <f t="shared" si="3"/>
        <v>0</v>
      </c>
      <c r="L46" s="151">
        <f>SUMIF(Ere!$B:$B,'Element wise-detail Summary'!$A46,Ere!$C:$C)</f>
        <v>1</v>
      </c>
      <c r="M46" s="151">
        <f t="shared" si="4"/>
        <v>0</v>
      </c>
      <c r="N46">
        <f t="shared" si="5"/>
        <v>1.4179999999999999</v>
      </c>
    </row>
    <row r="47" spans="1:14" hidden="1" x14ac:dyDescent="0.25">
      <c r="A47" s="151" t="s">
        <v>1232</v>
      </c>
      <c r="B47" s="233" t="str">
        <f>VLOOKUP(A47,'AFC Data details'!$B:$E,4,0)</f>
        <v>V31</v>
      </c>
      <c r="C47" s="144" t="s">
        <v>1693</v>
      </c>
      <c r="D47" s="151" t="s">
        <v>602</v>
      </c>
      <c r="E47" s="151">
        <f>VLOOKUP(A47,'AFC Data details'!$B:$P,15,0)</f>
        <v>1.4179999999999999</v>
      </c>
      <c r="F47" s="151">
        <f>SUMIFS('AFC Data details'!C:C,'AFC Data details'!$B:$B,'Element wise-detail Summary'!$A47)</f>
        <v>1</v>
      </c>
      <c r="G47" s="151">
        <f>SUMIFS(Cast!$C:$C,Cast!$B:$B,'Element wise-detail Summary'!$A47)</f>
        <v>1</v>
      </c>
      <c r="H47" s="151">
        <f t="shared" si="1"/>
        <v>0</v>
      </c>
      <c r="I47" s="151">
        <f>SUMIFS(Del!$C:$C,Del!$B:$B,'Element wise-detail Summary'!$A47)</f>
        <v>1</v>
      </c>
      <c r="J47" s="151">
        <f t="shared" si="2"/>
        <v>0</v>
      </c>
      <c r="K47" s="151">
        <f t="shared" si="3"/>
        <v>0</v>
      </c>
      <c r="L47" s="151">
        <f>SUMIF(Ere!$B:$B,'Element wise-detail Summary'!$A47,Ere!$C:$C)</f>
        <v>1</v>
      </c>
      <c r="M47" s="151">
        <f t="shared" si="4"/>
        <v>0</v>
      </c>
      <c r="N47">
        <f t="shared" si="5"/>
        <v>1.4179999999999999</v>
      </c>
    </row>
    <row r="48" spans="1:14" hidden="1" x14ac:dyDescent="0.25">
      <c r="A48" s="151" t="s">
        <v>1186</v>
      </c>
      <c r="B48" s="233" t="str">
        <f>VLOOKUP(A48,'AFC Data details'!$B:$E,4,0)</f>
        <v>V19</v>
      </c>
      <c r="C48" s="144" t="s">
        <v>1693</v>
      </c>
      <c r="D48" s="151" t="s">
        <v>602</v>
      </c>
      <c r="E48" s="151">
        <f>VLOOKUP(A48,'AFC Data details'!$B:$P,15,0)</f>
        <v>1.5740000000000001</v>
      </c>
      <c r="F48" s="151">
        <f>SUMIFS('AFC Data details'!C:C,'AFC Data details'!$B:$B,'Element wise-detail Summary'!$A48)</f>
        <v>1</v>
      </c>
      <c r="G48" s="151">
        <f>SUMIFS(Cast!$C:$C,Cast!$B:$B,'Element wise-detail Summary'!$A48)</f>
        <v>1</v>
      </c>
      <c r="H48" s="151">
        <f t="shared" si="1"/>
        <v>0</v>
      </c>
      <c r="I48" s="151">
        <f>SUMIFS(Del!$C:$C,Del!$B:$B,'Element wise-detail Summary'!$A48)</f>
        <v>1</v>
      </c>
      <c r="J48" s="151">
        <f t="shared" si="2"/>
        <v>0</v>
      </c>
      <c r="K48" s="151">
        <f t="shared" si="3"/>
        <v>0</v>
      </c>
      <c r="L48" s="151">
        <f>SUMIF(Ere!$B:$B,'Element wise-detail Summary'!$A48,Ere!$C:$C)</f>
        <v>1</v>
      </c>
      <c r="M48" s="151">
        <f t="shared" si="4"/>
        <v>0</v>
      </c>
      <c r="N48">
        <f t="shared" si="5"/>
        <v>1.5740000000000001</v>
      </c>
    </row>
    <row r="49" spans="1:14" hidden="1" x14ac:dyDescent="0.25">
      <c r="A49" s="151" t="s">
        <v>1234</v>
      </c>
      <c r="B49" s="233" t="str">
        <f>VLOOKUP(A49,'AFC Data details'!$B:$E,4,0)</f>
        <v>V20</v>
      </c>
      <c r="C49" s="144" t="s">
        <v>1693</v>
      </c>
      <c r="D49" s="151" t="s">
        <v>602</v>
      </c>
      <c r="E49" s="151">
        <f>VLOOKUP(A49,'AFC Data details'!$B:$P,15,0)</f>
        <v>2.097</v>
      </c>
      <c r="F49" s="151">
        <f>SUMIFS('AFC Data details'!C:C,'AFC Data details'!$B:$B,'Element wise-detail Summary'!$A49)</f>
        <v>1</v>
      </c>
      <c r="G49" s="151">
        <f>SUMIFS(Cast!$C:$C,Cast!$B:$B,'Element wise-detail Summary'!$A49)</f>
        <v>0</v>
      </c>
      <c r="H49" s="151">
        <f t="shared" si="1"/>
        <v>1</v>
      </c>
      <c r="I49" s="151">
        <f>SUMIFS(Del!$C:$C,Del!$B:$B,'Element wise-detail Summary'!$A49)</f>
        <v>1</v>
      </c>
      <c r="J49" s="151">
        <f t="shared" si="2"/>
        <v>0</v>
      </c>
      <c r="K49" s="151">
        <f t="shared" si="3"/>
        <v>-1</v>
      </c>
      <c r="L49" s="151">
        <f>SUMIF(Ere!$B:$B,'Element wise-detail Summary'!$A49,Ere!$C:$C)</f>
        <v>1</v>
      </c>
      <c r="M49" s="151">
        <f t="shared" si="4"/>
        <v>0</v>
      </c>
      <c r="N49">
        <f t="shared" si="5"/>
        <v>2.097</v>
      </c>
    </row>
    <row r="50" spans="1:14" hidden="1" x14ac:dyDescent="0.25">
      <c r="A50" s="151" t="s">
        <v>1235</v>
      </c>
      <c r="B50" s="233" t="str">
        <f>VLOOKUP(A50,'AFC Data details'!$B:$E,4,0)</f>
        <v>V20</v>
      </c>
      <c r="C50" s="144" t="s">
        <v>1693</v>
      </c>
      <c r="D50" s="151" t="s">
        <v>602</v>
      </c>
      <c r="E50" s="151">
        <f>VLOOKUP(A50,'AFC Data details'!$B:$P,15,0)</f>
        <v>2.097</v>
      </c>
      <c r="F50" s="151">
        <f>SUMIFS('AFC Data details'!C:C,'AFC Data details'!$B:$B,'Element wise-detail Summary'!$A50)</f>
        <v>1</v>
      </c>
      <c r="G50" s="151">
        <f>SUMIFS(Cast!$C:$C,Cast!$B:$B,'Element wise-detail Summary'!$A50)</f>
        <v>1</v>
      </c>
      <c r="H50" s="151">
        <f t="shared" si="1"/>
        <v>0</v>
      </c>
      <c r="I50" s="151">
        <f>SUMIFS(Del!$C:$C,Del!$B:$B,'Element wise-detail Summary'!$A50)</f>
        <v>1</v>
      </c>
      <c r="J50" s="151">
        <f t="shared" si="2"/>
        <v>0</v>
      </c>
      <c r="K50" s="151">
        <f t="shared" si="3"/>
        <v>0</v>
      </c>
      <c r="L50" s="151">
        <f>SUMIF(Ere!$B:$B,'Element wise-detail Summary'!$A50,Ere!$C:$C)</f>
        <v>1</v>
      </c>
      <c r="M50" s="151">
        <f t="shared" si="4"/>
        <v>0</v>
      </c>
      <c r="N50">
        <f t="shared" si="5"/>
        <v>2.097</v>
      </c>
    </row>
    <row r="51" spans="1:14" hidden="1" x14ac:dyDescent="0.25">
      <c r="A51" s="151" t="s">
        <v>1236</v>
      </c>
      <c r="B51" s="233" t="str">
        <f>VLOOKUP(A51,'AFC Data details'!$B:$E,4,0)</f>
        <v>V21</v>
      </c>
      <c r="C51" s="144" t="s">
        <v>1693</v>
      </c>
      <c r="D51" s="151" t="s">
        <v>602</v>
      </c>
      <c r="E51" s="151">
        <f>VLOOKUP(A51,'AFC Data details'!$B:$P,15,0)</f>
        <v>2.097</v>
      </c>
      <c r="F51" s="151">
        <f>SUMIFS('AFC Data details'!C:C,'AFC Data details'!$B:$B,'Element wise-detail Summary'!$A51)</f>
        <v>1</v>
      </c>
      <c r="G51" s="151">
        <f>SUMIFS(Cast!$C:$C,Cast!$B:$B,'Element wise-detail Summary'!$A51)</f>
        <v>1</v>
      </c>
      <c r="H51" s="151">
        <f t="shared" si="1"/>
        <v>0</v>
      </c>
      <c r="I51" s="151">
        <f>SUMIFS(Del!$C:$C,Del!$B:$B,'Element wise-detail Summary'!$A51)</f>
        <v>1</v>
      </c>
      <c r="J51" s="151">
        <f t="shared" si="2"/>
        <v>0</v>
      </c>
      <c r="K51" s="151">
        <f t="shared" si="3"/>
        <v>0</v>
      </c>
      <c r="L51" s="151">
        <f>SUMIF(Ere!$B:$B,'Element wise-detail Summary'!$A51,Ere!$C:$C)</f>
        <v>1</v>
      </c>
      <c r="M51" s="151">
        <f t="shared" si="4"/>
        <v>0</v>
      </c>
      <c r="N51">
        <f t="shared" si="5"/>
        <v>2.097</v>
      </c>
    </row>
    <row r="52" spans="1:14" hidden="1" x14ac:dyDescent="0.25">
      <c r="A52" s="151" t="s">
        <v>1237</v>
      </c>
      <c r="B52" s="233" t="str">
        <f>VLOOKUP(A52,'AFC Data details'!$B:$E,4,0)</f>
        <v>V20</v>
      </c>
      <c r="C52" s="144" t="s">
        <v>1693</v>
      </c>
      <c r="D52" s="151" t="s">
        <v>602</v>
      </c>
      <c r="E52" s="151">
        <f>VLOOKUP(A52,'AFC Data details'!$B:$P,15,0)</f>
        <v>2.097</v>
      </c>
      <c r="F52" s="151">
        <f>SUMIFS('AFC Data details'!C:C,'AFC Data details'!$B:$B,'Element wise-detail Summary'!$A52)</f>
        <v>1</v>
      </c>
      <c r="G52" s="151">
        <f>SUMIFS(Cast!$C:$C,Cast!$B:$B,'Element wise-detail Summary'!$A52)</f>
        <v>1</v>
      </c>
      <c r="H52" s="151">
        <f t="shared" si="1"/>
        <v>0</v>
      </c>
      <c r="I52" s="151">
        <f>SUMIFS(Del!$C:$C,Del!$B:$B,'Element wise-detail Summary'!$A52)</f>
        <v>1</v>
      </c>
      <c r="J52" s="151">
        <f t="shared" si="2"/>
        <v>0</v>
      </c>
      <c r="K52" s="151">
        <f t="shared" si="3"/>
        <v>0</v>
      </c>
      <c r="L52" s="151">
        <f>SUMIF(Ere!$B:$B,'Element wise-detail Summary'!$A52,Ere!$C:$C)</f>
        <v>1</v>
      </c>
      <c r="M52" s="151">
        <f t="shared" si="4"/>
        <v>0</v>
      </c>
      <c r="N52">
        <f t="shared" si="5"/>
        <v>2.097</v>
      </c>
    </row>
    <row r="53" spans="1:14" hidden="1" x14ac:dyDescent="0.25">
      <c r="A53" s="151" t="s">
        <v>1238</v>
      </c>
      <c r="B53" s="233" t="str">
        <f>VLOOKUP(A53,'AFC Data details'!$B:$E,4,0)</f>
        <v>V21</v>
      </c>
      <c r="C53" s="144" t="s">
        <v>1693</v>
      </c>
      <c r="D53" s="151" t="s">
        <v>602</v>
      </c>
      <c r="E53" s="151">
        <f>VLOOKUP(A53,'AFC Data details'!$B:$P,15,0)</f>
        <v>2.097</v>
      </c>
      <c r="F53" s="151">
        <f>SUMIFS('AFC Data details'!C:C,'AFC Data details'!$B:$B,'Element wise-detail Summary'!$A53)</f>
        <v>1</v>
      </c>
      <c r="G53" s="151">
        <f>SUMIFS(Cast!$C:$C,Cast!$B:$B,'Element wise-detail Summary'!$A53)</f>
        <v>1</v>
      </c>
      <c r="H53" s="151">
        <f t="shared" si="1"/>
        <v>0</v>
      </c>
      <c r="I53" s="151">
        <f>SUMIFS(Del!$C:$C,Del!$B:$B,'Element wise-detail Summary'!$A53)</f>
        <v>1</v>
      </c>
      <c r="J53" s="151">
        <f t="shared" si="2"/>
        <v>0</v>
      </c>
      <c r="K53" s="151">
        <f t="shared" si="3"/>
        <v>0</v>
      </c>
      <c r="L53" s="151">
        <f>SUMIF(Ere!$B:$B,'Element wise-detail Summary'!$A53,Ere!$C:$C)</f>
        <v>1</v>
      </c>
      <c r="M53" s="151">
        <f t="shared" si="4"/>
        <v>0</v>
      </c>
      <c r="N53">
        <f t="shared" si="5"/>
        <v>2.097</v>
      </c>
    </row>
    <row r="54" spans="1:14" hidden="1" x14ac:dyDescent="0.25">
      <c r="A54" s="151" t="s">
        <v>1195</v>
      </c>
      <c r="B54" s="233" t="str">
        <f>VLOOKUP(A54,'AFC Data details'!$B:$E,4,0)</f>
        <v>V20</v>
      </c>
      <c r="C54" s="144" t="s">
        <v>1693</v>
      </c>
      <c r="D54" s="151" t="s">
        <v>602</v>
      </c>
      <c r="E54" s="151">
        <f>VLOOKUP(A54,'AFC Data details'!$B:$P,15,0)</f>
        <v>1.55</v>
      </c>
      <c r="F54" s="151">
        <f>SUMIFS('AFC Data details'!C:C,'AFC Data details'!$B:$B,'Element wise-detail Summary'!$A54)</f>
        <v>1</v>
      </c>
      <c r="G54" s="151">
        <f>SUMIFS(Cast!$C:$C,Cast!$B:$B,'Element wise-detail Summary'!$A54)</f>
        <v>1</v>
      </c>
      <c r="H54" s="151">
        <f t="shared" si="1"/>
        <v>0</v>
      </c>
      <c r="I54" s="151">
        <f>SUMIFS(Del!$C:$C,Del!$B:$B,'Element wise-detail Summary'!$A54)</f>
        <v>1</v>
      </c>
      <c r="J54" s="151">
        <f t="shared" si="2"/>
        <v>0</v>
      </c>
      <c r="K54" s="151">
        <f t="shared" si="3"/>
        <v>0</v>
      </c>
      <c r="L54" s="151">
        <f>SUMIF(Ere!$B:$B,'Element wise-detail Summary'!$A54,Ere!$C:$C)</f>
        <v>0</v>
      </c>
      <c r="M54" s="151">
        <f t="shared" si="4"/>
        <v>1</v>
      </c>
      <c r="N54">
        <f t="shared" si="5"/>
        <v>1.55</v>
      </c>
    </row>
    <row r="55" spans="1:14" hidden="1" x14ac:dyDescent="0.25">
      <c r="A55" s="151" t="s">
        <v>1191</v>
      </c>
      <c r="B55" s="233" t="str">
        <f>VLOOKUP(A55,'AFC Data details'!$B:$E,4,0)</f>
        <v>V20</v>
      </c>
      <c r="C55" s="144" t="s">
        <v>1693</v>
      </c>
      <c r="D55" s="151" t="s">
        <v>602</v>
      </c>
      <c r="E55" s="151">
        <f>VLOOKUP(A55,'AFC Data details'!$B:$P,15,0)</f>
        <v>1.377</v>
      </c>
      <c r="F55" s="151">
        <f>SUMIFS('AFC Data details'!C:C,'AFC Data details'!$B:$B,'Element wise-detail Summary'!$A55)</f>
        <v>1</v>
      </c>
      <c r="G55" s="151">
        <f>SUMIFS(Cast!$C:$C,Cast!$B:$B,'Element wise-detail Summary'!$A55)</f>
        <v>1</v>
      </c>
      <c r="H55" s="151">
        <f t="shared" si="1"/>
        <v>0</v>
      </c>
      <c r="I55" s="151">
        <f>SUMIFS(Del!$C:$C,Del!$B:$B,'Element wise-detail Summary'!$A55)</f>
        <v>1</v>
      </c>
      <c r="J55" s="151">
        <f t="shared" si="2"/>
        <v>0</v>
      </c>
      <c r="K55" s="151">
        <f t="shared" si="3"/>
        <v>0</v>
      </c>
      <c r="L55" s="151">
        <f>SUMIF(Ere!$B:$B,'Element wise-detail Summary'!$A55,Ere!$C:$C)</f>
        <v>0</v>
      </c>
      <c r="M55" s="151">
        <f t="shared" si="4"/>
        <v>1</v>
      </c>
      <c r="N55">
        <f t="shared" si="5"/>
        <v>1.377</v>
      </c>
    </row>
    <row r="56" spans="1:14" hidden="1" x14ac:dyDescent="0.25">
      <c r="A56" s="151" t="s">
        <v>1239</v>
      </c>
      <c r="B56" s="233" t="str">
        <f>VLOOKUP(A56,'AFC Data details'!$B:$E,4,0)</f>
        <v>V21</v>
      </c>
      <c r="C56" s="144" t="s">
        <v>1693</v>
      </c>
      <c r="D56" s="151" t="s">
        <v>602</v>
      </c>
      <c r="E56" s="151">
        <f>VLOOKUP(A56,'AFC Data details'!$B:$P,15,0)</f>
        <v>1.0229999999999999</v>
      </c>
      <c r="F56" s="151">
        <f>SUMIFS('AFC Data details'!C:C,'AFC Data details'!$B:$B,'Element wise-detail Summary'!$A56)</f>
        <v>1</v>
      </c>
      <c r="G56" s="151">
        <f>SUMIFS(Cast!$C:$C,Cast!$B:$B,'Element wise-detail Summary'!$A56)</f>
        <v>1</v>
      </c>
      <c r="H56" s="151">
        <f t="shared" si="1"/>
        <v>0</v>
      </c>
      <c r="I56" s="151">
        <f>SUMIFS(Del!$C:$C,Del!$B:$B,'Element wise-detail Summary'!$A56)</f>
        <v>1</v>
      </c>
      <c r="J56" s="151">
        <f t="shared" si="2"/>
        <v>0</v>
      </c>
      <c r="K56" s="151">
        <f t="shared" si="3"/>
        <v>0</v>
      </c>
      <c r="L56" s="151">
        <f>SUMIF(Ere!$B:$B,'Element wise-detail Summary'!$A56,Ere!$C:$C)</f>
        <v>1</v>
      </c>
      <c r="M56" s="151">
        <f t="shared" si="4"/>
        <v>0</v>
      </c>
      <c r="N56">
        <f t="shared" si="5"/>
        <v>1.0229999999999999</v>
      </c>
    </row>
    <row r="57" spans="1:14" hidden="1" x14ac:dyDescent="0.25">
      <c r="A57" s="151" t="s">
        <v>1240</v>
      </c>
      <c r="B57" s="233" t="str">
        <f>VLOOKUP(A57,'AFC Data details'!$B:$E,4,0)</f>
        <v>V21</v>
      </c>
      <c r="C57" s="144" t="s">
        <v>1693</v>
      </c>
      <c r="D57" s="151" t="s">
        <v>602</v>
      </c>
      <c r="E57" s="151">
        <f>VLOOKUP(A57,'AFC Data details'!$B:$P,15,0)</f>
        <v>2.097</v>
      </c>
      <c r="F57" s="151">
        <f>SUMIFS('AFC Data details'!C:C,'AFC Data details'!$B:$B,'Element wise-detail Summary'!$A57)</f>
        <v>1</v>
      </c>
      <c r="G57" s="151">
        <f>SUMIFS(Cast!$C:$C,Cast!$B:$B,'Element wise-detail Summary'!$A57)</f>
        <v>1</v>
      </c>
      <c r="H57" s="151">
        <f t="shared" si="1"/>
        <v>0</v>
      </c>
      <c r="I57" s="151">
        <f>SUMIFS(Del!$C:$C,Del!$B:$B,'Element wise-detail Summary'!$A57)</f>
        <v>1</v>
      </c>
      <c r="J57" s="151">
        <f t="shared" si="2"/>
        <v>0</v>
      </c>
      <c r="K57" s="151">
        <f t="shared" si="3"/>
        <v>0</v>
      </c>
      <c r="L57" s="151">
        <f>SUMIF(Ere!$B:$B,'Element wise-detail Summary'!$A57,Ere!$C:$C)</f>
        <v>1</v>
      </c>
      <c r="M57" s="151">
        <f t="shared" si="4"/>
        <v>0</v>
      </c>
      <c r="N57">
        <f t="shared" si="5"/>
        <v>2.097</v>
      </c>
    </row>
    <row r="58" spans="1:14" hidden="1" x14ac:dyDescent="0.25">
      <c r="A58" s="151" t="s">
        <v>1241</v>
      </c>
      <c r="B58" s="233" t="str">
        <f>VLOOKUP(A58,'AFC Data details'!$B:$E,4,0)</f>
        <v>V21</v>
      </c>
      <c r="C58" s="144" t="s">
        <v>1693</v>
      </c>
      <c r="D58" s="151" t="s">
        <v>602</v>
      </c>
      <c r="E58" s="151">
        <f>VLOOKUP(A58,'AFC Data details'!$B:$P,15,0)</f>
        <v>1.4490000000000001</v>
      </c>
      <c r="F58" s="151">
        <f>SUMIFS('AFC Data details'!C:C,'AFC Data details'!$B:$B,'Element wise-detail Summary'!$A58)</f>
        <v>1</v>
      </c>
      <c r="G58" s="151">
        <f>SUMIFS(Cast!$C:$C,Cast!$B:$B,'Element wise-detail Summary'!$A58)</f>
        <v>1</v>
      </c>
      <c r="H58" s="151">
        <f t="shared" si="1"/>
        <v>0</v>
      </c>
      <c r="I58" s="151">
        <f>SUMIFS(Del!$C:$C,Del!$B:$B,'Element wise-detail Summary'!$A58)</f>
        <v>1</v>
      </c>
      <c r="J58" s="151">
        <f t="shared" si="2"/>
        <v>0</v>
      </c>
      <c r="K58" s="151">
        <f t="shared" si="3"/>
        <v>0</v>
      </c>
      <c r="L58" s="151">
        <f>SUMIF(Ere!$B:$B,'Element wise-detail Summary'!$A58,Ere!$C:$C)</f>
        <v>1</v>
      </c>
      <c r="M58" s="151">
        <f t="shared" si="4"/>
        <v>0</v>
      </c>
      <c r="N58">
        <f t="shared" si="5"/>
        <v>1.4490000000000001</v>
      </c>
    </row>
    <row r="59" spans="1:14" hidden="1" x14ac:dyDescent="0.25">
      <c r="A59" s="151" t="s">
        <v>1242</v>
      </c>
      <c r="B59" s="233" t="str">
        <f>VLOOKUP(A59,'AFC Data details'!$B:$E,4,0)</f>
        <v>V21</v>
      </c>
      <c r="C59" s="144" t="s">
        <v>1693</v>
      </c>
      <c r="D59" s="151" t="s">
        <v>602</v>
      </c>
      <c r="E59" s="151">
        <f>VLOOKUP(A59,'AFC Data details'!$B:$P,15,0)</f>
        <v>1.3140000000000001</v>
      </c>
      <c r="F59" s="151">
        <f>SUMIFS('AFC Data details'!C:C,'AFC Data details'!$B:$B,'Element wise-detail Summary'!$A59)</f>
        <v>1</v>
      </c>
      <c r="G59" s="151">
        <f>SUMIFS(Cast!$C:$C,Cast!$B:$B,'Element wise-detail Summary'!$A59)</f>
        <v>1</v>
      </c>
      <c r="H59" s="151">
        <f t="shared" si="1"/>
        <v>0</v>
      </c>
      <c r="I59" s="151">
        <f>SUMIFS(Del!$C:$C,Del!$B:$B,'Element wise-detail Summary'!$A59)</f>
        <v>1</v>
      </c>
      <c r="J59" s="151">
        <f t="shared" si="2"/>
        <v>0</v>
      </c>
      <c r="K59" s="151">
        <f t="shared" si="3"/>
        <v>0</v>
      </c>
      <c r="L59" s="151">
        <f>SUMIF(Ere!$B:$B,'Element wise-detail Summary'!$A59,Ere!$C:$C)</f>
        <v>1</v>
      </c>
      <c r="M59" s="151">
        <f t="shared" si="4"/>
        <v>0</v>
      </c>
      <c r="N59">
        <f t="shared" si="5"/>
        <v>1.3140000000000001</v>
      </c>
    </row>
    <row r="60" spans="1:14" hidden="1" x14ac:dyDescent="0.25">
      <c r="A60" s="151" t="s">
        <v>1244</v>
      </c>
      <c r="B60" s="233" t="str">
        <f>VLOOKUP(A60,'AFC Data details'!$B:$E,4,0)</f>
        <v>V21</v>
      </c>
      <c r="C60" s="144" t="s">
        <v>1693</v>
      </c>
      <c r="D60" s="151" t="s">
        <v>602</v>
      </c>
      <c r="E60" s="151">
        <f>VLOOKUP(A60,'AFC Data details'!$B:$P,15,0)</f>
        <v>1.4870000000000001</v>
      </c>
      <c r="F60" s="151">
        <f>SUMIFS('AFC Data details'!C:C,'AFC Data details'!$B:$B,'Element wise-detail Summary'!$A60)</f>
        <v>1</v>
      </c>
      <c r="G60" s="151">
        <f>SUMIFS(Cast!$C:$C,Cast!$B:$B,'Element wise-detail Summary'!$A60)</f>
        <v>1</v>
      </c>
      <c r="H60" s="151">
        <f t="shared" si="1"/>
        <v>0</v>
      </c>
      <c r="I60" s="151">
        <f>SUMIFS(Del!$C:$C,Del!$B:$B,'Element wise-detail Summary'!$A60)</f>
        <v>1</v>
      </c>
      <c r="J60" s="151">
        <f t="shared" si="2"/>
        <v>0</v>
      </c>
      <c r="K60" s="151">
        <f t="shared" si="3"/>
        <v>0</v>
      </c>
      <c r="L60" s="151">
        <f>SUMIF(Ere!$B:$B,'Element wise-detail Summary'!$A60,Ere!$C:$C)</f>
        <v>1</v>
      </c>
      <c r="M60" s="151">
        <f t="shared" si="4"/>
        <v>0</v>
      </c>
      <c r="N60">
        <f t="shared" si="5"/>
        <v>1.4870000000000001</v>
      </c>
    </row>
    <row r="61" spans="1:14" hidden="1" x14ac:dyDescent="0.25">
      <c r="A61" s="151" t="s">
        <v>1245</v>
      </c>
      <c r="B61" s="233" t="str">
        <f>VLOOKUP(A61,'AFC Data details'!$B:$E,4,0)</f>
        <v>V22</v>
      </c>
      <c r="C61" s="144" t="s">
        <v>1693</v>
      </c>
      <c r="D61" s="151" t="s">
        <v>602</v>
      </c>
      <c r="E61" s="151">
        <f>VLOOKUP(A61,'AFC Data details'!$B:$P,15,0)</f>
        <v>2.09</v>
      </c>
      <c r="F61" s="151">
        <f>SUMIFS('AFC Data details'!C:C,'AFC Data details'!$B:$B,'Element wise-detail Summary'!$A61)</f>
        <v>1</v>
      </c>
      <c r="G61" s="151">
        <f>SUMIFS(Cast!$C:$C,Cast!$B:$B,'Element wise-detail Summary'!$A61)</f>
        <v>1</v>
      </c>
      <c r="H61" s="151">
        <f t="shared" si="1"/>
        <v>0</v>
      </c>
      <c r="I61" s="151">
        <f>SUMIFS(Del!$C:$C,Del!$B:$B,'Element wise-detail Summary'!$A61)</f>
        <v>1</v>
      </c>
      <c r="J61" s="151">
        <f t="shared" si="2"/>
        <v>0</v>
      </c>
      <c r="K61" s="151">
        <f t="shared" si="3"/>
        <v>0</v>
      </c>
      <c r="L61" s="151">
        <f>SUMIF(Ere!$B:$B,'Element wise-detail Summary'!$A61,Ere!$C:$C)</f>
        <v>1</v>
      </c>
      <c r="M61" s="151">
        <f t="shared" si="4"/>
        <v>0</v>
      </c>
      <c r="N61">
        <f t="shared" si="5"/>
        <v>2.09</v>
      </c>
    </row>
    <row r="62" spans="1:14" hidden="1" x14ac:dyDescent="0.25">
      <c r="A62" s="151" t="s">
        <v>1246</v>
      </c>
      <c r="B62" s="233" t="str">
        <f>VLOOKUP(A62,'AFC Data details'!$B:$E,4,0)</f>
        <v>V22</v>
      </c>
      <c r="C62" s="144" t="s">
        <v>1693</v>
      </c>
      <c r="D62" s="151" t="s">
        <v>602</v>
      </c>
      <c r="E62" s="151">
        <f>VLOOKUP(A62,'AFC Data details'!$B:$P,15,0)</f>
        <v>2.09</v>
      </c>
      <c r="F62" s="151">
        <f>SUMIFS('AFC Data details'!C:C,'AFC Data details'!$B:$B,'Element wise-detail Summary'!$A62)</f>
        <v>1</v>
      </c>
      <c r="G62" s="151">
        <f>SUMIFS(Cast!$C:$C,Cast!$B:$B,'Element wise-detail Summary'!$A62)</f>
        <v>1</v>
      </c>
      <c r="H62" s="151">
        <f t="shared" si="1"/>
        <v>0</v>
      </c>
      <c r="I62" s="151">
        <f>SUMIFS(Del!$C:$C,Del!$B:$B,'Element wise-detail Summary'!$A62)</f>
        <v>1</v>
      </c>
      <c r="J62" s="151">
        <f t="shared" si="2"/>
        <v>0</v>
      </c>
      <c r="K62" s="151">
        <f t="shared" si="3"/>
        <v>0</v>
      </c>
      <c r="L62" s="151">
        <f>SUMIF(Ere!$B:$B,'Element wise-detail Summary'!$A62,Ere!$C:$C)</f>
        <v>1</v>
      </c>
      <c r="M62" s="151">
        <f t="shared" si="4"/>
        <v>0</v>
      </c>
      <c r="N62">
        <f t="shared" si="5"/>
        <v>2.09</v>
      </c>
    </row>
    <row r="63" spans="1:14" hidden="1" x14ac:dyDescent="0.25">
      <c r="A63" s="151" t="s">
        <v>1247</v>
      </c>
      <c r="B63" s="233" t="str">
        <f>VLOOKUP(A63,'AFC Data details'!$B:$E,4,0)</f>
        <v>V23</v>
      </c>
      <c r="C63" s="144" t="s">
        <v>1693</v>
      </c>
      <c r="D63" s="151" t="s">
        <v>602</v>
      </c>
      <c r="E63" s="151">
        <f>VLOOKUP(A63,'AFC Data details'!$B:$P,15,0)</f>
        <v>2.09</v>
      </c>
      <c r="F63" s="151">
        <f>SUMIFS('AFC Data details'!C:C,'AFC Data details'!$B:$B,'Element wise-detail Summary'!$A63)</f>
        <v>1</v>
      </c>
      <c r="G63" s="151">
        <f>SUMIFS(Cast!$C:$C,Cast!$B:$B,'Element wise-detail Summary'!$A63)</f>
        <v>1</v>
      </c>
      <c r="H63" s="151">
        <f t="shared" si="1"/>
        <v>0</v>
      </c>
      <c r="I63" s="151">
        <f>SUMIFS(Del!$C:$C,Del!$B:$B,'Element wise-detail Summary'!$A63)</f>
        <v>1</v>
      </c>
      <c r="J63" s="151">
        <f t="shared" si="2"/>
        <v>0</v>
      </c>
      <c r="K63" s="151">
        <f t="shared" si="3"/>
        <v>0</v>
      </c>
      <c r="L63" s="151">
        <f>SUMIF(Ere!$B:$B,'Element wise-detail Summary'!$A63,Ere!$C:$C)</f>
        <v>1</v>
      </c>
      <c r="M63" s="151">
        <f t="shared" si="4"/>
        <v>0</v>
      </c>
      <c r="N63">
        <f t="shared" si="5"/>
        <v>2.09</v>
      </c>
    </row>
    <row r="64" spans="1:14" hidden="1" x14ac:dyDescent="0.25">
      <c r="A64" s="151" t="s">
        <v>1248</v>
      </c>
      <c r="B64" s="233" t="str">
        <f>VLOOKUP(A64,'AFC Data details'!$B:$E,4,0)</f>
        <v>V22</v>
      </c>
      <c r="C64" s="144" t="s">
        <v>1693</v>
      </c>
      <c r="D64" s="151" t="s">
        <v>602</v>
      </c>
      <c r="E64" s="151">
        <f>VLOOKUP(A64,'AFC Data details'!$B:$P,15,0)</f>
        <v>2.09</v>
      </c>
      <c r="F64" s="151">
        <f>SUMIFS('AFC Data details'!C:C,'AFC Data details'!$B:$B,'Element wise-detail Summary'!$A64)</f>
        <v>1</v>
      </c>
      <c r="G64" s="151">
        <f>SUMIFS(Cast!$C:$C,Cast!$B:$B,'Element wise-detail Summary'!$A64)</f>
        <v>1</v>
      </c>
      <c r="H64" s="151">
        <f t="shared" si="1"/>
        <v>0</v>
      </c>
      <c r="I64" s="151">
        <f>SUMIFS(Del!$C:$C,Del!$B:$B,'Element wise-detail Summary'!$A64)</f>
        <v>1</v>
      </c>
      <c r="J64" s="151">
        <f t="shared" si="2"/>
        <v>0</v>
      </c>
      <c r="K64" s="151">
        <f t="shared" si="3"/>
        <v>0</v>
      </c>
      <c r="L64" s="151">
        <f>SUMIF(Ere!$B:$B,'Element wise-detail Summary'!$A64,Ere!$C:$C)</f>
        <v>1</v>
      </c>
      <c r="M64" s="151">
        <f t="shared" si="4"/>
        <v>0</v>
      </c>
      <c r="N64">
        <f t="shared" si="5"/>
        <v>2.09</v>
      </c>
    </row>
    <row r="65" spans="1:14" hidden="1" x14ac:dyDescent="0.25">
      <c r="A65" s="151" t="s">
        <v>1249</v>
      </c>
      <c r="B65" s="233" t="str">
        <f>VLOOKUP(A65,'AFC Data details'!$B:$E,4,0)</f>
        <v>V23</v>
      </c>
      <c r="C65" s="144" t="s">
        <v>1693</v>
      </c>
      <c r="D65" s="151" t="s">
        <v>602</v>
      </c>
      <c r="E65" s="151">
        <f>VLOOKUP(A65,'AFC Data details'!$B:$P,15,0)</f>
        <v>2.09</v>
      </c>
      <c r="F65" s="151">
        <f>SUMIFS('AFC Data details'!C:C,'AFC Data details'!$B:$B,'Element wise-detail Summary'!$A65)</f>
        <v>1</v>
      </c>
      <c r="G65" s="151">
        <f>SUMIFS(Cast!$C:$C,Cast!$B:$B,'Element wise-detail Summary'!$A65)</f>
        <v>1</v>
      </c>
      <c r="H65" s="151">
        <f t="shared" si="1"/>
        <v>0</v>
      </c>
      <c r="I65" s="151">
        <f>SUMIFS(Del!$C:$C,Del!$B:$B,'Element wise-detail Summary'!$A65)</f>
        <v>0</v>
      </c>
      <c r="J65" s="151">
        <f t="shared" si="2"/>
        <v>1</v>
      </c>
      <c r="K65" s="151">
        <f t="shared" si="3"/>
        <v>1</v>
      </c>
      <c r="L65" s="151">
        <f>SUMIF(Ere!$B:$B,'Element wise-detail Summary'!$A65,Ere!$C:$C)</f>
        <v>0</v>
      </c>
      <c r="M65" s="151">
        <f t="shared" si="4"/>
        <v>1</v>
      </c>
      <c r="N65">
        <f t="shared" si="5"/>
        <v>0</v>
      </c>
    </row>
    <row r="66" spans="1:14" hidden="1" x14ac:dyDescent="0.25">
      <c r="A66" s="151" t="s">
        <v>1250</v>
      </c>
      <c r="B66" s="233" t="str">
        <f>VLOOKUP(A66,'AFC Data details'!$B:$E,4,0)</f>
        <v>V22</v>
      </c>
      <c r="C66" s="144" t="s">
        <v>1693</v>
      </c>
      <c r="D66" s="151" t="s">
        <v>602</v>
      </c>
      <c r="E66" s="151">
        <f>VLOOKUP(A66,'AFC Data details'!$B:$P,15,0)</f>
        <v>2.0529999999999999</v>
      </c>
      <c r="F66" s="151">
        <f>SUMIFS('AFC Data details'!C:C,'AFC Data details'!$B:$B,'Element wise-detail Summary'!$A66)</f>
        <v>1</v>
      </c>
      <c r="G66" s="151">
        <f>SUMIFS(Cast!$C:$C,Cast!$B:$B,'Element wise-detail Summary'!$A66)</f>
        <v>1</v>
      </c>
      <c r="H66" s="151">
        <f t="shared" si="1"/>
        <v>0</v>
      </c>
      <c r="I66" s="151">
        <f>SUMIFS(Del!$C:$C,Del!$B:$B,'Element wise-detail Summary'!$A66)</f>
        <v>1</v>
      </c>
      <c r="J66" s="151">
        <f t="shared" si="2"/>
        <v>0</v>
      </c>
      <c r="K66" s="151">
        <f t="shared" si="3"/>
        <v>0</v>
      </c>
      <c r="L66" s="151">
        <f>SUMIF(Ere!$B:$B,'Element wise-detail Summary'!$A66,Ere!$C:$C)</f>
        <v>1</v>
      </c>
      <c r="M66" s="151">
        <f t="shared" si="4"/>
        <v>0</v>
      </c>
      <c r="N66">
        <f t="shared" si="5"/>
        <v>2.0529999999999999</v>
      </c>
    </row>
    <row r="67" spans="1:14" hidden="1" x14ac:dyDescent="0.25">
      <c r="A67" s="151" t="s">
        <v>1251</v>
      </c>
      <c r="B67" s="233" t="str">
        <f>VLOOKUP(A67,'AFC Data details'!$B:$E,4,0)</f>
        <v>V23</v>
      </c>
      <c r="C67" s="144" t="s">
        <v>1693</v>
      </c>
      <c r="D67" s="151" t="s">
        <v>602</v>
      </c>
      <c r="E67" s="151">
        <f>VLOOKUP(A67,'AFC Data details'!$B:$P,15,0)</f>
        <v>2.0529999999999999</v>
      </c>
      <c r="F67" s="151">
        <f>SUMIFS('AFC Data details'!C:C,'AFC Data details'!$B:$B,'Element wise-detail Summary'!$A67)</f>
        <v>1</v>
      </c>
      <c r="G67" s="151">
        <f>SUMIFS(Cast!$C:$C,Cast!$B:$B,'Element wise-detail Summary'!$A67)</f>
        <v>1</v>
      </c>
      <c r="H67" s="151">
        <f t="shared" si="1"/>
        <v>0</v>
      </c>
      <c r="I67" s="151">
        <f>SUMIFS(Del!$C:$C,Del!$B:$B,'Element wise-detail Summary'!$A67)</f>
        <v>1</v>
      </c>
      <c r="J67" s="151">
        <f t="shared" si="2"/>
        <v>0</v>
      </c>
      <c r="K67" s="151">
        <f t="shared" si="3"/>
        <v>0</v>
      </c>
      <c r="L67" s="151">
        <f>SUMIF(Ere!$B:$B,'Element wise-detail Summary'!$A67,Ere!$C:$C)</f>
        <v>1</v>
      </c>
      <c r="M67" s="151">
        <f t="shared" si="4"/>
        <v>0</v>
      </c>
      <c r="N67">
        <f t="shared" si="5"/>
        <v>2.0529999999999999</v>
      </c>
    </row>
    <row r="68" spans="1:14" hidden="1" x14ac:dyDescent="0.25">
      <c r="A68" s="151" t="s">
        <v>1252</v>
      </c>
      <c r="B68" s="233" t="str">
        <f>VLOOKUP(A68,'AFC Data details'!$B:$E,4,0)</f>
        <v>V22</v>
      </c>
      <c r="C68" s="144" t="s">
        <v>1693</v>
      </c>
      <c r="D68" s="151" t="s">
        <v>602</v>
      </c>
      <c r="E68" s="151">
        <f>VLOOKUP(A68,'AFC Data details'!$B:$P,15,0)</f>
        <v>2.0529999999999999</v>
      </c>
      <c r="F68" s="151">
        <f>SUMIFS('AFC Data details'!C:C,'AFC Data details'!$B:$B,'Element wise-detail Summary'!$A68)</f>
        <v>1</v>
      </c>
      <c r="G68" s="151">
        <f>SUMIFS(Cast!$C:$C,Cast!$B:$B,'Element wise-detail Summary'!$A68)</f>
        <v>1</v>
      </c>
      <c r="H68" s="151">
        <f t="shared" ref="H68:H131" si="6">F68-G68</f>
        <v>0</v>
      </c>
      <c r="I68" s="151">
        <f>SUMIFS(Del!$C:$C,Del!$B:$B,'Element wise-detail Summary'!$A68)</f>
        <v>1</v>
      </c>
      <c r="J68" s="151">
        <f t="shared" ref="J68:J131" si="7">F68-I68</f>
        <v>0</v>
      </c>
      <c r="K68" s="151">
        <f t="shared" ref="K68:K131" si="8">G68-I68</f>
        <v>0</v>
      </c>
      <c r="L68" s="151">
        <f>SUMIF(Ere!$B:$B,'Element wise-detail Summary'!$A68,Ere!$C:$C)</f>
        <v>1</v>
      </c>
      <c r="M68" s="151">
        <f t="shared" ref="M68:M131" si="9">F68-L68</f>
        <v>0</v>
      </c>
      <c r="N68">
        <f t="shared" ref="N68:N131" si="10">I68*E68</f>
        <v>2.0529999999999999</v>
      </c>
    </row>
    <row r="69" spans="1:14" hidden="1" x14ac:dyDescent="0.25">
      <c r="A69" s="151" t="s">
        <v>1253</v>
      </c>
      <c r="B69" s="233" t="str">
        <f>VLOOKUP(A69,'AFC Data details'!$B:$E,4,0)</f>
        <v>V23</v>
      </c>
      <c r="C69" s="144" t="s">
        <v>1693</v>
      </c>
      <c r="D69" s="151" t="s">
        <v>602</v>
      </c>
      <c r="E69" s="151">
        <f>VLOOKUP(A69,'AFC Data details'!$B:$P,15,0)</f>
        <v>2.0529999999999999</v>
      </c>
      <c r="F69" s="151">
        <f>SUMIFS('AFC Data details'!C:C,'AFC Data details'!$B:$B,'Element wise-detail Summary'!$A69)</f>
        <v>1</v>
      </c>
      <c r="G69" s="151">
        <f>SUMIFS(Cast!$C:$C,Cast!$B:$B,'Element wise-detail Summary'!$A69)</f>
        <v>1</v>
      </c>
      <c r="H69" s="151">
        <f t="shared" si="6"/>
        <v>0</v>
      </c>
      <c r="I69" s="151">
        <f>SUMIFS(Del!$C:$C,Del!$B:$B,'Element wise-detail Summary'!$A69)</f>
        <v>0</v>
      </c>
      <c r="J69" s="151">
        <f t="shared" si="7"/>
        <v>1</v>
      </c>
      <c r="K69" s="151">
        <f t="shared" si="8"/>
        <v>1</v>
      </c>
      <c r="L69" s="151">
        <f>SUMIF(Ere!$B:$B,'Element wise-detail Summary'!$A69,Ere!$C:$C)</f>
        <v>0</v>
      </c>
      <c r="M69" s="151">
        <f t="shared" si="9"/>
        <v>1</v>
      </c>
      <c r="N69">
        <f t="shared" si="10"/>
        <v>0</v>
      </c>
    </row>
    <row r="70" spans="1:14" hidden="1" x14ac:dyDescent="0.25">
      <c r="A70" s="151" t="s">
        <v>1202</v>
      </c>
      <c r="B70" s="233" t="str">
        <f>VLOOKUP(A70,'AFC Data details'!$B:$E,4,0)</f>
        <v>V20</v>
      </c>
      <c r="C70" s="144" t="s">
        <v>1693</v>
      </c>
      <c r="D70" s="151" t="s">
        <v>602</v>
      </c>
      <c r="E70" s="151">
        <f>VLOOKUP(A70,'AFC Data details'!$B:$P,15,0)</f>
        <v>2.0529999999999999</v>
      </c>
      <c r="F70" s="151">
        <f>SUMIFS('AFC Data details'!C:C,'AFC Data details'!$B:$B,'Element wise-detail Summary'!$A70)</f>
        <v>1</v>
      </c>
      <c r="G70" s="151">
        <f>SUMIFS(Cast!$C:$C,Cast!$B:$B,'Element wise-detail Summary'!$A70)</f>
        <v>1</v>
      </c>
      <c r="H70" s="151">
        <f t="shared" si="6"/>
        <v>0</v>
      </c>
      <c r="I70" s="151">
        <f>SUMIFS(Del!$C:$C,Del!$B:$B,'Element wise-detail Summary'!$A70)</f>
        <v>1</v>
      </c>
      <c r="J70" s="151">
        <f t="shared" si="7"/>
        <v>0</v>
      </c>
      <c r="K70" s="151">
        <f t="shared" si="8"/>
        <v>0</v>
      </c>
      <c r="L70" s="151">
        <f>SUMIF(Ere!$B:$B,'Element wise-detail Summary'!$A70,Ere!$C:$C)</f>
        <v>1</v>
      </c>
      <c r="M70" s="151">
        <f t="shared" si="9"/>
        <v>0</v>
      </c>
      <c r="N70">
        <f t="shared" si="10"/>
        <v>2.0529999999999999</v>
      </c>
    </row>
    <row r="71" spans="1:14" hidden="1" x14ac:dyDescent="0.25">
      <c r="A71" s="151" t="s">
        <v>1254</v>
      </c>
      <c r="B71" s="233" t="str">
        <f>VLOOKUP(A71,'AFC Data details'!$B:$E,4,0)</f>
        <v>V21</v>
      </c>
      <c r="C71" s="144" t="s">
        <v>1693</v>
      </c>
      <c r="D71" s="151" t="s">
        <v>602</v>
      </c>
      <c r="E71" s="151">
        <f>VLOOKUP(A71,'AFC Data details'!$B:$P,15,0)</f>
        <v>2.0529999999999999</v>
      </c>
      <c r="F71" s="151">
        <f>SUMIFS('AFC Data details'!C:C,'AFC Data details'!$B:$B,'Element wise-detail Summary'!$A71)</f>
        <v>1</v>
      </c>
      <c r="G71" s="151">
        <f>SUMIFS(Cast!$C:$C,Cast!$B:$B,'Element wise-detail Summary'!$A71)</f>
        <v>1</v>
      </c>
      <c r="H71" s="151">
        <f t="shared" si="6"/>
        <v>0</v>
      </c>
      <c r="I71" s="151">
        <f>SUMIFS(Del!$C:$C,Del!$B:$B,'Element wise-detail Summary'!$A71)</f>
        <v>1</v>
      </c>
      <c r="J71" s="151">
        <f t="shared" si="7"/>
        <v>0</v>
      </c>
      <c r="K71" s="151">
        <f t="shared" si="8"/>
        <v>0</v>
      </c>
      <c r="L71" s="151">
        <f>SUMIF(Ere!$B:$B,'Element wise-detail Summary'!$A71,Ere!$C:$C)</f>
        <v>1</v>
      </c>
      <c r="M71" s="151">
        <f t="shared" si="9"/>
        <v>0</v>
      </c>
      <c r="N71">
        <f t="shared" si="10"/>
        <v>2.0529999999999999</v>
      </c>
    </row>
    <row r="72" spans="1:14" hidden="1" x14ac:dyDescent="0.25">
      <c r="A72" s="151" t="s">
        <v>1255</v>
      </c>
      <c r="B72" s="233" t="str">
        <f>VLOOKUP(A72,'AFC Data details'!$B:$E,4,0)</f>
        <v>V20</v>
      </c>
      <c r="C72" s="144" t="s">
        <v>1693</v>
      </c>
      <c r="D72" s="151" t="s">
        <v>602</v>
      </c>
      <c r="E72" s="151">
        <f>VLOOKUP(A72,'AFC Data details'!$B:$P,15,0)</f>
        <v>2.0529999999999999</v>
      </c>
      <c r="F72" s="151">
        <f>SUMIFS('AFC Data details'!C:C,'AFC Data details'!$B:$B,'Element wise-detail Summary'!$A72)</f>
        <v>1</v>
      </c>
      <c r="G72" s="151">
        <f>SUMIFS(Cast!$C:$C,Cast!$B:$B,'Element wise-detail Summary'!$A72)</f>
        <v>1</v>
      </c>
      <c r="H72" s="151">
        <f t="shared" si="6"/>
        <v>0</v>
      </c>
      <c r="I72" s="151">
        <f>SUMIFS(Del!$C:$C,Del!$B:$B,'Element wise-detail Summary'!$A72)</f>
        <v>1</v>
      </c>
      <c r="J72" s="151">
        <f t="shared" si="7"/>
        <v>0</v>
      </c>
      <c r="K72" s="151">
        <f t="shared" si="8"/>
        <v>0</v>
      </c>
      <c r="L72" s="151">
        <f>SUMIF(Ere!$B:$B,'Element wise-detail Summary'!$A72,Ere!$C:$C)</f>
        <v>1</v>
      </c>
      <c r="M72" s="151">
        <f t="shared" si="9"/>
        <v>0</v>
      </c>
      <c r="N72">
        <f t="shared" si="10"/>
        <v>2.0529999999999999</v>
      </c>
    </row>
    <row r="73" spans="1:14" hidden="1" x14ac:dyDescent="0.25">
      <c r="A73" s="151" t="s">
        <v>1256</v>
      </c>
      <c r="B73" s="233" t="str">
        <f>VLOOKUP(A73,'AFC Data details'!$B:$E,4,0)</f>
        <v>V21</v>
      </c>
      <c r="C73" s="144" t="s">
        <v>1693</v>
      </c>
      <c r="D73" s="151" t="s">
        <v>602</v>
      </c>
      <c r="E73" s="151">
        <f>VLOOKUP(A73,'AFC Data details'!$B:$P,15,0)</f>
        <v>2.0529999999999999</v>
      </c>
      <c r="F73" s="151">
        <f>SUMIFS('AFC Data details'!C:C,'AFC Data details'!$B:$B,'Element wise-detail Summary'!$A73)</f>
        <v>1</v>
      </c>
      <c r="G73" s="151">
        <f>SUMIFS(Cast!$C:$C,Cast!$B:$B,'Element wise-detail Summary'!$A73)</f>
        <v>1</v>
      </c>
      <c r="H73" s="151">
        <f t="shared" si="6"/>
        <v>0</v>
      </c>
      <c r="I73" s="151">
        <f>SUMIFS(Del!$C:$C,Del!$B:$B,'Element wise-detail Summary'!$A73)</f>
        <v>1</v>
      </c>
      <c r="J73" s="151">
        <f t="shared" si="7"/>
        <v>0</v>
      </c>
      <c r="K73" s="151">
        <f t="shared" si="8"/>
        <v>0</v>
      </c>
      <c r="L73" s="151">
        <f>SUMIF(Ere!$B:$B,'Element wise-detail Summary'!$A73,Ere!$C:$C)</f>
        <v>1</v>
      </c>
      <c r="M73" s="151">
        <f t="shared" si="9"/>
        <v>0</v>
      </c>
      <c r="N73">
        <f t="shared" si="10"/>
        <v>2.0529999999999999</v>
      </c>
    </row>
    <row r="74" spans="1:14" hidden="1" x14ac:dyDescent="0.25">
      <c r="A74" s="151" t="s">
        <v>1257</v>
      </c>
      <c r="B74" s="233" t="str">
        <f>VLOOKUP(A74,'AFC Data details'!$B:$E,4,0)</f>
        <v>V22</v>
      </c>
      <c r="C74" s="144" t="s">
        <v>1693</v>
      </c>
      <c r="D74" s="151" t="s">
        <v>602</v>
      </c>
      <c r="E74" s="151">
        <f>VLOOKUP(A74,'AFC Data details'!$B:$P,15,0)</f>
        <v>2.0529999999999999</v>
      </c>
      <c r="F74" s="151">
        <f>SUMIFS('AFC Data details'!C:C,'AFC Data details'!$B:$B,'Element wise-detail Summary'!$A74)</f>
        <v>1</v>
      </c>
      <c r="G74" s="151">
        <f>SUMIFS(Cast!$C:$C,Cast!$B:$B,'Element wise-detail Summary'!$A74)</f>
        <v>1</v>
      </c>
      <c r="H74" s="151">
        <f t="shared" si="6"/>
        <v>0</v>
      </c>
      <c r="I74" s="151">
        <f>SUMIFS(Del!$C:$C,Del!$B:$B,'Element wise-detail Summary'!$A74)</f>
        <v>1</v>
      </c>
      <c r="J74" s="151">
        <f t="shared" si="7"/>
        <v>0</v>
      </c>
      <c r="K74" s="151">
        <f t="shared" si="8"/>
        <v>0</v>
      </c>
      <c r="L74" s="151">
        <f>SUMIF(Ere!$B:$B,'Element wise-detail Summary'!$A74,Ere!$C:$C)</f>
        <v>1</v>
      </c>
      <c r="M74" s="151">
        <f t="shared" si="9"/>
        <v>0</v>
      </c>
      <c r="N74">
        <f t="shared" si="10"/>
        <v>2.0529999999999999</v>
      </c>
    </row>
    <row r="75" spans="1:14" hidden="1" x14ac:dyDescent="0.25">
      <c r="A75" s="151" t="s">
        <v>1258</v>
      </c>
      <c r="B75" s="233" t="str">
        <f>VLOOKUP(A75,'AFC Data details'!$B:$E,4,0)</f>
        <v>V20</v>
      </c>
      <c r="C75" s="144" t="s">
        <v>1693</v>
      </c>
      <c r="D75" s="151" t="s">
        <v>602</v>
      </c>
      <c r="E75" s="151">
        <f>VLOOKUP(A75,'AFC Data details'!$B:$P,15,0)</f>
        <v>2.0529999999999999</v>
      </c>
      <c r="F75" s="151">
        <f>SUMIFS('AFC Data details'!C:C,'AFC Data details'!$B:$B,'Element wise-detail Summary'!$A75)</f>
        <v>1</v>
      </c>
      <c r="G75" s="151">
        <f>SUMIFS(Cast!$C:$C,Cast!$B:$B,'Element wise-detail Summary'!$A75)</f>
        <v>1</v>
      </c>
      <c r="H75" s="151">
        <f t="shared" si="6"/>
        <v>0</v>
      </c>
      <c r="I75" s="151">
        <f>SUMIFS(Del!$C:$C,Del!$B:$B,'Element wise-detail Summary'!$A75)</f>
        <v>0</v>
      </c>
      <c r="J75" s="151">
        <f t="shared" si="7"/>
        <v>1</v>
      </c>
      <c r="K75" s="151">
        <f t="shared" si="8"/>
        <v>1</v>
      </c>
      <c r="L75" s="151">
        <f>SUMIF(Ere!$B:$B,'Element wise-detail Summary'!$A75,Ere!$C:$C)</f>
        <v>0</v>
      </c>
      <c r="M75" s="151">
        <f t="shared" si="9"/>
        <v>1</v>
      </c>
      <c r="N75">
        <f t="shared" si="10"/>
        <v>0</v>
      </c>
    </row>
    <row r="76" spans="1:14" hidden="1" x14ac:dyDescent="0.25">
      <c r="A76" s="151" t="s">
        <v>1259</v>
      </c>
      <c r="B76" s="233" t="str">
        <f>VLOOKUP(A76,'AFC Data details'!$B:$E,4,0)</f>
        <v>V22</v>
      </c>
      <c r="C76" s="144" t="s">
        <v>1693</v>
      </c>
      <c r="D76" s="151" t="s">
        <v>602</v>
      </c>
      <c r="E76" s="151">
        <f>VLOOKUP(A76,'AFC Data details'!$B:$P,15,0)</f>
        <v>1.4339999999999999</v>
      </c>
      <c r="F76" s="151">
        <f>SUMIFS('AFC Data details'!C:C,'AFC Data details'!$B:$B,'Element wise-detail Summary'!$A76)</f>
        <v>1</v>
      </c>
      <c r="G76" s="151">
        <f>SUMIFS(Cast!$C:$C,Cast!$B:$B,'Element wise-detail Summary'!$A76)</f>
        <v>1</v>
      </c>
      <c r="H76" s="151">
        <f t="shared" si="6"/>
        <v>0</v>
      </c>
      <c r="I76" s="151">
        <f>SUMIFS(Del!$C:$C,Del!$B:$B,'Element wise-detail Summary'!$A76)</f>
        <v>1</v>
      </c>
      <c r="J76" s="151">
        <f t="shared" si="7"/>
        <v>0</v>
      </c>
      <c r="K76" s="151">
        <f t="shared" si="8"/>
        <v>0</v>
      </c>
      <c r="L76" s="151">
        <f>SUMIF(Ere!$B:$B,'Element wise-detail Summary'!$A76,Ere!$C:$C)</f>
        <v>1</v>
      </c>
      <c r="M76" s="151">
        <f t="shared" si="9"/>
        <v>0</v>
      </c>
      <c r="N76">
        <f t="shared" si="10"/>
        <v>1.4339999999999999</v>
      </c>
    </row>
    <row r="77" spans="1:14" hidden="1" x14ac:dyDescent="0.25">
      <c r="A77" s="151" t="s">
        <v>1260</v>
      </c>
      <c r="B77" s="233" t="str">
        <f>VLOOKUP(A77,'AFC Data details'!$B:$E,4,0)</f>
        <v>V22</v>
      </c>
      <c r="C77" s="144" t="s">
        <v>1693</v>
      </c>
      <c r="D77" s="151" t="s">
        <v>602</v>
      </c>
      <c r="E77" s="151">
        <f>VLOOKUP(A77,'AFC Data details'!$B:$P,15,0)</f>
        <v>1.2609999999999999</v>
      </c>
      <c r="F77" s="151">
        <f>SUMIFS('AFC Data details'!C:C,'AFC Data details'!$B:$B,'Element wise-detail Summary'!$A77)</f>
        <v>1</v>
      </c>
      <c r="G77" s="151">
        <f>SUMIFS(Cast!$C:$C,Cast!$B:$B,'Element wise-detail Summary'!$A77)</f>
        <v>1</v>
      </c>
      <c r="H77" s="151">
        <f t="shared" si="6"/>
        <v>0</v>
      </c>
      <c r="I77" s="151">
        <f>SUMIFS(Del!$C:$C,Del!$B:$B,'Element wise-detail Summary'!$A77)</f>
        <v>1</v>
      </c>
      <c r="J77" s="151">
        <f t="shared" si="7"/>
        <v>0</v>
      </c>
      <c r="K77" s="151">
        <f t="shared" si="8"/>
        <v>0</v>
      </c>
      <c r="L77" s="151">
        <f>SUMIF(Ere!$B:$B,'Element wise-detail Summary'!$A77,Ere!$C:$C)</f>
        <v>1</v>
      </c>
      <c r="M77" s="151">
        <f t="shared" si="9"/>
        <v>0</v>
      </c>
      <c r="N77">
        <f t="shared" si="10"/>
        <v>1.2609999999999999</v>
      </c>
    </row>
    <row r="78" spans="1:14" hidden="1" x14ac:dyDescent="0.25">
      <c r="A78" s="151" t="s">
        <v>1261</v>
      </c>
      <c r="B78" s="233" t="str">
        <f>VLOOKUP(A78,'AFC Data details'!$B:$E,4,0)</f>
        <v>V23</v>
      </c>
      <c r="C78" s="144" t="s">
        <v>1693</v>
      </c>
      <c r="D78" s="151" t="s">
        <v>602</v>
      </c>
      <c r="E78" s="151">
        <f>VLOOKUP(A78,'AFC Data details'!$B:$P,15,0)</f>
        <v>2.09</v>
      </c>
      <c r="F78" s="151">
        <f>SUMIFS('AFC Data details'!C:C,'AFC Data details'!$B:$B,'Element wise-detail Summary'!$A78)</f>
        <v>1</v>
      </c>
      <c r="G78" s="151">
        <f>SUMIFS(Cast!$C:$C,Cast!$B:$B,'Element wise-detail Summary'!$A78)</f>
        <v>1</v>
      </c>
      <c r="H78" s="151">
        <f t="shared" si="6"/>
        <v>0</v>
      </c>
      <c r="I78" s="151">
        <f>SUMIFS(Del!$C:$C,Del!$B:$B,'Element wise-detail Summary'!$A78)</f>
        <v>1</v>
      </c>
      <c r="J78" s="151">
        <f t="shared" si="7"/>
        <v>0</v>
      </c>
      <c r="K78" s="151">
        <f t="shared" si="8"/>
        <v>0</v>
      </c>
      <c r="L78" s="151">
        <f>SUMIF(Ere!$B:$B,'Element wise-detail Summary'!$A78,Ere!$C:$C)</f>
        <v>1</v>
      </c>
      <c r="M78" s="151">
        <f t="shared" si="9"/>
        <v>0</v>
      </c>
      <c r="N78">
        <f t="shared" si="10"/>
        <v>2.09</v>
      </c>
    </row>
    <row r="79" spans="1:14" hidden="1" x14ac:dyDescent="0.25">
      <c r="A79" s="151" t="s">
        <v>1262</v>
      </c>
      <c r="B79" s="233" t="str">
        <f>VLOOKUP(A79,'AFC Data details'!$B:$E,4,0)</f>
        <v>V23</v>
      </c>
      <c r="C79" s="144" t="s">
        <v>1693</v>
      </c>
      <c r="D79" s="151" t="s">
        <v>602</v>
      </c>
      <c r="E79" s="151">
        <f>VLOOKUP(A79,'AFC Data details'!$B:$P,15,0)</f>
        <v>2.0529999999999999</v>
      </c>
      <c r="F79" s="151">
        <f>SUMIFS('AFC Data details'!C:C,'AFC Data details'!$B:$B,'Element wise-detail Summary'!$A79)</f>
        <v>1</v>
      </c>
      <c r="G79" s="151">
        <f>SUMIFS(Cast!$C:$C,Cast!$B:$B,'Element wise-detail Summary'!$A79)</f>
        <v>1</v>
      </c>
      <c r="H79" s="151">
        <f t="shared" si="6"/>
        <v>0</v>
      </c>
      <c r="I79" s="151">
        <f>SUMIFS(Del!$C:$C,Del!$B:$B,'Element wise-detail Summary'!$A79)</f>
        <v>1</v>
      </c>
      <c r="J79" s="151">
        <f t="shared" si="7"/>
        <v>0</v>
      </c>
      <c r="K79" s="151">
        <f t="shared" si="8"/>
        <v>0</v>
      </c>
      <c r="L79" s="151">
        <f>SUMIF(Ere!$B:$B,'Element wise-detail Summary'!$A79,Ere!$C:$C)</f>
        <v>1</v>
      </c>
      <c r="M79" s="151">
        <f t="shared" si="9"/>
        <v>0</v>
      </c>
      <c r="N79">
        <f t="shared" si="10"/>
        <v>2.0529999999999999</v>
      </c>
    </row>
    <row r="80" spans="1:14" hidden="1" x14ac:dyDescent="0.25">
      <c r="A80" s="151" t="s">
        <v>1263</v>
      </c>
      <c r="B80" s="233" t="str">
        <f>VLOOKUP(A80,'AFC Data details'!$B:$E,4,0)</f>
        <v>V21</v>
      </c>
      <c r="C80" s="144" t="s">
        <v>1693</v>
      </c>
      <c r="D80" s="151" t="s">
        <v>602</v>
      </c>
      <c r="E80" s="151">
        <f>VLOOKUP(A80,'AFC Data details'!$B:$P,15,0)</f>
        <v>2.0529999999999999</v>
      </c>
      <c r="F80" s="151">
        <f>SUMIFS('AFC Data details'!C:C,'AFC Data details'!$B:$B,'Element wise-detail Summary'!$A80)</f>
        <v>1</v>
      </c>
      <c r="G80" s="151">
        <f>SUMIFS(Cast!$C:$C,Cast!$B:$B,'Element wise-detail Summary'!$A80)</f>
        <v>1</v>
      </c>
      <c r="H80" s="151">
        <f t="shared" si="6"/>
        <v>0</v>
      </c>
      <c r="I80" s="151">
        <f>SUMIFS(Del!$C:$C,Del!$B:$B,'Element wise-detail Summary'!$A80)</f>
        <v>1</v>
      </c>
      <c r="J80" s="151">
        <f t="shared" si="7"/>
        <v>0</v>
      </c>
      <c r="K80" s="151">
        <f t="shared" si="8"/>
        <v>0</v>
      </c>
      <c r="L80" s="151">
        <f>SUMIF(Ere!$B:$B,'Element wise-detail Summary'!$A80,Ere!$C:$C)</f>
        <v>1</v>
      </c>
      <c r="M80" s="151">
        <f t="shared" si="9"/>
        <v>0</v>
      </c>
      <c r="N80">
        <f t="shared" si="10"/>
        <v>2.0529999999999999</v>
      </c>
    </row>
    <row r="81" spans="1:14" hidden="1" x14ac:dyDescent="0.25">
      <c r="A81" s="151" t="s">
        <v>1264</v>
      </c>
      <c r="B81" s="233" t="str">
        <f>VLOOKUP(A81,'AFC Data details'!$B:$E,4,0)</f>
        <v>V23</v>
      </c>
      <c r="C81" s="144" t="s">
        <v>1693</v>
      </c>
      <c r="D81" s="151" t="s">
        <v>602</v>
      </c>
      <c r="E81" s="151">
        <f>VLOOKUP(A81,'AFC Data details'!$B:$P,15,0)</f>
        <v>1.413</v>
      </c>
      <c r="F81" s="151">
        <f>SUMIFS('AFC Data details'!C:C,'AFC Data details'!$B:$B,'Element wise-detail Summary'!$A81)</f>
        <v>1</v>
      </c>
      <c r="G81" s="151">
        <f>SUMIFS(Cast!$C:$C,Cast!$B:$B,'Element wise-detail Summary'!$A81)</f>
        <v>1</v>
      </c>
      <c r="H81" s="151">
        <f t="shared" si="6"/>
        <v>0</v>
      </c>
      <c r="I81" s="151">
        <f>SUMIFS(Del!$C:$C,Del!$B:$B,'Element wise-detail Summary'!$A81)</f>
        <v>1</v>
      </c>
      <c r="J81" s="151">
        <f t="shared" si="7"/>
        <v>0</v>
      </c>
      <c r="K81" s="151">
        <f t="shared" si="8"/>
        <v>0</v>
      </c>
      <c r="L81" s="151">
        <f>SUMIF(Ere!$B:$B,'Element wise-detail Summary'!$A81,Ere!$C:$C)</f>
        <v>1</v>
      </c>
      <c r="M81" s="151">
        <f t="shared" si="9"/>
        <v>0</v>
      </c>
      <c r="N81">
        <f t="shared" si="10"/>
        <v>1.413</v>
      </c>
    </row>
    <row r="82" spans="1:14" hidden="1" x14ac:dyDescent="0.25">
      <c r="A82" s="151" t="s">
        <v>1265</v>
      </c>
      <c r="B82" s="233" t="str">
        <f>VLOOKUP(A82,'AFC Data details'!$B:$E,4,0)</f>
        <v>V27</v>
      </c>
      <c r="C82" s="144" t="s">
        <v>1693</v>
      </c>
      <c r="D82" s="151" t="s">
        <v>602</v>
      </c>
      <c r="E82" s="151">
        <f>VLOOKUP(A82,'AFC Data details'!$B:$P,15,0)</f>
        <v>1.413</v>
      </c>
      <c r="F82" s="151">
        <f>SUMIFS('AFC Data details'!C:C,'AFC Data details'!$B:$B,'Element wise-detail Summary'!$A82)</f>
        <v>1</v>
      </c>
      <c r="G82" s="151">
        <f>SUMIFS(Cast!$C:$C,Cast!$B:$B,'Element wise-detail Summary'!$A82)</f>
        <v>1</v>
      </c>
      <c r="H82" s="151">
        <f t="shared" si="6"/>
        <v>0</v>
      </c>
      <c r="I82" s="151">
        <f>SUMIFS(Del!$C:$C,Del!$B:$B,'Element wise-detail Summary'!$A82)</f>
        <v>1</v>
      </c>
      <c r="J82" s="151">
        <f t="shared" si="7"/>
        <v>0</v>
      </c>
      <c r="K82" s="151">
        <f t="shared" si="8"/>
        <v>0</v>
      </c>
      <c r="L82" s="151">
        <f>SUMIF(Ere!$B:$B,'Element wise-detail Summary'!$A82,Ere!$C:$C)</f>
        <v>1</v>
      </c>
      <c r="M82" s="151">
        <f t="shared" si="9"/>
        <v>0</v>
      </c>
      <c r="N82">
        <f t="shared" si="10"/>
        <v>1.413</v>
      </c>
    </row>
    <row r="83" spans="1:14" hidden="1" x14ac:dyDescent="0.25">
      <c r="A83" s="151" t="s">
        <v>1266</v>
      </c>
      <c r="B83" s="233" t="str">
        <f>VLOOKUP(A83,'AFC Data details'!$B:$E,4,0)</f>
        <v>V33</v>
      </c>
      <c r="C83" s="144" t="s">
        <v>1693</v>
      </c>
      <c r="D83" s="151" t="s">
        <v>602</v>
      </c>
      <c r="E83" s="151">
        <f>VLOOKUP(A83,'AFC Data details'!$B:$P,15,0)</f>
        <v>1.413</v>
      </c>
      <c r="F83" s="151">
        <f>SUMIFS('AFC Data details'!C:C,'AFC Data details'!$B:$B,'Element wise-detail Summary'!$A83)</f>
        <v>1</v>
      </c>
      <c r="G83" s="151">
        <f>SUMIFS(Cast!$C:$C,Cast!$B:$B,'Element wise-detail Summary'!$A83)</f>
        <v>1</v>
      </c>
      <c r="H83" s="151">
        <f t="shared" si="6"/>
        <v>0</v>
      </c>
      <c r="I83" s="151">
        <f>SUMIFS(Del!$C:$C,Del!$B:$B,'Element wise-detail Summary'!$A83)</f>
        <v>1</v>
      </c>
      <c r="J83" s="151">
        <f t="shared" si="7"/>
        <v>0</v>
      </c>
      <c r="K83" s="151">
        <f t="shared" si="8"/>
        <v>0</v>
      </c>
      <c r="L83" s="151">
        <f>SUMIF(Ere!$B:$B,'Element wise-detail Summary'!$A83,Ere!$C:$C)</f>
        <v>1</v>
      </c>
      <c r="M83" s="151">
        <f t="shared" si="9"/>
        <v>0</v>
      </c>
      <c r="N83">
        <f t="shared" si="10"/>
        <v>1.413</v>
      </c>
    </row>
    <row r="84" spans="1:14" hidden="1" x14ac:dyDescent="0.25">
      <c r="A84" s="151" t="s">
        <v>1200</v>
      </c>
      <c r="B84" s="233" t="str">
        <f>VLOOKUP(A84,'AFC Data details'!$B:$E,4,0)</f>
        <v>V23</v>
      </c>
      <c r="C84" s="144" t="s">
        <v>1693</v>
      </c>
      <c r="D84" s="151" t="s">
        <v>602</v>
      </c>
      <c r="E84" s="151">
        <f>VLOOKUP(A84,'AFC Data details'!$B:$P,15,0)</f>
        <v>1.2609999999999999</v>
      </c>
      <c r="F84" s="151">
        <f>SUMIFS('AFC Data details'!C:C,'AFC Data details'!$B:$B,'Element wise-detail Summary'!$A84)</f>
        <v>1</v>
      </c>
      <c r="G84" s="151">
        <f>SUMIFS(Cast!$C:$C,Cast!$B:$B,'Element wise-detail Summary'!$A84)</f>
        <v>1</v>
      </c>
      <c r="H84" s="151">
        <f t="shared" si="6"/>
        <v>0</v>
      </c>
      <c r="I84" s="151">
        <f>SUMIFS(Del!$C:$C,Del!$B:$B,'Element wise-detail Summary'!$A84)</f>
        <v>1</v>
      </c>
      <c r="J84" s="151">
        <f t="shared" si="7"/>
        <v>0</v>
      </c>
      <c r="K84" s="151">
        <f t="shared" si="8"/>
        <v>0</v>
      </c>
      <c r="L84" s="151">
        <f>SUMIF(Ere!$B:$B,'Element wise-detail Summary'!$A84,Ere!$C:$C)</f>
        <v>1</v>
      </c>
      <c r="M84" s="151">
        <f t="shared" si="9"/>
        <v>0</v>
      </c>
      <c r="N84">
        <f t="shared" si="10"/>
        <v>1.2609999999999999</v>
      </c>
    </row>
    <row r="85" spans="1:14" hidden="1" x14ac:dyDescent="0.25">
      <c r="A85" s="151" t="s">
        <v>1201</v>
      </c>
      <c r="B85" s="233" t="str">
        <f>VLOOKUP(A85,'AFC Data details'!$B:$E,4,0)</f>
        <v>V23</v>
      </c>
      <c r="C85" s="144" t="s">
        <v>1693</v>
      </c>
      <c r="D85" s="151" t="s">
        <v>602</v>
      </c>
      <c r="E85" s="151">
        <f>VLOOKUP(A85,'AFC Data details'!$B:$P,15,0)</f>
        <v>1.4339999999999999</v>
      </c>
      <c r="F85" s="151">
        <f>SUMIFS('AFC Data details'!C:C,'AFC Data details'!$B:$B,'Element wise-detail Summary'!$A85)</f>
        <v>1</v>
      </c>
      <c r="G85" s="151">
        <f>SUMIFS(Cast!$C:$C,Cast!$B:$B,'Element wise-detail Summary'!$A85)</f>
        <v>1</v>
      </c>
      <c r="H85" s="151">
        <f t="shared" si="6"/>
        <v>0</v>
      </c>
      <c r="I85" s="151">
        <f>SUMIFS(Del!$C:$C,Del!$B:$B,'Element wise-detail Summary'!$A85)</f>
        <v>1</v>
      </c>
      <c r="J85" s="151">
        <f t="shared" si="7"/>
        <v>0</v>
      </c>
      <c r="K85" s="151">
        <f t="shared" si="8"/>
        <v>0</v>
      </c>
      <c r="L85" s="151">
        <f>SUMIF(Ere!$B:$B,'Element wise-detail Summary'!$A85,Ere!$C:$C)</f>
        <v>1</v>
      </c>
      <c r="M85" s="151">
        <f t="shared" si="9"/>
        <v>0</v>
      </c>
      <c r="N85">
        <f t="shared" si="10"/>
        <v>1.4339999999999999</v>
      </c>
    </row>
    <row r="86" spans="1:14" hidden="1" x14ac:dyDescent="0.25">
      <c r="A86" s="151" t="s">
        <v>1203</v>
      </c>
      <c r="B86" s="233" t="str">
        <f>VLOOKUP(A86,'AFC Data details'!$B:$E,4,0)</f>
        <v>V24</v>
      </c>
      <c r="C86" s="144" t="s">
        <v>1693</v>
      </c>
      <c r="D86" s="151" t="s">
        <v>602</v>
      </c>
      <c r="E86" s="151">
        <f>VLOOKUP(A86,'AFC Data details'!$B:$P,15,0)</f>
        <v>0.997</v>
      </c>
      <c r="F86" s="151">
        <f>SUMIFS('AFC Data details'!C:C,'AFC Data details'!$B:$B,'Element wise-detail Summary'!$A86)</f>
        <v>1</v>
      </c>
      <c r="G86" s="151">
        <f>SUMIFS(Cast!$C:$C,Cast!$B:$B,'Element wise-detail Summary'!$A86)</f>
        <v>1</v>
      </c>
      <c r="H86" s="151">
        <f t="shared" si="6"/>
        <v>0</v>
      </c>
      <c r="I86" s="151">
        <f>SUMIFS(Del!$C:$C,Del!$B:$B,'Element wise-detail Summary'!$A86)</f>
        <v>1</v>
      </c>
      <c r="J86" s="151">
        <f t="shared" si="7"/>
        <v>0</v>
      </c>
      <c r="K86" s="151">
        <f t="shared" si="8"/>
        <v>0</v>
      </c>
      <c r="L86" s="151">
        <f>SUMIF(Ere!$B:$B,'Element wise-detail Summary'!$A86,Ere!$C:$C)</f>
        <v>1</v>
      </c>
      <c r="M86" s="151">
        <f t="shared" si="9"/>
        <v>0</v>
      </c>
      <c r="N86">
        <f t="shared" si="10"/>
        <v>0.997</v>
      </c>
    </row>
    <row r="87" spans="1:14" hidden="1" x14ac:dyDescent="0.25">
      <c r="A87" s="151" t="s">
        <v>1267</v>
      </c>
      <c r="B87" s="233" t="str">
        <f>VLOOKUP(A87,'AFC Data details'!$B:$E,4,0)</f>
        <v>V24</v>
      </c>
      <c r="C87" s="144" t="s">
        <v>1693</v>
      </c>
      <c r="D87" s="151" t="s">
        <v>602</v>
      </c>
      <c r="E87" s="151">
        <f>VLOOKUP(A87,'AFC Data details'!$B:$P,15,0)</f>
        <v>2.0619999999999998</v>
      </c>
      <c r="F87" s="151">
        <f>SUMIFS('AFC Data details'!C:C,'AFC Data details'!$B:$B,'Element wise-detail Summary'!$A87)</f>
        <v>1</v>
      </c>
      <c r="G87" s="151">
        <f>SUMIFS(Cast!$C:$C,Cast!$B:$B,'Element wise-detail Summary'!$A87)</f>
        <v>1</v>
      </c>
      <c r="H87" s="151">
        <f t="shared" si="6"/>
        <v>0</v>
      </c>
      <c r="I87" s="151">
        <f>SUMIFS(Del!$C:$C,Del!$B:$B,'Element wise-detail Summary'!$A87)</f>
        <v>1</v>
      </c>
      <c r="J87" s="151">
        <f t="shared" si="7"/>
        <v>0</v>
      </c>
      <c r="K87" s="151">
        <f t="shared" si="8"/>
        <v>0</v>
      </c>
      <c r="L87" s="151">
        <f>SUMIF(Ere!$B:$B,'Element wise-detail Summary'!$A87,Ere!$C:$C)</f>
        <v>1</v>
      </c>
      <c r="M87" s="151">
        <f t="shared" si="9"/>
        <v>0</v>
      </c>
      <c r="N87">
        <f t="shared" si="10"/>
        <v>2.0619999999999998</v>
      </c>
    </row>
    <row r="88" spans="1:14" hidden="1" x14ac:dyDescent="0.25">
      <c r="A88" s="151" t="s">
        <v>1268</v>
      </c>
      <c r="B88" s="233" t="str">
        <f>VLOOKUP(A88,'AFC Data details'!$B:$E,4,0)</f>
        <v>V24</v>
      </c>
      <c r="C88" s="144" t="s">
        <v>1693</v>
      </c>
      <c r="D88" s="151" t="s">
        <v>602</v>
      </c>
      <c r="E88" s="151">
        <f>VLOOKUP(A88,'AFC Data details'!$B:$P,15,0)</f>
        <v>2.0619999999999998</v>
      </c>
      <c r="F88" s="151">
        <f>SUMIFS('AFC Data details'!C:C,'AFC Data details'!$B:$B,'Element wise-detail Summary'!$A88)</f>
        <v>1</v>
      </c>
      <c r="G88" s="151">
        <f>SUMIFS(Cast!$C:$C,Cast!$B:$B,'Element wise-detail Summary'!$A88)</f>
        <v>1</v>
      </c>
      <c r="H88" s="151">
        <f t="shared" si="6"/>
        <v>0</v>
      </c>
      <c r="I88" s="151">
        <f>SUMIFS(Del!$C:$C,Del!$B:$B,'Element wise-detail Summary'!$A88)</f>
        <v>1</v>
      </c>
      <c r="J88" s="151">
        <f t="shared" si="7"/>
        <v>0</v>
      </c>
      <c r="K88" s="151">
        <f t="shared" si="8"/>
        <v>0</v>
      </c>
      <c r="L88" s="151">
        <f>SUMIF(Ere!$B:$B,'Element wise-detail Summary'!$A88,Ere!$C:$C)</f>
        <v>1</v>
      </c>
      <c r="M88" s="151">
        <f t="shared" si="9"/>
        <v>0</v>
      </c>
      <c r="N88">
        <f t="shared" si="10"/>
        <v>2.0619999999999998</v>
      </c>
    </row>
    <row r="89" spans="1:14" hidden="1" x14ac:dyDescent="0.25">
      <c r="A89" s="151" t="s">
        <v>1269</v>
      </c>
      <c r="B89" s="233" t="str">
        <f>VLOOKUP(A89,'AFC Data details'!$B:$E,4,0)</f>
        <v>V25</v>
      </c>
      <c r="C89" s="144" t="s">
        <v>1693</v>
      </c>
      <c r="D89" s="151" t="s">
        <v>602</v>
      </c>
      <c r="E89" s="151">
        <f>VLOOKUP(A89,'AFC Data details'!$B:$P,15,0)</f>
        <v>2.0619999999999998</v>
      </c>
      <c r="F89" s="151">
        <f>SUMIFS('AFC Data details'!C:C,'AFC Data details'!$B:$B,'Element wise-detail Summary'!$A89)</f>
        <v>1</v>
      </c>
      <c r="G89" s="151">
        <f>SUMIFS(Cast!$C:$C,Cast!$B:$B,'Element wise-detail Summary'!$A89)</f>
        <v>1</v>
      </c>
      <c r="H89" s="151">
        <f t="shared" si="6"/>
        <v>0</v>
      </c>
      <c r="I89" s="151">
        <f>SUMIFS(Del!$C:$C,Del!$B:$B,'Element wise-detail Summary'!$A89)</f>
        <v>1</v>
      </c>
      <c r="J89" s="151">
        <f t="shared" si="7"/>
        <v>0</v>
      </c>
      <c r="K89" s="151">
        <f t="shared" si="8"/>
        <v>0</v>
      </c>
      <c r="L89" s="151">
        <f>SUMIF(Ere!$B:$B,'Element wise-detail Summary'!$A89,Ere!$C:$C)</f>
        <v>1</v>
      </c>
      <c r="M89" s="151">
        <f t="shared" si="9"/>
        <v>0</v>
      </c>
      <c r="N89">
        <f t="shared" si="10"/>
        <v>2.0619999999999998</v>
      </c>
    </row>
    <row r="90" spans="1:14" hidden="1" x14ac:dyDescent="0.25">
      <c r="A90" s="151" t="s">
        <v>1270</v>
      </c>
      <c r="B90" s="233" t="str">
        <f>VLOOKUP(A90,'AFC Data details'!$B:$E,4,0)</f>
        <v>V24</v>
      </c>
      <c r="C90" s="144" t="s">
        <v>1693</v>
      </c>
      <c r="D90" s="151" t="s">
        <v>602</v>
      </c>
      <c r="E90" s="151">
        <f>VLOOKUP(A90,'AFC Data details'!$B:$P,15,0)</f>
        <v>2.0619999999999998</v>
      </c>
      <c r="F90" s="151">
        <f>SUMIFS('AFC Data details'!C:C,'AFC Data details'!$B:$B,'Element wise-detail Summary'!$A90)</f>
        <v>1</v>
      </c>
      <c r="G90" s="151">
        <f>SUMIFS(Cast!$C:$C,Cast!$B:$B,'Element wise-detail Summary'!$A90)</f>
        <v>1</v>
      </c>
      <c r="H90" s="151">
        <f t="shared" si="6"/>
        <v>0</v>
      </c>
      <c r="I90" s="151">
        <f>SUMIFS(Del!$C:$C,Del!$B:$B,'Element wise-detail Summary'!$A90)</f>
        <v>1</v>
      </c>
      <c r="J90" s="151">
        <f t="shared" si="7"/>
        <v>0</v>
      </c>
      <c r="K90" s="151">
        <f t="shared" si="8"/>
        <v>0</v>
      </c>
      <c r="L90" s="151">
        <f>SUMIF(Ere!$B:$B,'Element wise-detail Summary'!$A90,Ere!$C:$C)</f>
        <v>1</v>
      </c>
      <c r="M90" s="151">
        <f t="shared" si="9"/>
        <v>0</v>
      </c>
      <c r="N90">
        <f t="shared" si="10"/>
        <v>2.0619999999999998</v>
      </c>
    </row>
    <row r="91" spans="1:14" hidden="1" x14ac:dyDescent="0.25">
      <c r="A91" s="151" t="s">
        <v>1271</v>
      </c>
      <c r="B91" s="233" t="str">
        <f>VLOOKUP(A91,'AFC Data details'!$B:$E,4,0)</f>
        <v>V25</v>
      </c>
      <c r="C91" s="144" t="s">
        <v>1693</v>
      </c>
      <c r="D91" s="151" t="s">
        <v>602</v>
      </c>
      <c r="E91" s="151">
        <f>VLOOKUP(A91,'AFC Data details'!$B:$P,15,0)</f>
        <v>2.0619999999999998</v>
      </c>
      <c r="F91" s="151">
        <f>SUMIFS('AFC Data details'!C:C,'AFC Data details'!$B:$B,'Element wise-detail Summary'!$A91)</f>
        <v>1</v>
      </c>
      <c r="G91" s="151">
        <f>SUMIFS(Cast!$C:$C,Cast!$B:$B,'Element wise-detail Summary'!$A91)</f>
        <v>1</v>
      </c>
      <c r="H91" s="151">
        <f t="shared" si="6"/>
        <v>0</v>
      </c>
      <c r="I91" s="151">
        <f>SUMIFS(Del!$C:$C,Del!$B:$B,'Element wise-detail Summary'!$A91)</f>
        <v>1</v>
      </c>
      <c r="J91" s="151">
        <f t="shared" si="7"/>
        <v>0</v>
      </c>
      <c r="K91" s="151">
        <f t="shared" si="8"/>
        <v>0</v>
      </c>
      <c r="L91" s="151">
        <f>SUMIF(Ere!$B:$B,'Element wise-detail Summary'!$A91,Ere!$C:$C)</f>
        <v>1</v>
      </c>
      <c r="M91" s="151">
        <f t="shared" si="9"/>
        <v>0</v>
      </c>
      <c r="N91">
        <f t="shared" si="10"/>
        <v>2.0619999999999998</v>
      </c>
    </row>
    <row r="92" spans="1:14" hidden="1" x14ac:dyDescent="0.25">
      <c r="A92" s="151" t="s">
        <v>1272</v>
      </c>
      <c r="B92" s="233" t="str">
        <f>VLOOKUP(A92,'AFC Data details'!$B:$E,4,0)</f>
        <v>V24</v>
      </c>
      <c r="C92" s="144" t="s">
        <v>1693</v>
      </c>
      <c r="D92" s="151" t="s">
        <v>602</v>
      </c>
      <c r="E92" s="151">
        <f>VLOOKUP(A92,'AFC Data details'!$B:$P,15,0)</f>
        <v>2.0150000000000001</v>
      </c>
      <c r="F92" s="151">
        <f>SUMIFS('AFC Data details'!C:C,'AFC Data details'!$B:$B,'Element wise-detail Summary'!$A92)</f>
        <v>1</v>
      </c>
      <c r="G92" s="151">
        <f>SUMIFS(Cast!$C:$C,Cast!$B:$B,'Element wise-detail Summary'!$A92)</f>
        <v>1</v>
      </c>
      <c r="H92" s="151">
        <f t="shared" si="6"/>
        <v>0</v>
      </c>
      <c r="I92" s="151">
        <f>SUMIFS(Del!$C:$C,Del!$B:$B,'Element wise-detail Summary'!$A92)</f>
        <v>1</v>
      </c>
      <c r="J92" s="151">
        <f t="shared" si="7"/>
        <v>0</v>
      </c>
      <c r="K92" s="151">
        <f t="shared" si="8"/>
        <v>0</v>
      </c>
      <c r="L92" s="151">
        <f>SUMIF(Ere!$B:$B,'Element wise-detail Summary'!$A92,Ere!$C:$C)</f>
        <v>1</v>
      </c>
      <c r="M92" s="151">
        <f t="shared" si="9"/>
        <v>0</v>
      </c>
      <c r="N92">
        <f t="shared" si="10"/>
        <v>2.0150000000000001</v>
      </c>
    </row>
    <row r="93" spans="1:14" hidden="1" x14ac:dyDescent="0.25">
      <c r="A93" s="151" t="s">
        <v>1273</v>
      </c>
      <c r="B93" s="233" t="str">
        <f>VLOOKUP(A93,'AFC Data details'!$B:$E,4,0)</f>
        <v>V25</v>
      </c>
      <c r="C93" s="144" t="s">
        <v>1693</v>
      </c>
      <c r="D93" s="151" t="s">
        <v>602</v>
      </c>
      <c r="E93" s="151">
        <f>VLOOKUP(A93,'AFC Data details'!$B:$P,15,0)</f>
        <v>2.0150000000000001</v>
      </c>
      <c r="F93" s="151">
        <f>SUMIFS('AFC Data details'!C:C,'AFC Data details'!$B:$B,'Element wise-detail Summary'!$A93)</f>
        <v>1</v>
      </c>
      <c r="G93" s="151">
        <f>SUMIFS(Cast!$C:$C,Cast!$B:$B,'Element wise-detail Summary'!$A93)</f>
        <v>1</v>
      </c>
      <c r="H93" s="151">
        <f t="shared" si="6"/>
        <v>0</v>
      </c>
      <c r="I93" s="151">
        <f>SUMIFS(Del!$C:$C,Del!$B:$B,'Element wise-detail Summary'!$A93)</f>
        <v>1</v>
      </c>
      <c r="J93" s="151">
        <f t="shared" si="7"/>
        <v>0</v>
      </c>
      <c r="K93" s="151">
        <f t="shared" si="8"/>
        <v>0</v>
      </c>
      <c r="L93" s="151">
        <f>SUMIF(Ere!$B:$B,'Element wise-detail Summary'!$A93,Ere!$C:$C)</f>
        <v>1</v>
      </c>
      <c r="M93" s="151">
        <f t="shared" si="9"/>
        <v>0</v>
      </c>
      <c r="N93">
        <f t="shared" si="10"/>
        <v>2.0150000000000001</v>
      </c>
    </row>
    <row r="94" spans="1:14" hidden="1" x14ac:dyDescent="0.25">
      <c r="A94" s="151" t="s">
        <v>1274</v>
      </c>
      <c r="B94" s="233" t="str">
        <f>VLOOKUP(A94,'AFC Data details'!$B:$E,4,0)</f>
        <v>V24</v>
      </c>
      <c r="C94" s="144" t="s">
        <v>1693</v>
      </c>
      <c r="D94" s="151" t="s">
        <v>602</v>
      </c>
      <c r="E94" s="151">
        <f>VLOOKUP(A94,'AFC Data details'!$B:$P,15,0)</f>
        <v>2.0150000000000001</v>
      </c>
      <c r="F94" s="151">
        <f>SUMIFS('AFC Data details'!C:C,'AFC Data details'!$B:$B,'Element wise-detail Summary'!$A94)</f>
        <v>1</v>
      </c>
      <c r="G94" s="151">
        <f>SUMIFS(Cast!$C:$C,Cast!$B:$B,'Element wise-detail Summary'!$A94)</f>
        <v>1</v>
      </c>
      <c r="H94" s="151">
        <f t="shared" si="6"/>
        <v>0</v>
      </c>
      <c r="I94" s="151">
        <f>SUMIFS(Del!$C:$C,Del!$B:$B,'Element wise-detail Summary'!$A94)</f>
        <v>0</v>
      </c>
      <c r="J94" s="151">
        <f t="shared" si="7"/>
        <v>1</v>
      </c>
      <c r="K94" s="151">
        <f t="shared" si="8"/>
        <v>1</v>
      </c>
      <c r="L94" s="151">
        <f>SUMIF(Ere!$B:$B,'Element wise-detail Summary'!$A94,Ere!$C:$C)</f>
        <v>0</v>
      </c>
      <c r="M94" s="151">
        <f t="shared" si="9"/>
        <v>1</v>
      </c>
      <c r="N94">
        <f t="shared" si="10"/>
        <v>0</v>
      </c>
    </row>
    <row r="95" spans="1:14" hidden="1" x14ac:dyDescent="0.25">
      <c r="A95" s="151" t="s">
        <v>1275</v>
      </c>
      <c r="B95" s="233" t="str">
        <f>VLOOKUP(A95,'AFC Data details'!$B:$E,4,0)</f>
        <v>V25</v>
      </c>
      <c r="C95" s="144" t="s">
        <v>1693</v>
      </c>
      <c r="D95" s="151" t="s">
        <v>602</v>
      </c>
      <c r="E95" s="151">
        <f>VLOOKUP(A95,'AFC Data details'!$B:$P,15,0)</f>
        <v>2.0150000000000001</v>
      </c>
      <c r="F95" s="151">
        <f>SUMIFS('AFC Data details'!C:C,'AFC Data details'!$B:$B,'Element wise-detail Summary'!$A95)</f>
        <v>1</v>
      </c>
      <c r="G95" s="151">
        <f>SUMIFS(Cast!$C:$C,Cast!$B:$B,'Element wise-detail Summary'!$A95)</f>
        <v>1</v>
      </c>
      <c r="H95" s="151">
        <f t="shared" si="6"/>
        <v>0</v>
      </c>
      <c r="I95" s="151">
        <f>SUMIFS(Del!$C:$C,Del!$B:$B,'Element wise-detail Summary'!$A95)</f>
        <v>1</v>
      </c>
      <c r="J95" s="151">
        <f t="shared" si="7"/>
        <v>0</v>
      </c>
      <c r="K95" s="151">
        <f t="shared" si="8"/>
        <v>0</v>
      </c>
      <c r="L95" s="151">
        <f>SUMIF(Ere!$B:$B,'Element wise-detail Summary'!$A95,Ere!$C:$C)</f>
        <v>1</v>
      </c>
      <c r="M95" s="151">
        <f t="shared" si="9"/>
        <v>0</v>
      </c>
      <c r="N95">
        <f t="shared" si="10"/>
        <v>2.0150000000000001</v>
      </c>
    </row>
    <row r="96" spans="1:14" hidden="1" x14ac:dyDescent="0.25">
      <c r="A96" s="151" t="s">
        <v>1276</v>
      </c>
      <c r="B96" s="233" t="str">
        <f>VLOOKUP(A96,'AFC Data details'!$B:$E,4,0)</f>
        <v>V24</v>
      </c>
      <c r="C96" s="144" t="s">
        <v>1693</v>
      </c>
      <c r="D96" s="151" t="s">
        <v>602</v>
      </c>
      <c r="E96" s="151">
        <f>VLOOKUP(A96,'AFC Data details'!$B:$P,15,0)</f>
        <v>2.0150000000000001</v>
      </c>
      <c r="F96" s="151">
        <f>SUMIFS('AFC Data details'!C:C,'AFC Data details'!$B:$B,'Element wise-detail Summary'!$A96)</f>
        <v>1</v>
      </c>
      <c r="G96" s="151">
        <f>SUMIFS(Cast!$C:$C,Cast!$B:$B,'Element wise-detail Summary'!$A96)</f>
        <v>1</v>
      </c>
      <c r="H96" s="151">
        <f t="shared" si="6"/>
        <v>0</v>
      </c>
      <c r="I96" s="151">
        <f>SUMIFS(Del!$C:$C,Del!$B:$B,'Element wise-detail Summary'!$A96)</f>
        <v>1</v>
      </c>
      <c r="J96" s="151">
        <f t="shared" si="7"/>
        <v>0</v>
      </c>
      <c r="K96" s="151">
        <f t="shared" si="8"/>
        <v>0</v>
      </c>
      <c r="L96" s="151">
        <f>SUMIF(Ere!$B:$B,'Element wise-detail Summary'!$A96,Ere!$C:$C)</f>
        <v>1</v>
      </c>
      <c r="M96" s="151">
        <f t="shared" si="9"/>
        <v>0</v>
      </c>
      <c r="N96">
        <f t="shared" si="10"/>
        <v>2.0150000000000001</v>
      </c>
    </row>
    <row r="97" spans="1:14" hidden="1" x14ac:dyDescent="0.25">
      <c r="A97" s="151" t="s">
        <v>1277</v>
      </c>
      <c r="B97" s="233" t="str">
        <f>VLOOKUP(A97,'AFC Data details'!$B:$E,4,0)</f>
        <v>V26</v>
      </c>
      <c r="C97" s="144" t="s">
        <v>1693</v>
      </c>
      <c r="D97" s="151" t="s">
        <v>602</v>
      </c>
      <c r="E97" s="151">
        <f>VLOOKUP(A97,'AFC Data details'!$B:$P,15,0)</f>
        <v>1.4550000000000001</v>
      </c>
      <c r="F97" s="151">
        <f>SUMIFS('AFC Data details'!C:C,'AFC Data details'!$B:$B,'Element wise-detail Summary'!$A97)</f>
        <v>1</v>
      </c>
      <c r="G97" s="151">
        <f>SUMIFS(Cast!$C:$C,Cast!$B:$B,'Element wise-detail Summary'!$A97)</f>
        <v>1</v>
      </c>
      <c r="H97" s="151">
        <f t="shared" si="6"/>
        <v>0</v>
      </c>
      <c r="I97" s="151">
        <f>SUMIFS(Del!$C:$C,Del!$B:$B,'Element wise-detail Summary'!$A97)</f>
        <v>1</v>
      </c>
      <c r="J97" s="151">
        <f t="shared" si="7"/>
        <v>0</v>
      </c>
      <c r="K97" s="151">
        <f t="shared" si="8"/>
        <v>0</v>
      </c>
      <c r="L97" s="151">
        <f>SUMIF(Ere!$B:$B,'Element wise-detail Summary'!$A97,Ere!$C:$C)</f>
        <v>1</v>
      </c>
      <c r="M97" s="151">
        <f t="shared" si="9"/>
        <v>0</v>
      </c>
      <c r="N97">
        <f t="shared" si="10"/>
        <v>1.4550000000000001</v>
      </c>
    </row>
    <row r="98" spans="1:14" hidden="1" x14ac:dyDescent="0.25">
      <c r="A98" s="151" t="s">
        <v>1278</v>
      </c>
      <c r="B98" s="233" t="str">
        <f>VLOOKUP(A98,'AFC Data details'!$B:$E,4,0)</f>
        <v>V24</v>
      </c>
      <c r="C98" s="144" t="s">
        <v>1693</v>
      </c>
      <c r="D98" s="151" t="s">
        <v>602</v>
      </c>
      <c r="E98" s="151">
        <f>VLOOKUP(A98,'AFC Data details'!$B:$P,15,0)</f>
        <v>1.4550000000000001</v>
      </c>
      <c r="F98" s="151">
        <f>SUMIFS('AFC Data details'!C:C,'AFC Data details'!$B:$B,'Element wise-detail Summary'!$A98)</f>
        <v>1</v>
      </c>
      <c r="G98" s="151">
        <f>SUMIFS(Cast!$C:$C,Cast!$B:$B,'Element wise-detail Summary'!$A98)</f>
        <v>1</v>
      </c>
      <c r="H98" s="151">
        <f t="shared" si="6"/>
        <v>0</v>
      </c>
      <c r="I98" s="151">
        <f>SUMIFS(Del!$C:$C,Del!$B:$B,'Element wise-detail Summary'!$A98)</f>
        <v>1</v>
      </c>
      <c r="J98" s="151">
        <f t="shared" si="7"/>
        <v>0</v>
      </c>
      <c r="K98" s="151">
        <f t="shared" si="8"/>
        <v>0</v>
      </c>
      <c r="L98" s="151">
        <f>SUMIF(Ere!$B:$B,'Element wise-detail Summary'!$A98,Ere!$C:$C)</f>
        <v>1</v>
      </c>
      <c r="M98" s="151">
        <f t="shared" si="9"/>
        <v>0</v>
      </c>
      <c r="N98">
        <f t="shared" si="10"/>
        <v>1.4550000000000001</v>
      </c>
    </row>
    <row r="99" spans="1:14" hidden="1" x14ac:dyDescent="0.25">
      <c r="A99" s="151" t="s">
        <v>1279</v>
      </c>
      <c r="B99" s="233" t="str">
        <f>VLOOKUP(A99,'AFC Data details'!$B:$E,4,0)</f>
        <v>V24</v>
      </c>
      <c r="C99" s="144" t="s">
        <v>1693</v>
      </c>
      <c r="D99" s="151" t="s">
        <v>602</v>
      </c>
      <c r="E99" s="151">
        <f>VLOOKUP(A99,'AFC Data details'!$B:$P,15,0)</f>
        <v>1.282</v>
      </c>
      <c r="F99" s="151">
        <f>SUMIFS('AFC Data details'!C:C,'AFC Data details'!$B:$B,'Element wise-detail Summary'!$A99)</f>
        <v>1</v>
      </c>
      <c r="G99" s="151">
        <f>SUMIFS(Cast!$C:$C,Cast!$B:$B,'Element wise-detail Summary'!$A99)</f>
        <v>1</v>
      </c>
      <c r="H99" s="151">
        <f t="shared" si="6"/>
        <v>0</v>
      </c>
      <c r="I99" s="151">
        <f>SUMIFS(Del!$C:$C,Del!$B:$B,'Element wise-detail Summary'!$A99)</f>
        <v>1</v>
      </c>
      <c r="J99" s="151">
        <f t="shared" si="7"/>
        <v>0</v>
      </c>
      <c r="K99" s="151">
        <f t="shared" si="8"/>
        <v>0</v>
      </c>
      <c r="L99" s="151">
        <f>SUMIF(Ere!$B:$B,'Element wise-detail Summary'!$A99,Ere!$C:$C)</f>
        <v>1</v>
      </c>
      <c r="M99" s="151">
        <f t="shared" si="9"/>
        <v>0</v>
      </c>
      <c r="N99">
        <f t="shared" si="10"/>
        <v>1.282</v>
      </c>
    </row>
    <row r="100" spans="1:14" hidden="1" x14ac:dyDescent="0.25">
      <c r="A100" s="151" t="s">
        <v>1280</v>
      </c>
      <c r="B100" s="233" t="str">
        <f>VLOOKUP(A100,'AFC Data details'!$B:$E,4,0)</f>
        <v>V26</v>
      </c>
      <c r="C100" s="144" t="s">
        <v>1693</v>
      </c>
      <c r="D100" s="151" t="s">
        <v>602</v>
      </c>
      <c r="E100" s="151">
        <f>VLOOKUP(A100,'AFC Data details'!$B:$P,15,0)</f>
        <v>1.282</v>
      </c>
      <c r="F100" s="151">
        <f>SUMIFS('AFC Data details'!C:C,'AFC Data details'!$B:$B,'Element wise-detail Summary'!$A100)</f>
        <v>1</v>
      </c>
      <c r="G100" s="151">
        <f>SUMIFS(Cast!$C:$C,Cast!$B:$B,'Element wise-detail Summary'!$A100)</f>
        <v>1</v>
      </c>
      <c r="H100" s="151">
        <f t="shared" si="6"/>
        <v>0</v>
      </c>
      <c r="I100" s="151">
        <f>SUMIFS(Del!$C:$C,Del!$B:$B,'Element wise-detail Summary'!$A100)</f>
        <v>1</v>
      </c>
      <c r="J100" s="151">
        <f t="shared" si="7"/>
        <v>0</v>
      </c>
      <c r="K100" s="151">
        <f t="shared" si="8"/>
        <v>0</v>
      </c>
      <c r="L100" s="151">
        <f>SUMIF(Ere!$B:$B,'Element wise-detail Summary'!$A100,Ere!$C:$C)</f>
        <v>1</v>
      </c>
      <c r="M100" s="151">
        <f t="shared" si="9"/>
        <v>0</v>
      </c>
      <c r="N100">
        <f t="shared" si="10"/>
        <v>1.282</v>
      </c>
    </row>
    <row r="101" spans="1:14" hidden="1" x14ac:dyDescent="0.25">
      <c r="A101" s="151" t="s">
        <v>1281</v>
      </c>
      <c r="B101" s="233" t="str">
        <f>VLOOKUP(A101,'AFC Data details'!$B:$E,4,0)</f>
        <v>V25</v>
      </c>
      <c r="C101" s="144" t="s">
        <v>1693</v>
      </c>
      <c r="D101" s="151" t="s">
        <v>602</v>
      </c>
      <c r="E101" s="151">
        <f>VLOOKUP(A101,'AFC Data details'!$B:$P,15,0)</f>
        <v>1.0069999999999999</v>
      </c>
      <c r="F101" s="151">
        <f>SUMIFS('AFC Data details'!C:C,'AFC Data details'!$B:$B,'Element wise-detail Summary'!$A101)</f>
        <v>1</v>
      </c>
      <c r="G101" s="151">
        <f>SUMIFS(Cast!$C:$C,Cast!$B:$B,'Element wise-detail Summary'!$A101)</f>
        <v>1</v>
      </c>
      <c r="H101" s="151">
        <f t="shared" si="6"/>
        <v>0</v>
      </c>
      <c r="I101" s="151">
        <f>SUMIFS(Del!$C:$C,Del!$B:$B,'Element wise-detail Summary'!$A101)</f>
        <v>1</v>
      </c>
      <c r="J101" s="151">
        <f t="shared" si="7"/>
        <v>0</v>
      </c>
      <c r="K101" s="151">
        <f t="shared" si="8"/>
        <v>0</v>
      </c>
      <c r="L101" s="151">
        <f>SUMIF(Ere!$B:$B,'Element wise-detail Summary'!$A101,Ere!$C:$C)</f>
        <v>1</v>
      </c>
      <c r="M101" s="151">
        <f t="shared" si="9"/>
        <v>0</v>
      </c>
      <c r="N101">
        <f t="shared" si="10"/>
        <v>1.0069999999999999</v>
      </c>
    </row>
    <row r="102" spans="1:14" hidden="1" x14ac:dyDescent="0.25">
      <c r="A102" s="151" t="s">
        <v>1282</v>
      </c>
      <c r="B102" s="233" t="str">
        <f>VLOOKUP(A102,'AFC Data details'!$B:$E,4,0)</f>
        <v>V25</v>
      </c>
      <c r="C102" s="144" t="s">
        <v>1693</v>
      </c>
      <c r="D102" s="151" t="s">
        <v>602</v>
      </c>
      <c r="E102" s="151">
        <f>VLOOKUP(A102,'AFC Data details'!$B:$P,15,0)</f>
        <v>2.0619999999999998</v>
      </c>
      <c r="F102" s="151">
        <f>SUMIFS('AFC Data details'!C:C,'AFC Data details'!$B:$B,'Element wise-detail Summary'!$A102)</f>
        <v>1</v>
      </c>
      <c r="G102" s="151">
        <f>SUMIFS(Cast!$C:$C,Cast!$B:$B,'Element wise-detail Summary'!$A102)</f>
        <v>1</v>
      </c>
      <c r="H102" s="151">
        <f t="shared" si="6"/>
        <v>0</v>
      </c>
      <c r="I102" s="151">
        <f>SUMIFS(Del!$C:$C,Del!$B:$B,'Element wise-detail Summary'!$A102)</f>
        <v>1</v>
      </c>
      <c r="J102" s="151">
        <f t="shared" si="7"/>
        <v>0</v>
      </c>
      <c r="K102" s="151">
        <f t="shared" si="8"/>
        <v>0</v>
      </c>
      <c r="L102" s="151">
        <f>SUMIF(Ere!$B:$B,'Element wise-detail Summary'!$A102,Ere!$C:$C)</f>
        <v>1</v>
      </c>
      <c r="M102" s="151">
        <f t="shared" si="9"/>
        <v>0</v>
      </c>
      <c r="N102">
        <f t="shared" si="10"/>
        <v>2.0619999999999998</v>
      </c>
    </row>
    <row r="103" spans="1:14" hidden="1" x14ac:dyDescent="0.25">
      <c r="A103" s="151" t="s">
        <v>1283</v>
      </c>
      <c r="B103" s="233" t="str">
        <f>VLOOKUP(A103,'AFC Data details'!$B:$E,4,0)</f>
        <v>V25</v>
      </c>
      <c r="C103" s="144" t="s">
        <v>1693</v>
      </c>
      <c r="D103" s="151" t="s">
        <v>602</v>
      </c>
      <c r="E103" s="151">
        <f>VLOOKUP(A103,'AFC Data details'!$B:$P,15,0)</f>
        <v>2.0150000000000001</v>
      </c>
      <c r="F103" s="151">
        <f>SUMIFS('AFC Data details'!C:C,'AFC Data details'!$B:$B,'Element wise-detail Summary'!$A103)</f>
        <v>1</v>
      </c>
      <c r="G103" s="151">
        <f>SUMIFS(Cast!$C:$C,Cast!$B:$B,'Element wise-detail Summary'!$A103)</f>
        <v>1</v>
      </c>
      <c r="H103" s="151">
        <f t="shared" si="6"/>
        <v>0</v>
      </c>
      <c r="I103" s="151">
        <f>SUMIFS(Del!$C:$C,Del!$B:$B,'Element wise-detail Summary'!$A103)</f>
        <v>1</v>
      </c>
      <c r="J103" s="151">
        <f t="shared" si="7"/>
        <v>0</v>
      </c>
      <c r="K103" s="151">
        <f t="shared" si="8"/>
        <v>0</v>
      </c>
      <c r="L103" s="151">
        <f>SUMIF(Ere!$B:$B,'Element wise-detail Summary'!$A103,Ere!$C:$C)</f>
        <v>1</v>
      </c>
      <c r="M103" s="151">
        <f t="shared" si="9"/>
        <v>0</v>
      </c>
      <c r="N103">
        <f t="shared" si="10"/>
        <v>2.0150000000000001</v>
      </c>
    </row>
    <row r="104" spans="1:14" hidden="1" x14ac:dyDescent="0.25">
      <c r="A104" s="151" t="s">
        <v>1284</v>
      </c>
      <c r="B104" s="233" t="str">
        <f>VLOOKUP(A104,'AFC Data details'!$B:$E,4,0)</f>
        <v>V25</v>
      </c>
      <c r="C104" s="144" t="s">
        <v>1693</v>
      </c>
      <c r="D104" s="151" t="s">
        <v>602</v>
      </c>
      <c r="E104" s="151">
        <f>VLOOKUP(A104,'AFC Data details'!$B:$P,15,0)</f>
        <v>1.282</v>
      </c>
      <c r="F104" s="151">
        <f>SUMIFS('AFC Data details'!C:C,'AFC Data details'!$B:$B,'Element wise-detail Summary'!$A104)</f>
        <v>1</v>
      </c>
      <c r="G104" s="151">
        <f>SUMIFS(Cast!$C:$C,Cast!$B:$B,'Element wise-detail Summary'!$A104)</f>
        <v>1</v>
      </c>
      <c r="H104" s="151">
        <f t="shared" si="6"/>
        <v>0</v>
      </c>
      <c r="I104" s="151">
        <f>SUMIFS(Del!$C:$C,Del!$B:$B,'Element wise-detail Summary'!$A104)</f>
        <v>1</v>
      </c>
      <c r="J104" s="151">
        <f t="shared" si="7"/>
        <v>0</v>
      </c>
      <c r="K104" s="151">
        <f t="shared" si="8"/>
        <v>0</v>
      </c>
      <c r="L104" s="151">
        <f>SUMIF(Ere!$B:$B,'Element wise-detail Summary'!$A104,Ere!$C:$C)</f>
        <v>1</v>
      </c>
      <c r="M104" s="151">
        <f t="shared" si="9"/>
        <v>0</v>
      </c>
      <c r="N104">
        <f t="shared" si="10"/>
        <v>1.282</v>
      </c>
    </row>
    <row r="105" spans="1:14" hidden="1" x14ac:dyDescent="0.25">
      <c r="A105" s="151" t="s">
        <v>1285</v>
      </c>
      <c r="B105" s="233" t="str">
        <f>VLOOKUP(A105,'AFC Data details'!$B:$E,4,0)</f>
        <v>V25</v>
      </c>
      <c r="C105" s="144" t="s">
        <v>1693</v>
      </c>
      <c r="D105" s="151" t="s">
        <v>602</v>
      </c>
      <c r="E105" s="151">
        <f>VLOOKUP(A105,'AFC Data details'!$B:$P,15,0)</f>
        <v>1.4550000000000001</v>
      </c>
      <c r="F105" s="151">
        <f>SUMIFS('AFC Data details'!C:C,'AFC Data details'!$B:$B,'Element wise-detail Summary'!$A105)</f>
        <v>1</v>
      </c>
      <c r="G105" s="151">
        <f>SUMIFS(Cast!$C:$C,Cast!$B:$B,'Element wise-detail Summary'!$A105)</f>
        <v>1</v>
      </c>
      <c r="H105" s="151">
        <f t="shared" si="6"/>
        <v>0</v>
      </c>
      <c r="I105" s="151">
        <f>SUMIFS(Del!$C:$C,Del!$B:$B,'Element wise-detail Summary'!$A105)</f>
        <v>1</v>
      </c>
      <c r="J105" s="151">
        <f t="shared" si="7"/>
        <v>0</v>
      </c>
      <c r="K105" s="151">
        <f t="shared" si="8"/>
        <v>0</v>
      </c>
      <c r="L105" s="151">
        <f>SUMIF(Ere!$B:$B,'Element wise-detail Summary'!$A105,Ere!$C:$C)</f>
        <v>1</v>
      </c>
      <c r="M105" s="151">
        <f t="shared" si="9"/>
        <v>0</v>
      </c>
      <c r="N105">
        <f t="shared" si="10"/>
        <v>1.4550000000000001</v>
      </c>
    </row>
    <row r="106" spans="1:14" hidden="1" x14ac:dyDescent="0.25">
      <c r="A106" s="151" t="s">
        <v>1286</v>
      </c>
      <c r="B106" s="233" t="str">
        <f>VLOOKUP(A106,'AFC Data details'!$B:$E,4,0)</f>
        <v>V26</v>
      </c>
      <c r="C106" s="144" t="s">
        <v>1693</v>
      </c>
      <c r="D106" s="151" t="s">
        <v>602</v>
      </c>
      <c r="E106" s="151">
        <f>VLOOKUP(A106,'AFC Data details'!$B:$P,15,0)</f>
        <v>2.0590000000000002</v>
      </c>
      <c r="F106" s="151">
        <f>SUMIFS('AFC Data details'!C:C,'AFC Data details'!$B:$B,'Element wise-detail Summary'!$A106)</f>
        <v>1</v>
      </c>
      <c r="G106" s="151">
        <f>SUMIFS(Cast!$C:$C,Cast!$B:$B,'Element wise-detail Summary'!$A106)</f>
        <v>1</v>
      </c>
      <c r="H106" s="151">
        <f t="shared" si="6"/>
        <v>0</v>
      </c>
      <c r="I106" s="151">
        <f>SUMIFS(Del!$C:$C,Del!$B:$B,'Element wise-detail Summary'!$A106)</f>
        <v>1</v>
      </c>
      <c r="J106" s="151">
        <f t="shared" si="7"/>
        <v>0</v>
      </c>
      <c r="K106" s="151">
        <f t="shared" si="8"/>
        <v>0</v>
      </c>
      <c r="L106" s="151">
        <f>SUMIF(Ere!$B:$B,'Element wise-detail Summary'!$A106,Ere!$C:$C)</f>
        <v>1</v>
      </c>
      <c r="M106" s="151">
        <f t="shared" si="9"/>
        <v>0</v>
      </c>
      <c r="N106">
        <f t="shared" si="10"/>
        <v>2.0590000000000002</v>
      </c>
    </row>
    <row r="107" spans="1:14" hidden="1" x14ac:dyDescent="0.25">
      <c r="A107" s="151" t="s">
        <v>1287</v>
      </c>
      <c r="B107" s="233" t="str">
        <f>VLOOKUP(A107,'AFC Data details'!$B:$E,4,0)</f>
        <v>V27</v>
      </c>
      <c r="C107" s="144" t="s">
        <v>1693</v>
      </c>
      <c r="D107" s="151" t="s">
        <v>602</v>
      </c>
      <c r="E107" s="151">
        <f>VLOOKUP(A107,'AFC Data details'!$B:$P,15,0)</f>
        <v>2.0590000000000002</v>
      </c>
      <c r="F107" s="151">
        <f>SUMIFS('AFC Data details'!C:C,'AFC Data details'!$B:$B,'Element wise-detail Summary'!$A107)</f>
        <v>1</v>
      </c>
      <c r="G107" s="151">
        <f>SUMIFS(Cast!$C:$C,Cast!$B:$B,'Element wise-detail Summary'!$A107)</f>
        <v>1</v>
      </c>
      <c r="H107" s="151">
        <f t="shared" si="6"/>
        <v>0</v>
      </c>
      <c r="I107" s="151">
        <f>SUMIFS(Del!$C:$C,Del!$B:$B,'Element wise-detail Summary'!$A107)</f>
        <v>1</v>
      </c>
      <c r="J107" s="151">
        <f t="shared" si="7"/>
        <v>0</v>
      </c>
      <c r="K107" s="151">
        <f t="shared" si="8"/>
        <v>0</v>
      </c>
      <c r="L107" s="151">
        <f>SUMIF(Ere!$B:$B,'Element wise-detail Summary'!$A107,Ere!$C:$C)</f>
        <v>1</v>
      </c>
      <c r="M107" s="151">
        <f t="shared" si="9"/>
        <v>0</v>
      </c>
      <c r="N107">
        <f t="shared" si="10"/>
        <v>2.0590000000000002</v>
      </c>
    </row>
    <row r="108" spans="1:14" hidden="1" x14ac:dyDescent="0.25">
      <c r="A108" s="151" t="s">
        <v>1288</v>
      </c>
      <c r="B108" s="233" t="str">
        <f>VLOOKUP(A108,'AFC Data details'!$B:$E,4,0)</f>
        <v>V26</v>
      </c>
      <c r="C108" s="144" t="s">
        <v>1693</v>
      </c>
      <c r="D108" s="151" t="s">
        <v>602</v>
      </c>
      <c r="E108" s="151">
        <f>VLOOKUP(A108,'AFC Data details'!$B:$P,15,0)</f>
        <v>2.0590000000000002</v>
      </c>
      <c r="F108" s="151">
        <f>SUMIFS('AFC Data details'!C:C,'AFC Data details'!$B:$B,'Element wise-detail Summary'!$A108)</f>
        <v>1</v>
      </c>
      <c r="G108" s="151">
        <f>SUMIFS(Cast!$C:$C,Cast!$B:$B,'Element wise-detail Summary'!$A108)</f>
        <v>1</v>
      </c>
      <c r="H108" s="151">
        <f t="shared" si="6"/>
        <v>0</v>
      </c>
      <c r="I108" s="151">
        <f>SUMIFS(Del!$C:$C,Del!$B:$B,'Element wise-detail Summary'!$A108)</f>
        <v>1</v>
      </c>
      <c r="J108" s="151">
        <f t="shared" si="7"/>
        <v>0</v>
      </c>
      <c r="K108" s="151">
        <f t="shared" si="8"/>
        <v>0</v>
      </c>
      <c r="L108" s="151">
        <f>SUMIF(Ere!$B:$B,'Element wise-detail Summary'!$A108,Ere!$C:$C)</f>
        <v>1</v>
      </c>
      <c r="M108" s="151">
        <f t="shared" si="9"/>
        <v>0</v>
      </c>
      <c r="N108">
        <f t="shared" si="10"/>
        <v>2.0590000000000002</v>
      </c>
    </row>
    <row r="109" spans="1:14" hidden="1" x14ac:dyDescent="0.25">
      <c r="A109" s="151" t="s">
        <v>1289</v>
      </c>
      <c r="B109" s="233" t="str">
        <f>VLOOKUP(A109,'AFC Data details'!$B:$E,4,0)</f>
        <v>V27</v>
      </c>
      <c r="C109" s="144" t="s">
        <v>1693</v>
      </c>
      <c r="D109" s="151" t="s">
        <v>602</v>
      </c>
      <c r="E109" s="151">
        <f>VLOOKUP(A109,'AFC Data details'!$B:$P,15,0)</f>
        <v>2.0590000000000002</v>
      </c>
      <c r="F109" s="151">
        <f>SUMIFS('AFC Data details'!C:C,'AFC Data details'!$B:$B,'Element wise-detail Summary'!$A109)</f>
        <v>1</v>
      </c>
      <c r="G109" s="151">
        <f>SUMIFS(Cast!$C:$C,Cast!$B:$B,'Element wise-detail Summary'!$A109)</f>
        <v>1</v>
      </c>
      <c r="H109" s="151">
        <f t="shared" si="6"/>
        <v>0</v>
      </c>
      <c r="I109" s="151">
        <f>SUMIFS(Del!$C:$C,Del!$B:$B,'Element wise-detail Summary'!$A109)</f>
        <v>1</v>
      </c>
      <c r="J109" s="151">
        <f t="shared" si="7"/>
        <v>0</v>
      </c>
      <c r="K109" s="151">
        <f t="shared" si="8"/>
        <v>0</v>
      </c>
      <c r="L109" s="151">
        <f>SUMIF(Ere!$B:$B,'Element wise-detail Summary'!$A109,Ere!$C:$C)</f>
        <v>1</v>
      </c>
      <c r="M109" s="151">
        <f t="shared" si="9"/>
        <v>0</v>
      </c>
      <c r="N109">
        <f t="shared" si="10"/>
        <v>2.0590000000000002</v>
      </c>
    </row>
    <row r="110" spans="1:14" hidden="1" x14ac:dyDescent="0.25">
      <c r="A110" s="151" t="s">
        <v>1290</v>
      </c>
      <c r="B110" s="233" t="str">
        <f>VLOOKUP(A110,'AFC Data details'!$B:$E,4,0)</f>
        <v>V26</v>
      </c>
      <c r="C110" s="144" t="s">
        <v>1693</v>
      </c>
      <c r="D110" s="151" t="s">
        <v>602</v>
      </c>
      <c r="E110" s="151">
        <f>VLOOKUP(A110,'AFC Data details'!$B:$P,15,0)</f>
        <v>2.0590000000000002</v>
      </c>
      <c r="F110" s="151">
        <f>SUMIFS('AFC Data details'!C:C,'AFC Data details'!$B:$B,'Element wise-detail Summary'!$A110)</f>
        <v>1</v>
      </c>
      <c r="G110" s="151">
        <f>SUMIFS(Cast!$C:$C,Cast!$B:$B,'Element wise-detail Summary'!$A110)</f>
        <v>1</v>
      </c>
      <c r="H110" s="151">
        <f t="shared" si="6"/>
        <v>0</v>
      </c>
      <c r="I110" s="151">
        <f>SUMIFS(Del!$C:$C,Del!$B:$B,'Element wise-detail Summary'!$A110)</f>
        <v>1</v>
      </c>
      <c r="J110" s="151">
        <f t="shared" si="7"/>
        <v>0</v>
      </c>
      <c r="K110" s="151">
        <f t="shared" si="8"/>
        <v>0</v>
      </c>
      <c r="L110" s="151">
        <f>SUMIF(Ere!$B:$B,'Element wise-detail Summary'!$A110,Ere!$C:$C)</f>
        <v>1</v>
      </c>
      <c r="M110" s="151">
        <f t="shared" si="9"/>
        <v>0</v>
      </c>
      <c r="N110">
        <f t="shared" si="10"/>
        <v>2.0590000000000002</v>
      </c>
    </row>
    <row r="111" spans="1:14" hidden="1" x14ac:dyDescent="0.25">
      <c r="A111" s="151" t="s">
        <v>1291</v>
      </c>
      <c r="B111" s="233" t="str">
        <f>VLOOKUP(A111,'AFC Data details'!$B:$E,4,0)</f>
        <v>V27</v>
      </c>
      <c r="C111" s="144" t="s">
        <v>1693</v>
      </c>
      <c r="D111" s="151" t="s">
        <v>602</v>
      </c>
      <c r="E111" s="151">
        <f>VLOOKUP(A111,'AFC Data details'!$B:$P,15,0)</f>
        <v>1.0549999999999999</v>
      </c>
      <c r="F111" s="151">
        <f>SUMIFS('AFC Data details'!C:C,'AFC Data details'!$B:$B,'Element wise-detail Summary'!$A111)</f>
        <v>1</v>
      </c>
      <c r="G111" s="151">
        <f>SUMIFS(Cast!$C:$C,Cast!$B:$B,'Element wise-detail Summary'!$A111)</f>
        <v>1</v>
      </c>
      <c r="H111" s="151">
        <f t="shared" si="6"/>
        <v>0</v>
      </c>
      <c r="I111" s="151">
        <f>SUMIFS(Del!$C:$C,Del!$B:$B,'Element wise-detail Summary'!$A111)</f>
        <v>1</v>
      </c>
      <c r="J111" s="151">
        <f t="shared" si="7"/>
        <v>0</v>
      </c>
      <c r="K111" s="151">
        <f t="shared" si="8"/>
        <v>0</v>
      </c>
      <c r="L111" s="151">
        <f>SUMIF(Ere!$B:$B,'Element wise-detail Summary'!$A111,Ere!$C:$C)</f>
        <v>1</v>
      </c>
      <c r="M111" s="151">
        <f t="shared" si="9"/>
        <v>0</v>
      </c>
      <c r="N111">
        <f t="shared" si="10"/>
        <v>1.0549999999999999</v>
      </c>
    </row>
    <row r="112" spans="1:14" hidden="1" x14ac:dyDescent="0.25">
      <c r="A112" s="151" t="s">
        <v>1199</v>
      </c>
      <c r="B112" s="233" t="str">
        <f>VLOOKUP(A112,'AFC Data details'!$B:$E,4,0)</f>
        <v>V27</v>
      </c>
      <c r="C112" s="144" t="s">
        <v>1693</v>
      </c>
      <c r="D112" s="151" t="s">
        <v>602</v>
      </c>
      <c r="E112" s="151">
        <f>VLOOKUP(A112,'AFC Data details'!$B:$P,15,0)</f>
        <v>2.0590000000000002</v>
      </c>
      <c r="F112" s="151">
        <f>SUMIFS('AFC Data details'!C:C,'AFC Data details'!$B:$B,'Element wise-detail Summary'!$A112)</f>
        <v>1</v>
      </c>
      <c r="G112" s="151">
        <f>SUMIFS(Cast!$C:$C,Cast!$B:$B,'Element wise-detail Summary'!$A112)</f>
        <v>1</v>
      </c>
      <c r="H112" s="151">
        <f t="shared" si="6"/>
        <v>0</v>
      </c>
      <c r="I112" s="151">
        <f>SUMIFS(Del!$C:$C,Del!$B:$B,'Element wise-detail Summary'!$A112)</f>
        <v>1</v>
      </c>
      <c r="J112" s="151">
        <f t="shared" si="7"/>
        <v>0</v>
      </c>
      <c r="K112" s="151">
        <f t="shared" si="8"/>
        <v>0</v>
      </c>
      <c r="L112" s="151">
        <f>SUMIF(Ere!$B:$B,'Element wise-detail Summary'!$A112,Ere!$C:$C)</f>
        <v>1</v>
      </c>
      <c r="M112" s="151">
        <f t="shared" si="9"/>
        <v>0</v>
      </c>
      <c r="N112">
        <f t="shared" si="10"/>
        <v>2.0590000000000002</v>
      </c>
    </row>
    <row r="113" spans="1:14" hidden="1" x14ac:dyDescent="0.25">
      <c r="A113" s="151" t="s">
        <v>1292</v>
      </c>
      <c r="B113" s="233" t="str">
        <f>VLOOKUP(A113,'AFC Data details'!$B:$E,4,0)</f>
        <v>V27</v>
      </c>
      <c r="C113" s="144" t="s">
        <v>1693</v>
      </c>
      <c r="D113" s="151" t="s">
        <v>602</v>
      </c>
      <c r="E113" s="151">
        <f>VLOOKUP(A113,'AFC Data details'!$B:$P,15,0)</f>
        <v>1.353</v>
      </c>
      <c r="F113" s="151">
        <f>SUMIFS('AFC Data details'!C:C,'AFC Data details'!$B:$B,'Element wise-detail Summary'!$A113)</f>
        <v>1</v>
      </c>
      <c r="G113" s="151">
        <f>SUMIFS(Cast!$C:$C,Cast!$B:$B,'Element wise-detail Summary'!$A113)</f>
        <v>1</v>
      </c>
      <c r="H113" s="151">
        <f t="shared" si="6"/>
        <v>0</v>
      </c>
      <c r="I113" s="151">
        <f>SUMIFS(Del!$C:$C,Del!$B:$B,'Element wise-detail Summary'!$A113)</f>
        <v>1</v>
      </c>
      <c r="J113" s="151">
        <f t="shared" si="7"/>
        <v>0</v>
      </c>
      <c r="K113" s="151">
        <f t="shared" si="8"/>
        <v>0</v>
      </c>
      <c r="L113" s="151">
        <f>SUMIF(Ere!$B:$B,'Element wise-detail Summary'!$A113,Ere!$C:$C)</f>
        <v>1</v>
      </c>
      <c r="M113" s="151">
        <f t="shared" si="9"/>
        <v>0</v>
      </c>
      <c r="N113">
        <f t="shared" si="10"/>
        <v>1.353</v>
      </c>
    </row>
    <row r="114" spans="1:14" hidden="1" x14ac:dyDescent="0.25">
      <c r="A114" s="151" t="s">
        <v>1293</v>
      </c>
      <c r="B114" s="233" t="str">
        <f>VLOOKUP(A114,'AFC Data details'!$B:$E,4,0)</f>
        <v>V27</v>
      </c>
      <c r="C114" s="144" t="s">
        <v>1693</v>
      </c>
      <c r="D114" s="151" t="s">
        <v>602</v>
      </c>
      <c r="E114" s="151">
        <f>VLOOKUP(A114,'AFC Data details'!$B:$P,15,0)</f>
        <v>1.538</v>
      </c>
      <c r="F114" s="151">
        <f>SUMIFS('AFC Data details'!C:C,'AFC Data details'!$B:$B,'Element wise-detail Summary'!$A114)</f>
        <v>1</v>
      </c>
      <c r="G114" s="151">
        <f>SUMIFS(Cast!$C:$C,Cast!$B:$B,'Element wise-detail Summary'!$A114)</f>
        <v>1</v>
      </c>
      <c r="H114" s="151">
        <f t="shared" si="6"/>
        <v>0</v>
      </c>
      <c r="I114" s="151">
        <f>SUMIFS(Del!$C:$C,Del!$B:$B,'Element wise-detail Summary'!$A114)</f>
        <v>1</v>
      </c>
      <c r="J114" s="151">
        <f t="shared" si="7"/>
        <v>0</v>
      </c>
      <c r="K114" s="151">
        <f t="shared" si="8"/>
        <v>0</v>
      </c>
      <c r="L114" s="151">
        <f>SUMIF(Ere!$B:$B,'Element wise-detail Summary'!$A114,Ere!$C:$C)</f>
        <v>1</v>
      </c>
      <c r="M114" s="151">
        <f t="shared" si="9"/>
        <v>0</v>
      </c>
      <c r="N114">
        <f t="shared" si="10"/>
        <v>1.538</v>
      </c>
    </row>
    <row r="115" spans="1:14" hidden="1" x14ac:dyDescent="0.25">
      <c r="A115" s="151" t="s">
        <v>1294</v>
      </c>
      <c r="B115" s="233" t="str">
        <f>VLOOKUP(A115,'AFC Data details'!$B:$E,4,0)</f>
        <v>V28</v>
      </c>
      <c r="C115" s="144" t="s">
        <v>1693</v>
      </c>
      <c r="D115" s="151" t="s">
        <v>602</v>
      </c>
      <c r="E115" s="151">
        <f>VLOOKUP(A115,'AFC Data details'!$B:$P,15,0)</f>
        <v>2.081</v>
      </c>
      <c r="F115" s="151">
        <f>SUMIFS('AFC Data details'!C:C,'AFC Data details'!$B:$B,'Element wise-detail Summary'!$A115)</f>
        <v>1</v>
      </c>
      <c r="G115" s="151">
        <f>SUMIFS(Cast!$C:$C,Cast!$B:$B,'Element wise-detail Summary'!$A115)</f>
        <v>1</v>
      </c>
      <c r="H115" s="151">
        <f t="shared" si="6"/>
        <v>0</v>
      </c>
      <c r="I115" s="151">
        <f>SUMIFS(Del!$C:$C,Del!$B:$B,'Element wise-detail Summary'!$A115)</f>
        <v>1</v>
      </c>
      <c r="J115" s="151">
        <f t="shared" si="7"/>
        <v>0</v>
      </c>
      <c r="K115" s="151">
        <f t="shared" si="8"/>
        <v>0</v>
      </c>
      <c r="L115" s="151">
        <f>SUMIF(Ere!$B:$B,'Element wise-detail Summary'!$A115,Ere!$C:$C)</f>
        <v>1</v>
      </c>
      <c r="M115" s="151">
        <f t="shared" si="9"/>
        <v>0</v>
      </c>
      <c r="N115">
        <f t="shared" si="10"/>
        <v>2.081</v>
      </c>
    </row>
    <row r="116" spans="1:14" hidden="1" x14ac:dyDescent="0.25">
      <c r="A116" s="151" t="s">
        <v>1295</v>
      </c>
      <c r="B116" s="233" t="str">
        <f>VLOOKUP(A116,'AFC Data details'!$B:$E,4,0)</f>
        <v>V28</v>
      </c>
      <c r="C116" s="144" t="s">
        <v>1693</v>
      </c>
      <c r="D116" s="151" t="s">
        <v>602</v>
      </c>
      <c r="E116" s="151">
        <f>VLOOKUP(A116,'AFC Data details'!$B:$P,15,0)</f>
        <v>2.081</v>
      </c>
      <c r="F116" s="151">
        <f>SUMIFS('AFC Data details'!C:C,'AFC Data details'!$B:$B,'Element wise-detail Summary'!$A116)</f>
        <v>1</v>
      </c>
      <c r="G116" s="151">
        <f>SUMIFS(Cast!$C:$C,Cast!$B:$B,'Element wise-detail Summary'!$A116)</f>
        <v>1</v>
      </c>
      <c r="H116" s="151">
        <f t="shared" si="6"/>
        <v>0</v>
      </c>
      <c r="I116" s="151">
        <f>SUMIFS(Del!$C:$C,Del!$B:$B,'Element wise-detail Summary'!$A116)</f>
        <v>1</v>
      </c>
      <c r="J116" s="151">
        <f t="shared" si="7"/>
        <v>0</v>
      </c>
      <c r="K116" s="151">
        <f t="shared" si="8"/>
        <v>0</v>
      </c>
      <c r="L116" s="151">
        <f>SUMIF(Ere!$B:$B,'Element wise-detail Summary'!$A116,Ere!$C:$C)</f>
        <v>1</v>
      </c>
      <c r="M116" s="151">
        <f t="shared" si="9"/>
        <v>0</v>
      </c>
      <c r="N116">
        <f t="shared" si="10"/>
        <v>2.081</v>
      </c>
    </row>
    <row r="117" spans="1:14" hidden="1" x14ac:dyDescent="0.25">
      <c r="A117" s="151" t="s">
        <v>1296</v>
      </c>
      <c r="B117" s="233" t="str">
        <f>VLOOKUP(A117,'AFC Data details'!$B:$E,4,0)</f>
        <v>V29</v>
      </c>
      <c r="C117" s="144" t="s">
        <v>1693</v>
      </c>
      <c r="D117" s="151" t="s">
        <v>602</v>
      </c>
      <c r="E117" s="151">
        <f>VLOOKUP(A117,'AFC Data details'!$B:$P,15,0)</f>
        <v>2.081</v>
      </c>
      <c r="F117" s="151">
        <f>SUMIFS('AFC Data details'!C:C,'AFC Data details'!$B:$B,'Element wise-detail Summary'!$A117)</f>
        <v>1</v>
      </c>
      <c r="G117" s="151">
        <f>SUMIFS(Cast!$C:$C,Cast!$B:$B,'Element wise-detail Summary'!$A117)</f>
        <v>1</v>
      </c>
      <c r="H117" s="151">
        <f t="shared" si="6"/>
        <v>0</v>
      </c>
      <c r="I117" s="151">
        <f>SUMIFS(Del!$C:$C,Del!$B:$B,'Element wise-detail Summary'!$A117)</f>
        <v>1</v>
      </c>
      <c r="J117" s="151">
        <f t="shared" si="7"/>
        <v>0</v>
      </c>
      <c r="K117" s="151">
        <f t="shared" si="8"/>
        <v>0</v>
      </c>
      <c r="L117" s="151">
        <f>SUMIF(Ere!$B:$B,'Element wise-detail Summary'!$A117,Ere!$C:$C)</f>
        <v>1</v>
      </c>
      <c r="M117" s="151">
        <f t="shared" si="9"/>
        <v>0</v>
      </c>
      <c r="N117">
        <f t="shared" si="10"/>
        <v>2.081</v>
      </c>
    </row>
    <row r="118" spans="1:14" hidden="1" x14ac:dyDescent="0.25">
      <c r="A118" s="151" t="s">
        <v>1297</v>
      </c>
      <c r="B118" s="233" t="str">
        <f>VLOOKUP(A118,'AFC Data details'!$B:$E,4,0)</f>
        <v>V28</v>
      </c>
      <c r="C118" s="144" t="s">
        <v>1693</v>
      </c>
      <c r="D118" s="151" t="s">
        <v>602</v>
      </c>
      <c r="E118" s="151">
        <f>VLOOKUP(A118,'AFC Data details'!$B:$P,15,0)</f>
        <v>2.081</v>
      </c>
      <c r="F118" s="151">
        <f>SUMIFS('AFC Data details'!C:C,'AFC Data details'!$B:$B,'Element wise-detail Summary'!$A118)</f>
        <v>1</v>
      </c>
      <c r="G118" s="151">
        <f>SUMIFS(Cast!$C:$C,Cast!$B:$B,'Element wise-detail Summary'!$A118)</f>
        <v>1</v>
      </c>
      <c r="H118" s="151">
        <f t="shared" si="6"/>
        <v>0</v>
      </c>
      <c r="I118" s="151">
        <f>SUMIFS(Del!$C:$C,Del!$B:$B,'Element wise-detail Summary'!$A118)</f>
        <v>1</v>
      </c>
      <c r="J118" s="151">
        <f t="shared" si="7"/>
        <v>0</v>
      </c>
      <c r="K118" s="151">
        <f t="shared" si="8"/>
        <v>0</v>
      </c>
      <c r="L118" s="151">
        <f>SUMIF(Ere!$B:$B,'Element wise-detail Summary'!$A118,Ere!$C:$C)</f>
        <v>1</v>
      </c>
      <c r="M118" s="151">
        <f t="shared" si="9"/>
        <v>0</v>
      </c>
      <c r="N118">
        <f t="shared" si="10"/>
        <v>2.081</v>
      </c>
    </row>
    <row r="119" spans="1:14" hidden="1" x14ac:dyDescent="0.25">
      <c r="A119" s="151" t="s">
        <v>1298</v>
      </c>
      <c r="B119" s="233" t="str">
        <f>VLOOKUP(A119,'AFC Data details'!$B:$E,4,0)</f>
        <v>V29</v>
      </c>
      <c r="C119" s="144" t="s">
        <v>1693</v>
      </c>
      <c r="D119" s="151" t="s">
        <v>602</v>
      </c>
      <c r="E119" s="151">
        <f>VLOOKUP(A119,'AFC Data details'!$B:$P,15,0)</f>
        <v>2.081</v>
      </c>
      <c r="F119" s="151">
        <f>SUMIFS('AFC Data details'!C:C,'AFC Data details'!$B:$B,'Element wise-detail Summary'!$A119)</f>
        <v>1</v>
      </c>
      <c r="G119" s="151">
        <f>SUMIFS(Cast!$C:$C,Cast!$B:$B,'Element wise-detail Summary'!$A119)</f>
        <v>1</v>
      </c>
      <c r="H119" s="151">
        <f t="shared" si="6"/>
        <v>0</v>
      </c>
      <c r="I119" s="151">
        <f>SUMIFS(Del!$C:$C,Del!$B:$B,'Element wise-detail Summary'!$A119)</f>
        <v>1</v>
      </c>
      <c r="J119" s="151">
        <f t="shared" si="7"/>
        <v>0</v>
      </c>
      <c r="K119" s="151">
        <f t="shared" si="8"/>
        <v>0</v>
      </c>
      <c r="L119" s="151">
        <f>SUMIF(Ere!$B:$B,'Element wise-detail Summary'!$A119,Ere!$C:$C)</f>
        <v>1</v>
      </c>
      <c r="M119" s="151">
        <f t="shared" si="9"/>
        <v>0</v>
      </c>
      <c r="N119">
        <f t="shared" si="10"/>
        <v>2.081</v>
      </c>
    </row>
    <row r="120" spans="1:14" hidden="1" x14ac:dyDescent="0.25">
      <c r="A120" s="151" t="s">
        <v>1299</v>
      </c>
      <c r="B120" s="233" t="str">
        <f>VLOOKUP(A120,'AFC Data details'!$B:$E,4,0)</f>
        <v>V28</v>
      </c>
      <c r="C120" s="144" t="s">
        <v>1693</v>
      </c>
      <c r="D120" s="151" t="s">
        <v>602</v>
      </c>
      <c r="E120" s="151">
        <f>VLOOKUP(A120,'AFC Data details'!$B:$P,15,0)</f>
        <v>1.5640000000000001</v>
      </c>
      <c r="F120" s="151">
        <f>SUMIFS('AFC Data details'!C:C,'AFC Data details'!$B:$B,'Element wise-detail Summary'!$A120)</f>
        <v>1</v>
      </c>
      <c r="G120" s="151">
        <f>SUMIFS(Cast!$C:$C,Cast!$B:$B,'Element wise-detail Summary'!$A120)</f>
        <v>1</v>
      </c>
      <c r="H120" s="151">
        <f t="shared" si="6"/>
        <v>0</v>
      </c>
      <c r="I120" s="151">
        <f>SUMIFS(Del!$C:$C,Del!$B:$B,'Element wise-detail Summary'!$A120)</f>
        <v>1</v>
      </c>
      <c r="J120" s="151">
        <f t="shared" si="7"/>
        <v>0</v>
      </c>
      <c r="K120" s="151">
        <f t="shared" si="8"/>
        <v>0</v>
      </c>
      <c r="L120" s="151">
        <f>SUMIF(Ere!$B:$B,'Element wise-detail Summary'!$A120,Ere!$C:$C)</f>
        <v>1</v>
      </c>
      <c r="M120" s="151">
        <f t="shared" si="9"/>
        <v>0</v>
      </c>
      <c r="N120">
        <f t="shared" si="10"/>
        <v>1.5640000000000001</v>
      </c>
    </row>
    <row r="121" spans="1:14" hidden="1" x14ac:dyDescent="0.25">
      <c r="A121" s="151" t="s">
        <v>1300</v>
      </c>
      <c r="B121" s="233" t="str">
        <f>VLOOKUP(A121,'AFC Data details'!$B:$E,4,0)</f>
        <v>V28</v>
      </c>
      <c r="C121" s="144" t="s">
        <v>1693</v>
      </c>
      <c r="D121" s="151" t="s">
        <v>602</v>
      </c>
      <c r="E121" s="151">
        <f>VLOOKUP(A121,'AFC Data details'!$B:$P,15,0)</f>
        <v>1.391</v>
      </c>
      <c r="F121" s="151">
        <f>SUMIFS('AFC Data details'!C:C,'AFC Data details'!$B:$B,'Element wise-detail Summary'!$A121)</f>
        <v>1</v>
      </c>
      <c r="G121" s="151">
        <f>SUMIFS(Cast!$C:$C,Cast!$B:$B,'Element wise-detail Summary'!$A121)</f>
        <v>1</v>
      </c>
      <c r="H121" s="151">
        <f t="shared" si="6"/>
        <v>0</v>
      </c>
      <c r="I121" s="151">
        <f>SUMIFS(Del!$C:$C,Del!$B:$B,'Element wise-detail Summary'!$A121)</f>
        <v>1</v>
      </c>
      <c r="J121" s="151">
        <f t="shared" si="7"/>
        <v>0</v>
      </c>
      <c r="K121" s="151">
        <f t="shared" si="8"/>
        <v>0</v>
      </c>
      <c r="L121" s="151">
        <f>SUMIF(Ere!$B:$B,'Element wise-detail Summary'!$A121,Ere!$C:$C)</f>
        <v>1</v>
      </c>
      <c r="M121" s="151">
        <f t="shared" si="9"/>
        <v>0</v>
      </c>
      <c r="N121">
        <f t="shared" si="10"/>
        <v>1.391</v>
      </c>
    </row>
    <row r="122" spans="1:14" hidden="1" x14ac:dyDescent="0.25">
      <c r="A122" s="151" t="s">
        <v>1301</v>
      </c>
      <c r="B122" s="233" t="str">
        <f>VLOOKUP(A122,'AFC Data details'!$B:$E,4,0)</f>
        <v>V29</v>
      </c>
      <c r="C122" s="144" t="s">
        <v>1693</v>
      </c>
      <c r="D122" s="151" t="s">
        <v>602</v>
      </c>
      <c r="E122" s="151">
        <f>VLOOKUP(A122,'AFC Data details'!$B:$P,15,0)</f>
        <v>1.0760000000000001</v>
      </c>
      <c r="F122" s="151">
        <f>SUMIFS('AFC Data details'!C:C,'AFC Data details'!$B:$B,'Element wise-detail Summary'!$A122)</f>
        <v>1</v>
      </c>
      <c r="G122" s="151">
        <f>SUMIFS(Cast!$C:$C,Cast!$B:$B,'Element wise-detail Summary'!$A122)</f>
        <v>1</v>
      </c>
      <c r="H122" s="151">
        <f t="shared" si="6"/>
        <v>0</v>
      </c>
      <c r="I122" s="151">
        <f>SUMIFS(Del!$C:$C,Del!$B:$B,'Element wise-detail Summary'!$A122)</f>
        <v>1</v>
      </c>
      <c r="J122" s="151">
        <f t="shared" si="7"/>
        <v>0</v>
      </c>
      <c r="K122" s="151">
        <f t="shared" si="8"/>
        <v>0</v>
      </c>
      <c r="L122" s="151">
        <f>SUMIF(Ere!$B:$B,'Element wise-detail Summary'!$A122,Ere!$C:$C)</f>
        <v>1</v>
      </c>
      <c r="M122" s="151">
        <f t="shared" si="9"/>
        <v>0</v>
      </c>
      <c r="N122">
        <f t="shared" si="10"/>
        <v>1.0760000000000001</v>
      </c>
    </row>
    <row r="123" spans="1:14" hidden="1" x14ac:dyDescent="0.25">
      <c r="A123" s="151" t="s">
        <v>1302</v>
      </c>
      <c r="B123" s="233" t="str">
        <f>VLOOKUP(A123,'AFC Data details'!$B:$E,4,0)</f>
        <v>V29</v>
      </c>
      <c r="C123" s="144" t="s">
        <v>1693</v>
      </c>
      <c r="D123" s="151" t="s">
        <v>602</v>
      </c>
      <c r="E123" s="151">
        <f>VLOOKUP(A123,'AFC Data details'!$B:$P,15,0)</f>
        <v>2.081</v>
      </c>
      <c r="F123" s="151">
        <f>SUMIFS('AFC Data details'!C:C,'AFC Data details'!$B:$B,'Element wise-detail Summary'!$A123)</f>
        <v>1</v>
      </c>
      <c r="G123" s="151">
        <f>SUMIFS(Cast!$C:$C,Cast!$B:$B,'Element wise-detail Summary'!$A123)</f>
        <v>1</v>
      </c>
      <c r="H123" s="151">
        <f t="shared" si="6"/>
        <v>0</v>
      </c>
      <c r="I123" s="151">
        <f>SUMIFS(Del!$C:$C,Del!$B:$B,'Element wise-detail Summary'!$A123)</f>
        <v>1</v>
      </c>
      <c r="J123" s="151">
        <f t="shared" si="7"/>
        <v>0</v>
      </c>
      <c r="K123" s="151">
        <f t="shared" si="8"/>
        <v>0</v>
      </c>
      <c r="L123" s="151">
        <f>SUMIF(Ere!$B:$B,'Element wise-detail Summary'!$A123,Ere!$C:$C)</f>
        <v>1</v>
      </c>
      <c r="M123" s="151">
        <f t="shared" si="9"/>
        <v>0</v>
      </c>
      <c r="N123">
        <f t="shared" si="10"/>
        <v>2.081</v>
      </c>
    </row>
    <row r="124" spans="1:14" hidden="1" x14ac:dyDescent="0.25">
      <c r="A124" s="151" t="s">
        <v>1303</v>
      </c>
      <c r="B124" s="233" t="str">
        <f>VLOOKUP(A124,'AFC Data details'!$B:$E,4,0)</f>
        <v>V29</v>
      </c>
      <c r="C124" s="144" t="s">
        <v>1693</v>
      </c>
      <c r="D124" s="151" t="s">
        <v>602</v>
      </c>
      <c r="E124" s="151">
        <f>VLOOKUP(A124,'AFC Data details'!$B:$P,15,0)</f>
        <v>1.444</v>
      </c>
      <c r="F124" s="151">
        <f>SUMIFS('AFC Data details'!C:C,'AFC Data details'!$B:$B,'Element wise-detail Summary'!$A124)</f>
        <v>1</v>
      </c>
      <c r="G124" s="151">
        <f>SUMIFS(Cast!$C:$C,Cast!$B:$B,'Element wise-detail Summary'!$A124)</f>
        <v>1</v>
      </c>
      <c r="H124" s="151">
        <f t="shared" si="6"/>
        <v>0</v>
      </c>
      <c r="I124" s="151">
        <f>SUMIFS(Del!$C:$C,Del!$B:$B,'Element wise-detail Summary'!$A124)</f>
        <v>1</v>
      </c>
      <c r="J124" s="151">
        <f t="shared" si="7"/>
        <v>0</v>
      </c>
      <c r="K124" s="151">
        <f t="shared" si="8"/>
        <v>0</v>
      </c>
      <c r="L124" s="151">
        <f>SUMIF(Ere!$B:$B,'Element wise-detail Summary'!$A124,Ere!$C:$C)</f>
        <v>1</v>
      </c>
      <c r="M124" s="151">
        <f t="shared" si="9"/>
        <v>0</v>
      </c>
      <c r="N124">
        <f t="shared" si="10"/>
        <v>1.444</v>
      </c>
    </row>
    <row r="125" spans="1:14" hidden="1" x14ac:dyDescent="0.25">
      <c r="A125" s="151" t="s">
        <v>1304</v>
      </c>
      <c r="B125" s="233" t="str">
        <f>VLOOKUP(A125,'AFC Data details'!$B:$E,4,0)</f>
        <v>V29</v>
      </c>
      <c r="C125" s="144" t="s">
        <v>1693</v>
      </c>
      <c r="D125" s="151" t="s">
        <v>602</v>
      </c>
      <c r="E125" s="151">
        <f>VLOOKUP(A125,'AFC Data details'!$B:$P,15,0)</f>
        <v>1.397</v>
      </c>
      <c r="F125" s="151">
        <f>SUMIFS('AFC Data details'!C:C,'AFC Data details'!$B:$B,'Element wise-detail Summary'!$A125)</f>
        <v>1</v>
      </c>
      <c r="G125" s="151">
        <f>SUMIFS(Cast!$C:$C,Cast!$B:$B,'Element wise-detail Summary'!$A125)</f>
        <v>1</v>
      </c>
      <c r="H125" s="151">
        <f t="shared" si="6"/>
        <v>0</v>
      </c>
      <c r="I125" s="151">
        <f>SUMIFS(Del!$C:$C,Del!$B:$B,'Element wise-detail Summary'!$A125)</f>
        <v>1</v>
      </c>
      <c r="J125" s="151">
        <f t="shared" si="7"/>
        <v>0</v>
      </c>
      <c r="K125" s="151">
        <f t="shared" si="8"/>
        <v>0</v>
      </c>
      <c r="L125" s="151">
        <f>SUMIF(Ere!$B:$B,'Element wise-detail Summary'!$A125,Ere!$C:$C)</f>
        <v>1</v>
      </c>
      <c r="M125" s="151">
        <f t="shared" si="9"/>
        <v>0</v>
      </c>
      <c r="N125">
        <f t="shared" si="10"/>
        <v>1.397</v>
      </c>
    </row>
    <row r="126" spans="1:14" hidden="1" x14ac:dyDescent="0.25">
      <c r="A126" s="151" t="s">
        <v>1305</v>
      </c>
      <c r="B126" s="233" t="str">
        <f>VLOOKUP(A126,'AFC Data details'!$B:$E,4,0)</f>
        <v>V29</v>
      </c>
      <c r="C126" s="144" t="s">
        <v>1693</v>
      </c>
      <c r="D126" s="151" t="s">
        <v>602</v>
      </c>
      <c r="E126" s="151">
        <f>VLOOKUP(A126,'AFC Data details'!$B:$P,15,0)</f>
        <v>1.57</v>
      </c>
      <c r="F126" s="151">
        <f>SUMIFS('AFC Data details'!C:C,'AFC Data details'!$B:$B,'Element wise-detail Summary'!$A126)</f>
        <v>1</v>
      </c>
      <c r="G126" s="151">
        <f>SUMIFS(Cast!$C:$C,Cast!$B:$B,'Element wise-detail Summary'!$A126)</f>
        <v>1</v>
      </c>
      <c r="H126" s="151">
        <f t="shared" si="6"/>
        <v>0</v>
      </c>
      <c r="I126" s="151">
        <f>SUMIFS(Del!$C:$C,Del!$B:$B,'Element wise-detail Summary'!$A126)</f>
        <v>1</v>
      </c>
      <c r="J126" s="151">
        <f t="shared" si="7"/>
        <v>0</v>
      </c>
      <c r="K126" s="151">
        <f t="shared" si="8"/>
        <v>0</v>
      </c>
      <c r="L126" s="151">
        <f>SUMIF(Ere!$B:$B,'Element wise-detail Summary'!$A126,Ere!$C:$C)</f>
        <v>1</v>
      </c>
      <c r="M126" s="151">
        <f t="shared" si="9"/>
        <v>0</v>
      </c>
      <c r="N126">
        <f t="shared" si="10"/>
        <v>1.57</v>
      </c>
    </row>
    <row r="127" spans="1:14" hidden="1" x14ac:dyDescent="0.25">
      <c r="A127" s="151" t="s">
        <v>1306</v>
      </c>
      <c r="B127" s="233" t="str">
        <f>VLOOKUP(A127,'AFC Data details'!$B:$E,4,0)</f>
        <v>V30</v>
      </c>
      <c r="C127" s="144" t="s">
        <v>1693</v>
      </c>
      <c r="D127" s="151" t="s">
        <v>602</v>
      </c>
      <c r="E127" s="151">
        <f>VLOOKUP(A127,'AFC Data details'!$B:$P,15,0)</f>
        <v>2.0939999999999999</v>
      </c>
      <c r="F127" s="151">
        <f>SUMIFS('AFC Data details'!C:C,'AFC Data details'!$B:$B,'Element wise-detail Summary'!$A127)</f>
        <v>1</v>
      </c>
      <c r="G127" s="151">
        <f>SUMIFS(Cast!$C:$C,Cast!$B:$B,'Element wise-detail Summary'!$A127)</f>
        <v>1</v>
      </c>
      <c r="H127" s="151">
        <f t="shared" si="6"/>
        <v>0</v>
      </c>
      <c r="I127" s="151">
        <f>SUMIFS(Del!$C:$C,Del!$B:$B,'Element wise-detail Summary'!$A127)</f>
        <v>1</v>
      </c>
      <c r="J127" s="151">
        <f t="shared" si="7"/>
        <v>0</v>
      </c>
      <c r="K127" s="151">
        <f t="shared" si="8"/>
        <v>0</v>
      </c>
      <c r="L127" s="151">
        <f>SUMIF(Ere!$B:$B,'Element wise-detail Summary'!$A127,Ere!$C:$C)</f>
        <v>1</v>
      </c>
      <c r="M127" s="151">
        <f t="shared" si="9"/>
        <v>0</v>
      </c>
      <c r="N127">
        <f t="shared" si="10"/>
        <v>2.0939999999999999</v>
      </c>
    </row>
    <row r="128" spans="1:14" hidden="1" x14ac:dyDescent="0.25">
      <c r="A128" s="151" t="s">
        <v>1307</v>
      </c>
      <c r="B128" s="233" t="str">
        <f>VLOOKUP(A128,'AFC Data details'!$B:$E,4,0)</f>
        <v>V26</v>
      </c>
      <c r="C128" s="144" t="s">
        <v>1693</v>
      </c>
      <c r="D128" s="151" t="s">
        <v>602</v>
      </c>
      <c r="E128" s="151">
        <f>VLOOKUP(A128,'AFC Data details'!$B:$P,15,0)</f>
        <v>2.0939999999999999</v>
      </c>
      <c r="F128" s="151">
        <f>SUMIFS('AFC Data details'!C:C,'AFC Data details'!$B:$B,'Element wise-detail Summary'!$A128)</f>
        <v>1</v>
      </c>
      <c r="G128" s="151">
        <f>SUMIFS(Cast!$C:$C,Cast!$B:$B,'Element wise-detail Summary'!$A128)</f>
        <v>1</v>
      </c>
      <c r="H128" s="151">
        <f t="shared" si="6"/>
        <v>0</v>
      </c>
      <c r="I128" s="151">
        <f>SUMIFS(Del!$C:$C,Del!$B:$B,'Element wise-detail Summary'!$A128)</f>
        <v>1</v>
      </c>
      <c r="J128" s="151">
        <f t="shared" si="7"/>
        <v>0</v>
      </c>
      <c r="K128" s="151">
        <f t="shared" si="8"/>
        <v>0</v>
      </c>
      <c r="L128" s="151">
        <f>SUMIF(Ere!$B:$B,'Element wise-detail Summary'!$A128,Ere!$C:$C)</f>
        <v>1</v>
      </c>
      <c r="M128" s="151">
        <f t="shared" si="9"/>
        <v>0</v>
      </c>
      <c r="N128">
        <f t="shared" si="10"/>
        <v>2.0939999999999999</v>
      </c>
    </row>
    <row r="129" spans="1:14" hidden="1" x14ac:dyDescent="0.25">
      <c r="A129" s="151" t="s">
        <v>1308</v>
      </c>
      <c r="B129" s="233" t="str">
        <f>VLOOKUP(A129,'AFC Data details'!$B:$E,4,0)</f>
        <v>V30</v>
      </c>
      <c r="C129" s="144" t="s">
        <v>1693</v>
      </c>
      <c r="D129" s="151" t="s">
        <v>602</v>
      </c>
      <c r="E129" s="151">
        <f>VLOOKUP(A129,'AFC Data details'!$B:$P,15,0)</f>
        <v>2.0939999999999999</v>
      </c>
      <c r="F129" s="151">
        <f>SUMIFS('AFC Data details'!C:C,'AFC Data details'!$B:$B,'Element wise-detail Summary'!$A129)</f>
        <v>1</v>
      </c>
      <c r="G129" s="151">
        <f>SUMIFS(Cast!$C:$C,Cast!$B:$B,'Element wise-detail Summary'!$A129)</f>
        <v>1</v>
      </c>
      <c r="H129" s="151">
        <f t="shared" si="6"/>
        <v>0</v>
      </c>
      <c r="I129" s="151">
        <f>SUMIFS(Del!$C:$C,Del!$B:$B,'Element wise-detail Summary'!$A129)</f>
        <v>1</v>
      </c>
      <c r="J129" s="151">
        <f t="shared" si="7"/>
        <v>0</v>
      </c>
      <c r="K129" s="151">
        <f t="shared" si="8"/>
        <v>0</v>
      </c>
      <c r="L129" s="151">
        <f>SUMIF(Ere!$B:$B,'Element wise-detail Summary'!$A129,Ere!$C:$C)</f>
        <v>1</v>
      </c>
      <c r="M129" s="151">
        <f t="shared" si="9"/>
        <v>0</v>
      </c>
      <c r="N129">
        <f t="shared" si="10"/>
        <v>2.0939999999999999</v>
      </c>
    </row>
    <row r="130" spans="1:14" hidden="1" x14ac:dyDescent="0.25">
      <c r="A130" s="151" t="s">
        <v>1309</v>
      </c>
      <c r="B130" s="233" t="str">
        <f>VLOOKUP(A130,'AFC Data details'!$B:$E,4,0)</f>
        <v>V31</v>
      </c>
      <c r="C130" s="144" t="s">
        <v>1693</v>
      </c>
      <c r="D130" s="151" t="s">
        <v>602</v>
      </c>
      <c r="E130" s="151">
        <f>VLOOKUP(A130,'AFC Data details'!$B:$P,15,0)</f>
        <v>2.0939999999999999</v>
      </c>
      <c r="F130" s="151">
        <f>SUMIFS('AFC Data details'!C:C,'AFC Data details'!$B:$B,'Element wise-detail Summary'!$A130)</f>
        <v>1</v>
      </c>
      <c r="G130" s="151">
        <f>SUMIFS(Cast!$C:$C,Cast!$B:$B,'Element wise-detail Summary'!$A130)</f>
        <v>1</v>
      </c>
      <c r="H130" s="151">
        <f t="shared" si="6"/>
        <v>0</v>
      </c>
      <c r="I130" s="151">
        <f>SUMIFS(Del!$C:$C,Del!$B:$B,'Element wise-detail Summary'!$A130)</f>
        <v>1</v>
      </c>
      <c r="J130" s="151">
        <f t="shared" si="7"/>
        <v>0</v>
      </c>
      <c r="K130" s="151">
        <f t="shared" si="8"/>
        <v>0</v>
      </c>
      <c r="L130" s="151">
        <f>SUMIF(Ere!$B:$B,'Element wise-detail Summary'!$A130,Ere!$C:$C)</f>
        <v>1</v>
      </c>
      <c r="M130" s="151">
        <f t="shared" si="9"/>
        <v>0</v>
      </c>
      <c r="N130">
        <f t="shared" si="10"/>
        <v>2.0939999999999999</v>
      </c>
    </row>
    <row r="131" spans="1:14" hidden="1" x14ac:dyDescent="0.25">
      <c r="A131" s="151" t="s">
        <v>1310</v>
      </c>
      <c r="B131" s="233" t="str">
        <f>VLOOKUP(A131,'AFC Data details'!$B:$E,4,0)</f>
        <v>V30</v>
      </c>
      <c r="C131" s="144" t="s">
        <v>1693</v>
      </c>
      <c r="D131" s="151" t="s">
        <v>602</v>
      </c>
      <c r="E131" s="151">
        <f>VLOOKUP(A131,'AFC Data details'!$B:$P,15,0)</f>
        <v>2.0939999999999999</v>
      </c>
      <c r="F131" s="151">
        <f>SUMIFS('AFC Data details'!C:C,'AFC Data details'!$B:$B,'Element wise-detail Summary'!$A131)</f>
        <v>1</v>
      </c>
      <c r="G131" s="151">
        <f>SUMIFS(Cast!$C:$C,Cast!$B:$B,'Element wise-detail Summary'!$A131)</f>
        <v>1</v>
      </c>
      <c r="H131" s="151">
        <f t="shared" si="6"/>
        <v>0</v>
      </c>
      <c r="I131" s="151">
        <f>SUMIFS(Del!$C:$C,Del!$B:$B,'Element wise-detail Summary'!$A131)</f>
        <v>1</v>
      </c>
      <c r="J131" s="151">
        <f t="shared" si="7"/>
        <v>0</v>
      </c>
      <c r="K131" s="151">
        <f t="shared" si="8"/>
        <v>0</v>
      </c>
      <c r="L131" s="151">
        <f>SUMIF(Ere!$B:$B,'Element wise-detail Summary'!$A131,Ere!$C:$C)</f>
        <v>1</v>
      </c>
      <c r="M131" s="151">
        <f t="shared" si="9"/>
        <v>0</v>
      </c>
      <c r="N131">
        <f t="shared" si="10"/>
        <v>2.0939999999999999</v>
      </c>
    </row>
    <row r="132" spans="1:14" hidden="1" x14ac:dyDescent="0.25">
      <c r="A132" s="151" t="s">
        <v>1311</v>
      </c>
      <c r="B132" s="233" t="str">
        <f>VLOOKUP(A132,'AFC Data details'!$B:$E,4,0)</f>
        <v>V31</v>
      </c>
      <c r="C132" s="144" t="s">
        <v>1693</v>
      </c>
      <c r="D132" s="151" t="s">
        <v>602</v>
      </c>
      <c r="E132" s="151">
        <f>VLOOKUP(A132,'AFC Data details'!$B:$P,15,0)</f>
        <v>2.0939999999999999</v>
      </c>
      <c r="F132" s="151">
        <f>SUMIFS('AFC Data details'!C:C,'AFC Data details'!$B:$B,'Element wise-detail Summary'!$A132)</f>
        <v>1</v>
      </c>
      <c r="G132" s="151">
        <f>SUMIFS(Cast!$C:$C,Cast!$B:$B,'Element wise-detail Summary'!$A132)</f>
        <v>1</v>
      </c>
      <c r="H132" s="151">
        <f t="shared" ref="H132:H195" si="11">F132-G132</f>
        <v>0</v>
      </c>
      <c r="I132" s="151">
        <f>SUMIFS(Del!$C:$C,Del!$B:$B,'Element wise-detail Summary'!$A132)</f>
        <v>1</v>
      </c>
      <c r="J132" s="151">
        <f t="shared" ref="J132:J195" si="12">F132-I132</f>
        <v>0</v>
      </c>
      <c r="K132" s="151">
        <f t="shared" ref="K132:K195" si="13">G132-I132</f>
        <v>0</v>
      </c>
      <c r="L132" s="151">
        <f>SUMIF(Ere!$B:$B,'Element wise-detail Summary'!$A132,Ere!$C:$C)</f>
        <v>1</v>
      </c>
      <c r="M132" s="151">
        <f t="shared" ref="M132:M195" si="14">F132-L132</f>
        <v>0</v>
      </c>
      <c r="N132">
        <f t="shared" ref="N132:N195" si="15">I132*E132</f>
        <v>2.0939999999999999</v>
      </c>
    </row>
    <row r="133" spans="1:14" hidden="1" x14ac:dyDescent="0.25">
      <c r="A133" s="151" t="s">
        <v>1312</v>
      </c>
      <c r="B133" s="233" t="str">
        <f>VLOOKUP(A133,'AFC Data details'!$B:$E,4,0)</f>
        <v>V26</v>
      </c>
      <c r="C133" s="144" t="s">
        <v>1693</v>
      </c>
      <c r="D133" s="151" t="s">
        <v>602</v>
      </c>
      <c r="E133" s="151">
        <f>VLOOKUP(A133,'AFC Data details'!$B:$P,15,0)</f>
        <v>2.0939999999999999</v>
      </c>
      <c r="F133" s="151">
        <f>SUMIFS('AFC Data details'!C:C,'AFC Data details'!$B:$B,'Element wise-detail Summary'!$A133)</f>
        <v>1</v>
      </c>
      <c r="G133" s="151">
        <f>SUMIFS(Cast!$C:$C,Cast!$B:$B,'Element wise-detail Summary'!$A133)</f>
        <v>1</v>
      </c>
      <c r="H133" s="151">
        <f t="shared" si="11"/>
        <v>0</v>
      </c>
      <c r="I133" s="151">
        <f>SUMIFS(Del!$C:$C,Del!$B:$B,'Element wise-detail Summary'!$A133)</f>
        <v>1</v>
      </c>
      <c r="J133" s="151">
        <f t="shared" si="12"/>
        <v>0</v>
      </c>
      <c r="K133" s="151">
        <f t="shared" si="13"/>
        <v>0</v>
      </c>
      <c r="L133" s="151">
        <f>SUMIF(Ere!$B:$B,'Element wise-detail Summary'!$A133,Ere!$C:$C)</f>
        <v>1</v>
      </c>
      <c r="M133" s="151">
        <f t="shared" si="14"/>
        <v>0</v>
      </c>
      <c r="N133">
        <f t="shared" si="15"/>
        <v>2.0939999999999999</v>
      </c>
    </row>
    <row r="134" spans="1:14" hidden="1" x14ac:dyDescent="0.25">
      <c r="A134" s="151" t="s">
        <v>1313</v>
      </c>
      <c r="B134" s="233" t="str">
        <f>VLOOKUP(A134,'AFC Data details'!$B:$E,4,0)</f>
        <v>V27</v>
      </c>
      <c r="C134" s="144" t="s">
        <v>1693</v>
      </c>
      <c r="D134" s="151" t="s">
        <v>602</v>
      </c>
      <c r="E134" s="151">
        <f>VLOOKUP(A134,'AFC Data details'!$B:$P,15,0)</f>
        <v>2.0939999999999999</v>
      </c>
      <c r="F134" s="151">
        <f>SUMIFS('AFC Data details'!C:C,'AFC Data details'!$B:$B,'Element wise-detail Summary'!$A134)</f>
        <v>1</v>
      </c>
      <c r="G134" s="151">
        <f>SUMIFS(Cast!$C:$C,Cast!$B:$B,'Element wise-detail Summary'!$A134)</f>
        <v>1</v>
      </c>
      <c r="H134" s="151">
        <f t="shared" si="11"/>
        <v>0</v>
      </c>
      <c r="I134" s="151">
        <f>SUMIFS(Del!$C:$C,Del!$B:$B,'Element wise-detail Summary'!$A134)</f>
        <v>1</v>
      </c>
      <c r="J134" s="151">
        <f t="shared" si="12"/>
        <v>0</v>
      </c>
      <c r="K134" s="151">
        <f t="shared" si="13"/>
        <v>0</v>
      </c>
      <c r="L134" s="151">
        <f>SUMIF(Ere!$B:$B,'Element wise-detail Summary'!$A134,Ere!$C:$C)</f>
        <v>1</v>
      </c>
      <c r="M134" s="151">
        <f t="shared" si="14"/>
        <v>0</v>
      </c>
      <c r="N134">
        <f t="shared" si="15"/>
        <v>2.0939999999999999</v>
      </c>
    </row>
    <row r="135" spans="1:14" hidden="1" x14ac:dyDescent="0.25">
      <c r="A135" s="151" t="s">
        <v>1314</v>
      </c>
      <c r="B135" s="233" t="str">
        <f>VLOOKUP(A135,'AFC Data details'!$B:$E,4,0)</f>
        <v>V26</v>
      </c>
      <c r="C135" s="144" t="s">
        <v>1693</v>
      </c>
      <c r="D135" s="151" t="s">
        <v>602</v>
      </c>
      <c r="E135" s="151">
        <f>VLOOKUP(A135,'AFC Data details'!$B:$P,15,0)</f>
        <v>2.0939999999999999</v>
      </c>
      <c r="F135" s="151">
        <f>SUMIFS('AFC Data details'!C:C,'AFC Data details'!$B:$B,'Element wise-detail Summary'!$A135)</f>
        <v>1</v>
      </c>
      <c r="G135" s="151">
        <f>SUMIFS(Cast!$C:$C,Cast!$B:$B,'Element wise-detail Summary'!$A135)</f>
        <v>1</v>
      </c>
      <c r="H135" s="151">
        <f t="shared" si="11"/>
        <v>0</v>
      </c>
      <c r="I135" s="151">
        <f>SUMIFS(Del!$C:$C,Del!$B:$B,'Element wise-detail Summary'!$A135)</f>
        <v>1</v>
      </c>
      <c r="J135" s="151">
        <f t="shared" si="12"/>
        <v>0</v>
      </c>
      <c r="K135" s="151">
        <f t="shared" si="13"/>
        <v>0</v>
      </c>
      <c r="L135" s="151">
        <f>SUMIF(Ere!$B:$B,'Element wise-detail Summary'!$A135,Ere!$C:$C)</f>
        <v>1</v>
      </c>
      <c r="M135" s="151">
        <f t="shared" si="14"/>
        <v>0</v>
      </c>
      <c r="N135">
        <f t="shared" si="15"/>
        <v>2.0939999999999999</v>
      </c>
    </row>
    <row r="136" spans="1:14" hidden="1" x14ac:dyDescent="0.25">
      <c r="A136" s="151" t="s">
        <v>1315</v>
      </c>
      <c r="B136" s="233" t="str">
        <f>VLOOKUP(A136,'AFC Data details'!$B:$E,4,0)</f>
        <v>V27</v>
      </c>
      <c r="C136" s="144" t="s">
        <v>1693</v>
      </c>
      <c r="D136" s="151" t="s">
        <v>602</v>
      </c>
      <c r="E136" s="151">
        <f>VLOOKUP(A136,'AFC Data details'!$B:$P,15,0)</f>
        <v>2.0939999999999999</v>
      </c>
      <c r="F136" s="151">
        <f>SUMIFS('AFC Data details'!C:C,'AFC Data details'!$B:$B,'Element wise-detail Summary'!$A136)</f>
        <v>1</v>
      </c>
      <c r="G136" s="151">
        <f>SUMIFS(Cast!$C:$C,Cast!$B:$B,'Element wise-detail Summary'!$A136)</f>
        <v>1</v>
      </c>
      <c r="H136" s="151">
        <f t="shared" si="11"/>
        <v>0</v>
      </c>
      <c r="I136" s="151">
        <f>SUMIFS(Del!$C:$C,Del!$B:$B,'Element wise-detail Summary'!$A136)</f>
        <v>1</v>
      </c>
      <c r="J136" s="151">
        <f t="shared" si="12"/>
        <v>0</v>
      </c>
      <c r="K136" s="151">
        <f t="shared" si="13"/>
        <v>0</v>
      </c>
      <c r="L136" s="151">
        <f>SUMIF(Ere!$B:$B,'Element wise-detail Summary'!$A136,Ere!$C:$C)</f>
        <v>1</v>
      </c>
      <c r="M136" s="151">
        <f t="shared" si="14"/>
        <v>0</v>
      </c>
      <c r="N136">
        <f t="shared" si="15"/>
        <v>2.0939999999999999</v>
      </c>
    </row>
    <row r="137" spans="1:14" hidden="1" x14ac:dyDescent="0.25">
      <c r="A137" s="151" t="s">
        <v>1316</v>
      </c>
      <c r="B137" s="233" t="str">
        <f>VLOOKUP(A137,'AFC Data details'!$B:$E,4,0)</f>
        <v>V30</v>
      </c>
      <c r="C137" s="144" t="s">
        <v>1693</v>
      </c>
      <c r="D137" s="151" t="s">
        <v>602</v>
      </c>
      <c r="E137" s="151">
        <f>VLOOKUP(A137,'AFC Data details'!$B:$P,15,0)</f>
        <v>2.0470000000000002</v>
      </c>
      <c r="F137" s="151">
        <f>SUMIFS('AFC Data details'!C:C,'AFC Data details'!$B:$B,'Element wise-detail Summary'!$A137)</f>
        <v>1</v>
      </c>
      <c r="G137" s="151">
        <f>SUMIFS(Cast!$C:$C,Cast!$B:$B,'Element wise-detail Summary'!$A137)</f>
        <v>1</v>
      </c>
      <c r="H137" s="151">
        <f t="shared" si="11"/>
        <v>0</v>
      </c>
      <c r="I137" s="151">
        <f>SUMIFS(Del!$C:$C,Del!$B:$B,'Element wise-detail Summary'!$A137)</f>
        <v>1</v>
      </c>
      <c r="J137" s="151">
        <f t="shared" si="12"/>
        <v>0</v>
      </c>
      <c r="K137" s="151">
        <f t="shared" si="13"/>
        <v>0</v>
      </c>
      <c r="L137" s="151">
        <f>SUMIF(Ere!$B:$B,'Element wise-detail Summary'!$A137,Ere!$C:$C)</f>
        <v>1</v>
      </c>
      <c r="M137" s="151">
        <f t="shared" si="14"/>
        <v>0</v>
      </c>
      <c r="N137">
        <f t="shared" si="15"/>
        <v>2.0470000000000002</v>
      </c>
    </row>
    <row r="138" spans="1:14" hidden="1" x14ac:dyDescent="0.25">
      <c r="A138" s="151" t="s">
        <v>1317</v>
      </c>
      <c r="B138" s="233" t="str">
        <f>VLOOKUP(A138,'AFC Data details'!$B:$E,4,0)</f>
        <v>V31</v>
      </c>
      <c r="C138" s="144" t="s">
        <v>1693</v>
      </c>
      <c r="D138" s="151" t="s">
        <v>602</v>
      </c>
      <c r="E138" s="151">
        <f>VLOOKUP(A138,'AFC Data details'!$B:$P,15,0)</f>
        <v>2.0470000000000002</v>
      </c>
      <c r="F138" s="151">
        <f>SUMIFS('AFC Data details'!C:C,'AFC Data details'!$B:$B,'Element wise-detail Summary'!$A138)</f>
        <v>1</v>
      </c>
      <c r="G138" s="151">
        <f>SUMIFS(Cast!$C:$C,Cast!$B:$B,'Element wise-detail Summary'!$A138)</f>
        <v>1</v>
      </c>
      <c r="H138" s="151">
        <f t="shared" si="11"/>
        <v>0</v>
      </c>
      <c r="I138" s="151">
        <f>SUMIFS(Del!$C:$C,Del!$B:$B,'Element wise-detail Summary'!$A138)</f>
        <v>1</v>
      </c>
      <c r="J138" s="151">
        <f t="shared" si="12"/>
        <v>0</v>
      </c>
      <c r="K138" s="151">
        <f t="shared" si="13"/>
        <v>0</v>
      </c>
      <c r="L138" s="151">
        <f>SUMIF(Ere!$B:$B,'Element wise-detail Summary'!$A138,Ere!$C:$C)</f>
        <v>1</v>
      </c>
      <c r="M138" s="151">
        <f t="shared" si="14"/>
        <v>0</v>
      </c>
      <c r="N138">
        <f t="shared" si="15"/>
        <v>2.0470000000000002</v>
      </c>
    </row>
    <row r="139" spans="1:14" hidden="1" x14ac:dyDescent="0.25">
      <c r="A139" s="151" t="s">
        <v>1318</v>
      </c>
      <c r="B139" s="233" t="str">
        <f>VLOOKUP(A139,'AFC Data details'!$B:$E,4,0)</f>
        <v>V30</v>
      </c>
      <c r="C139" s="144" t="s">
        <v>1693</v>
      </c>
      <c r="D139" s="151" t="s">
        <v>602</v>
      </c>
      <c r="E139" s="151">
        <f>VLOOKUP(A139,'AFC Data details'!$B:$P,15,0)</f>
        <v>2.0470000000000002</v>
      </c>
      <c r="F139" s="151">
        <f>SUMIFS('AFC Data details'!C:C,'AFC Data details'!$B:$B,'Element wise-detail Summary'!$A139)</f>
        <v>1</v>
      </c>
      <c r="G139" s="151">
        <f>SUMIFS(Cast!$C:$C,Cast!$B:$B,'Element wise-detail Summary'!$A139)</f>
        <v>1</v>
      </c>
      <c r="H139" s="151">
        <f t="shared" si="11"/>
        <v>0</v>
      </c>
      <c r="I139" s="151">
        <f>SUMIFS(Del!$C:$C,Del!$B:$B,'Element wise-detail Summary'!$A139)</f>
        <v>1</v>
      </c>
      <c r="J139" s="151">
        <f t="shared" si="12"/>
        <v>0</v>
      </c>
      <c r="K139" s="151">
        <f t="shared" si="13"/>
        <v>0</v>
      </c>
      <c r="L139" s="151">
        <f>SUMIF(Ere!$B:$B,'Element wise-detail Summary'!$A139,Ere!$C:$C)</f>
        <v>1</v>
      </c>
      <c r="M139" s="151">
        <f t="shared" si="14"/>
        <v>0</v>
      </c>
      <c r="N139">
        <f t="shared" si="15"/>
        <v>2.0470000000000002</v>
      </c>
    </row>
    <row r="140" spans="1:14" hidden="1" x14ac:dyDescent="0.25">
      <c r="A140" s="151" t="s">
        <v>1319</v>
      </c>
      <c r="B140" s="233" t="str">
        <f>VLOOKUP(A140,'AFC Data details'!$B:$E,4,0)</f>
        <v>V31</v>
      </c>
      <c r="C140" s="144" t="s">
        <v>1693</v>
      </c>
      <c r="D140" s="151" t="s">
        <v>602</v>
      </c>
      <c r="E140" s="151">
        <f>VLOOKUP(A140,'AFC Data details'!$B:$P,15,0)</f>
        <v>2.0470000000000002</v>
      </c>
      <c r="F140" s="151">
        <f>SUMIFS('AFC Data details'!C:C,'AFC Data details'!$B:$B,'Element wise-detail Summary'!$A140)</f>
        <v>1</v>
      </c>
      <c r="G140" s="151">
        <f>SUMIFS(Cast!$C:$C,Cast!$B:$B,'Element wise-detail Summary'!$A140)</f>
        <v>1</v>
      </c>
      <c r="H140" s="151">
        <f t="shared" si="11"/>
        <v>0</v>
      </c>
      <c r="I140" s="151">
        <f>SUMIFS(Del!$C:$C,Del!$B:$B,'Element wise-detail Summary'!$A140)</f>
        <v>1</v>
      </c>
      <c r="J140" s="151">
        <f t="shared" si="12"/>
        <v>0</v>
      </c>
      <c r="K140" s="151">
        <f t="shared" si="13"/>
        <v>0</v>
      </c>
      <c r="L140" s="151">
        <f>SUMIF(Ere!$B:$B,'Element wise-detail Summary'!$A140,Ere!$C:$C)</f>
        <v>1</v>
      </c>
      <c r="M140" s="151">
        <f t="shared" si="14"/>
        <v>0</v>
      </c>
      <c r="N140">
        <f t="shared" si="15"/>
        <v>2.0470000000000002</v>
      </c>
    </row>
    <row r="141" spans="1:14" hidden="1" x14ac:dyDescent="0.25">
      <c r="A141" s="151" t="s">
        <v>1320</v>
      </c>
      <c r="B141" s="233" t="str">
        <f>VLOOKUP(A141,'AFC Data details'!$B:$E,4,0)</f>
        <v>V28</v>
      </c>
      <c r="C141" s="144" t="s">
        <v>1693</v>
      </c>
      <c r="D141" s="151" t="s">
        <v>602</v>
      </c>
      <c r="E141" s="151">
        <f>VLOOKUP(A141,'AFC Data details'!$B:$P,15,0)</f>
        <v>2.0470000000000002</v>
      </c>
      <c r="F141" s="151">
        <f>SUMIFS('AFC Data details'!C:C,'AFC Data details'!$B:$B,'Element wise-detail Summary'!$A141)</f>
        <v>1</v>
      </c>
      <c r="G141" s="151">
        <f>SUMIFS(Cast!$C:$C,Cast!$B:$B,'Element wise-detail Summary'!$A141)</f>
        <v>1</v>
      </c>
      <c r="H141" s="151">
        <f t="shared" si="11"/>
        <v>0</v>
      </c>
      <c r="I141" s="151">
        <f>SUMIFS(Del!$C:$C,Del!$B:$B,'Element wise-detail Summary'!$A141)</f>
        <v>1</v>
      </c>
      <c r="J141" s="151">
        <f t="shared" si="12"/>
        <v>0</v>
      </c>
      <c r="K141" s="151">
        <f t="shared" si="13"/>
        <v>0</v>
      </c>
      <c r="L141" s="151">
        <f>SUMIF(Ere!$B:$B,'Element wise-detail Summary'!$A141,Ere!$C:$C)</f>
        <v>1</v>
      </c>
      <c r="M141" s="151">
        <f t="shared" si="14"/>
        <v>0</v>
      </c>
      <c r="N141">
        <f t="shared" si="15"/>
        <v>2.0470000000000002</v>
      </c>
    </row>
    <row r="142" spans="1:14" hidden="1" x14ac:dyDescent="0.25">
      <c r="A142" s="151" t="s">
        <v>1321</v>
      </c>
      <c r="B142" s="233" t="str">
        <f>VLOOKUP(A142,'AFC Data details'!$B:$E,4,0)</f>
        <v>V29</v>
      </c>
      <c r="C142" s="144" t="s">
        <v>1693</v>
      </c>
      <c r="D142" s="151" t="s">
        <v>602</v>
      </c>
      <c r="E142" s="151">
        <f>VLOOKUP(A142,'AFC Data details'!$B:$P,15,0)</f>
        <v>2.0470000000000002</v>
      </c>
      <c r="F142" s="151">
        <f>SUMIFS('AFC Data details'!C:C,'AFC Data details'!$B:$B,'Element wise-detail Summary'!$A142)</f>
        <v>1</v>
      </c>
      <c r="G142" s="151">
        <f>SUMIFS(Cast!$C:$C,Cast!$B:$B,'Element wise-detail Summary'!$A142)</f>
        <v>1</v>
      </c>
      <c r="H142" s="151">
        <f t="shared" si="11"/>
        <v>0</v>
      </c>
      <c r="I142" s="151">
        <f>SUMIFS(Del!$C:$C,Del!$B:$B,'Element wise-detail Summary'!$A142)</f>
        <v>1</v>
      </c>
      <c r="J142" s="151">
        <f t="shared" si="12"/>
        <v>0</v>
      </c>
      <c r="K142" s="151">
        <f t="shared" si="13"/>
        <v>0</v>
      </c>
      <c r="L142" s="151">
        <f>SUMIF(Ere!$B:$B,'Element wise-detail Summary'!$A142,Ere!$C:$C)</f>
        <v>1</v>
      </c>
      <c r="M142" s="151">
        <f t="shared" si="14"/>
        <v>0</v>
      </c>
      <c r="N142">
        <f t="shared" si="15"/>
        <v>2.0470000000000002</v>
      </c>
    </row>
    <row r="143" spans="1:14" hidden="1" x14ac:dyDescent="0.25">
      <c r="A143" s="151" t="s">
        <v>1322</v>
      </c>
      <c r="B143" s="233" t="str">
        <f>VLOOKUP(A143,'AFC Data details'!$B:$E,4,0)</f>
        <v>V28</v>
      </c>
      <c r="C143" s="144" t="s">
        <v>1693</v>
      </c>
      <c r="D143" s="151" t="s">
        <v>602</v>
      </c>
      <c r="E143" s="151">
        <f>VLOOKUP(A143,'AFC Data details'!$B:$P,15,0)</f>
        <v>2.0470000000000002</v>
      </c>
      <c r="F143" s="151">
        <f>SUMIFS('AFC Data details'!C:C,'AFC Data details'!$B:$B,'Element wise-detail Summary'!$A143)</f>
        <v>1</v>
      </c>
      <c r="G143" s="151">
        <f>SUMIFS(Cast!$C:$C,Cast!$B:$B,'Element wise-detail Summary'!$A143)</f>
        <v>1</v>
      </c>
      <c r="H143" s="151">
        <f t="shared" si="11"/>
        <v>0</v>
      </c>
      <c r="I143" s="151">
        <f>SUMIFS(Del!$C:$C,Del!$B:$B,'Element wise-detail Summary'!$A143)</f>
        <v>1</v>
      </c>
      <c r="J143" s="151">
        <f t="shared" si="12"/>
        <v>0</v>
      </c>
      <c r="K143" s="151">
        <f t="shared" si="13"/>
        <v>0</v>
      </c>
      <c r="L143" s="151">
        <f>SUMIF(Ere!$B:$B,'Element wise-detail Summary'!$A143,Ere!$C:$C)</f>
        <v>1</v>
      </c>
      <c r="M143" s="151">
        <f t="shared" si="14"/>
        <v>0</v>
      </c>
      <c r="N143">
        <f t="shared" si="15"/>
        <v>2.0470000000000002</v>
      </c>
    </row>
    <row r="144" spans="1:14" hidden="1" x14ac:dyDescent="0.25">
      <c r="A144" s="151" t="s">
        <v>1323</v>
      </c>
      <c r="B144" s="233" t="str">
        <f>VLOOKUP(A144,'AFC Data details'!$B:$E,4,0)</f>
        <v>V29</v>
      </c>
      <c r="C144" s="144" t="s">
        <v>1693</v>
      </c>
      <c r="D144" s="151" t="s">
        <v>602</v>
      </c>
      <c r="E144" s="151">
        <f>VLOOKUP(A144,'AFC Data details'!$B:$P,15,0)</f>
        <v>2.0470000000000002</v>
      </c>
      <c r="F144" s="151">
        <f>SUMIFS('AFC Data details'!C:C,'AFC Data details'!$B:$B,'Element wise-detail Summary'!$A144)</f>
        <v>1</v>
      </c>
      <c r="G144" s="151">
        <f>SUMIFS(Cast!$C:$C,Cast!$B:$B,'Element wise-detail Summary'!$A144)</f>
        <v>1</v>
      </c>
      <c r="H144" s="151">
        <f t="shared" si="11"/>
        <v>0</v>
      </c>
      <c r="I144" s="151">
        <f>SUMIFS(Del!$C:$C,Del!$B:$B,'Element wise-detail Summary'!$A144)</f>
        <v>1</v>
      </c>
      <c r="J144" s="151">
        <f t="shared" si="12"/>
        <v>0</v>
      </c>
      <c r="K144" s="151">
        <f t="shared" si="13"/>
        <v>0</v>
      </c>
      <c r="L144" s="151">
        <f>SUMIF(Ere!$B:$B,'Element wise-detail Summary'!$A144,Ere!$C:$C)</f>
        <v>1</v>
      </c>
      <c r="M144" s="151">
        <f t="shared" si="14"/>
        <v>0</v>
      </c>
      <c r="N144">
        <f t="shared" si="15"/>
        <v>2.0470000000000002</v>
      </c>
    </row>
    <row r="145" spans="1:14" hidden="1" x14ac:dyDescent="0.25">
      <c r="A145" s="151" t="s">
        <v>1324</v>
      </c>
      <c r="B145" s="233" t="str">
        <f>VLOOKUP(A145,'AFC Data details'!$B:$E,4,0)</f>
        <v>V30</v>
      </c>
      <c r="C145" s="144" t="s">
        <v>1693</v>
      </c>
      <c r="D145" s="151" t="s">
        <v>602</v>
      </c>
      <c r="E145" s="151">
        <f>VLOOKUP(A145,'AFC Data details'!$B:$P,15,0)</f>
        <v>2.0470000000000002</v>
      </c>
      <c r="F145" s="151">
        <f>SUMIFS('AFC Data details'!C:C,'AFC Data details'!$B:$B,'Element wise-detail Summary'!$A145)</f>
        <v>1</v>
      </c>
      <c r="G145" s="151">
        <f>SUMIFS(Cast!$C:$C,Cast!$B:$B,'Element wise-detail Summary'!$A145)</f>
        <v>1</v>
      </c>
      <c r="H145" s="151">
        <f t="shared" si="11"/>
        <v>0</v>
      </c>
      <c r="I145" s="151">
        <f>SUMIFS(Del!$C:$C,Del!$B:$B,'Element wise-detail Summary'!$A145)</f>
        <v>1</v>
      </c>
      <c r="J145" s="151">
        <f t="shared" si="12"/>
        <v>0</v>
      </c>
      <c r="K145" s="151">
        <f t="shared" si="13"/>
        <v>0</v>
      </c>
      <c r="L145" s="151">
        <f>SUMIF(Ere!$B:$B,'Element wise-detail Summary'!$A145,Ere!$C:$C)</f>
        <v>1</v>
      </c>
      <c r="M145" s="151">
        <f t="shared" si="14"/>
        <v>0</v>
      </c>
      <c r="N145">
        <f t="shared" si="15"/>
        <v>2.0470000000000002</v>
      </c>
    </row>
    <row r="146" spans="1:14" hidden="1" x14ac:dyDescent="0.25">
      <c r="A146" s="151" t="s">
        <v>1325</v>
      </c>
      <c r="B146" s="233" t="str">
        <f>VLOOKUP(A146,'AFC Data details'!$B:$E,4,0)</f>
        <v>V28</v>
      </c>
      <c r="C146" s="144" t="s">
        <v>1693</v>
      </c>
      <c r="D146" s="151" t="s">
        <v>602</v>
      </c>
      <c r="E146" s="151">
        <f>VLOOKUP(A146,'AFC Data details'!$B:$P,15,0)</f>
        <v>2.0470000000000002</v>
      </c>
      <c r="F146" s="151">
        <f>SUMIFS('AFC Data details'!C:C,'AFC Data details'!$B:$B,'Element wise-detail Summary'!$A146)</f>
        <v>1</v>
      </c>
      <c r="G146" s="151">
        <f>SUMIFS(Cast!$C:$C,Cast!$B:$B,'Element wise-detail Summary'!$A146)</f>
        <v>1</v>
      </c>
      <c r="H146" s="151">
        <f t="shared" si="11"/>
        <v>0</v>
      </c>
      <c r="I146" s="151">
        <f>SUMIFS(Del!$C:$C,Del!$B:$B,'Element wise-detail Summary'!$A146)</f>
        <v>1</v>
      </c>
      <c r="J146" s="151">
        <f t="shared" si="12"/>
        <v>0</v>
      </c>
      <c r="K146" s="151">
        <f t="shared" si="13"/>
        <v>0</v>
      </c>
      <c r="L146" s="151">
        <f>SUMIF(Ere!$B:$B,'Element wise-detail Summary'!$A146,Ere!$C:$C)</f>
        <v>1</v>
      </c>
      <c r="M146" s="151">
        <f t="shared" si="14"/>
        <v>0</v>
      </c>
      <c r="N146">
        <f t="shared" si="15"/>
        <v>2.0470000000000002</v>
      </c>
    </row>
    <row r="147" spans="1:14" hidden="1" x14ac:dyDescent="0.25">
      <c r="A147" s="151" t="s">
        <v>1326</v>
      </c>
      <c r="B147" s="233" t="str">
        <f>VLOOKUP(A147,'AFC Data details'!$B:$E,4,0)</f>
        <v>V30</v>
      </c>
      <c r="C147" s="144" t="s">
        <v>1693</v>
      </c>
      <c r="D147" s="151" t="s">
        <v>602</v>
      </c>
      <c r="E147" s="151">
        <f>VLOOKUP(A147,'AFC Data details'!$B:$P,15,0)</f>
        <v>1.57</v>
      </c>
      <c r="F147" s="151">
        <f>SUMIFS('AFC Data details'!C:C,'AFC Data details'!$B:$B,'Element wise-detail Summary'!$A147)</f>
        <v>1</v>
      </c>
      <c r="G147" s="151">
        <f>SUMIFS(Cast!$C:$C,Cast!$B:$B,'Element wise-detail Summary'!$A147)</f>
        <v>1</v>
      </c>
      <c r="H147" s="151">
        <f t="shared" si="11"/>
        <v>0</v>
      </c>
      <c r="I147" s="151">
        <f>SUMIFS(Del!$C:$C,Del!$B:$B,'Element wise-detail Summary'!$A147)</f>
        <v>1</v>
      </c>
      <c r="J147" s="151">
        <f t="shared" si="12"/>
        <v>0</v>
      </c>
      <c r="K147" s="151">
        <f t="shared" si="13"/>
        <v>0</v>
      </c>
      <c r="L147" s="151">
        <f>SUMIF(Ere!$B:$B,'Element wise-detail Summary'!$A147,Ere!$C:$C)</f>
        <v>1</v>
      </c>
      <c r="M147" s="151">
        <f t="shared" si="14"/>
        <v>0</v>
      </c>
      <c r="N147">
        <f t="shared" si="15"/>
        <v>1.57</v>
      </c>
    </row>
    <row r="148" spans="1:14" hidden="1" x14ac:dyDescent="0.25">
      <c r="A148" s="151" t="s">
        <v>1327</v>
      </c>
      <c r="B148" s="233" t="str">
        <f>VLOOKUP(A148,'AFC Data details'!$B:$E,4,0)</f>
        <v>V30</v>
      </c>
      <c r="C148" s="144" t="s">
        <v>1693</v>
      </c>
      <c r="D148" s="151" t="s">
        <v>602</v>
      </c>
      <c r="E148" s="151">
        <f>VLOOKUP(A148,'AFC Data details'!$B:$P,15,0)</f>
        <v>1.397</v>
      </c>
      <c r="F148" s="151">
        <f>SUMIFS('AFC Data details'!C:C,'AFC Data details'!$B:$B,'Element wise-detail Summary'!$A148)</f>
        <v>1</v>
      </c>
      <c r="G148" s="151">
        <f>SUMIFS(Cast!$C:$C,Cast!$B:$B,'Element wise-detail Summary'!$A148)</f>
        <v>1</v>
      </c>
      <c r="H148" s="151">
        <f t="shared" si="11"/>
        <v>0</v>
      </c>
      <c r="I148" s="151">
        <f>SUMIFS(Del!$C:$C,Del!$B:$B,'Element wise-detail Summary'!$A148)</f>
        <v>1</v>
      </c>
      <c r="J148" s="151">
        <f t="shared" si="12"/>
        <v>0</v>
      </c>
      <c r="K148" s="151">
        <f t="shared" si="13"/>
        <v>0</v>
      </c>
      <c r="L148" s="151">
        <f>SUMIF(Ere!$B:$B,'Element wise-detail Summary'!$A148,Ere!$C:$C)</f>
        <v>1</v>
      </c>
      <c r="M148" s="151">
        <f t="shared" si="14"/>
        <v>0</v>
      </c>
      <c r="N148">
        <f t="shared" si="15"/>
        <v>1.397</v>
      </c>
    </row>
    <row r="149" spans="1:14" hidden="1" x14ac:dyDescent="0.25">
      <c r="A149" s="151" t="s">
        <v>1328</v>
      </c>
      <c r="B149" s="233" t="str">
        <f>VLOOKUP(A149,'AFC Data details'!$B:$E,4,0)</f>
        <v>V31</v>
      </c>
      <c r="C149" s="144" t="s">
        <v>1693</v>
      </c>
      <c r="D149" s="151" t="s">
        <v>602</v>
      </c>
      <c r="E149" s="151">
        <f>VLOOKUP(A149,'AFC Data details'!$B:$P,15,0)</f>
        <v>2.0939999999999999</v>
      </c>
      <c r="F149" s="151">
        <f>SUMIFS('AFC Data details'!C:C,'AFC Data details'!$B:$B,'Element wise-detail Summary'!$A149)</f>
        <v>1</v>
      </c>
      <c r="G149" s="151">
        <f>SUMIFS(Cast!$C:$C,Cast!$B:$B,'Element wise-detail Summary'!$A149)</f>
        <v>1</v>
      </c>
      <c r="H149" s="151">
        <f t="shared" si="11"/>
        <v>0</v>
      </c>
      <c r="I149" s="151">
        <f>SUMIFS(Del!$C:$C,Del!$B:$B,'Element wise-detail Summary'!$A149)</f>
        <v>1</v>
      </c>
      <c r="J149" s="151">
        <f t="shared" si="12"/>
        <v>0</v>
      </c>
      <c r="K149" s="151">
        <f t="shared" si="13"/>
        <v>0</v>
      </c>
      <c r="L149" s="151">
        <f>SUMIF(Ere!$B:$B,'Element wise-detail Summary'!$A149,Ere!$C:$C)</f>
        <v>1</v>
      </c>
      <c r="M149" s="151">
        <f t="shared" si="14"/>
        <v>0</v>
      </c>
      <c r="N149">
        <f t="shared" si="15"/>
        <v>2.0939999999999999</v>
      </c>
    </row>
    <row r="150" spans="1:14" hidden="1" x14ac:dyDescent="0.25">
      <c r="A150" s="151" t="s">
        <v>1329</v>
      </c>
      <c r="B150" s="233" t="str">
        <f>VLOOKUP(A150,'AFC Data details'!$B:$E,4,0)</f>
        <v>V27</v>
      </c>
      <c r="C150" s="144" t="s">
        <v>1693</v>
      </c>
      <c r="D150" s="151" t="s">
        <v>602</v>
      </c>
      <c r="E150" s="151">
        <f>VLOOKUP(A150,'AFC Data details'!$B:$P,15,0)</f>
        <v>2.0939999999999999</v>
      </c>
      <c r="F150" s="151">
        <f>SUMIFS('AFC Data details'!C:C,'AFC Data details'!$B:$B,'Element wise-detail Summary'!$A150)</f>
        <v>1</v>
      </c>
      <c r="G150" s="151">
        <f>SUMIFS(Cast!$C:$C,Cast!$B:$B,'Element wise-detail Summary'!$A150)</f>
        <v>1</v>
      </c>
      <c r="H150" s="151">
        <f t="shared" si="11"/>
        <v>0</v>
      </c>
      <c r="I150" s="151">
        <f>SUMIFS(Del!$C:$C,Del!$B:$B,'Element wise-detail Summary'!$A150)</f>
        <v>1</v>
      </c>
      <c r="J150" s="151">
        <f t="shared" si="12"/>
        <v>0</v>
      </c>
      <c r="K150" s="151">
        <f t="shared" si="13"/>
        <v>0</v>
      </c>
      <c r="L150" s="151">
        <f>SUMIF(Ere!$B:$B,'Element wise-detail Summary'!$A150,Ere!$C:$C)</f>
        <v>1</v>
      </c>
      <c r="M150" s="151">
        <f t="shared" si="14"/>
        <v>0</v>
      </c>
      <c r="N150">
        <f t="shared" si="15"/>
        <v>2.0939999999999999</v>
      </c>
    </row>
    <row r="151" spans="1:14" hidden="1" x14ac:dyDescent="0.25">
      <c r="A151" s="151" t="s">
        <v>1330</v>
      </c>
      <c r="B151" s="233" t="str">
        <f>VLOOKUP(A151,'AFC Data details'!$B:$E,4,0)</f>
        <v>V31</v>
      </c>
      <c r="C151" s="144" t="s">
        <v>1693</v>
      </c>
      <c r="D151" s="151" t="s">
        <v>602</v>
      </c>
      <c r="E151" s="151">
        <f>VLOOKUP(A151,'AFC Data details'!$B:$P,15,0)</f>
        <v>2.0470000000000002</v>
      </c>
      <c r="F151" s="151">
        <f>SUMIFS('AFC Data details'!C:C,'AFC Data details'!$B:$B,'Element wise-detail Summary'!$A151)</f>
        <v>1</v>
      </c>
      <c r="G151" s="151">
        <f>SUMIFS(Cast!$C:$C,Cast!$B:$B,'Element wise-detail Summary'!$A151)</f>
        <v>1</v>
      </c>
      <c r="H151" s="151">
        <f t="shared" si="11"/>
        <v>0</v>
      </c>
      <c r="I151" s="151">
        <f>SUMIFS(Del!$C:$C,Del!$B:$B,'Element wise-detail Summary'!$A151)</f>
        <v>1</v>
      </c>
      <c r="J151" s="151">
        <f t="shared" si="12"/>
        <v>0</v>
      </c>
      <c r="K151" s="151">
        <f t="shared" si="13"/>
        <v>0</v>
      </c>
      <c r="L151" s="151">
        <f>SUMIF(Ere!$B:$B,'Element wise-detail Summary'!$A151,Ere!$C:$C)</f>
        <v>1</v>
      </c>
      <c r="M151" s="151">
        <f t="shared" si="14"/>
        <v>0</v>
      </c>
      <c r="N151">
        <f t="shared" si="15"/>
        <v>2.0470000000000002</v>
      </c>
    </row>
    <row r="152" spans="1:14" hidden="1" x14ac:dyDescent="0.25">
      <c r="A152" s="151" t="s">
        <v>1331</v>
      </c>
      <c r="B152" s="233" t="str">
        <f>VLOOKUP(A152,'AFC Data details'!$B:$E,4,0)</f>
        <v>V29</v>
      </c>
      <c r="C152" s="144" t="s">
        <v>1693</v>
      </c>
      <c r="D152" s="151" t="s">
        <v>602</v>
      </c>
      <c r="E152" s="151">
        <f>VLOOKUP(A152,'AFC Data details'!$B:$P,15,0)</f>
        <v>2.0470000000000002</v>
      </c>
      <c r="F152" s="151">
        <f>SUMIFS('AFC Data details'!C:C,'AFC Data details'!$B:$B,'Element wise-detail Summary'!$A152)</f>
        <v>1</v>
      </c>
      <c r="G152" s="151">
        <f>SUMIFS(Cast!$C:$C,Cast!$B:$B,'Element wise-detail Summary'!$A152)</f>
        <v>1</v>
      </c>
      <c r="H152" s="151">
        <f t="shared" si="11"/>
        <v>0</v>
      </c>
      <c r="I152" s="151">
        <f>SUMIFS(Del!$C:$C,Del!$B:$B,'Element wise-detail Summary'!$A152)</f>
        <v>1</v>
      </c>
      <c r="J152" s="151">
        <f t="shared" si="12"/>
        <v>0</v>
      </c>
      <c r="K152" s="151">
        <f t="shared" si="13"/>
        <v>0</v>
      </c>
      <c r="L152" s="151">
        <f>SUMIF(Ere!$B:$B,'Element wise-detail Summary'!$A152,Ere!$C:$C)</f>
        <v>1</v>
      </c>
      <c r="M152" s="151">
        <f t="shared" si="14"/>
        <v>0</v>
      </c>
      <c r="N152">
        <f t="shared" si="15"/>
        <v>2.0470000000000002</v>
      </c>
    </row>
    <row r="153" spans="1:14" hidden="1" x14ac:dyDescent="0.25">
      <c r="A153" s="151" t="s">
        <v>1332</v>
      </c>
      <c r="B153" s="233" t="str">
        <f>VLOOKUP(A153,'AFC Data details'!$B:$E,4,0)</f>
        <v>V31</v>
      </c>
      <c r="C153" s="144" t="s">
        <v>1693</v>
      </c>
      <c r="D153" s="151" t="s">
        <v>602</v>
      </c>
      <c r="E153" s="151">
        <f>VLOOKUP(A153,'AFC Data details'!$B:$P,15,0)</f>
        <v>1.371</v>
      </c>
      <c r="F153" s="151">
        <f>SUMIFS('AFC Data details'!C:C,'AFC Data details'!$B:$B,'Element wise-detail Summary'!$A153)</f>
        <v>1</v>
      </c>
      <c r="G153" s="151">
        <f>SUMIFS(Cast!$C:$C,Cast!$B:$B,'Element wise-detail Summary'!$A153)</f>
        <v>1</v>
      </c>
      <c r="H153" s="151">
        <f t="shared" si="11"/>
        <v>0</v>
      </c>
      <c r="I153" s="151">
        <f>SUMIFS(Del!$C:$C,Del!$B:$B,'Element wise-detail Summary'!$A153)</f>
        <v>1</v>
      </c>
      <c r="J153" s="151">
        <f t="shared" si="12"/>
        <v>0</v>
      </c>
      <c r="K153" s="151">
        <f t="shared" si="13"/>
        <v>0</v>
      </c>
      <c r="L153" s="151">
        <f>SUMIF(Ere!$B:$B,'Element wise-detail Summary'!$A153,Ere!$C:$C)</f>
        <v>1</v>
      </c>
      <c r="M153" s="151">
        <f t="shared" si="14"/>
        <v>0</v>
      </c>
      <c r="N153">
        <f t="shared" si="15"/>
        <v>1.371</v>
      </c>
    </row>
    <row r="154" spans="1:14" hidden="1" x14ac:dyDescent="0.25">
      <c r="A154" s="151" t="s">
        <v>1333</v>
      </c>
      <c r="B154" s="233" t="str">
        <f>VLOOKUP(A154,'AFC Data details'!$B:$E,4,0)</f>
        <v>V31</v>
      </c>
      <c r="C154" s="144" t="s">
        <v>1693</v>
      </c>
      <c r="D154" s="151" t="s">
        <v>602</v>
      </c>
      <c r="E154" s="151">
        <f>VLOOKUP(A154,'AFC Data details'!$B:$P,15,0)</f>
        <v>1.544</v>
      </c>
      <c r="F154" s="151">
        <f>SUMIFS('AFC Data details'!C:C,'AFC Data details'!$B:$B,'Element wise-detail Summary'!$A154)</f>
        <v>1</v>
      </c>
      <c r="G154" s="151">
        <f>SUMIFS(Cast!$C:$C,Cast!$B:$B,'Element wise-detail Summary'!$A154)</f>
        <v>1</v>
      </c>
      <c r="H154" s="151">
        <f t="shared" si="11"/>
        <v>0</v>
      </c>
      <c r="I154" s="151">
        <f>SUMIFS(Del!$C:$C,Del!$B:$B,'Element wise-detail Summary'!$A154)</f>
        <v>1</v>
      </c>
      <c r="J154" s="151">
        <f t="shared" si="12"/>
        <v>0</v>
      </c>
      <c r="K154" s="151">
        <f t="shared" si="13"/>
        <v>0</v>
      </c>
      <c r="L154" s="151">
        <f>SUMIF(Ere!$B:$B,'Element wise-detail Summary'!$A154,Ere!$C:$C)</f>
        <v>1</v>
      </c>
      <c r="M154" s="151">
        <f t="shared" si="14"/>
        <v>0</v>
      </c>
      <c r="N154">
        <f t="shared" si="15"/>
        <v>1.544</v>
      </c>
    </row>
    <row r="155" spans="1:14" hidden="1" x14ac:dyDescent="0.25">
      <c r="A155" s="151" t="s">
        <v>1334</v>
      </c>
      <c r="B155" s="233" t="str">
        <f>VLOOKUP(A155,'AFC Data details'!$B:$E,4,0)</f>
        <v>V32</v>
      </c>
      <c r="C155" s="144" t="s">
        <v>1693</v>
      </c>
      <c r="D155" s="151" t="s">
        <v>602</v>
      </c>
      <c r="E155" s="151">
        <f>VLOOKUP(A155,'AFC Data details'!$B:$P,15,0)</f>
        <v>1.0629999999999999</v>
      </c>
      <c r="F155" s="151">
        <f>SUMIFS('AFC Data details'!C:C,'AFC Data details'!$B:$B,'Element wise-detail Summary'!$A155)</f>
        <v>1</v>
      </c>
      <c r="G155" s="151">
        <f>SUMIFS(Cast!$C:$C,Cast!$B:$B,'Element wise-detail Summary'!$A155)</f>
        <v>1</v>
      </c>
      <c r="H155" s="151">
        <f t="shared" si="11"/>
        <v>0</v>
      </c>
      <c r="I155" s="151">
        <f>SUMIFS(Del!$C:$C,Del!$B:$B,'Element wise-detail Summary'!$A155)</f>
        <v>1</v>
      </c>
      <c r="J155" s="151">
        <f t="shared" si="12"/>
        <v>0</v>
      </c>
      <c r="K155" s="151">
        <f t="shared" si="13"/>
        <v>0</v>
      </c>
      <c r="L155" s="151">
        <f>SUMIF(Ere!$B:$B,'Element wise-detail Summary'!$A155,Ere!$C:$C)</f>
        <v>1</v>
      </c>
      <c r="M155" s="151">
        <f t="shared" si="14"/>
        <v>0</v>
      </c>
      <c r="N155">
        <f t="shared" si="15"/>
        <v>1.0629999999999999</v>
      </c>
    </row>
    <row r="156" spans="1:14" hidden="1" x14ac:dyDescent="0.25">
      <c r="A156" s="151" t="s">
        <v>1335</v>
      </c>
      <c r="B156" s="233" t="str">
        <f>VLOOKUP(A156,'AFC Data details'!$B:$E,4,0)</f>
        <v>V32</v>
      </c>
      <c r="C156" s="144" t="s">
        <v>1693</v>
      </c>
      <c r="D156" s="151" t="s">
        <v>602</v>
      </c>
      <c r="E156" s="151">
        <f>VLOOKUP(A156,'AFC Data details'!$B:$P,15,0)</f>
        <v>2.125</v>
      </c>
      <c r="F156" s="151">
        <f>SUMIFS('AFC Data details'!C:C,'AFC Data details'!$B:$B,'Element wise-detail Summary'!$A156)</f>
        <v>1</v>
      </c>
      <c r="G156" s="151">
        <f>SUMIFS(Cast!$C:$C,Cast!$B:$B,'Element wise-detail Summary'!$A156)</f>
        <v>1</v>
      </c>
      <c r="H156" s="151">
        <f t="shared" si="11"/>
        <v>0</v>
      </c>
      <c r="I156" s="151">
        <f>SUMIFS(Del!$C:$C,Del!$B:$B,'Element wise-detail Summary'!$A156)</f>
        <v>1</v>
      </c>
      <c r="J156" s="151">
        <f t="shared" si="12"/>
        <v>0</v>
      </c>
      <c r="K156" s="151">
        <f t="shared" si="13"/>
        <v>0</v>
      </c>
      <c r="L156" s="151">
        <f>SUMIF(Ere!$B:$B,'Element wise-detail Summary'!$A156,Ere!$C:$C)</f>
        <v>1</v>
      </c>
      <c r="M156" s="151">
        <f t="shared" si="14"/>
        <v>0</v>
      </c>
      <c r="N156">
        <f t="shared" si="15"/>
        <v>2.125</v>
      </c>
    </row>
    <row r="157" spans="1:14" hidden="1" x14ac:dyDescent="0.25">
      <c r="A157" s="151" t="s">
        <v>1336</v>
      </c>
      <c r="B157" s="233" t="str">
        <f>VLOOKUP(A157,'AFC Data details'!$B:$E,4,0)</f>
        <v>V33</v>
      </c>
      <c r="C157" s="144" t="s">
        <v>1693</v>
      </c>
      <c r="D157" s="151" t="s">
        <v>602</v>
      </c>
      <c r="E157" s="151">
        <f>VLOOKUP(A157,'AFC Data details'!$B:$P,15,0)</f>
        <v>2.125</v>
      </c>
      <c r="F157" s="151">
        <f>SUMIFS('AFC Data details'!C:C,'AFC Data details'!$B:$B,'Element wise-detail Summary'!$A157)</f>
        <v>1</v>
      </c>
      <c r="G157" s="151">
        <f>SUMIFS(Cast!$C:$C,Cast!$B:$B,'Element wise-detail Summary'!$A157)</f>
        <v>1</v>
      </c>
      <c r="H157" s="151">
        <f t="shared" si="11"/>
        <v>0</v>
      </c>
      <c r="I157" s="151">
        <f>SUMIFS(Del!$C:$C,Del!$B:$B,'Element wise-detail Summary'!$A157)</f>
        <v>1</v>
      </c>
      <c r="J157" s="151">
        <f t="shared" si="12"/>
        <v>0</v>
      </c>
      <c r="K157" s="151">
        <f t="shared" si="13"/>
        <v>0</v>
      </c>
      <c r="L157" s="151">
        <f>SUMIF(Ere!$B:$B,'Element wise-detail Summary'!$A157,Ere!$C:$C)</f>
        <v>1</v>
      </c>
      <c r="M157" s="151">
        <f t="shared" si="14"/>
        <v>0</v>
      </c>
      <c r="N157">
        <f t="shared" si="15"/>
        <v>2.125</v>
      </c>
    </row>
    <row r="158" spans="1:14" hidden="1" x14ac:dyDescent="0.25">
      <c r="A158" s="151" t="s">
        <v>1337</v>
      </c>
      <c r="B158" s="233" t="str">
        <f>VLOOKUP(A158,'AFC Data details'!$B:$E,4,0)</f>
        <v>V32</v>
      </c>
      <c r="C158" s="144" t="s">
        <v>1693</v>
      </c>
      <c r="D158" s="151" t="s">
        <v>602</v>
      </c>
      <c r="E158" s="151">
        <f>VLOOKUP(A158,'AFC Data details'!$B:$P,15,0)</f>
        <v>2.125</v>
      </c>
      <c r="F158" s="151">
        <f>SUMIFS('AFC Data details'!C:C,'AFC Data details'!$B:$B,'Element wise-detail Summary'!$A158)</f>
        <v>1</v>
      </c>
      <c r="G158" s="151">
        <f>SUMIFS(Cast!$C:$C,Cast!$B:$B,'Element wise-detail Summary'!$A158)</f>
        <v>1</v>
      </c>
      <c r="H158" s="151">
        <f t="shared" si="11"/>
        <v>0</v>
      </c>
      <c r="I158" s="151">
        <f>SUMIFS(Del!$C:$C,Del!$B:$B,'Element wise-detail Summary'!$A158)</f>
        <v>1</v>
      </c>
      <c r="J158" s="151">
        <f t="shared" si="12"/>
        <v>0</v>
      </c>
      <c r="K158" s="151">
        <f t="shared" si="13"/>
        <v>0</v>
      </c>
      <c r="L158" s="151">
        <f>SUMIF(Ere!$B:$B,'Element wise-detail Summary'!$A158,Ere!$C:$C)</f>
        <v>1</v>
      </c>
      <c r="M158" s="151">
        <f t="shared" si="14"/>
        <v>0</v>
      </c>
      <c r="N158">
        <f t="shared" si="15"/>
        <v>2.125</v>
      </c>
    </row>
    <row r="159" spans="1:14" hidden="1" x14ac:dyDescent="0.25">
      <c r="A159" s="151" t="s">
        <v>1338</v>
      </c>
      <c r="B159" s="233" t="str">
        <f>VLOOKUP(A159,'AFC Data details'!$B:$E,4,0)</f>
        <v>V33</v>
      </c>
      <c r="C159" s="144" t="s">
        <v>1693</v>
      </c>
      <c r="D159" s="151" t="s">
        <v>602</v>
      </c>
      <c r="E159" s="151">
        <f>VLOOKUP(A159,'AFC Data details'!$B:$P,15,0)</f>
        <v>2.125</v>
      </c>
      <c r="F159" s="151">
        <f>SUMIFS('AFC Data details'!C:C,'AFC Data details'!$B:$B,'Element wise-detail Summary'!$A159)</f>
        <v>1</v>
      </c>
      <c r="G159" s="151">
        <f>SUMIFS(Cast!$C:$C,Cast!$B:$B,'Element wise-detail Summary'!$A159)</f>
        <v>1</v>
      </c>
      <c r="H159" s="151">
        <f t="shared" si="11"/>
        <v>0</v>
      </c>
      <c r="I159" s="151">
        <f>SUMIFS(Del!$C:$C,Del!$B:$B,'Element wise-detail Summary'!$A159)</f>
        <v>1</v>
      </c>
      <c r="J159" s="151">
        <f t="shared" si="12"/>
        <v>0</v>
      </c>
      <c r="K159" s="151">
        <f t="shared" si="13"/>
        <v>0</v>
      </c>
      <c r="L159" s="151">
        <f>SUMIF(Ere!$B:$B,'Element wise-detail Summary'!$A159,Ere!$C:$C)</f>
        <v>1</v>
      </c>
      <c r="M159" s="151">
        <f t="shared" si="14"/>
        <v>0</v>
      </c>
      <c r="N159">
        <f t="shared" si="15"/>
        <v>2.125</v>
      </c>
    </row>
    <row r="160" spans="1:14" hidden="1" x14ac:dyDescent="0.25">
      <c r="A160" s="151" t="s">
        <v>1339</v>
      </c>
      <c r="B160" s="233" t="str">
        <f>VLOOKUP(A160,'AFC Data details'!$B:$E,4,0)</f>
        <v>V32</v>
      </c>
      <c r="C160" s="144" t="s">
        <v>1693</v>
      </c>
      <c r="D160" s="151" t="s">
        <v>602</v>
      </c>
      <c r="E160" s="151">
        <f>VLOOKUP(A160,'AFC Data details'!$B:$P,15,0)</f>
        <v>2.125</v>
      </c>
      <c r="F160" s="151">
        <f>SUMIFS('AFC Data details'!C:C,'AFC Data details'!$B:$B,'Element wise-detail Summary'!$A160)</f>
        <v>1</v>
      </c>
      <c r="G160" s="151">
        <f>SUMIFS(Cast!$C:$C,Cast!$B:$B,'Element wise-detail Summary'!$A160)</f>
        <v>1</v>
      </c>
      <c r="H160" s="151">
        <f t="shared" si="11"/>
        <v>0</v>
      </c>
      <c r="I160" s="151">
        <f>SUMIFS(Del!$C:$C,Del!$B:$B,'Element wise-detail Summary'!$A160)</f>
        <v>1</v>
      </c>
      <c r="J160" s="151">
        <f t="shared" si="12"/>
        <v>0</v>
      </c>
      <c r="K160" s="151">
        <f t="shared" si="13"/>
        <v>0</v>
      </c>
      <c r="L160" s="151">
        <f>SUMIF(Ere!$B:$B,'Element wise-detail Summary'!$A160,Ere!$C:$C)</f>
        <v>1</v>
      </c>
      <c r="M160" s="151">
        <f t="shared" si="14"/>
        <v>0</v>
      </c>
      <c r="N160">
        <f t="shared" si="15"/>
        <v>2.125</v>
      </c>
    </row>
    <row r="161" spans="1:14" hidden="1" x14ac:dyDescent="0.25">
      <c r="A161" s="151" t="s">
        <v>1340</v>
      </c>
      <c r="B161" s="233" t="str">
        <f>VLOOKUP(A161,'AFC Data details'!$B:$E,4,0)</f>
        <v>V33</v>
      </c>
      <c r="C161" s="144" t="s">
        <v>1693</v>
      </c>
      <c r="D161" s="151" t="s">
        <v>602</v>
      </c>
      <c r="E161" s="151">
        <f>VLOOKUP(A161,'AFC Data details'!$B:$P,15,0)</f>
        <v>2.125</v>
      </c>
      <c r="F161" s="151">
        <f>SUMIFS('AFC Data details'!C:C,'AFC Data details'!$B:$B,'Element wise-detail Summary'!$A161)</f>
        <v>1</v>
      </c>
      <c r="G161" s="151">
        <f>SUMIFS(Cast!$C:$C,Cast!$B:$B,'Element wise-detail Summary'!$A161)</f>
        <v>1</v>
      </c>
      <c r="H161" s="151">
        <f t="shared" si="11"/>
        <v>0</v>
      </c>
      <c r="I161" s="151">
        <f>SUMIFS(Del!$C:$C,Del!$B:$B,'Element wise-detail Summary'!$A161)</f>
        <v>1</v>
      </c>
      <c r="J161" s="151">
        <f t="shared" si="12"/>
        <v>0</v>
      </c>
      <c r="K161" s="151">
        <f t="shared" si="13"/>
        <v>0</v>
      </c>
      <c r="L161" s="151">
        <f>SUMIF(Ere!$B:$B,'Element wise-detail Summary'!$A161,Ere!$C:$C)</f>
        <v>1</v>
      </c>
      <c r="M161" s="151">
        <f t="shared" si="14"/>
        <v>0</v>
      </c>
      <c r="N161">
        <f t="shared" si="15"/>
        <v>2.125</v>
      </c>
    </row>
    <row r="162" spans="1:14" hidden="1" x14ac:dyDescent="0.25">
      <c r="A162" s="151" t="s">
        <v>1341</v>
      </c>
      <c r="B162" s="233" t="str">
        <f>VLOOKUP(A162,'AFC Data details'!$B:$E,4,0)</f>
        <v>V32</v>
      </c>
      <c r="C162" s="144" t="s">
        <v>1693</v>
      </c>
      <c r="D162" s="151" t="s">
        <v>602</v>
      </c>
      <c r="E162" s="151">
        <f>VLOOKUP(A162,'AFC Data details'!$B:$P,15,0)</f>
        <v>2.125</v>
      </c>
      <c r="F162" s="151">
        <f>SUMIFS('AFC Data details'!C:C,'AFC Data details'!$B:$B,'Element wise-detail Summary'!$A162)</f>
        <v>1</v>
      </c>
      <c r="G162" s="151">
        <f>SUMIFS(Cast!$C:$C,Cast!$B:$B,'Element wise-detail Summary'!$A162)</f>
        <v>1</v>
      </c>
      <c r="H162" s="151">
        <f t="shared" si="11"/>
        <v>0</v>
      </c>
      <c r="I162" s="151">
        <f>SUMIFS(Del!$C:$C,Del!$B:$B,'Element wise-detail Summary'!$A162)</f>
        <v>1</v>
      </c>
      <c r="J162" s="151">
        <f t="shared" si="12"/>
        <v>0</v>
      </c>
      <c r="K162" s="151">
        <f t="shared" si="13"/>
        <v>0</v>
      </c>
      <c r="L162" s="151">
        <f>SUMIF(Ere!$B:$B,'Element wise-detail Summary'!$A162,Ere!$C:$C)</f>
        <v>1</v>
      </c>
      <c r="M162" s="151">
        <f t="shared" si="14"/>
        <v>0</v>
      </c>
      <c r="N162">
        <f t="shared" si="15"/>
        <v>2.125</v>
      </c>
    </row>
    <row r="163" spans="1:14" hidden="1" x14ac:dyDescent="0.25">
      <c r="A163" s="151" t="s">
        <v>1342</v>
      </c>
      <c r="B163" s="233" t="str">
        <f>VLOOKUP(A163,'AFC Data details'!$B:$E,4,0)</f>
        <v>V33</v>
      </c>
      <c r="C163" s="144" t="s">
        <v>1693</v>
      </c>
      <c r="D163" s="151" t="s">
        <v>602</v>
      </c>
      <c r="E163" s="151">
        <f>VLOOKUP(A163,'AFC Data details'!$B:$P,15,0)</f>
        <v>2.125</v>
      </c>
      <c r="F163" s="151">
        <f>SUMIFS('AFC Data details'!C:C,'AFC Data details'!$B:$B,'Element wise-detail Summary'!$A163)</f>
        <v>1</v>
      </c>
      <c r="G163" s="151">
        <f>SUMIFS(Cast!$C:$C,Cast!$B:$B,'Element wise-detail Summary'!$A163)</f>
        <v>1</v>
      </c>
      <c r="H163" s="151">
        <f t="shared" si="11"/>
        <v>0</v>
      </c>
      <c r="I163" s="151">
        <f>SUMIFS(Del!$C:$C,Del!$B:$B,'Element wise-detail Summary'!$A163)</f>
        <v>1</v>
      </c>
      <c r="J163" s="151">
        <f t="shared" si="12"/>
        <v>0</v>
      </c>
      <c r="K163" s="151">
        <f t="shared" si="13"/>
        <v>0</v>
      </c>
      <c r="L163" s="151">
        <f>SUMIF(Ere!$B:$B,'Element wise-detail Summary'!$A163,Ere!$C:$C)</f>
        <v>1</v>
      </c>
      <c r="M163" s="151">
        <f t="shared" si="14"/>
        <v>0</v>
      </c>
      <c r="N163">
        <f t="shared" si="15"/>
        <v>2.125</v>
      </c>
    </row>
    <row r="164" spans="1:14" hidden="1" x14ac:dyDescent="0.25">
      <c r="A164" s="151" t="s">
        <v>1343</v>
      </c>
      <c r="B164" s="233" t="str">
        <f>VLOOKUP(A164,'AFC Data details'!$B:$E,4,0)</f>
        <v>V32</v>
      </c>
      <c r="C164" s="144" t="s">
        <v>1693</v>
      </c>
      <c r="D164" s="151" t="s">
        <v>602</v>
      </c>
      <c r="E164" s="151">
        <f>VLOOKUP(A164,'AFC Data details'!$B:$P,15,0)</f>
        <v>2.125</v>
      </c>
      <c r="F164" s="151">
        <f>SUMIFS('AFC Data details'!C:C,'AFC Data details'!$B:$B,'Element wise-detail Summary'!$A164)</f>
        <v>1</v>
      </c>
      <c r="G164" s="151">
        <f>SUMIFS(Cast!$C:$C,Cast!$B:$B,'Element wise-detail Summary'!$A164)</f>
        <v>1</v>
      </c>
      <c r="H164" s="151">
        <f t="shared" si="11"/>
        <v>0</v>
      </c>
      <c r="I164" s="151">
        <f>SUMIFS(Del!$C:$C,Del!$B:$B,'Element wise-detail Summary'!$A164)</f>
        <v>1</v>
      </c>
      <c r="J164" s="151">
        <f t="shared" si="12"/>
        <v>0</v>
      </c>
      <c r="K164" s="151">
        <f t="shared" si="13"/>
        <v>0</v>
      </c>
      <c r="L164" s="151">
        <f>SUMIF(Ere!$B:$B,'Element wise-detail Summary'!$A164,Ere!$C:$C)</f>
        <v>1</v>
      </c>
      <c r="M164" s="151">
        <f t="shared" si="14"/>
        <v>0</v>
      </c>
      <c r="N164">
        <f t="shared" si="15"/>
        <v>2.125</v>
      </c>
    </row>
    <row r="165" spans="1:14" hidden="1" x14ac:dyDescent="0.25">
      <c r="A165" s="151" t="s">
        <v>1344</v>
      </c>
      <c r="B165" s="233" t="str">
        <f>VLOOKUP(A165,'AFC Data details'!$B:$E,4,0)</f>
        <v>V33</v>
      </c>
      <c r="C165" s="144" t="s">
        <v>1693</v>
      </c>
      <c r="D165" s="151" t="s">
        <v>602</v>
      </c>
      <c r="E165" s="151">
        <f>VLOOKUP(A165,'AFC Data details'!$B:$P,15,0)</f>
        <v>2.125</v>
      </c>
      <c r="F165" s="151">
        <f>SUMIFS('AFC Data details'!C:C,'AFC Data details'!$B:$B,'Element wise-detail Summary'!$A165)</f>
        <v>1</v>
      </c>
      <c r="G165" s="151">
        <f>SUMIFS(Cast!$C:$C,Cast!$B:$B,'Element wise-detail Summary'!$A165)</f>
        <v>1</v>
      </c>
      <c r="H165" s="151">
        <f t="shared" si="11"/>
        <v>0</v>
      </c>
      <c r="I165" s="151">
        <f>SUMIFS(Del!$C:$C,Del!$B:$B,'Element wise-detail Summary'!$A165)</f>
        <v>1</v>
      </c>
      <c r="J165" s="151">
        <f t="shared" si="12"/>
        <v>0</v>
      </c>
      <c r="K165" s="151">
        <f t="shared" si="13"/>
        <v>0</v>
      </c>
      <c r="L165" s="151">
        <f>SUMIF(Ere!$B:$B,'Element wise-detail Summary'!$A165,Ere!$C:$C)</f>
        <v>1</v>
      </c>
      <c r="M165" s="151">
        <f t="shared" si="14"/>
        <v>0</v>
      </c>
      <c r="N165">
        <f t="shared" si="15"/>
        <v>2.125</v>
      </c>
    </row>
    <row r="166" spans="1:14" hidden="1" x14ac:dyDescent="0.25">
      <c r="A166" s="151" t="s">
        <v>1345</v>
      </c>
      <c r="B166" s="233" t="str">
        <f>VLOOKUP(A166,'AFC Data details'!$B:$E,4,0)</f>
        <v>V32</v>
      </c>
      <c r="C166" s="144" t="s">
        <v>1693</v>
      </c>
      <c r="D166" s="151" t="s">
        <v>602</v>
      </c>
      <c r="E166" s="151">
        <f>VLOOKUP(A166,'AFC Data details'!$B:$P,15,0)</f>
        <v>1.5249999999999999</v>
      </c>
      <c r="F166" s="151">
        <f>SUMIFS('AFC Data details'!C:C,'AFC Data details'!$B:$B,'Element wise-detail Summary'!$A166)</f>
        <v>1</v>
      </c>
      <c r="G166" s="151">
        <f>SUMIFS(Cast!$C:$C,Cast!$B:$B,'Element wise-detail Summary'!$A166)</f>
        <v>1</v>
      </c>
      <c r="H166" s="151">
        <f t="shared" si="11"/>
        <v>0</v>
      </c>
      <c r="I166" s="151">
        <f>SUMIFS(Del!$C:$C,Del!$B:$B,'Element wise-detail Summary'!$A166)</f>
        <v>1</v>
      </c>
      <c r="J166" s="151">
        <f t="shared" si="12"/>
        <v>0</v>
      </c>
      <c r="K166" s="151">
        <f t="shared" si="13"/>
        <v>0</v>
      </c>
      <c r="L166" s="151">
        <f>SUMIF(Ere!$B:$B,'Element wise-detail Summary'!$A166,Ere!$C:$C)</f>
        <v>1</v>
      </c>
      <c r="M166" s="151">
        <f t="shared" si="14"/>
        <v>0</v>
      </c>
      <c r="N166">
        <f t="shared" si="15"/>
        <v>1.5249999999999999</v>
      </c>
    </row>
    <row r="167" spans="1:14" hidden="1" x14ac:dyDescent="0.25">
      <c r="A167" s="151" t="s">
        <v>1346</v>
      </c>
      <c r="B167" s="233" t="str">
        <f>VLOOKUP(A167,'AFC Data details'!$B:$E,4,0)</f>
        <v>V32</v>
      </c>
      <c r="C167" s="144" t="s">
        <v>1693</v>
      </c>
      <c r="D167" s="151" t="s">
        <v>602</v>
      </c>
      <c r="E167" s="151">
        <f>VLOOKUP(A167,'AFC Data details'!$B:$P,15,0)</f>
        <v>1.33</v>
      </c>
      <c r="F167" s="151">
        <f>SUMIFS('AFC Data details'!C:C,'AFC Data details'!$B:$B,'Element wise-detail Summary'!$A167)</f>
        <v>1</v>
      </c>
      <c r="G167" s="151">
        <f>SUMIFS(Cast!$C:$C,Cast!$B:$B,'Element wise-detail Summary'!$A167)</f>
        <v>1</v>
      </c>
      <c r="H167" s="151">
        <f t="shared" si="11"/>
        <v>0</v>
      </c>
      <c r="I167" s="151">
        <f>SUMIFS(Del!$C:$C,Del!$B:$B,'Element wise-detail Summary'!$A167)</f>
        <v>1</v>
      </c>
      <c r="J167" s="151">
        <f t="shared" si="12"/>
        <v>0</v>
      </c>
      <c r="K167" s="151">
        <f t="shared" si="13"/>
        <v>0</v>
      </c>
      <c r="L167" s="151">
        <f>SUMIF(Ere!$B:$B,'Element wise-detail Summary'!$A167,Ere!$C:$C)</f>
        <v>1</v>
      </c>
      <c r="M167" s="151">
        <f t="shared" si="14"/>
        <v>0</v>
      </c>
      <c r="N167">
        <f t="shared" si="15"/>
        <v>1.33</v>
      </c>
    </row>
    <row r="168" spans="1:14" hidden="1" x14ac:dyDescent="0.25">
      <c r="A168" s="151" t="s">
        <v>1347</v>
      </c>
      <c r="B168" s="233" t="str">
        <f>VLOOKUP(A168,'AFC Data details'!$B:$E,4,0)</f>
        <v>V33</v>
      </c>
      <c r="C168" s="144" t="s">
        <v>1693</v>
      </c>
      <c r="D168" s="151" t="s">
        <v>602</v>
      </c>
      <c r="E168" s="151">
        <f>VLOOKUP(A168,'AFC Data details'!$B:$P,15,0)</f>
        <v>2.125</v>
      </c>
      <c r="F168" s="151">
        <f>SUMIFS('AFC Data details'!C:C,'AFC Data details'!$B:$B,'Element wise-detail Summary'!$A168)</f>
        <v>1</v>
      </c>
      <c r="G168" s="151">
        <f>SUMIFS(Cast!$C:$C,Cast!$B:$B,'Element wise-detail Summary'!$A168)</f>
        <v>1</v>
      </c>
      <c r="H168" s="151">
        <f t="shared" si="11"/>
        <v>0</v>
      </c>
      <c r="I168" s="151">
        <f>SUMIFS(Del!$C:$C,Del!$B:$B,'Element wise-detail Summary'!$A168)</f>
        <v>1</v>
      </c>
      <c r="J168" s="151">
        <f t="shared" si="12"/>
        <v>0</v>
      </c>
      <c r="K168" s="151">
        <f t="shared" si="13"/>
        <v>0</v>
      </c>
      <c r="L168" s="151">
        <f>SUMIF(Ere!$B:$B,'Element wise-detail Summary'!$A168,Ere!$C:$C)</f>
        <v>1</v>
      </c>
      <c r="M168" s="151">
        <f t="shared" si="14"/>
        <v>0</v>
      </c>
      <c r="N168">
        <f t="shared" si="15"/>
        <v>2.125</v>
      </c>
    </row>
    <row r="169" spans="1:14" hidden="1" x14ac:dyDescent="0.25">
      <c r="A169" s="151" t="s">
        <v>1348</v>
      </c>
      <c r="B169" s="233" t="str">
        <f>VLOOKUP(A169,'AFC Data details'!$B:$E,4,0)</f>
        <v>V32</v>
      </c>
      <c r="C169" s="144" t="s">
        <v>1693</v>
      </c>
      <c r="D169" s="151" t="s">
        <v>602</v>
      </c>
      <c r="E169" s="151">
        <f>VLOOKUP(A169,'AFC Data details'!$B:$P,15,0)</f>
        <v>2.125</v>
      </c>
      <c r="F169" s="151">
        <f>SUMIFS('AFC Data details'!C:C,'AFC Data details'!$B:$B,'Element wise-detail Summary'!$A169)</f>
        <v>1</v>
      </c>
      <c r="G169" s="151">
        <f>SUMIFS(Cast!$C:$C,Cast!$B:$B,'Element wise-detail Summary'!$A169)</f>
        <v>1</v>
      </c>
      <c r="H169" s="151">
        <f t="shared" si="11"/>
        <v>0</v>
      </c>
      <c r="I169" s="151">
        <f>SUMIFS(Del!$C:$C,Del!$B:$B,'Element wise-detail Summary'!$A169)</f>
        <v>1</v>
      </c>
      <c r="J169" s="151">
        <f t="shared" si="12"/>
        <v>0</v>
      </c>
      <c r="K169" s="151">
        <f t="shared" si="13"/>
        <v>0</v>
      </c>
      <c r="L169" s="151">
        <f>SUMIF(Ere!$B:$B,'Element wise-detail Summary'!$A169,Ere!$C:$C)</f>
        <v>1</v>
      </c>
      <c r="M169" s="151">
        <f t="shared" si="14"/>
        <v>0</v>
      </c>
      <c r="N169">
        <f t="shared" si="15"/>
        <v>2.125</v>
      </c>
    </row>
    <row r="170" spans="1:14" hidden="1" x14ac:dyDescent="0.25">
      <c r="A170" s="151" t="s">
        <v>1349</v>
      </c>
      <c r="B170" s="233" t="str">
        <f>VLOOKUP(A170,'AFC Data details'!$B:$E,4,0)</f>
        <v>V33</v>
      </c>
      <c r="C170" s="144" t="s">
        <v>1693</v>
      </c>
      <c r="D170" s="151" t="s">
        <v>602</v>
      </c>
      <c r="E170" s="151">
        <f>VLOOKUP(A170,'AFC Data details'!$B:$P,15,0)</f>
        <v>1.377</v>
      </c>
      <c r="F170" s="151">
        <f>SUMIFS('AFC Data details'!C:C,'AFC Data details'!$B:$B,'Element wise-detail Summary'!$A170)</f>
        <v>1</v>
      </c>
      <c r="G170" s="151">
        <f>SUMIFS(Cast!$C:$C,Cast!$B:$B,'Element wise-detail Summary'!$A170)</f>
        <v>1</v>
      </c>
      <c r="H170" s="151">
        <f t="shared" si="11"/>
        <v>0</v>
      </c>
      <c r="I170" s="151">
        <f>SUMIFS(Del!$C:$C,Del!$B:$B,'Element wise-detail Summary'!$A170)</f>
        <v>1</v>
      </c>
      <c r="J170" s="151">
        <f t="shared" si="12"/>
        <v>0</v>
      </c>
      <c r="K170" s="151">
        <f t="shared" si="13"/>
        <v>0</v>
      </c>
      <c r="L170" s="151">
        <f>SUMIF(Ere!$B:$B,'Element wise-detail Summary'!$A170,Ere!$C:$C)</f>
        <v>1</v>
      </c>
      <c r="M170" s="151">
        <f t="shared" si="14"/>
        <v>0</v>
      </c>
      <c r="N170">
        <f t="shared" si="15"/>
        <v>1.377</v>
      </c>
    </row>
    <row r="171" spans="1:14" hidden="1" x14ac:dyDescent="0.25">
      <c r="A171" s="151" t="s">
        <v>1350</v>
      </c>
      <c r="B171" s="233" t="str">
        <f>VLOOKUP(A171,'AFC Data details'!$B:$E,4,0)</f>
        <v>V33</v>
      </c>
      <c r="C171" s="144" t="s">
        <v>1693</v>
      </c>
      <c r="D171" s="151" t="s">
        <v>602</v>
      </c>
      <c r="E171" s="151">
        <f>VLOOKUP(A171,'AFC Data details'!$B:$P,15,0)</f>
        <v>1.55</v>
      </c>
      <c r="F171" s="151">
        <f>SUMIFS('AFC Data details'!C:C,'AFC Data details'!$B:$B,'Element wise-detail Summary'!$A171)</f>
        <v>1</v>
      </c>
      <c r="G171" s="151">
        <f>SUMIFS(Cast!$C:$C,Cast!$B:$B,'Element wise-detail Summary'!$A171)</f>
        <v>1</v>
      </c>
      <c r="H171" s="151">
        <f t="shared" si="11"/>
        <v>0</v>
      </c>
      <c r="I171" s="151">
        <f>SUMIFS(Del!$C:$C,Del!$B:$B,'Element wise-detail Summary'!$A171)</f>
        <v>1</v>
      </c>
      <c r="J171" s="151">
        <f t="shared" si="12"/>
        <v>0</v>
      </c>
      <c r="K171" s="151">
        <f t="shared" si="13"/>
        <v>0</v>
      </c>
      <c r="L171" s="151">
        <f>SUMIF(Ere!$B:$B,'Element wise-detail Summary'!$A171,Ere!$C:$C)</f>
        <v>1</v>
      </c>
      <c r="M171" s="151">
        <f t="shared" si="14"/>
        <v>0</v>
      </c>
      <c r="N171">
        <f t="shared" si="15"/>
        <v>1.55</v>
      </c>
    </row>
    <row r="172" spans="1:14" hidden="1" x14ac:dyDescent="0.25">
      <c r="A172" s="151" t="s">
        <v>1351</v>
      </c>
      <c r="B172" s="233" t="str">
        <f>VLOOKUP(A172,'AFC Data details'!$B:$E,4,0)</f>
        <v>V34</v>
      </c>
      <c r="C172" s="144" t="s">
        <v>1693</v>
      </c>
      <c r="D172" s="151" t="s">
        <v>602</v>
      </c>
      <c r="E172" s="151">
        <f>VLOOKUP(A172,'AFC Data details'!$B:$P,15,0)</f>
        <v>2.0920000000000001</v>
      </c>
      <c r="F172" s="151">
        <f>SUMIFS('AFC Data details'!C:C,'AFC Data details'!$B:$B,'Element wise-detail Summary'!$A172)</f>
        <v>1</v>
      </c>
      <c r="G172" s="151">
        <f>SUMIFS(Cast!$C:$C,Cast!$B:$B,'Element wise-detail Summary'!$A172)</f>
        <v>1</v>
      </c>
      <c r="H172" s="151">
        <f t="shared" si="11"/>
        <v>0</v>
      </c>
      <c r="I172" s="151">
        <f>SUMIFS(Del!$C:$C,Del!$B:$B,'Element wise-detail Summary'!$A172)</f>
        <v>1</v>
      </c>
      <c r="J172" s="151">
        <f t="shared" si="12"/>
        <v>0</v>
      </c>
      <c r="K172" s="151">
        <f t="shared" si="13"/>
        <v>0</v>
      </c>
      <c r="L172" s="151">
        <f>SUMIF(Ere!$B:$B,'Element wise-detail Summary'!$A172,Ere!$C:$C)</f>
        <v>1</v>
      </c>
      <c r="M172" s="151">
        <f t="shared" si="14"/>
        <v>0</v>
      </c>
      <c r="N172">
        <f t="shared" si="15"/>
        <v>2.0920000000000001</v>
      </c>
    </row>
    <row r="173" spans="1:14" hidden="1" x14ac:dyDescent="0.25">
      <c r="A173" s="151" t="s">
        <v>1352</v>
      </c>
      <c r="B173" s="233" t="str">
        <f>VLOOKUP(A173,'AFC Data details'!$B:$E,4,0)</f>
        <v>V34</v>
      </c>
      <c r="C173" s="144" t="s">
        <v>1693</v>
      </c>
      <c r="D173" s="151" t="s">
        <v>602</v>
      </c>
      <c r="E173" s="151">
        <f>VLOOKUP(A173,'AFC Data details'!$B:$P,15,0)</f>
        <v>2.0920000000000001</v>
      </c>
      <c r="F173" s="151">
        <f>SUMIFS('AFC Data details'!C:C,'AFC Data details'!$B:$B,'Element wise-detail Summary'!$A173)</f>
        <v>1</v>
      </c>
      <c r="G173" s="151">
        <f>SUMIFS(Cast!$C:$C,Cast!$B:$B,'Element wise-detail Summary'!$A173)</f>
        <v>1</v>
      </c>
      <c r="H173" s="151">
        <f t="shared" si="11"/>
        <v>0</v>
      </c>
      <c r="I173" s="151">
        <f>SUMIFS(Del!$C:$C,Del!$B:$B,'Element wise-detail Summary'!$A173)</f>
        <v>1</v>
      </c>
      <c r="J173" s="151">
        <f t="shared" si="12"/>
        <v>0</v>
      </c>
      <c r="K173" s="151">
        <f t="shared" si="13"/>
        <v>0</v>
      </c>
      <c r="L173" s="151">
        <f>SUMIF(Ere!$B:$B,'Element wise-detail Summary'!$A173,Ere!$C:$C)</f>
        <v>1</v>
      </c>
      <c r="M173" s="151">
        <f t="shared" si="14"/>
        <v>0</v>
      </c>
      <c r="N173">
        <f t="shared" si="15"/>
        <v>2.0920000000000001</v>
      </c>
    </row>
    <row r="174" spans="1:14" hidden="1" x14ac:dyDescent="0.25">
      <c r="A174" s="151" t="s">
        <v>1353</v>
      </c>
      <c r="B174" s="233" t="str">
        <f>VLOOKUP(A174,'AFC Data details'!$B:$E,4,0)</f>
        <v>V34</v>
      </c>
      <c r="C174" s="144" t="s">
        <v>1693</v>
      </c>
      <c r="D174" s="151" t="s">
        <v>602</v>
      </c>
      <c r="E174" s="151">
        <f>VLOOKUP(A174,'AFC Data details'!$B:$P,15,0)</f>
        <v>2.0139999999999998</v>
      </c>
      <c r="F174" s="151">
        <f>SUMIFS('AFC Data details'!C:C,'AFC Data details'!$B:$B,'Element wise-detail Summary'!$A174)</f>
        <v>1</v>
      </c>
      <c r="G174" s="151">
        <f>SUMIFS(Cast!$C:$C,Cast!$B:$B,'Element wise-detail Summary'!$A174)</f>
        <v>1</v>
      </c>
      <c r="H174" s="151">
        <f t="shared" si="11"/>
        <v>0</v>
      </c>
      <c r="I174" s="151">
        <f>SUMIFS(Del!$C:$C,Del!$B:$B,'Element wise-detail Summary'!$A174)</f>
        <v>1</v>
      </c>
      <c r="J174" s="151">
        <f t="shared" si="12"/>
        <v>0</v>
      </c>
      <c r="K174" s="151">
        <f t="shared" si="13"/>
        <v>0</v>
      </c>
      <c r="L174" s="151">
        <f>SUMIF(Ere!$B:$B,'Element wise-detail Summary'!$A174,Ere!$C:$C)</f>
        <v>1</v>
      </c>
      <c r="M174" s="151">
        <f t="shared" si="14"/>
        <v>0</v>
      </c>
      <c r="N174">
        <f t="shared" si="15"/>
        <v>2.0139999999999998</v>
      </c>
    </row>
    <row r="175" spans="1:14" hidden="1" x14ac:dyDescent="0.25">
      <c r="A175" s="151" t="s">
        <v>1354</v>
      </c>
      <c r="B175" s="233" t="str">
        <f>VLOOKUP(A175,'AFC Data details'!$B:$E,4,0)</f>
        <v>V34</v>
      </c>
      <c r="C175" s="144" t="s">
        <v>1693</v>
      </c>
      <c r="D175" s="151" t="s">
        <v>602</v>
      </c>
      <c r="E175" s="151">
        <f>VLOOKUP(A175,'AFC Data details'!$B:$P,15,0)</f>
        <v>2.0139999999999998</v>
      </c>
      <c r="F175" s="151">
        <f>SUMIFS('AFC Data details'!C:C,'AFC Data details'!$B:$B,'Element wise-detail Summary'!$A175)</f>
        <v>1</v>
      </c>
      <c r="G175" s="151">
        <f>SUMIFS(Cast!$C:$C,Cast!$B:$B,'Element wise-detail Summary'!$A175)</f>
        <v>1</v>
      </c>
      <c r="H175" s="151">
        <f t="shared" si="11"/>
        <v>0</v>
      </c>
      <c r="I175" s="151">
        <f>SUMIFS(Del!$C:$C,Del!$B:$B,'Element wise-detail Summary'!$A175)</f>
        <v>1</v>
      </c>
      <c r="J175" s="151">
        <f t="shared" si="12"/>
        <v>0</v>
      </c>
      <c r="K175" s="151">
        <f t="shared" si="13"/>
        <v>0</v>
      </c>
      <c r="L175" s="151">
        <f>SUMIF(Ere!$B:$B,'Element wise-detail Summary'!$A175,Ere!$C:$C)</f>
        <v>1</v>
      </c>
      <c r="M175" s="151">
        <f t="shared" si="14"/>
        <v>0</v>
      </c>
      <c r="N175">
        <f t="shared" si="15"/>
        <v>2.0139999999999998</v>
      </c>
    </row>
    <row r="176" spans="1:14" hidden="1" x14ac:dyDescent="0.25">
      <c r="A176" s="151" t="s">
        <v>1355</v>
      </c>
      <c r="B176" s="233" t="str">
        <f>VLOOKUP(A176,'AFC Data details'!$B:$E,4,0)</f>
        <v>V34</v>
      </c>
      <c r="C176" s="144" t="s">
        <v>1693</v>
      </c>
      <c r="D176" s="151" t="s">
        <v>602</v>
      </c>
      <c r="E176" s="151">
        <f>VLOOKUP(A176,'AFC Data details'!$B:$P,15,0)</f>
        <v>1.952</v>
      </c>
      <c r="F176" s="151">
        <f>SUMIFS('AFC Data details'!C:C,'AFC Data details'!$B:$B,'Element wise-detail Summary'!$A176)</f>
        <v>1</v>
      </c>
      <c r="G176" s="151">
        <f>SUMIFS(Cast!$C:$C,Cast!$B:$B,'Element wise-detail Summary'!$A176)</f>
        <v>1</v>
      </c>
      <c r="H176" s="151">
        <f t="shared" si="11"/>
        <v>0</v>
      </c>
      <c r="I176" s="151">
        <f>SUMIFS(Del!$C:$C,Del!$B:$B,'Element wise-detail Summary'!$A176)</f>
        <v>1</v>
      </c>
      <c r="J176" s="151">
        <f t="shared" si="12"/>
        <v>0</v>
      </c>
      <c r="K176" s="151">
        <f t="shared" si="13"/>
        <v>0</v>
      </c>
      <c r="L176" s="151">
        <f>SUMIF(Ere!$B:$B,'Element wise-detail Summary'!$A176,Ere!$C:$C)</f>
        <v>1</v>
      </c>
      <c r="M176" s="151">
        <f t="shared" si="14"/>
        <v>0</v>
      </c>
      <c r="N176">
        <f t="shared" si="15"/>
        <v>1.952</v>
      </c>
    </row>
    <row r="177" spans="1:14" hidden="1" x14ac:dyDescent="0.25">
      <c r="A177" s="151" t="s">
        <v>1356</v>
      </c>
      <c r="B177" s="233" t="str">
        <f>VLOOKUP(A177,'AFC Data details'!$B:$E,4,0)</f>
        <v>V34</v>
      </c>
      <c r="C177" s="144" t="s">
        <v>1693</v>
      </c>
      <c r="D177" s="151" t="s">
        <v>602</v>
      </c>
      <c r="E177" s="151">
        <f>VLOOKUP(A177,'AFC Data details'!$B:$P,15,0)</f>
        <v>1.952</v>
      </c>
      <c r="F177" s="151">
        <f>SUMIFS('AFC Data details'!C:C,'AFC Data details'!$B:$B,'Element wise-detail Summary'!$A177)</f>
        <v>1</v>
      </c>
      <c r="G177" s="151">
        <f>SUMIFS(Cast!$C:$C,Cast!$B:$B,'Element wise-detail Summary'!$A177)</f>
        <v>1</v>
      </c>
      <c r="H177" s="151">
        <f t="shared" si="11"/>
        <v>0</v>
      </c>
      <c r="I177" s="151">
        <f>SUMIFS(Del!$C:$C,Del!$B:$B,'Element wise-detail Summary'!$A177)</f>
        <v>1</v>
      </c>
      <c r="J177" s="151">
        <f t="shared" si="12"/>
        <v>0</v>
      </c>
      <c r="K177" s="151">
        <f t="shared" si="13"/>
        <v>0</v>
      </c>
      <c r="L177" s="151">
        <f>SUMIF(Ere!$B:$B,'Element wise-detail Summary'!$A177,Ere!$C:$C)</f>
        <v>1</v>
      </c>
      <c r="M177" s="151">
        <f t="shared" si="14"/>
        <v>0</v>
      </c>
      <c r="N177">
        <f t="shared" si="15"/>
        <v>1.952</v>
      </c>
    </row>
    <row r="178" spans="1:14" hidden="1" x14ac:dyDescent="0.25">
      <c r="A178" s="151" t="s">
        <v>1357</v>
      </c>
      <c r="B178" s="233" t="str">
        <f>VLOOKUP(A178,'AFC Data details'!$B:$E,4,0)</f>
        <v>V34</v>
      </c>
      <c r="C178" s="144" t="s">
        <v>1693</v>
      </c>
      <c r="D178" s="151" t="s">
        <v>602</v>
      </c>
      <c r="E178" s="151">
        <f>VLOOKUP(A178,'AFC Data details'!$B:$P,15,0)</f>
        <v>1.5029999999999999</v>
      </c>
      <c r="F178" s="151">
        <f>SUMIFS('AFC Data details'!C:C,'AFC Data details'!$B:$B,'Element wise-detail Summary'!$A178)</f>
        <v>1</v>
      </c>
      <c r="G178" s="151">
        <f>SUMIFS(Cast!$C:$C,Cast!$B:$B,'Element wise-detail Summary'!$A178)</f>
        <v>1</v>
      </c>
      <c r="H178" s="151">
        <f t="shared" si="11"/>
        <v>0</v>
      </c>
      <c r="I178" s="151">
        <f>SUMIFS(Del!$C:$C,Del!$B:$B,'Element wise-detail Summary'!$A178)</f>
        <v>1</v>
      </c>
      <c r="J178" s="151">
        <f t="shared" si="12"/>
        <v>0</v>
      </c>
      <c r="K178" s="151">
        <f t="shared" si="13"/>
        <v>0</v>
      </c>
      <c r="L178" s="151">
        <f>SUMIF(Ere!$B:$B,'Element wise-detail Summary'!$A178,Ere!$C:$C)</f>
        <v>1</v>
      </c>
      <c r="M178" s="151">
        <f t="shared" si="14"/>
        <v>0</v>
      </c>
      <c r="N178">
        <f t="shared" si="15"/>
        <v>1.5029999999999999</v>
      </c>
    </row>
    <row r="179" spans="1:14" hidden="1" x14ac:dyDescent="0.25">
      <c r="A179" s="151" t="s">
        <v>1358</v>
      </c>
      <c r="B179" s="233" t="str">
        <f>VLOOKUP(A179,'AFC Data details'!$B:$E,4,0)</f>
        <v>V34</v>
      </c>
      <c r="C179" s="144" t="s">
        <v>1693</v>
      </c>
      <c r="D179" s="151" t="s">
        <v>602</v>
      </c>
      <c r="E179" s="151">
        <f>VLOOKUP(A179,'AFC Data details'!$B:$P,15,0)</f>
        <v>1.33</v>
      </c>
      <c r="F179" s="151">
        <f>SUMIFS('AFC Data details'!C:C,'AFC Data details'!$B:$B,'Element wise-detail Summary'!$A179)</f>
        <v>1</v>
      </c>
      <c r="G179" s="151">
        <f>SUMIFS(Cast!$C:$C,Cast!$B:$B,'Element wise-detail Summary'!$A179)</f>
        <v>1</v>
      </c>
      <c r="H179" s="151">
        <f t="shared" si="11"/>
        <v>0</v>
      </c>
      <c r="I179" s="151">
        <f>SUMIFS(Del!$C:$C,Del!$B:$B,'Element wise-detail Summary'!$A179)</f>
        <v>1</v>
      </c>
      <c r="J179" s="151">
        <f t="shared" si="12"/>
        <v>0</v>
      </c>
      <c r="K179" s="151">
        <f t="shared" si="13"/>
        <v>0</v>
      </c>
      <c r="L179" s="151">
        <f>SUMIF(Ere!$B:$B,'Element wise-detail Summary'!$A179,Ere!$C:$C)</f>
        <v>1</v>
      </c>
      <c r="M179" s="151">
        <f t="shared" si="14"/>
        <v>0</v>
      </c>
      <c r="N179">
        <f t="shared" si="15"/>
        <v>1.33</v>
      </c>
    </row>
    <row r="180" spans="1:14" hidden="1" x14ac:dyDescent="0.25">
      <c r="A180" s="151" t="s">
        <v>1359</v>
      </c>
      <c r="B180" s="233" t="str">
        <f>VLOOKUP(A180,'AFC Data details'!$B:$E,4,0)</f>
        <v>V35</v>
      </c>
      <c r="C180" s="144" t="s">
        <v>1694</v>
      </c>
      <c r="D180" s="151" t="s">
        <v>602</v>
      </c>
      <c r="E180" s="151">
        <f>VLOOKUP(A180,'AFC Data details'!$B:$P,15,0)</f>
        <v>2.0710000000000002</v>
      </c>
      <c r="F180" s="151">
        <f>SUMIFS('AFC Data details'!C:C,'AFC Data details'!$B:$B,'Element wise-detail Summary'!$A180)</f>
        <v>1</v>
      </c>
      <c r="G180" s="151">
        <f>SUMIFS(Cast!$C:$C,Cast!$B:$B,'Element wise-detail Summary'!$A180)</f>
        <v>1</v>
      </c>
      <c r="H180" s="151">
        <f t="shared" si="11"/>
        <v>0</v>
      </c>
      <c r="I180" s="151">
        <f>SUMIFS(Del!$C:$C,Del!$B:$B,'Element wise-detail Summary'!$A180)</f>
        <v>1</v>
      </c>
      <c r="J180" s="151">
        <f t="shared" si="12"/>
        <v>0</v>
      </c>
      <c r="K180" s="151">
        <f t="shared" si="13"/>
        <v>0</v>
      </c>
      <c r="L180" s="151">
        <f>SUMIF(Ere!$B:$B,'Element wise-detail Summary'!$A180,Ere!$C:$C)</f>
        <v>1</v>
      </c>
      <c r="M180" s="151">
        <f t="shared" si="14"/>
        <v>0</v>
      </c>
      <c r="N180">
        <f t="shared" si="15"/>
        <v>2.0710000000000002</v>
      </c>
    </row>
    <row r="181" spans="1:14" hidden="1" x14ac:dyDescent="0.25">
      <c r="A181" s="151" t="s">
        <v>1360</v>
      </c>
      <c r="B181" s="233" t="str">
        <f>VLOOKUP(A181,'AFC Data details'!$B:$E,4,0)</f>
        <v>V35</v>
      </c>
      <c r="C181" s="144" t="s">
        <v>1694</v>
      </c>
      <c r="D181" s="151" t="s">
        <v>602</v>
      </c>
      <c r="E181" s="151">
        <f>VLOOKUP(A181,'AFC Data details'!$B:$P,15,0)</f>
        <v>2.0710000000000002</v>
      </c>
      <c r="F181" s="151">
        <f>SUMIFS('AFC Data details'!C:C,'AFC Data details'!$B:$B,'Element wise-detail Summary'!$A181)</f>
        <v>1</v>
      </c>
      <c r="G181" s="151">
        <f>SUMIFS(Cast!$C:$C,Cast!$B:$B,'Element wise-detail Summary'!$A181)</f>
        <v>1</v>
      </c>
      <c r="H181" s="151">
        <f t="shared" si="11"/>
        <v>0</v>
      </c>
      <c r="I181" s="151">
        <f>SUMIFS(Del!$C:$C,Del!$B:$B,'Element wise-detail Summary'!$A181)</f>
        <v>1</v>
      </c>
      <c r="J181" s="151">
        <f t="shared" si="12"/>
        <v>0</v>
      </c>
      <c r="K181" s="151">
        <f t="shared" si="13"/>
        <v>0</v>
      </c>
      <c r="L181" s="151">
        <f>SUMIF(Ere!$B:$B,'Element wise-detail Summary'!$A181,Ere!$C:$C)</f>
        <v>1</v>
      </c>
      <c r="M181" s="151">
        <f t="shared" si="14"/>
        <v>0</v>
      </c>
      <c r="N181">
        <f t="shared" si="15"/>
        <v>2.0710000000000002</v>
      </c>
    </row>
    <row r="182" spans="1:14" hidden="1" x14ac:dyDescent="0.25">
      <c r="A182" s="151" t="s">
        <v>1361</v>
      </c>
      <c r="B182" s="233" t="str">
        <f>VLOOKUP(A182,'AFC Data details'!$B:$E,4,0)</f>
        <v>V35</v>
      </c>
      <c r="C182" s="144" t="s">
        <v>1694</v>
      </c>
      <c r="D182" s="151" t="s">
        <v>602</v>
      </c>
      <c r="E182" s="151">
        <f>VLOOKUP(A182,'AFC Data details'!$B:$P,15,0)</f>
        <v>2.2109999999999999</v>
      </c>
      <c r="F182" s="151">
        <f>SUMIFS('AFC Data details'!C:C,'AFC Data details'!$B:$B,'Element wise-detail Summary'!$A182)</f>
        <v>1</v>
      </c>
      <c r="G182" s="151">
        <f>SUMIFS(Cast!$C:$C,Cast!$B:$B,'Element wise-detail Summary'!$A182)</f>
        <v>1</v>
      </c>
      <c r="H182" s="151">
        <f t="shared" si="11"/>
        <v>0</v>
      </c>
      <c r="I182" s="151">
        <f>SUMIFS(Del!$C:$C,Del!$B:$B,'Element wise-detail Summary'!$A182)</f>
        <v>1</v>
      </c>
      <c r="J182" s="151">
        <f t="shared" si="12"/>
        <v>0</v>
      </c>
      <c r="K182" s="151">
        <f t="shared" si="13"/>
        <v>0</v>
      </c>
      <c r="L182" s="151">
        <f>SUMIF(Ere!$B:$B,'Element wise-detail Summary'!$A182,Ere!$C:$C)</f>
        <v>1</v>
      </c>
      <c r="M182" s="151">
        <f t="shared" si="14"/>
        <v>0</v>
      </c>
      <c r="N182">
        <f t="shared" si="15"/>
        <v>2.2109999999999999</v>
      </c>
    </row>
    <row r="183" spans="1:14" hidden="1" x14ac:dyDescent="0.25">
      <c r="A183" s="151" t="s">
        <v>1363</v>
      </c>
      <c r="B183" s="233" t="str">
        <f>VLOOKUP(A183,'AFC Data details'!$B:$E,4,0)</f>
        <v>V35</v>
      </c>
      <c r="C183" s="144" t="s">
        <v>1694</v>
      </c>
      <c r="D183" s="151" t="s">
        <v>602</v>
      </c>
      <c r="E183" s="151">
        <f>VLOOKUP(A183,'AFC Data details'!$B:$P,15,0)</f>
        <v>2.298</v>
      </c>
      <c r="F183" s="151">
        <f>SUMIFS('AFC Data details'!C:C,'AFC Data details'!$B:$B,'Element wise-detail Summary'!$A183)</f>
        <v>1</v>
      </c>
      <c r="G183" s="151">
        <f>SUMIFS(Cast!$C:$C,Cast!$B:$B,'Element wise-detail Summary'!$A183)</f>
        <v>1</v>
      </c>
      <c r="H183" s="151">
        <f t="shared" si="11"/>
        <v>0</v>
      </c>
      <c r="I183" s="151">
        <f>SUMIFS(Del!$C:$C,Del!$B:$B,'Element wise-detail Summary'!$A183)</f>
        <v>1</v>
      </c>
      <c r="J183" s="151">
        <f t="shared" si="12"/>
        <v>0</v>
      </c>
      <c r="K183" s="151">
        <f t="shared" si="13"/>
        <v>0</v>
      </c>
      <c r="L183" s="151">
        <f>SUMIF(Ere!$B:$B,'Element wise-detail Summary'!$A183,Ere!$C:$C)</f>
        <v>1</v>
      </c>
      <c r="M183" s="151">
        <f t="shared" si="14"/>
        <v>0</v>
      </c>
      <c r="N183">
        <f t="shared" si="15"/>
        <v>2.298</v>
      </c>
    </row>
    <row r="184" spans="1:14" hidden="1" x14ac:dyDescent="0.25">
      <c r="A184" s="151" t="s">
        <v>1364</v>
      </c>
      <c r="B184" s="233" t="str">
        <f>VLOOKUP(A184,'AFC Data details'!$B:$E,4,0)</f>
        <v>V35</v>
      </c>
      <c r="C184" s="144" t="s">
        <v>1694</v>
      </c>
      <c r="D184" s="151" t="s">
        <v>602</v>
      </c>
      <c r="E184" s="151">
        <f>VLOOKUP(A184,'AFC Data details'!$B:$P,15,0)</f>
        <v>2.298</v>
      </c>
      <c r="F184" s="151">
        <f>SUMIFS('AFC Data details'!C:C,'AFC Data details'!$B:$B,'Element wise-detail Summary'!$A184)</f>
        <v>1</v>
      </c>
      <c r="G184" s="151">
        <f>SUMIFS(Cast!$C:$C,Cast!$B:$B,'Element wise-detail Summary'!$A184)</f>
        <v>1</v>
      </c>
      <c r="H184" s="151">
        <f t="shared" si="11"/>
        <v>0</v>
      </c>
      <c r="I184" s="151">
        <f>SUMIFS(Del!$C:$C,Del!$B:$B,'Element wise-detail Summary'!$A184)</f>
        <v>1</v>
      </c>
      <c r="J184" s="151">
        <f t="shared" si="12"/>
        <v>0</v>
      </c>
      <c r="K184" s="151">
        <f t="shared" si="13"/>
        <v>0</v>
      </c>
      <c r="L184" s="151">
        <f>SUMIF(Ere!$B:$B,'Element wise-detail Summary'!$A184,Ere!$C:$C)</f>
        <v>1</v>
      </c>
      <c r="M184" s="151">
        <f t="shared" si="14"/>
        <v>0</v>
      </c>
      <c r="N184">
        <f t="shared" si="15"/>
        <v>2.298</v>
      </c>
    </row>
    <row r="185" spans="1:14" hidden="1" x14ac:dyDescent="0.25">
      <c r="A185" s="151" t="s">
        <v>1365</v>
      </c>
      <c r="B185" s="233" t="str">
        <f>VLOOKUP(A185,'AFC Data details'!$B:$E,4,0)</f>
        <v>V35</v>
      </c>
      <c r="C185" s="144" t="s">
        <v>1694</v>
      </c>
      <c r="D185" s="151" t="s">
        <v>602</v>
      </c>
      <c r="E185" s="151">
        <f>VLOOKUP(A185,'AFC Data details'!$B:$P,15,0)</f>
        <v>2.2109999999999999</v>
      </c>
      <c r="F185" s="151">
        <f>SUMIFS('AFC Data details'!C:C,'AFC Data details'!$B:$B,'Element wise-detail Summary'!$A185)</f>
        <v>1</v>
      </c>
      <c r="G185" s="151">
        <f>SUMIFS(Cast!$C:$C,Cast!$B:$B,'Element wise-detail Summary'!$A185)</f>
        <v>1</v>
      </c>
      <c r="H185" s="151">
        <f t="shared" si="11"/>
        <v>0</v>
      </c>
      <c r="I185" s="151">
        <f>SUMIFS(Del!$C:$C,Del!$B:$B,'Element wise-detail Summary'!$A185)</f>
        <v>1</v>
      </c>
      <c r="J185" s="151">
        <f t="shared" si="12"/>
        <v>0</v>
      </c>
      <c r="K185" s="151">
        <f t="shared" si="13"/>
        <v>0</v>
      </c>
      <c r="L185" s="151">
        <f>SUMIF(Ere!$B:$B,'Element wise-detail Summary'!$A185,Ere!$C:$C)</f>
        <v>1</v>
      </c>
      <c r="M185" s="151">
        <f t="shared" si="14"/>
        <v>0</v>
      </c>
      <c r="N185">
        <f t="shared" si="15"/>
        <v>2.2109999999999999</v>
      </c>
    </row>
    <row r="186" spans="1:14" hidden="1" x14ac:dyDescent="0.25">
      <c r="A186" s="151" t="s">
        <v>1366</v>
      </c>
      <c r="B186" s="233" t="str">
        <f>VLOOKUP(A186,'AFC Data details'!$B:$E,4,0)</f>
        <v>V35</v>
      </c>
      <c r="C186" s="144" t="s">
        <v>1694</v>
      </c>
      <c r="D186" s="151" t="s">
        <v>602</v>
      </c>
      <c r="E186" s="151">
        <f>VLOOKUP(A186,'AFC Data details'!$B:$P,15,0)</f>
        <v>1.413</v>
      </c>
      <c r="F186" s="151">
        <f>SUMIFS('AFC Data details'!C:C,'AFC Data details'!$B:$B,'Element wise-detail Summary'!$A186)</f>
        <v>1</v>
      </c>
      <c r="G186" s="151">
        <f>SUMIFS(Cast!$C:$C,Cast!$B:$B,'Element wise-detail Summary'!$A186)</f>
        <v>1</v>
      </c>
      <c r="H186" s="151">
        <f t="shared" si="11"/>
        <v>0</v>
      </c>
      <c r="I186" s="151">
        <f>SUMIFS(Del!$C:$C,Del!$B:$B,'Element wise-detail Summary'!$A186)</f>
        <v>1</v>
      </c>
      <c r="J186" s="151">
        <f t="shared" si="12"/>
        <v>0</v>
      </c>
      <c r="K186" s="151">
        <f t="shared" si="13"/>
        <v>0</v>
      </c>
      <c r="L186" s="151">
        <f>SUMIF(Ere!$B:$B,'Element wise-detail Summary'!$A186,Ere!$C:$C)</f>
        <v>1</v>
      </c>
      <c r="M186" s="151">
        <f t="shared" si="14"/>
        <v>0</v>
      </c>
      <c r="N186">
        <f t="shared" si="15"/>
        <v>1.413</v>
      </c>
    </row>
    <row r="187" spans="1:14" hidden="1" x14ac:dyDescent="0.25">
      <c r="A187" s="151" t="s">
        <v>1367</v>
      </c>
      <c r="B187" s="233" t="str">
        <f>VLOOKUP(A187,'AFC Data details'!$B:$E,4,0)</f>
        <v>V35</v>
      </c>
      <c r="C187" s="144" t="s">
        <v>1694</v>
      </c>
      <c r="D187" s="151" t="s">
        <v>602</v>
      </c>
      <c r="E187" s="151">
        <f>VLOOKUP(A187,'AFC Data details'!$B:$P,15,0)</f>
        <v>1.5820000000000001</v>
      </c>
      <c r="F187" s="151">
        <f>SUMIFS('AFC Data details'!C:C,'AFC Data details'!$B:$B,'Element wise-detail Summary'!$A187)</f>
        <v>1</v>
      </c>
      <c r="G187" s="151">
        <f>SUMIFS(Cast!$C:$C,Cast!$B:$B,'Element wise-detail Summary'!$A187)</f>
        <v>1</v>
      </c>
      <c r="H187" s="151">
        <f t="shared" si="11"/>
        <v>0</v>
      </c>
      <c r="I187" s="151">
        <f>SUMIFS(Del!$C:$C,Del!$B:$B,'Element wise-detail Summary'!$A187)</f>
        <v>1</v>
      </c>
      <c r="J187" s="151">
        <f t="shared" si="12"/>
        <v>0</v>
      </c>
      <c r="K187" s="151">
        <f t="shared" si="13"/>
        <v>0</v>
      </c>
      <c r="L187" s="151">
        <f>SUMIF(Ere!$B:$B,'Element wise-detail Summary'!$A187,Ere!$C:$C)</f>
        <v>1</v>
      </c>
      <c r="M187" s="151">
        <f t="shared" si="14"/>
        <v>0</v>
      </c>
      <c r="N187">
        <f t="shared" si="15"/>
        <v>1.5820000000000001</v>
      </c>
    </row>
    <row r="188" spans="1:14" hidden="1" x14ac:dyDescent="0.25">
      <c r="A188" s="151" t="s">
        <v>1368</v>
      </c>
      <c r="B188" s="233" t="str">
        <f>VLOOKUP(A188,'AFC Data details'!$B:$E,4,0)</f>
        <v>V35</v>
      </c>
      <c r="C188" s="144" t="s">
        <v>1694</v>
      </c>
      <c r="D188" s="151" t="s">
        <v>602</v>
      </c>
      <c r="E188" s="151">
        <f>VLOOKUP(A188,'AFC Data details'!$B:$P,15,0)</f>
        <v>1.409</v>
      </c>
      <c r="F188" s="151">
        <f>SUMIFS('AFC Data details'!C:C,'AFC Data details'!$B:$B,'Element wise-detail Summary'!$A188)</f>
        <v>1</v>
      </c>
      <c r="G188" s="151">
        <f>SUMIFS(Cast!$C:$C,Cast!$B:$B,'Element wise-detail Summary'!$A188)</f>
        <v>1</v>
      </c>
      <c r="H188" s="151">
        <f t="shared" si="11"/>
        <v>0</v>
      </c>
      <c r="I188" s="151">
        <f>SUMIFS(Del!$C:$C,Del!$B:$B,'Element wise-detail Summary'!$A188)</f>
        <v>1</v>
      </c>
      <c r="J188" s="151">
        <f t="shared" si="12"/>
        <v>0</v>
      </c>
      <c r="K188" s="151">
        <f t="shared" si="13"/>
        <v>0</v>
      </c>
      <c r="L188" s="151">
        <f>SUMIF(Ere!$B:$B,'Element wise-detail Summary'!$A188,Ere!$C:$C)</f>
        <v>1</v>
      </c>
      <c r="M188" s="151">
        <f t="shared" si="14"/>
        <v>0</v>
      </c>
      <c r="N188">
        <f t="shared" si="15"/>
        <v>1.409</v>
      </c>
    </row>
    <row r="189" spans="1:14" hidden="1" x14ac:dyDescent="0.25">
      <c r="A189" s="151" t="s">
        <v>1369</v>
      </c>
      <c r="B189" s="233" t="str">
        <f>VLOOKUP(A189,'AFC Data details'!$B:$E,4,0)</f>
        <v>V36</v>
      </c>
      <c r="C189" s="144" t="s">
        <v>1694</v>
      </c>
      <c r="D189" s="151" t="s">
        <v>602</v>
      </c>
      <c r="E189" s="151">
        <f>VLOOKUP(A189,'AFC Data details'!$B:$P,15,0)</f>
        <v>1.0820000000000001</v>
      </c>
      <c r="F189" s="151">
        <f>SUMIFS('AFC Data details'!C:C,'AFC Data details'!$B:$B,'Element wise-detail Summary'!$A189)</f>
        <v>1</v>
      </c>
      <c r="G189" s="151">
        <f>SUMIFS(Cast!$C:$C,Cast!$B:$B,'Element wise-detail Summary'!$A189)</f>
        <v>1</v>
      </c>
      <c r="H189" s="151">
        <f t="shared" si="11"/>
        <v>0</v>
      </c>
      <c r="I189" s="151">
        <f>SUMIFS(Del!$C:$C,Del!$B:$B,'Element wise-detail Summary'!$A189)</f>
        <v>1</v>
      </c>
      <c r="J189" s="151">
        <f t="shared" si="12"/>
        <v>0</v>
      </c>
      <c r="K189" s="151">
        <f t="shared" si="13"/>
        <v>0</v>
      </c>
      <c r="L189" s="151">
        <f>SUMIF(Ere!$B:$B,'Element wise-detail Summary'!$A189,Ere!$C:$C)</f>
        <v>1</v>
      </c>
      <c r="M189" s="151">
        <f t="shared" si="14"/>
        <v>0</v>
      </c>
      <c r="N189">
        <f t="shared" si="15"/>
        <v>1.0820000000000001</v>
      </c>
    </row>
    <row r="190" spans="1:14" hidden="1" x14ac:dyDescent="0.25">
      <c r="A190" s="151" t="s">
        <v>1370</v>
      </c>
      <c r="B190" s="233" t="str">
        <f>VLOOKUP(A190,'AFC Data details'!$B:$E,4,0)</f>
        <v>V36</v>
      </c>
      <c r="C190" s="144" t="s">
        <v>1694</v>
      </c>
      <c r="D190" s="151" t="s">
        <v>602</v>
      </c>
      <c r="E190" s="151">
        <f>VLOOKUP(A190,'AFC Data details'!$B:$P,15,0)</f>
        <v>2.129</v>
      </c>
      <c r="F190" s="151">
        <f>SUMIFS('AFC Data details'!C:C,'AFC Data details'!$B:$B,'Element wise-detail Summary'!$A190)</f>
        <v>1</v>
      </c>
      <c r="G190" s="151">
        <f>SUMIFS(Cast!$C:$C,Cast!$B:$B,'Element wise-detail Summary'!$A190)</f>
        <v>1</v>
      </c>
      <c r="H190" s="151">
        <f t="shared" si="11"/>
        <v>0</v>
      </c>
      <c r="I190" s="151">
        <f>SUMIFS(Del!$C:$C,Del!$B:$B,'Element wise-detail Summary'!$A190)</f>
        <v>1</v>
      </c>
      <c r="J190" s="151">
        <f t="shared" si="12"/>
        <v>0</v>
      </c>
      <c r="K190" s="151">
        <f t="shared" si="13"/>
        <v>0</v>
      </c>
      <c r="L190" s="151">
        <f>SUMIF(Ere!$B:$B,'Element wise-detail Summary'!$A190,Ere!$C:$C)</f>
        <v>1</v>
      </c>
      <c r="M190" s="151">
        <f t="shared" si="14"/>
        <v>0</v>
      </c>
      <c r="N190">
        <f t="shared" si="15"/>
        <v>2.129</v>
      </c>
    </row>
    <row r="191" spans="1:14" hidden="1" x14ac:dyDescent="0.25">
      <c r="A191" s="151" t="s">
        <v>1371</v>
      </c>
      <c r="B191" s="233" t="str">
        <f>VLOOKUP(A191,'AFC Data details'!$B:$E,4,0)</f>
        <v>V37</v>
      </c>
      <c r="C191" s="144" t="s">
        <v>1694</v>
      </c>
      <c r="D191" s="151" t="s">
        <v>602</v>
      </c>
      <c r="E191" s="151">
        <f>VLOOKUP(A191,'AFC Data details'!$B:$P,15,0)</f>
        <v>2.129</v>
      </c>
      <c r="F191" s="151">
        <f>SUMIFS('AFC Data details'!C:C,'AFC Data details'!$B:$B,'Element wise-detail Summary'!$A191)</f>
        <v>1</v>
      </c>
      <c r="G191" s="151">
        <f>SUMIFS(Cast!$C:$C,Cast!$B:$B,'Element wise-detail Summary'!$A191)</f>
        <v>1</v>
      </c>
      <c r="H191" s="151">
        <f t="shared" si="11"/>
        <v>0</v>
      </c>
      <c r="I191" s="151">
        <f>SUMIFS(Del!$C:$C,Del!$B:$B,'Element wise-detail Summary'!$A191)</f>
        <v>1</v>
      </c>
      <c r="J191" s="151">
        <f t="shared" si="12"/>
        <v>0</v>
      </c>
      <c r="K191" s="151">
        <f t="shared" si="13"/>
        <v>0</v>
      </c>
      <c r="L191" s="151">
        <f>SUMIF(Ere!$B:$B,'Element wise-detail Summary'!$A191,Ere!$C:$C)</f>
        <v>1</v>
      </c>
      <c r="M191" s="151">
        <f t="shared" si="14"/>
        <v>0</v>
      </c>
      <c r="N191">
        <f t="shared" si="15"/>
        <v>2.129</v>
      </c>
    </row>
    <row r="192" spans="1:14" hidden="1" x14ac:dyDescent="0.25">
      <c r="A192" s="151" t="s">
        <v>1372</v>
      </c>
      <c r="B192" s="233" t="str">
        <f>VLOOKUP(A192,'AFC Data details'!$B:$E,4,0)</f>
        <v>V36</v>
      </c>
      <c r="C192" s="144" t="s">
        <v>1694</v>
      </c>
      <c r="D192" s="151" t="s">
        <v>602</v>
      </c>
      <c r="E192" s="151">
        <f>VLOOKUP(A192,'AFC Data details'!$B:$P,15,0)</f>
        <v>2.129</v>
      </c>
      <c r="F192" s="151">
        <f>SUMIFS('AFC Data details'!C:C,'AFC Data details'!$B:$B,'Element wise-detail Summary'!$A192)</f>
        <v>1</v>
      </c>
      <c r="G192" s="151">
        <f>SUMIFS(Cast!$C:$C,Cast!$B:$B,'Element wise-detail Summary'!$A192)</f>
        <v>1</v>
      </c>
      <c r="H192" s="151">
        <f t="shared" si="11"/>
        <v>0</v>
      </c>
      <c r="I192" s="151">
        <f>SUMIFS(Del!$C:$C,Del!$B:$B,'Element wise-detail Summary'!$A192)</f>
        <v>1</v>
      </c>
      <c r="J192" s="151">
        <f t="shared" si="12"/>
        <v>0</v>
      </c>
      <c r="K192" s="151">
        <f t="shared" si="13"/>
        <v>0</v>
      </c>
      <c r="L192" s="151">
        <f>SUMIF(Ere!$B:$B,'Element wise-detail Summary'!$A192,Ere!$C:$C)</f>
        <v>1</v>
      </c>
      <c r="M192" s="151">
        <f t="shared" si="14"/>
        <v>0</v>
      </c>
      <c r="N192">
        <f t="shared" si="15"/>
        <v>2.129</v>
      </c>
    </row>
    <row r="193" spans="1:15" hidden="1" x14ac:dyDescent="0.25">
      <c r="A193" s="151" t="s">
        <v>1373</v>
      </c>
      <c r="B193" s="233" t="str">
        <f>VLOOKUP(A193,'AFC Data details'!$B:$E,4,0)</f>
        <v>V36</v>
      </c>
      <c r="C193" s="144" t="s">
        <v>1694</v>
      </c>
      <c r="D193" s="151" t="s">
        <v>602</v>
      </c>
      <c r="E193" s="151">
        <f>VLOOKUP(A193,'AFC Data details'!$B:$P,15,0)</f>
        <v>2.129</v>
      </c>
      <c r="F193" s="151">
        <f>SUMIFS('AFC Data details'!C:C,'AFC Data details'!$B:$B,'Element wise-detail Summary'!$A193)</f>
        <v>1</v>
      </c>
      <c r="G193" s="151">
        <f>SUMIFS(Cast!$C:$C,Cast!$B:$B,'Element wise-detail Summary'!$A193)</f>
        <v>1</v>
      </c>
      <c r="H193" s="151">
        <f t="shared" si="11"/>
        <v>0</v>
      </c>
      <c r="I193" s="151">
        <f>SUMIFS(Del!$C:$C,Del!$B:$B,'Element wise-detail Summary'!$A193)</f>
        <v>1</v>
      </c>
      <c r="J193" s="151">
        <f t="shared" si="12"/>
        <v>0</v>
      </c>
      <c r="K193" s="151">
        <f t="shared" si="13"/>
        <v>0</v>
      </c>
      <c r="L193" s="151">
        <f>SUMIF(Ere!$B:$B,'Element wise-detail Summary'!$A193,Ere!$C:$C)</f>
        <v>1</v>
      </c>
      <c r="M193" s="151">
        <f t="shared" si="14"/>
        <v>0</v>
      </c>
      <c r="N193">
        <f t="shared" si="15"/>
        <v>2.129</v>
      </c>
    </row>
    <row r="194" spans="1:15" hidden="1" x14ac:dyDescent="0.25">
      <c r="A194" s="151" t="s">
        <v>1374</v>
      </c>
      <c r="B194" s="233" t="str">
        <f>VLOOKUP(A194,'AFC Data details'!$B:$E,4,0)</f>
        <v>V36</v>
      </c>
      <c r="C194" s="144" t="s">
        <v>1694</v>
      </c>
      <c r="D194" s="151" t="s">
        <v>602</v>
      </c>
      <c r="E194" s="151">
        <f>VLOOKUP(A194,'AFC Data details'!$B:$P,15,0)</f>
        <v>2.129</v>
      </c>
      <c r="F194" s="151">
        <f>SUMIFS('AFC Data details'!C:C,'AFC Data details'!$B:$B,'Element wise-detail Summary'!$A194)</f>
        <v>1</v>
      </c>
      <c r="G194" s="151">
        <f>SUMIFS(Cast!$C:$C,Cast!$B:$B,'Element wise-detail Summary'!$A194)</f>
        <v>1</v>
      </c>
      <c r="H194" s="151">
        <f t="shared" si="11"/>
        <v>0</v>
      </c>
      <c r="I194" s="151">
        <f>SUMIFS(Del!$C:$C,Del!$B:$B,'Element wise-detail Summary'!$A194)</f>
        <v>1</v>
      </c>
      <c r="J194" s="151">
        <f t="shared" si="12"/>
        <v>0</v>
      </c>
      <c r="K194" s="151">
        <f t="shared" si="13"/>
        <v>0</v>
      </c>
      <c r="L194" s="151">
        <f>SUMIF(Ere!$B:$B,'Element wise-detail Summary'!$A194,Ere!$C:$C)</f>
        <v>1</v>
      </c>
      <c r="M194" s="151">
        <f t="shared" si="14"/>
        <v>0</v>
      </c>
      <c r="N194">
        <f t="shared" si="15"/>
        <v>2.129</v>
      </c>
    </row>
    <row r="195" spans="1:15" hidden="1" x14ac:dyDescent="0.25">
      <c r="A195" s="151" t="s">
        <v>1375</v>
      </c>
      <c r="B195" s="233" t="str">
        <f>VLOOKUP(A195,'AFC Data details'!$B:$E,4,0)</f>
        <v>V36</v>
      </c>
      <c r="C195" s="144" t="s">
        <v>1694</v>
      </c>
      <c r="D195" s="151" t="s">
        <v>602</v>
      </c>
      <c r="E195" s="151">
        <f>VLOOKUP(A195,'AFC Data details'!$B:$P,15,0)</f>
        <v>2.129</v>
      </c>
      <c r="F195" s="151">
        <f>SUMIFS('AFC Data details'!C:C,'AFC Data details'!$B:$B,'Element wise-detail Summary'!$A195)</f>
        <v>1</v>
      </c>
      <c r="G195" s="151">
        <f>SUMIFS(Cast!$C:$C,Cast!$B:$B,'Element wise-detail Summary'!$A195)</f>
        <v>1</v>
      </c>
      <c r="H195" s="151">
        <f t="shared" si="11"/>
        <v>0</v>
      </c>
      <c r="I195" s="151">
        <f>SUMIFS(Del!$C:$C,Del!$B:$B,'Element wise-detail Summary'!$A195)</f>
        <v>1</v>
      </c>
      <c r="J195" s="151">
        <f t="shared" si="12"/>
        <v>0</v>
      </c>
      <c r="K195" s="151">
        <f t="shared" si="13"/>
        <v>0</v>
      </c>
      <c r="L195" s="151">
        <f>SUMIF(Ere!$B:$B,'Element wise-detail Summary'!$A195,Ere!$C:$C)</f>
        <v>1</v>
      </c>
      <c r="M195" s="151">
        <f t="shared" si="14"/>
        <v>0</v>
      </c>
      <c r="N195">
        <f t="shared" si="15"/>
        <v>2.129</v>
      </c>
    </row>
    <row r="196" spans="1:15" hidden="1" x14ac:dyDescent="0.25">
      <c r="A196" s="151" t="s">
        <v>1376</v>
      </c>
      <c r="B196" s="233" t="str">
        <f>VLOOKUP(A196,'AFC Data details'!$B:$E,4,0)</f>
        <v>V37</v>
      </c>
      <c r="C196" s="144" t="s">
        <v>1694</v>
      </c>
      <c r="D196" s="151" t="s">
        <v>602</v>
      </c>
      <c r="E196" s="151">
        <f>VLOOKUP(A196,'AFC Data details'!$B:$P,15,0)</f>
        <v>2.129</v>
      </c>
      <c r="F196" s="151">
        <f>SUMIFS('AFC Data details'!C:C,'AFC Data details'!$B:$B,'Element wise-detail Summary'!$A196)</f>
        <v>1</v>
      </c>
      <c r="G196" s="151">
        <f>SUMIFS(Cast!$C:$C,Cast!$B:$B,'Element wise-detail Summary'!$A196)</f>
        <v>1</v>
      </c>
      <c r="H196" s="151">
        <f t="shared" ref="H196:H259" si="16">F196-G196</f>
        <v>0</v>
      </c>
      <c r="I196" s="151">
        <f>SUMIFS(Del!$C:$C,Del!$B:$B,'Element wise-detail Summary'!$A196)</f>
        <v>1</v>
      </c>
      <c r="J196" s="151">
        <f t="shared" ref="J196:J259" si="17">F196-I196</f>
        <v>0</v>
      </c>
      <c r="K196" s="151">
        <f t="shared" ref="K196:K259" si="18">G196-I196</f>
        <v>0</v>
      </c>
      <c r="L196" s="151">
        <f>SUMIF(Ere!$B:$B,'Element wise-detail Summary'!$A196,Ere!$C:$C)</f>
        <v>1</v>
      </c>
      <c r="M196" s="151">
        <f t="shared" ref="M196:M259" si="19">F196-L196</f>
        <v>0</v>
      </c>
      <c r="N196">
        <f t="shared" ref="N196:N259" si="20">I196*E196</f>
        <v>2.129</v>
      </c>
    </row>
    <row r="197" spans="1:15" hidden="1" x14ac:dyDescent="0.25">
      <c r="A197" s="151" t="s">
        <v>1377</v>
      </c>
      <c r="B197" s="233" t="str">
        <f>VLOOKUP(A197,'AFC Data details'!$B:$E,4,0)</f>
        <v>V37</v>
      </c>
      <c r="C197" s="144" t="s">
        <v>1694</v>
      </c>
      <c r="D197" s="151" t="s">
        <v>602</v>
      </c>
      <c r="E197" s="151">
        <f>VLOOKUP(A197,'AFC Data details'!$B:$P,15,0)</f>
        <v>2.129</v>
      </c>
      <c r="F197" s="151">
        <f>SUMIFS('AFC Data details'!C:C,'AFC Data details'!$B:$B,'Element wise-detail Summary'!$A197)</f>
        <v>1</v>
      </c>
      <c r="G197" s="151">
        <f>SUMIFS(Cast!$C:$C,Cast!$B:$B,'Element wise-detail Summary'!$A197)</f>
        <v>1</v>
      </c>
      <c r="H197" s="151">
        <f t="shared" si="16"/>
        <v>0</v>
      </c>
      <c r="I197" s="151">
        <f>SUMIFS(Del!$C:$C,Del!$B:$B,'Element wise-detail Summary'!$A197)</f>
        <v>1</v>
      </c>
      <c r="J197" s="151">
        <f t="shared" si="17"/>
        <v>0</v>
      </c>
      <c r="K197" s="151">
        <f t="shared" si="18"/>
        <v>0</v>
      </c>
      <c r="L197" s="151">
        <f>SUMIF(Ere!$B:$B,'Element wise-detail Summary'!$A197,Ere!$C:$C)</f>
        <v>1</v>
      </c>
      <c r="M197" s="151">
        <f t="shared" si="19"/>
        <v>0</v>
      </c>
      <c r="N197">
        <f t="shared" si="20"/>
        <v>2.129</v>
      </c>
    </row>
    <row r="198" spans="1:15" hidden="1" x14ac:dyDescent="0.25">
      <c r="A198" s="151" t="s">
        <v>1378</v>
      </c>
      <c r="B198" s="233" t="str">
        <f>VLOOKUP(A198,'AFC Data details'!$B:$E,4,0)</f>
        <v>V37</v>
      </c>
      <c r="C198" s="144" t="s">
        <v>1694</v>
      </c>
      <c r="D198" s="151" t="s">
        <v>602</v>
      </c>
      <c r="E198" s="151">
        <f>VLOOKUP(A198,'AFC Data details'!$B:$P,15,0)</f>
        <v>2.129</v>
      </c>
      <c r="F198" s="151">
        <f>SUMIFS('AFC Data details'!C:C,'AFC Data details'!$B:$B,'Element wise-detail Summary'!$A198)</f>
        <v>1</v>
      </c>
      <c r="G198" s="151">
        <f>SUMIFS(Cast!$C:$C,Cast!$B:$B,'Element wise-detail Summary'!$A198)</f>
        <v>1</v>
      </c>
      <c r="H198" s="151">
        <f t="shared" si="16"/>
        <v>0</v>
      </c>
      <c r="I198" s="151">
        <f>SUMIFS(Del!$C:$C,Del!$B:$B,'Element wise-detail Summary'!$A198)</f>
        <v>1</v>
      </c>
      <c r="J198" s="151">
        <f t="shared" si="17"/>
        <v>0</v>
      </c>
      <c r="K198" s="151">
        <f t="shared" si="18"/>
        <v>0</v>
      </c>
      <c r="L198" s="151">
        <f>SUMIF(Ere!$B:$B,'Element wise-detail Summary'!$A198,Ere!$C:$C)</f>
        <v>1</v>
      </c>
      <c r="M198" s="151">
        <f t="shared" si="19"/>
        <v>0</v>
      </c>
      <c r="N198">
        <f t="shared" si="20"/>
        <v>2.129</v>
      </c>
    </row>
    <row r="199" spans="1:15" hidden="1" x14ac:dyDescent="0.25">
      <c r="A199" s="151" t="s">
        <v>1379</v>
      </c>
      <c r="B199" s="233" t="str">
        <f>VLOOKUP(A199,'AFC Data details'!$B:$E,4,0)</f>
        <v>V37</v>
      </c>
      <c r="C199" s="144" t="s">
        <v>1694</v>
      </c>
      <c r="D199" s="151" t="s">
        <v>602</v>
      </c>
      <c r="E199" s="151">
        <f>VLOOKUP(A199,'AFC Data details'!$B:$P,15,0)</f>
        <v>2.129</v>
      </c>
      <c r="F199" s="151">
        <f>SUMIFS('AFC Data details'!C:C,'AFC Data details'!$B:$B,'Element wise-detail Summary'!$A199)</f>
        <v>1</v>
      </c>
      <c r="G199" s="151">
        <f>SUMIFS(Cast!$C:$C,Cast!$B:$B,'Element wise-detail Summary'!$A199)</f>
        <v>1</v>
      </c>
      <c r="H199" s="151">
        <f t="shared" si="16"/>
        <v>0</v>
      </c>
      <c r="I199" s="151">
        <f>SUMIFS(Del!$C:$C,Del!$B:$B,'Element wise-detail Summary'!$A199)</f>
        <v>1</v>
      </c>
      <c r="J199" s="151">
        <f t="shared" si="17"/>
        <v>0</v>
      </c>
      <c r="K199" s="151">
        <f t="shared" si="18"/>
        <v>0</v>
      </c>
      <c r="L199" s="151">
        <f>SUMIF(Ere!$B:$B,'Element wise-detail Summary'!$A199,Ere!$C:$C)</f>
        <v>1</v>
      </c>
      <c r="M199" s="151">
        <f t="shared" si="19"/>
        <v>0</v>
      </c>
      <c r="N199">
        <f t="shared" si="20"/>
        <v>2.129</v>
      </c>
    </row>
    <row r="200" spans="1:15" hidden="1" x14ac:dyDescent="0.25">
      <c r="A200" s="151" t="s">
        <v>1380</v>
      </c>
      <c r="B200" s="233" t="str">
        <f>VLOOKUP(A200,'AFC Data details'!$B:$E,4,0)</f>
        <v>V36</v>
      </c>
      <c r="C200" s="144" t="s">
        <v>1694</v>
      </c>
      <c r="D200" s="151" t="s">
        <v>602</v>
      </c>
      <c r="E200" s="151">
        <f>VLOOKUP(A200,'AFC Data details'!$B:$P,15,0)</f>
        <v>2.129</v>
      </c>
      <c r="F200" s="151">
        <f>SUMIFS('AFC Data details'!C:C,'AFC Data details'!$B:$B,'Element wise-detail Summary'!$A200)</f>
        <v>1</v>
      </c>
      <c r="G200" s="151">
        <f>SUMIFS(Cast!$C:$C,Cast!$B:$B,'Element wise-detail Summary'!$A200)</f>
        <v>1</v>
      </c>
      <c r="H200" s="151">
        <f t="shared" si="16"/>
        <v>0</v>
      </c>
      <c r="I200" s="151">
        <f>SUMIFS(Del!$C:$C,Del!$B:$B,'Element wise-detail Summary'!$A200)</f>
        <v>1</v>
      </c>
      <c r="J200" s="151">
        <f t="shared" si="17"/>
        <v>0</v>
      </c>
      <c r="K200" s="151">
        <f t="shared" si="18"/>
        <v>0</v>
      </c>
      <c r="L200" s="151">
        <f>SUMIF(Ere!$B:$B,'Element wise-detail Summary'!$A200,Ere!$C:$C)</f>
        <v>1</v>
      </c>
      <c r="M200" s="151">
        <f t="shared" si="19"/>
        <v>0</v>
      </c>
      <c r="N200">
        <f t="shared" si="20"/>
        <v>2.129</v>
      </c>
    </row>
    <row r="201" spans="1:15" hidden="1" x14ac:dyDescent="0.25">
      <c r="A201" s="151" t="s">
        <v>1381</v>
      </c>
      <c r="B201" s="233" t="str">
        <f>VLOOKUP(A201,'AFC Data details'!$B:$E,4,0)</f>
        <v>V37</v>
      </c>
      <c r="C201" s="144" t="s">
        <v>1694</v>
      </c>
      <c r="D201" s="151" t="s">
        <v>602</v>
      </c>
      <c r="E201" s="151">
        <f>VLOOKUP(A201,'AFC Data details'!$B:$P,15,0)</f>
        <v>2.129</v>
      </c>
      <c r="F201" s="151">
        <f>SUMIFS('AFC Data details'!C:C,'AFC Data details'!$B:$B,'Element wise-detail Summary'!$A201)</f>
        <v>1</v>
      </c>
      <c r="G201" s="151">
        <f>SUMIFS(Cast!$C:$C,Cast!$B:$B,'Element wise-detail Summary'!$A201)</f>
        <v>1</v>
      </c>
      <c r="H201" s="151">
        <f t="shared" si="16"/>
        <v>0</v>
      </c>
      <c r="I201" s="151">
        <f>SUMIFS(Del!$C:$C,Del!$B:$B,'Element wise-detail Summary'!$A201)</f>
        <v>1</v>
      </c>
      <c r="J201" s="151">
        <f t="shared" si="17"/>
        <v>0</v>
      </c>
      <c r="K201" s="151">
        <f t="shared" si="18"/>
        <v>0</v>
      </c>
      <c r="L201" s="151">
        <f>SUMIF(Ere!$B:$B,'Element wise-detail Summary'!$A201,Ere!$C:$C)</f>
        <v>1</v>
      </c>
      <c r="M201" s="151">
        <f t="shared" si="19"/>
        <v>0</v>
      </c>
      <c r="N201">
        <f t="shared" si="20"/>
        <v>2.129</v>
      </c>
    </row>
    <row r="202" spans="1:15" hidden="1" x14ac:dyDescent="0.25">
      <c r="A202" s="151" t="s">
        <v>1382</v>
      </c>
      <c r="B202" s="233" t="str">
        <f>VLOOKUP(A202,'AFC Data details'!$B:$E,4,0)</f>
        <v>V36</v>
      </c>
      <c r="C202" s="144" t="s">
        <v>1694</v>
      </c>
      <c r="D202" s="151" t="s">
        <v>602</v>
      </c>
      <c r="E202" s="151">
        <f>VLOOKUP(A202,'AFC Data details'!$B:$P,15,0)</f>
        <v>1.3560000000000001</v>
      </c>
      <c r="F202" s="151">
        <f>SUMIFS('AFC Data details'!C:C,'AFC Data details'!$B:$B,'Element wise-detail Summary'!$A202)</f>
        <v>1</v>
      </c>
      <c r="G202" s="151">
        <f>SUMIFS(Cast!$C:$C,Cast!$B:$B,'Element wise-detail Summary'!$A202)</f>
        <v>1</v>
      </c>
      <c r="H202" s="151">
        <f t="shared" si="16"/>
        <v>0</v>
      </c>
      <c r="I202" s="151">
        <f>SUMIFS(Del!$C:$C,Del!$B:$B,'Element wise-detail Summary'!$A202)</f>
        <v>1</v>
      </c>
      <c r="J202" s="151">
        <f t="shared" si="17"/>
        <v>0</v>
      </c>
      <c r="K202" s="151">
        <f t="shared" si="18"/>
        <v>0</v>
      </c>
      <c r="L202" s="151">
        <f>SUMIF(Ere!$B:$B,'Element wise-detail Summary'!$A202,Ere!$C:$C)</f>
        <v>1</v>
      </c>
      <c r="M202" s="151">
        <f t="shared" si="19"/>
        <v>0</v>
      </c>
      <c r="N202">
        <f t="shared" si="20"/>
        <v>1.3560000000000001</v>
      </c>
    </row>
    <row r="203" spans="1:15" hidden="1" x14ac:dyDescent="0.25">
      <c r="A203" s="151" t="s">
        <v>1383</v>
      </c>
      <c r="B203" s="233" t="str">
        <f>VLOOKUP(A203,'AFC Data details'!$B:$E,4,0)</f>
        <v>V36</v>
      </c>
      <c r="C203" s="144" t="s">
        <v>1694</v>
      </c>
      <c r="D203" s="151" t="s">
        <v>602</v>
      </c>
      <c r="E203" s="151">
        <f>VLOOKUP(A203,'AFC Data details'!$B:$P,15,0)</f>
        <v>1.5529999999999999</v>
      </c>
      <c r="F203" s="151">
        <f>SUMIFS('AFC Data details'!C:C,'AFC Data details'!$B:$B,'Element wise-detail Summary'!$A203)</f>
        <v>1</v>
      </c>
      <c r="G203" s="151">
        <f>SUMIFS(Cast!$C:$C,Cast!$B:$B,'Element wise-detail Summary'!$A203)</f>
        <v>1</v>
      </c>
      <c r="H203" s="151">
        <f t="shared" si="16"/>
        <v>0</v>
      </c>
      <c r="I203" s="151">
        <f>SUMIFS(Del!$C:$C,Del!$B:$B,'Element wise-detail Summary'!$A203)</f>
        <v>1</v>
      </c>
      <c r="J203" s="151">
        <f t="shared" si="17"/>
        <v>0</v>
      </c>
      <c r="K203" s="151">
        <f t="shared" si="18"/>
        <v>0</v>
      </c>
      <c r="L203" s="151">
        <f>SUMIF(Ere!$B:$B,'Element wise-detail Summary'!$A203,Ere!$C:$C)</f>
        <v>1</v>
      </c>
      <c r="M203" s="151">
        <f t="shared" si="19"/>
        <v>0</v>
      </c>
      <c r="N203">
        <f t="shared" si="20"/>
        <v>1.5529999999999999</v>
      </c>
    </row>
    <row r="204" spans="1:15" hidden="1" x14ac:dyDescent="0.25">
      <c r="A204" s="151" t="s">
        <v>1384</v>
      </c>
      <c r="B204" s="233" t="str">
        <f>VLOOKUP(A204,'AFC Data details'!$B:$E,4,0)</f>
        <v>V37</v>
      </c>
      <c r="C204" s="144" t="s">
        <v>1694</v>
      </c>
      <c r="D204" s="151" t="s">
        <v>602</v>
      </c>
      <c r="E204" s="151">
        <f>VLOOKUP(A204,'AFC Data details'!$B:$P,15,0)</f>
        <v>1.413</v>
      </c>
      <c r="F204" s="151">
        <f>SUMIFS('AFC Data details'!C:C,'AFC Data details'!$B:$B,'Element wise-detail Summary'!$A204)</f>
        <v>1</v>
      </c>
      <c r="G204" s="151">
        <f>SUMIFS(Cast!$C:$C,Cast!$B:$B,'Element wise-detail Summary'!$A204)</f>
        <v>1</v>
      </c>
      <c r="H204" s="151">
        <f t="shared" si="16"/>
        <v>0</v>
      </c>
      <c r="I204" s="151">
        <f>SUMIFS(Del!$C:$C,Del!$B:$B,'Element wise-detail Summary'!$A204)</f>
        <v>1</v>
      </c>
      <c r="J204" s="151">
        <f t="shared" si="17"/>
        <v>0</v>
      </c>
      <c r="K204" s="151">
        <f t="shared" si="18"/>
        <v>0</v>
      </c>
      <c r="L204" s="151">
        <f>SUMIF(Ere!$B:$B,'Element wise-detail Summary'!$A204,Ere!$C:$C)</f>
        <v>1</v>
      </c>
      <c r="M204" s="151">
        <f t="shared" si="19"/>
        <v>0</v>
      </c>
      <c r="N204">
        <f t="shared" si="20"/>
        <v>1.413</v>
      </c>
    </row>
    <row r="205" spans="1:15" hidden="1" x14ac:dyDescent="0.25">
      <c r="A205" s="151" t="s">
        <v>1385</v>
      </c>
      <c r="B205" s="233" t="str">
        <f>VLOOKUP(A205,'AFC Data details'!$B:$E,4,0)</f>
        <v>V37</v>
      </c>
      <c r="C205" s="144" t="s">
        <v>1694</v>
      </c>
      <c r="D205" s="151" t="s">
        <v>602</v>
      </c>
      <c r="E205" s="151">
        <f>VLOOKUP(A205,'AFC Data details'!$B:$P,15,0)</f>
        <v>1.5820000000000001</v>
      </c>
      <c r="F205" s="151">
        <f>SUMIFS('AFC Data details'!C:C,'AFC Data details'!$B:$B,'Element wise-detail Summary'!$A205)</f>
        <v>1</v>
      </c>
      <c r="G205" s="151">
        <f>SUMIFS(Cast!$C:$C,Cast!$B:$B,'Element wise-detail Summary'!$A205)</f>
        <v>1</v>
      </c>
      <c r="H205" s="151">
        <f t="shared" si="16"/>
        <v>0</v>
      </c>
      <c r="I205" s="151">
        <f>SUMIFS(Del!$C:$C,Del!$B:$B,'Element wise-detail Summary'!$A205)</f>
        <v>1</v>
      </c>
      <c r="J205" s="151">
        <f t="shared" si="17"/>
        <v>0</v>
      </c>
      <c r="K205" s="151">
        <f t="shared" si="18"/>
        <v>0</v>
      </c>
      <c r="L205" s="151">
        <f>SUMIF(Ere!$B:$B,'Element wise-detail Summary'!$A205,Ere!$C:$C)</f>
        <v>1</v>
      </c>
      <c r="M205" s="151">
        <f t="shared" si="19"/>
        <v>0</v>
      </c>
      <c r="N205">
        <f t="shared" si="20"/>
        <v>1.5820000000000001</v>
      </c>
    </row>
    <row r="206" spans="1:15" hidden="1" x14ac:dyDescent="0.25">
      <c r="A206" s="151" t="s">
        <v>1386</v>
      </c>
      <c r="B206" s="233" t="str">
        <f>VLOOKUP(A206,'AFC Data details'!$B:$E,4,0)</f>
        <v>V37</v>
      </c>
      <c r="C206" s="144" t="s">
        <v>1694</v>
      </c>
      <c r="D206" s="151" t="s">
        <v>602</v>
      </c>
      <c r="E206" s="151">
        <f>VLOOKUP(A206,'AFC Data details'!$B:$P,15,0)</f>
        <v>1.403</v>
      </c>
      <c r="F206" s="151">
        <f>SUMIFS('AFC Data details'!C:C,'AFC Data details'!$B:$B,'Element wise-detail Summary'!$A206)</f>
        <v>1</v>
      </c>
      <c r="G206" s="151">
        <f>SUMIFS(Cast!$C:$C,Cast!$B:$B,'Element wise-detail Summary'!$A206)</f>
        <v>1</v>
      </c>
      <c r="H206" s="151">
        <f t="shared" si="16"/>
        <v>0</v>
      </c>
      <c r="I206" s="151">
        <f>SUMIFS(Del!$C:$C,Del!$B:$B,'Element wise-detail Summary'!$A206)</f>
        <v>1</v>
      </c>
      <c r="J206" s="151">
        <f t="shared" si="17"/>
        <v>0</v>
      </c>
      <c r="K206" s="151">
        <f t="shared" si="18"/>
        <v>0</v>
      </c>
      <c r="L206" s="151">
        <f>SUMIF(Ere!$B:$B,'Element wise-detail Summary'!$A206,Ere!$C:$C)</f>
        <v>1</v>
      </c>
      <c r="M206" s="151">
        <f t="shared" si="19"/>
        <v>0</v>
      </c>
      <c r="N206">
        <f t="shared" si="20"/>
        <v>1.403</v>
      </c>
    </row>
    <row r="207" spans="1:15" hidden="1" x14ac:dyDescent="0.25">
      <c r="A207" s="151" t="s">
        <v>1387</v>
      </c>
      <c r="B207" s="233" t="str">
        <f>VLOOKUP(A207,'AFC Data details'!$B:$E,4,0)</f>
        <v>V38</v>
      </c>
      <c r="C207" s="144" t="s">
        <v>1694</v>
      </c>
      <c r="D207" s="151" t="s">
        <v>602</v>
      </c>
      <c r="E207" s="151">
        <f>VLOOKUP(A207,'AFC Data details'!$B:$P,15,0)</f>
        <v>1.042</v>
      </c>
      <c r="F207" s="151">
        <f>SUMIFS('AFC Data details'!C:C,'AFC Data details'!$B:$B,'Element wise-detail Summary'!$A207)</f>
        <v>1</v>
      </c>
      <c r="G207" s="151">
        <f>SUMIFS(Cast!$C:$C,Cast!$B:$B,'Element wise-detail Summary'!$A207)</f>
        <v>1</v>
      </c>
      <c r="H207" s="151">
        <f t="shared" si="16"/>
        <v>0</v>
      </c>
      <c r="I207" s="151">
        <f>SUMIFS(Del!$C:$C,Del!$B:$B,'Element wise-detail Summary'!$A207)</f>
        <v>1</v>
      </c>
      <c r="J207" s="151">
        <f t="shared" si="17"/>
        <v>0</v>
      </c>
      <c r="K207" s="151">
        <f t="shared" si="18"/>
        <v>0</v>
      </c>
      <c r="L207" s="151">
        <f>SUMIF(Ere!$B:$B,'Element wise-detail Summary'!$A207,Ere!$C:$C)</f>
        <v>1</v>
      </c>
      <c r="M207" s="151">
        <f t="shared" si="19"/>
        <v>0</v>
      </c>
      <c r="N207">
        <f t="shared" si="20"/>
        <v>1.042</v>
      </c>
      <c r="O207" s="146"/>
    </row>
    <row r="208" spans="1:15" hidden="1" x14ac:dyDescent="0.25">
      <c r="A208" s="151" t="s">
        <v>1388</v>
      </c>
      <c r="B208" s="233" t="str">
        <f>VLOOKUP(A208,'AFC Data details'!$B:$E,4,0)</f>
        <v>V38</v>
      </c>
      <c r="C208" s="144" t="s">
        <v>1694</v>
      </c>
      <c r="D208" s="151" t="s">
        <v>602</v>
      </c>
      <c r="E208" s="151">
        <f>VLOOKUP(A208,'AFC Data details'!$B:$P,15,0)</f>
        <v>2.1219999999999999</v>
      </c>
      <c r="F208" s="151">
        <f>SUMIFS('AFC Data details'!C:C,'AFC Data details'!$B:$B,'Element wise-detail Summary'!$A208)</f>
        <v>1</v>
      </c>
      <c r="G208" s="151">
        <f>SUMIFS(Cast!$C:$C,Cast!$B:$B,'Element wise-detail Summary'!$A208)</f>
        <v>1</v>
      </c>
      <c r="H208" s="151">
        <f t="shared" si="16"/>
        <v>0</v>
      </c>
      <c r="I208" s="151">
        <f>SUMIFS(Del!$C:$C,Del!$B:$B,'Element wise-detail Summary'!$A208)</f>
        <v>1</v>
      </c>
      <c r="J208" s="151">
        <f t="shared" si="17"/>
        <v>0</v>
      </c>
      <c r="K208" s="151">
        <f t="shared" si="18"/>
        <v>0</v>
      </c>
      <c r="L208" s="151">
        <f>SUMIF(Ere!$B:$B,'Element wise-detail Summary'!$A208,Ere!$C:$C)</f>
        <v>1</v>
      </c>
      <c r="M208" s="151">
        <f t="shared" si="19"/>
        <v>0</v>
      </c>
      <c r="N208">
        <f t="shared" si="20"/>
        <v>2.1219999999999999</v>
      </c>
    </row>
    <row r="209" spans="1:15" hidden="1" x14ac:dyDescent="0.25">
      <c r="A209" s="151" t="s">
        <v>1389</v>
      </c>
      <c r="B209" s="233" t="str">
        <f>VLOOKUP(A209,'AFC Data details'!$B:$E,4,0)</f>
        <v>V39</v>
      </c>
      <c r="C209" s="144" t="s">
        <v>1694</v>
      </c>
      <c r="D209" s="151" t="s">
        <v>602</v>
      </c>
      <c r="E209" s="151">
        <f>VLOOKUP(A209,'AFC Data details'!$B:$P,15,0)</f>
        <v>2.1219999999999999</v>
      </c>
      <c r="F209" s="151">
        <f>SUMIFS('AFC Data details'!C:C,'AFC Data details'!$B:$B,'Element wise-detail Summary'!$A209)</f>
        <v>1</v>
      </c>
      <c r="G209" s="151">
        <f>SUMIFS(Cast!$C:$C,Cast!$B:$B,'Element wise-detail Summary'!$A209)</f>
        <v>1</v>
      </c>
      <c r="H209" s="151">
        <f t="shared" si="16"/>
        <v>0</v>
      </c>
      <c r="I209" s="151">
        <f>SUMIFS(Del!$C:$C,Del!$B:$B,'Element wise-detail Summary'!$A209)</f>
        <v>1</v>
      </c>
      <c r="J209" s="151">
        <f t="shared" si="17"/>
        <v>0</v>
      </c>
      <c r="K209" s="151">
        <f t="shared" si="18"/>
        <v>0</v>
      </c>
      <c r="L209" s="151">
        <f>SUMIF(Ere!$B:$B,'Element wise-detail Summary'!$A209,Ere!$C:$C)</f>
        <v>1</v>
      </c>
      <c r="M209" s="151">
        <f t="shared" si="19"/>
        <v>0</v>
      </c>
      <c r="N209">
        <f t="shared" si="20"/>
        <v>2.1219999999999999</v>
      </c>
      <c r="O209" s="146"/>
    </row>
    <row r="210" spans="1:15" hidden="1" x14ac:dyDescent="0.25">
      <c r="A210" s="151" t="s">
        <v>1390</v>
      </c>
      <c r="B210" s="233" t="str">
        <f>VLOOKUP(A210,'AFC Data details'!$B:$E,4,0)</f>
        <v>V38</v>
      </c>
      <c r="C210" s="144" t="s">
        <v>1694</v>
      </c>
      <c r="D210" s="151" t="s">
        <v>602</v>
      </c>
      <c r="E210" s="151">
        <f>VLOOKUP(A210,'AFC Data details'!$B:$P,15,0)</f>
        <v>2.12</v>
      </c>
      <c r="F210" s="151">
        <f>SUMIFS('AFC Data details'!C:C,'AFC Data details'!$B:$B,'Element wise-detail Summary'!$A210)</f>
        <v>1</v>
      </c>
      <c r="G210" s="151">
        <f>SUMIFS(Cast!$C:$C,Cast!$B:$B,'Element wise-detail Summary'!$A210)</f>
        <v>1</v>
      </c>
      <c r="H210" s="151">
        <f t="shared" si="16"/>
        <v>0</v>
      </c>
      <c r="I210" s="151">
        <f>SUMIFS(Del!$C:$C,Del!$B:$B,'Element wise-detail Summary'!$A210)</f>
        <v>1</v>
      </c>
      <c r="J210" s="151">
        <f t="shared" si="17"/>
        <v>0</v>
      </c>
      <c r="K210" s="151">
        <f t="shared" si="18"/>
        <v>0</v>
      </c>
      <c r="L210" s="151">
        <f>SUMIF(Ere!$B:$B,'Element wise-detail Summary'!$A210,Ere!$C:$C)</f>
        <v>1</v>
      </c>
      <c r="M210" s="151">
        <f t="shared" si="19"/>
        <v>0</v>
      </c>
      <c r="N210">
        <f t="shared" si="20"/>
        <v>2.12</v>
      </c>
      <c r="O210" s="146"/>
    </row>
    <row r="211" spans="1:15" hidden="1" x14ac:dyDescent="0.25">
      <c r="A211" s="151" t="s">
        <v>1391</v>
      </c>
      <c r="B211" s="233" t="str">
        <f>VLOOKUP(A211,'AFC Data details'!$B:$E,4,0)</f>
        <v>V38</v>
      </c>
      <c r="C211" s="144" t="s">
        <v>1694</v>
      </c>
      <c r="D211" s="151" t="s">
        <v>602</v>
      </c>
      <c r="E211" s="151">
        <f>VLOOKUP(A211,'AFC Data details'!$B:$P,15,0)</f>
        <v>2.12</v>
      </c>
      <c r="F211" s="151">
        <f>SUMIFS('AFC Data details'!C:C,'AFC Data details'!$B:$B,'Element wise-detail Summary'!$A211)</f>
        <v>1</v>
      </c>
      <c r="G211" s="151">
        <f>SUMIFS(Cast!$C:$C,Cast!$B:$B,'Element wise-detail Summary'!$A211)</f>
        <v>1</v>
      </c>
      <c r="H211" s="151">
        <f t="shared" si="16"/>
        <v>0</v>
      </c>
      <c r="I211" s="151">
        <f>SUMIFS(Del!$C:$C,Del!$B:$B,'Element wise-detail Summary'!$A211)</f>
        <v>1</v>
      </c>
      <c r="J211" s="151">
        <f t="shared" si="17"/>
        <v>0</v>
      </c>
      <c r="K211" s="151">
        <f t="shared" si="18"/>
        <v>0</v>
      </c>
      <c r="L211" s="151">
        <f>SUMIF(Ere!$B:$B,'Element wise-detail Summary'!$A211,Ere!$C:$C)</f>
        <v>1</v>
      </c>
      <c r="M211" s="151">
        <f t="shared" si="19"/>
        <v>0</v>
      </c>
      <c r="N211">
        <f t="shared" si="20"/>
        <v>2.12</v>
      </c>
      <c r="O211" s="146"/>
    </row>
    <row r="212" spans="1:15" hidden="1" x14ac:dyDescent="0.25">
      <c r="A212" s="151" t="s">
        <v>1392</v>
      </c>
      <c r="B212" s="233" t="str">
        <f>VLOOKUP(A212,'AFC Data details'!$B:$E,4,0)</f>
        <v>V38</v>
      </c>
      <c r="C212" s="144" t="s">
        <v>1694</v>
      </c>
      <c r="D212" s="151" t="s">
        <v>602</v>
      </c>
      <c r="E212" s="151">
        <f>VLOOKUP(A212,'AFC Data details'!$B:$P,15,0)</f>
        <v>2.12</v>
      </c>
      <c r="F212" s="151">
        <f>SUMIFS('AFC Data details'!C:C,'AFC Data details'!$B:$B,'Element wise-detail Summary'!$A212)</f>
        <v>1</v>
      </c>
      <c r="G212" s="151">
        <f>SUMIFS(Cast!$C:$C,Cast!$B:$B,'Element wise-detail Summary'!$A212)</f>
        <v>1</v>
      </c>
      <c r="H212" s="151">
        <f t="shared" si="16"/>
        <v>0</v>
      </c>
      <c r="I212" s="151">
        <f>SUMIFS(Del!$C:$C,Del!$B:$B,'Element wise-detail Summary'!$A212)</f>
        <v>1</v>
      </c>
      <c r="J212" s="151">
        <f t="shared" si="17"/>
        <v>0</v>
      </c>
      <c r="K212" s="151">
        <f t="shared" si="18"/>
        <v>0</v>
      </c>
      <c r="L212" s="151">
        <f>SUMIF(Ere!$B:$B,'Element wise-detail Summary'!$A212,Ere!$C:$C)</f>
        <v>1</v>
      </c>
      <c r="M212" s="151">
        <f t="shared" si="19"/>
        <v>0</v>
      </c>
      <c r="N212">
        <f t="shared" si="20"/>
        <v>2.12</v>
      </c>
    </row>
    <row r="213" spans="1:15" hidden="1" x14ac:dyDescent="0.25">
      <c r="A213" s="151" t="s">
        <v>1393</v>
      </c>
      <c r="B213" s="233" t="str">
        <f>VLOOKUP(A213,'AFC Data details'!$B:$E,4,0)</f>
        <v>V38</v>
      </c>
      <c r="C213" s="144" t="s">
        <v>1694</v>
      </c>
      <c r="D213" s="151" t="s">
        <v>602</v>
      </c>
      <c r="E213" s="151">
        <f>VLOOKUP(A213,'AFC Data details'!$B:$P,15,0)</f>
        <v>2.12</v>
      </c>
      <c r="F213" s="151">
        <f>SUMIFS('AFC Data details'!C:C,'AFC Data details'!$B:$B,'Element wise-detail Summary'!$A213)</f>
        <v>1</v>
      </c>
      <c r="G213" s="151">
        <f>SUMIFS(Cast!$C:$C,Cast!$B:$B,'Element wise-detail Summary'!$A213)</f>
        <v>1</v>
      </c>
      <c r="H213" s="151">
        <f t="shared" si="16"/>
        <v>0</v>
      </c>
      <c r="I213" s="151">
        <f>SUMIFS(Del!$C:$C,Del!$B:$B,'Element wise-detail Summary'!$A213)</f>
        <v>1</v>
      </c>
      <c r="J213" s="151">
        <f t="shared" si="17"/>
        <v>0</v>
      </c>
      <c r="K213" s="151">
        <f t="shared" si="18"/>
        <v>0</v>
      </c>
      <c r="L213" s="151">
        <f>SUMIF(Ere!$B:$B,'Element wise-detail Summary'!$A213,Ere!$C:$C)</f>
        <v>1</v>
      </c>
      <c r="M213" s="151">
        <f t="shared" si="19"/>
        <v>0</v>
      </c>
      <c r="N213">
        <f t="shared" si="20"/>
        <v>2.12</v>
      </c>
    </row>
    <row r="214" spans="1:15" hidden="1" x14ac:dyDescent="0.25">
      <c r="A214" s="151" t="s">
        <v>1394</v>
      </c>
      <c r="B214" s="233" t="str">
        <f>VLOOKUP(A214,'AFC Data details'!$B:$E,4,0)</f>
        <v>V39</v>
      </c>
      <c r="C214" s="144" t="s">
        <v>1694</v>
      </c>
      <c r="D214" s="151" t="s">
        <v>602</v>
      </c>
      <c r="E214" s="151">
        <f>VLOOKUP(A214,'AFC Data details'!$B:$P,15,0)</f>
        <v>2.12</v>
      </c>
      <c r="F214" s="151">
        <f>SUMIFS('AFC Data details'!C:C,'AFC Data details'!$B:$B,'Element wise-detail Summary'!$A214)</f>
        <v>1</v>
      </c>
      <c r="G214" s="151">
        <f>SUMIFS(Cast!$C:$C,Cast!$B:$B,'Element wise-detail Summary'!$A214)</f>
        <v>1</v>
      </c>
      <c r="H214" s="151">
        <f t="shared" si="16"/>
        <v>0</v>
      </c>
      <c r="I214" s="151">
        <f>SUMIFS(Del!$C:$C,Del!$B:$B,'Element wise-detail Summary'!$A214)</f>
        <v>1</v>
      </c>
      <c r="J214" s="151">
        <f t="shared" si="17"/>
        <v>0</v>
      </c>
      <c r="K214" s="151">
        <f t="shared" si="18"/>
        <v>0</v>
      </c>
      <c r="L214" s="151">
        <f>SUMIF(Ere!$B:$B,'Element wise-detail Summary'!$A214,Ere!$C:$C)</f>
        <v>1</v>
      </c>
      <c r="M214" s="151">
        <f t="shared" si="19"/>
        <v>0</v>
      </c>
      <c r="N214">
        <f t="shared" si="20"/>
        <v>2.12</v>
      </c>
    </row>
    <row r="215" spans="1:15" hidden="1" x14ac:dyDescent="0.25">
      <c r="A215" s="151" t="s">
        <v>1395</v>
      </c>
      <c r="B215" s="233" t="str">
        <f>VLOOKUP(A215,'AFC Data details'!$B:$E,4,0)</f>
        <v>V39</v>
      </c>
      <c r="C215" s="144" t="s">
        <v>1694</v>
      </c>
      <c r="D215" s="151" t="s">
        <v>602</v>
      </c>
      <c r="E215" s="151">
        <f>VLOOKUP(A215,'AFC Data details'!$B:$P,15,0)</f>
        <v>2.12</v>
      </c>
      <c r="F215" s="151">
        <f>SUMIFS('AFC Data details'!C:C,'AFC Data details'!$B:$B,'Element wise-detail Summary'!$A215)</f>
        <v>1</v>
      </c>
      <c r="G215" s="151">
        <f>SUMIFS(Cast!$C:$C,Cast!$B:$B,'Element wise-detail Summary'!$A215)</f>
        <v>1</v>
      </c>
      <c r="H215" s="151">
        <f t="shared" si="16"/>
        <v>0</v>
      </c>
      <c r="I215" s="151">
        <f>SUMIFS(Del!$C:$C,Del!$B:$B,'Element wise-detail Summary'!$A215)</f>
        <v>1</v>
      </c>
      <c r="J215" s="151">
        <f t="shared" si="17"/>
        <v>0</v>
      </c>
      <c r="K215" s="151">
        <f t="shared" si="18"/>
        <v>0</v>
      </c>
      <c r="L215" s="151">
        <f>SUMIF(Ere!$B:$B,'Element wise-detail Summary'!$A215,Ere!$C:$C)</f>
        <v>1</v>
      </c>
      <c r="M215" s="151">
        <f t="shared" si="19"/>
        <v>0</v>
      </c>
      <c r="N215">
        <f t="shared" si="20"/>
        <v>2.12</v>
      </c>
      <c r="O215" s="146"/>
    </row>
    <row r="216" spans="1:15" hidden="1" x14ac:dyDescent="0.25">
      <c r="A216" s="151" t="s">
        <v>1396</v>
      </c>
      <c r="B216" s="233" t="str">
        <f>VLOOKUP(A216,'AFC Data details'!$B:$E,4,0)</f>
        <v>V39</v>
      </c>
      <c r="C216" s="144" t="s">
        <v>1694</v>
      </c>
      <c r="D216" s="151" t="s">
        <v>602</v>
      </c>
      <c r="E216" s="151">
        <f>VLOOKUP(A216,'AFC Data details'!$B:$P,15,0)</f>
        <v>2.12</v>
      </c>
      <c r="F216" s="151">
        <f>SUMIFS('AFC Data details'!C:C,'AFC Data details'!$B:$B,'Element wise-detail Summary'!$A216)</f>
        <v>1</v>
      </c>
      <c r="G216" s="151">
        <f>SUMIFS(Cast!$C:$C,Cast!$B:$B,'Element wise-detail Summary'!$A216)</f>
        <v>1</v>
      </c>
      <c r="H216" s="151">
        <f t="shared" si="16"/>
        <v>0</v>
      </c>
      <c r="I216" s="151">
        <f>SUMIFS(Del!$C:$C,Del!$B:$B,'Element wise-detail Summary'!$A216)</f>
        <v>1</v>
      </c>
      <c r="J216" s="151">
        <f t="shared" si="17"/>
        <v>0</v>
      </c>
      <c r="K216" s="151">
        <f t="shared" si="18"/>
        <v>0</v>
      </c>
      <c r="L216" s="151">
        <f>SUMIF(Ere!$B:$B,'Element wise-detail Summary'!$A216,Ere!$C:$C)</f>
        <v>1</v>
      </c>
      <c r="M216" s="151">
        <f t="shared" si="19"/>
        <v>0</v>
      </c>
      <c r="N216">
        <f t="shared" si="20"/>
        <v>2.12</v>
      </c>
      <c r="O216" s="146"/>
    </row>
    <row r="217" spans="1:15" hidden="1" x14ac:dyDescent="0.25">
      <c r="A217" s="151" t="s">
        <v>1397</v>
      </c>
      <c r="B217" s="233" t="str">
        <f>VLOOKUP(A217,'AFC Data details'!$B:$E,4,0)</f>
        <v>V39</v>
      </c>
      <c r="C217" s="144" t="s">
        <v>1694</v>
      </c>
      <c r="D217" s="151" t="s">
        <v>602</v>
      </c>
      <c r="E217" s="151">
        <f>VLOOKUP(A217,'AFC Data details'!$B:$P,15,0)</f>
        <v>2.12</v>
      </c>
      <c r="F217" s="151">
        <f>SUMIFS('AFC Data details'!C:C,'AFC Data details'!$B:$B,'Element wise-detail Summary'!$A217)</f>
        <v>1</v>
      </c>
      <c r="G217" s="151">
        <f>SUMIFS(Cast!$C:$C,Cast!$B:$B,'Element wise-detail Summary'!$A217)</f>
        <v>1</v>
      </c>
      <c r="H217" s="151">
        <f t="shared" si="16"/>
        <v>0</v>
      </c>
      <c r="I217" s="151">
        <f>SUMIFS(Del!$C:$C,Del!$B:$B,'Element wise-detail Summary'!$A217)</f>
        <v>1</v>
      </c>
      <c r="J217" s="151">
        <f t="shared" si="17"/>
        <v>0</v>
      </c>
      <c r="K217" s="151">
        <f t="shared" si="18"/>
        <v>0</v>
      </c>
      <c r="L217" s="151">
        <f>SUMIF(Ere!$B:$B,'Element wise-detail Summary'!$A217,Ere!$C:$C)</f>
        <v>1</v>
      </c>
      <c r="M217" s="151">
        <f t="shared" si="19"/>
        <v>0</v>
      </c>
      <c r="N217">
        <f t="shared" si="20"/>
        <v>2.12</v>
      </c>
      <c r="O217" s="146"/>
    </row>
    <row r="218" spans="1:15" hidden="1" x14ac:dyDescent="0.25">
      <c r="A218" s="151" t="s">
        <v>1398</v>
      </c>
      <c r="B218" s="233" t="str">
        <f>VLOOKUP(A218,'AFC Data details'!$B:$E,4,0)</f>
        <v>V38</v>
      </c>
      <c r="C218" s="144" t="s">
        <v>1694</v>
      </c>
      <c r="D218" s="151" t="s">
        <v>602</v>
      </c>
      <c r="E218" s="151">
        <f>VLOOKUP(A218,'AFC Data details'!$B:$P,15,0)</f>
        <v>2.1219999999999999</v>
      </c>
      <c r="F218" s="151">
        <f>SUMIFS('AFC Data details'!C:C,'AFC Data details'!$B:$B,'Element wise-detail Summary'!$A218)</f>
        <v>1</v>
      </c>
      <c r="G218" s="151">
        <f>SUMIFS(Cast!$C:$C,Cast!$B:$B,'Element wise-detail Summary'!$A218)</f>
        <v>1</v>
      </c>
      <c r="H218" s="151">
        <f t="shared" si="16"/>
        <v>0</v>
      </c>
      <c r="I218" s="151">
        <f>SUMIFS(Del!$C:$C,Del!$B:$B,'Element wise-detail Summary'!$A218)</f>
        <v>1</v>
      </c>
      <c r="J218" s="151">
        <f t="shared" si="17"/>
        <v>0</v>
      </c>
      <c r="K218" s="151">
        <f t="shared" si="18"/>
        <v>0</v>
      </c>
      <c r="L218" s="151">
        <f>SUMIF(Ere!$B:$B,'Element wise-detail Summary'!$A218,Ere!$C:$C)</f>
        <v>1</v>
      </c>
      <c r="M218" s="151">
        <f t="shared" si="19"/>
        <v>0</v>
      </c>
      <c r="N218">
        <f t="shared" si="20"/>
        <v>2.1219999999999999</v>
      </c>
      <c r="O218" s="146"/>
    </row>
    <row r="219" spans="1:15" hidden="1" x14ac:dyDescent="0.25">
      <c r="A219" s="151" t="s">
        <v>1399</v>
      </c>
      <c r="B219" s="233" t="str">
        <f>VLOOKUP(A219,'AFC Data details'!$B:$E,4,0)</f>
        <v>V39</v>
      </c>
      <c r="C219" s="144" t="s">
        <v>1694</v>
      </c>
      <c r="D219" s="151" t="s">
        <v>602</v>
      </c>
      <c r="E219" s="151">
        <f>VLOOKUP(A219,'AFC Data details'!$B:$P,15,0)</f>
        <v>2.1219999999999999</v>
      </c>
      <c r="F219" s="151">
        <f>SUMIFS('AFC Data details'!C:C,'AFC Data details'!$B:$B,'Element wise-detail Summary'!$A219)</f>
        <v>1</v>
      </c>
      <c r="G219" s="151">
        <f>SUMIFS(Cast!$C:$C,Cast!$B:$B,'Element wise-detail Summary'!$A219)</f>
        <v>1</v>
      </c>
      <c r="H219" s="151">
        <f t="shared" si="16"/>
        <v>0</v>
      </c>
      <c r="I219" s="151">
        <f>SUMIFS(Del!$C:$C,Del!$B:$B,'Element wise-detail Summary'!$A219)</f>
        <v>1</v>
      </c>
      <c r="J219" s="151">
        <f t="shared" si="17"/>
        <v>0</v>
      </c>
      <c r="K219" s="151">
        <f t="shared" si="18"/>
        <v>0</v>
      </c>
      <c r="L219" s="151">
        <f>SUMIF(Ere!$B:$B,'Element wise-detail Summary'!$A219,Ere!$C:$C)</f>
        <v>1</v>
      </c>
      <c r="M219" s="151">
        <f t="shared" si="19"/>
        <v>0</v>
      </c>
      <c r="N219">
        <f t="shared" si="20"/>
        <v>2.1219999999999999</v>
      </c>
      <c r="O219" s="146"/>
    </row>
    <row r="220" spans="1:15" hidden="1" x14ac:dyDescent="0.25">
      <c r="A220" s="151" t="s">
        <v>1400</v>
      </c>
      <c r="B220" s="233" t="str">
        <f>VLOOKUP(A220,'AFC Data details'!$B:$E,4,0)</f>
        <v>V38</v>
      </c>
      <c r="C220" s="144" t="s">
        <v>1694</v>
      </c>
      <c r="D220" s="151" t="s">
        <v>602</v>
      </c>
      <c r="E220" s="151">
        <f>VLOOKUP(A220,'AFC Data details'!$B:$P,15,0)</f>
        <v>1.27</v>
      </c>
      <c r="F220" s="151">
        <f>SUMIFS('AFC Data details'!C:C,'AFC Data details'!$B:$B,'Element wise-detail Summary'!$A220)</f>
        <v>1</v>
      </c>
      <c r="G220" s="151">
        <f>SUMIFS(Cast!$C:$C,Cast!$B:$B,'Element wise-detail Summary'!$A220)</f>
        <v>1</v>
      </c>
      <c r="H220" s="151">
        <f t="shared" si="16"/>
        <v>0</v>
      </c>
      <c r="I220" s="151">
        <f>SUMIFS(Del!$C:$C,Del!$B:$B,'Element wise-detail Summary'!$A220)</f>
        <v>1</v>
      </c>
      <c r="J220" s="151">
        <f t="shared" si="17"/>
        <v>0</v>
      </c>
      <c r="K220" s="151">
        <f t="shared" si="18"/>
        <v>0</v>
      </c>
      <c r="L220" s="151">
        <f>SUMIF(Ere!$B:$B,'Element wise-detail Summary'!$A220,Ere!$C:$C)</f>
        <v>1</v>
      </c>
      <c r="M220" s="151">
        <f t="shared" si="19"/>
        <v>0</v>
      </c>
      <c r="N220">
        <f t="shared" si="20"/>
        <v>1.27</v>
      </c>
      <c r="O220" s="146"/>
    </row>
    <row r="221" spans="1:15" hidden="1" x14ac:dyDescent="0.25">
      <c r="A221" s="151" t="s">
        <v>1401</v>
      </c>
      <c r="B221" s="233" t="str">
        <f>VLOOKUP(A221,'AFC Data details'!$B:$E,4,0)</f>
        <v>V38</v>
      </c>
      <c r="C221" s="144" t="s">
        <v>1694</v>
      </c>
      <c r="D221" s="151" t="s">
        <v>602</v>
      </c>
      <c r="E221" s="151">
        <f>VLOOKUP(A221,'AFC Data details'!$B:$P,15,0)</f>
        <v>1.466</v>
      </c>
      <c r="F221" s="151">
        <f>SUMIFS('AFC Data details'!C:C,'AFC Data details'!$B:$B,'Element wise-detail Summary'!$A221)</f>
        <v>1</v>
      </c>
      <c r="G221" s="151">
        <f>SUMIFS(Cast!$C:$C,Cast!$B:$B,'Element wise-detail Summary'!$A221)</f>
        <v>1</v>
      </c>
      <c r="H221" s="151">
        <f t="shared" si="16"/>
        <v>0</v>
      </c>
      <c r="I221" s="151">
        <f>SUMIFS(Del!$C:$C,Del!$B:$B,'Element wise-detail Summary'!$A221)</f>
        <v>1</v>
      </c>
      <c r="J221" s="151">
        <f t="shared" si="17"/>
        <v>0</v>
      </c>
      <c r="K221" s="151">
        <f t="shared" si="18"/>
        <v>0</v>
      </c>
      <c r="L221" s="151">
        <f>SUMIF(Ere!$B:$B,'Element wise-detail Summary'!$A221,Ere!$C:$C)</f>
        <v>1</v>
      </c>
      <c r="M221" s="151">
        <f t="shared" si="19"/>
        <v>0</v>
      </c>
      <c r="N221">
        <f t="shared" si="20"/>
        <v>1.466</v>
      </c>
    </row>
    <row r="222" spans="1:15" hidden="1" x14ac:dyDescent="0.25">
      <c r="A222" s="151" t="s">
        <v>1402</v>
      </c>
      <c r="B222" s="233" t="str">
        <f>VLOOKUP(A222,'AFC Data details'!$B:$E,4,0)</f>
        <v>V39</v>
      </c>
      <c r="C222" s="144" t="s">
        <v>1694</v>
      </c>
      <c r="D222" s="151" t="s">
        <v>602</v>
      </c>
      <c r="E222" s="151">
        <f>VLOOKUP(A222,'AFC Data details'!$B:$P,15,0)</f>
        <v>1.413</v>
      </c>
      <c r="F222" s="151">
        <f>SUMIFS('AFC Data details'!C:C,'AFC Data details'!$B:$B,'Element wise-detail Summary'!$A222)</f>
        <v>1</v>
      </c>
      <c r="G222" s="151">
        <f>SUMIFS(Cast!$C:$C,Cast!$B:$B,'Element wise-detail Summary'!$A222)</f>
        <v>1</v>
      </c>
      <c r="H222" s="151">
        <f t="shared" si="16"/>
        <v>0</v>
      </c>
      <c r="I222" s="151">
        <f>SUMIFS(Del!$C:$C,Del!$B:$B,'Element wise-detail Summary'!$A222)</f>
        <v>1</v>
      </c>
      <c r="J222" s="151">
        <f t="shared" si="17"/>
        <v>0</v>
      </c>
      <c r="K222" s="151">
        <f t="shared" si="18"/>
        <v>0</v>
      </c>
      <c r="L222" s="151">
        <f>SUMIF(Ere!$B:$B,'Element wise-detail Summary'!$A222,Ere!$C:$C)</f>
        <v>1</v>
      </c>
      <c r="M222" s="151">
        <f t="shared" si="19"/>
        <v>0</v>
      </c>
      <c r="N222">
        <f t="shared" si="20"/>
        <v>1.413</v>
      </c>
    </row>
    <row r="223" spans="1:15" hidden="1" x14ac:dyDescent="0.25">
      <c r="A223" s="151" t="s">
        <v>1403</v>
      </c>
      <c r="B223" s="233" t="str">
        <f>VLOOKUP(A223,'AFC Data details'!$B:$E,4,0)</f>
        <v>V39</v>
      </c>
      <c r="C223" s="144" t="s">
        <v>1694</v>
      </c>
      <c r="D223" s="151" t="s">
        <v>602</v>
      </c>
      <c r="E223" s="151">
        <f>VLOOKUP(A223,'AFC Data details'!$B:$P,15,0)</f>
        <v>1.46</v>
      </c>
      <c r="F223" s="151">
        <f>SUMIFS('AFC Data details'!C:C,'AFC Data details'!$B:$B,'Element wise-detail Summary'!$A223)</f>
        <v>1</v>
      </c>
      <c r="G223" s="151">
        <f>SUMIFS(Cast!$C:$C,Cast!$B:$B,'Element wise-detail Summary'!$A223)</f>
        <v>1</v>
      </c>
      <c r="H223" s="151">
        <f t="shared" si="16"/>
        <v>0</v>
      </c>
      <c r="I223" s="151">
        <f>SUMIFS(Del!$C:$C,Del!$B:$B,'Element wise-detail Summary'!$A223)</f>
        <v>1</v>
      </c>
      <c r="J223" s="151">
        <f t="shared" si="17"/>
        <v>0</v>
      </c>
      <c r="K223" s="151">
        <f t="shared" si="18"/>
        <v>0</v>
      </c>
      <c r="L223" s="151">
        <f>SUMIF(Ere!$B:$B,'Element wise-detail Summary'!$A223,Ere!$C:$C)</f>
        <v>1</v>
      </c>
      <c r="M223" s="151">
        <f t="shared" si="19"/>
        <v>0</v>
      </c>
      <c r="N223">
        <f t="shared" si="20"/>
        <v>1.46</v>
      </c>
    </row>
    <row r="224" spans="1:15" hidden="1" x14ac:dyDescent="0.25">
      <c r="A224" s="157" t="s">
        <v>1404</v>
      </c>
      <c r="B224" s="233" t="str">
        <f>VLOOKUP(A224,'AFC Data details'!$B:$E,4,0)</f>
        <v>V39</v>
      </c>
      <c r="C224" s="144" t="s">
        <v>1694</v>
      </c>
      <c r="D224" s="151" t="s">
        <v>602</v>
      </c>
      <c r="E224" s="151">
        <f>VLOOKUP(A224,'AFC Data details'!$B:$P,15,0)</f>
        <v>1.288</v>
      </c>
      <c r="F224" s="151">
        <f>SUMIFS('AFC Data details'!C:C,'AFC Data details'!$B:$B,'Element wise-detail Summary'!$A224)</f>
        <v>1</v>
      </c>
      <c r="G224" s="151">
        <f>SUMIFS(Cast!$C:$C,Cast!$B:$B,'Element wise-detail Summary'!$A224)</f>
        <v>1</v>
      </c>
      <c r="H224" s="151">
        <f t="shared" si="16"/>
        <v>0</v>
      </c>
      <c r="I224" s="151">
        <f>SUMIFS(Del!$C:$C,Del!$B:$B,'Element wise-detail Summary'!$A224)</f>
        <v>1</v>
      </c>
      <c r="J224" s="151">
        <f t="shared" si="17"/>
        <v>0</v>
      </c>
      <c r="K224" s="151">
        <f t="shared" si="18"/>
        <v>0</v>
      </c>
      <c r="L224" s="151">
        <f>SUMIF(Ere!$B:$B,'Element wise-detail Summary'!$A224,Ere!$C:$C)</f>
        <v>1</v>
      </c>
      <c r="M224" s="151">
        <f t="shared" si="19"/>
        <v>0</v>
      </c>
      <c r="N224">
        <f t="shared" si="20"/>
        <v>1.288</v>
      </c>
      <c r="O224" s="146"/>
    </row>
    <row r="225" spans="1:15" hidden="1" x14ac:dyDescent="0.25">
      <c r="A225" s="157" t="s">
        <v>1405</v>
      </c>
      <c r="B225" s="233" t="str">
        <f>VLOOKUP(A225,'AFC Data details'!$B:$E,4,0)</f>
        <v>V40</v>
      </c>
      <c r="C225" s="144" t="s">
        <v>1694</v>
      </c>
      <c r="D225" s="151" t="s">
        <v>602</v>
      </c>
      <c r="E225" s="151">
        <f>VLOOKUP(A225,'AFC Data details'!$B:$P,15,0)</f>
        <v>1.01</v>
      </c>
      <c r="F225" s="151">
        <f>SUMIFS('AFC Data details'!C:C,'AFC Data details'!$B:$B,'Element wise-detail Summary'!$A225)</f>
        <v>1</v>
      </c>
      <c r="G225" s="151">
        <f>SUMIFS(Cast!$C:$C,Cast!$B:$B,'Element wise-detail Summary'!$A225)</f>
        <v>1</v>
      </c>
      <c r="H225" s="151">
        <f t="shared" si="16"/>
        <v>0</v>
      </c>
      <c r="I225" s="151">
        <f>SUMIFS(Del!$C:$C,Del!$B:$B,'Element wise-detail Summary'!$A225)</f>
        <v>1</v>
      </c>
      <c r="J225" s="151">
        <f t="shared" si="17"/>
        <v>0</v>
      </c>
      <c r="K225" s="151">
        <f t="shared" si="18"/>
        <v>0</v>
      </c>
      <c r="L225" s="151">
        <f>SUMIF(Ere!$B:$B,'Element wise-detail Summary'!$A225,Ere!$C:$C)</f>
        <v>1</v>
      </c>
      <c r="M225" s="151">
        <f t="shared" si="19"/>
        <v>0</v>
      </c>
      <c r="N225">
        <f t="shared" si="20"/>
        <v>1.01</v>
      </c>
      <c r="O225" s="146"/>
    </row>
    <row r="226" spans="1:15" hidden="1" x14ac:dyDescent="0.25">
      <c r="A226" s="151" t="s">
        <v>1406</v>
      </c>
      <c r="B226" s="233" t="str">
        <f>VLOOKUP(A226,'AFC Data details'!$B:$E,4,0)</f>
        <v>V40</v>
      </c>
      <c r="C226" s="144" t="s">
        <v>1694</v>
      </c>
      <c r="D226" s="151" t="s">
        <v>602</v>
      </c>
      <c r="E226" s="151">
        <f>VLOOKUP(A226,'AFC Data details'!$B:$P,15,0)</f>
        <v>2.1040000000000001</v>
      </c>
      <c r="F226" s="151">
        <f>SUMIFS('AFC Data details'!C:C,'AFC Data details'!$B:$B,'Element wise-detail Summary'!$A226)</f>
        <v>1</v>
      </c>
      <c r="G226" s="151">
        <f>SUMIFS(Cast!$C:$C,Cast!$B:$B,'Element wise-detail Summary'!$A226)</f>
        <v>1</v>
      </c>
      <c r="H226" s="151">
        <f t="shared" si="16"/>
        <v>0</v>
      </c>
      <c r="I226" s="151">
        <f>SUMIFS(Del!$C:$C,Del!$B:$B,'Element wise-detail Summary'!$A226)</f>
        <v>1</v>
      </c>
      <c r="J226" s="151">
        <f t="shared" si="17"/>
        <v>0</v>
      </c>
      <c r="K226" s="151">
        <f t="shared" si="18"/>
        <v>0</v>
      </c>
      <c r="L226" s="151">
        <f>SUMIF(Ere!$B:$B,'Element wise-detail Summary'!$A226,Ere!$C:$C)</f>
        <v>1</v>
      </c>
      <c r="M226" s="151">
        <f t="shared" si="19"/>
        <v>0</v>
      </c>
      <c r="N226">
        <f t="shared" si="20"/>
        <v>2.1040000000000001</v>
      </c>
      <c r="O226" s="146"/>
    </row>
    <row r="227" spans="1:15" hidden="1" x14ac:dyDescent="0.25">
      <c r="A227" s="151" t="s">
        <v>1407</v>
      </c>
      <c r="B227" s="233" t="str">
        <f>VLOOKUP(A227,'AFC Data details'!$B:$E,4,0)</f>
        <v>V41</v>
      </c>
      <c r="C227" s="144" t="s">
        <v>1694</v>
      </c>
      <c r="D227" s="151" t="s">
        <v>602</v>
      </c>
      <c r="E227" s="151">
        <f>VLOOKUP(A227,'AFC Data details'!$B:$P,15,0)</f>
        <v>2.1040000000000001</v>
      </c>
      <c r="F227" s="151">
        <f>SUMIFS('AFC Data details'!C:C,'AFC Data details'!$B:$B,'Element wise-detail Summary'!$A227)</f>
        <v>1</v>
      </c>
      <c r="G227" s="151">
        <f>SUMIFS(Cast!$C:$C,Cast!$B:$B,'Element wise-detail Summary'!$A227)</f>
        <v>1</v>
      </c>
      <c r="H227" s="151">
        <f t="shared" si="16"/>
        <v>0</v>
      </c>
      <c r="I227" s="151">
        <f>SUMIFS(Del!$C:$C,Del!$B:$B,'Element wise-detail Summary'!$A227)</f>
        <v>1</v>
      </c>
      <c r="J227" s="151">
        <f t="shared" si="17"/>
        <v>0</v>
      </c>
      <c r="K227" s="151">
        <f t="shared" si="18"/>
        <v>0</v>
      </c>
      <c r="L227" s="151">
        <f>SUMIF(Ere!$B:$B,'Element wise-detail Summary'!$A227,Ere!$C:$C)</f>
        <v>1</v>
      </c>
      <c r="M227" s="151">
        <f t="shared" si="19"/>
        <v>0</v>
      </c>
      <c r="N227">
        <f t="shared" si="20"/>
        <v>2.1040000000000001</v>
      </c>
      <c r="O227" s="146"/>
    </row>
    <row r="228" spans="1:15" hidden="1" x14ac:dyDescent="0.25">
      <c r="A228" s="151" t="s">
        <v>1408</v>
      </c>
      <c r="B228" s="233" t="str">
        <f>VLOOKUP(A228,'AFC Data details'!$B:$E,4,0)</f>
        <v>V40</v>
      </c>
      <c r="C228" s="144" t="s">
        <v>1694</v>
      </c>
      <c r="D228" s="151" t="s">
        <v>602</v>
      </c>
      <c r="E228" s="151">
        <f>VLOOKUP(A228,'AFC Data details'!$B:$P,15,0)</f>
        <v>2.1040000000000001</v>
      </c>
      <c r="F228" s="151">
        <f>SUMIFS('AFC Data details'!C:C,'AFC Data details'!$B:$B,'Element wise-detail Summary'!$A228)</f>
        <v>1</v>
      </c>
      <c r="G228" s="151">
        <f>SUMIFS(Cast!$C:$C,Cast!$B:$B,'Element wise-detail Summary'!$A228)</f>
        <v>1</v>
      </c>
      <c r="H228" s="151">
        <f t="shared" si="16"/>
        <v>0</v>
      </c>
      <c r="I228" s="151">
        <f>SUMIFS(Del!$C:$C,Del!$B:$B,'Element wise-detail Summary'!$A228)</f>
        <v>1</v>
      </c>
      <c r="J228" s="151">
        <f t="shared" si="17"/>
        <v>0</v>
      </c>
      <c r="K228" s="151">
        <f t="shared" si="18"/>
        <v>0</v>
      </c>
      <c r="L228" s="151">
        <f>SUMIF(Ere!$B:$B,'Element wise-detail Summary'!$A228,Ere!$C:$C)</f>
        <v>1</v>
      </c>
      <c r="M228" s="151">
        <f t="shared" si="19"/>
        <v>0</v>
      </c>
      <c r="N228">
        <f t="shared" si="20"/>
        <v>2.1040000000000001</v>
      </c>
    </row>
    <row r="229" spans="1:15" hidden="1" x14ac:dyDescent="0.25">
      <c r="A229" s="157" t="s">
        <v>1409</v>
      </c>
      <c r="B229" s="233" t="str">
        <f>VLOOKUP(A229,'AFC Data details'!$B:$E,4,0)</f>
        <v>V40</v>
      </c>
      <c r="C229" s="144" t="s">
        <v>1694</v>
      </c>
      <c r="D229" s="151" t="s">
        <v>602</v>
      </c>
      <c r="E229" s="151">
        <f>VLOOKUP(A229,'AFC Data details'!$B:$P,15,0)</f>
        <v>2.1040000000000001</v>
      </c>
      <c r="F229" s="151">
        <f>SUMIFS('AFC Data details'!C:C,'AFC Data details'!$B:$B,'Element wise-detail Summary'!$A229)</f>
        <v>1</v>
      </c>
      <c r="G229" s="151">
        <f>SUMIFS(Cast!$C:$C,Cast!$B:$B,'Element wise-detail Summary'!$A229)</f>
        <v>1</v>
      </c>
      <c r="H229" s="151">
        <f t="shared" si="16"/>
        <v>0</v>
      </c>
      <c r="I229" s="151">
        <f>SUMIFS(Del!$C:$C,Del!$B:$B,'Element wise-detail Summary'!$A229)</f>
        <v>1</v>
      </c>
      <c r="J229" s="151">
        <f t="shared" si="17"/>
        <v>0</v>
      </c>
      <c r="K229" s="151">
        <f t="shared" si="18"/>
        <v>0</v>
      </c>
      <c r="L229" s="151">
        <f>SUMIF(Ere!$B:$B,'Element wise-detail Summary'!$A229,Ere!$C:$C)</f>
        <v>1</v>
      </c>
      <c r="M229" s="151">
        <f t="shared" si="19"/>
        <v>0</v>
      </c>
      <c r="N229">
        <f t="shared" si="20"/>
        <v>2.1040000000000001</v>
      </c>
      <c r="O229" s="146"/>
    </row>
    <row r="230" spans="1:15" hidden="1" x14ac:dyDescent="0.25">
      <c r="A230" s="151" t="s">
        <v>1410</v>
      </c>
      <c r="B230" s="233" t="str">
        <f>VLOOKUP(A230,'AFC Data details'!$B:$E,4,0)</f>
        <v>V40</v>
      </c>
      <c r="C230" s="144" t="s">
        <v>1694</v>
      </c>
      <c r="D230" s="151" t="s">
        <v>602</v>
      </c>
      <c r="E230" s="151">
        <f>VLOOKUP(A230,'AFC Data details'!$B:$P,15,0)</f>
        <v>2.1040000000000001</v>
      </c>
      <c r="F230" s="151">
        <f>SUMIFS('AFC Data details'!C:C,'AFC Data details'!$B:$B,'Element wise-detail Summary'!$A230)</f>
        <v>1</v>
      </c>
      <c r="G230" s="151">
        <f>SUMIFS(Cast!$C:$C,Cast!$B:$B,'Element wise-detail Summary'!$A230)</f>
        <v>1</v>
      </c>
      <c r="H230" s="151">
        <f t="shared" si="16"/>
        <v>0</v>
      </c>
      <c r="I230" s="151">
        <f>SUMIFS(Del!$C:$C,Del!$B:$B,'Element wise-detail Summary'!$A230)</f>
        <v>1</v>
      </c>
      <c r="J230" s="151">
        <f t="shared" si="17"/>
        <v>0</v>
      </c>
      <c r="K230" s="151">
        <f t="shared" si="18"/>
        <v>0</v>
      </c>
      <c r="L230" s="151">
        <f>SUMIF(Ere!$B:$B,'Element wise-detail Summary'!$A230,Ere!$C:$C)</f>
        <v>1</v>
      </c>
      <c r="M230" s="151">
        <f t="shared" si="19"/>
        <v>0</v>
      </c>
      <c r="N230">
        <f t="shared" si="20"/>
        <v>2.1040000000000001</v>
      </c>
    </row>
    <row r="231" spans="1:15" hidden="1" x14ac:dyDescent="0.25">
      <c r="A231" s="151" t="s">
        <v>1411</v>
      </c>
      <c r="B231" s="233" t="str">
        <f>VLOOKUP(A231,'AFC Data details'!$B:$E,4,0)</f>
        <v>V40</v>
      </c>
      <c r="C231" s="144" t="s">
        <v>1694</v>
      </c>
      <c r="D231" s="151" t="s">
        <v>602</v>
      </c>
      <c r="E231" s="151">
        <f>VLOOKUP(A231,'AFC Data details'!$B:$P,15,0)</f>
        <v>2.1040000000000001</v>
      </c>
      <c r="F231" s="151">
        <f>SUMIFS('AFC Data details'!C:C,'AFC Data details'!$B:$B,'Element wise-detail Summary'!$A231)</f>
        <v>1</v>
      </c>
      <c r="G231" s="151">
        <f>SUMIFS(Cast!$C:$C,Cast!$B:$B,'Element wise-detail Summary'!$A231)</f>
        <v>1</v>
      </c>
      <c r="H231" s="151">
        <f t="shared" si="16"/>
        <v>0</v>
      </c>
      <c r="I231" s="151">
        <f>SUMIFS(Del!$C:$C,Del!$B:$B,'Element wise-detail Summary'!$A231)</f>
        <v>1</v>
      </c>
      <c r="J231" s="151">
        <f t="shared" si="17"/>
        <v>0</v>
      </c>
      <c r="K231" s="151">
        <f t="shared" si="18"/>
        <v>0</v>
      </c>
      <c r="L231" s="151">
        <f>SUMIF(Ere!$B:$B,'Element wise-detail Summary'!$A231,Ere!$C:$C)</f>
        <v>1</v>
      </c>
      <c r="M231" s="151">
        <f t="shared" si="19"/>
        <v>0</v>
      </c>
      <c r="N231">
        <f t="shared" si="20"/>
        <v>2.1040000000000001</v>
      </c>
    </row>
    <row r="232" spans="1:15" hidden="1" x14ac:dyDescent="0.25">
      <c r="A232" s="157" t="s">
        <v>1412</v>
      </c>
      <c r="B232" s="233" t="str">
        <f>VLOOKUP(A232,'AFC Data details'!$B:$E,4,0)</f>
        <v>V41</v>
      </c>
      <c r="C232" s="144" t="s">
        <v>1694</v>
      </c>
      <c r="D232" s="151" t="s">
        <v>602</v>
      </c>
      <c r="E232" s="151">
        <f>VLOOKUP(A232,'AFC Data details'!$B:$P,15,0)</f>
        <v>2.1040000000000001</v>
      </c>
      <c r="F232" s="151">
        <f>SUMIFS('AFC Data details'!C:C,'AFC Data details'!$B:$B,'Element wise-detail Summary'!$A232)</f>
        <v>1</v>
      </c>
      <c r="G232" s="151">
        <f>SUMIFS(Cast!$C:$C,Cast!$B:$B,'Element wise-detail Summary'!$A232)</f>
        <v>1</v>
      </c>
      <c r="H232" s="151">
        <f t="shared" si="16"/>
        <v>0</v>
      </c>
      <c r="I232" s="151">
        <f>SUMIFS(Del!$C:$C,Del!$B:$B,'Element wise-detail Summary'!$A232)</f>
        <v>1</v>
      </c>
      <c r="J232" s="151">
        <f t="shared" si="17"/>
        <v>0</v>
      </c>
      <c r="K232" s="151">
        <f t="shared" si="18"/>
        <v>0</v>
      </c>
      <c r="L232" s="151">
        <f>SUMIF(Ere!$B:$B,'Element wise-detail Summary'!$A232,Ere!$C:$C)</f>
        <v>1</v>
      </c>
      <c r="M232" s="151">
        <f t="shared" si="19"/>
        <v>0</v>
      </c>
      <c r="N232">
        <f t="shared" si="20"/>
        <v>2.1040000000000001</v>
      </c>
      <c r="O232" s="146"/>
    </row>
    <row r="233" spans="1:15" hidden="1" x14ac:dyDescent="0.25">
      <c r="A233" s="157" t="s">
        <v>1413</v>
      </c>
      <c r="B233" s="233" t="str">
        <f>VLOOKUP(A233,'AFC Data details'!$B:$E,4,0)</f>
        <v>V41</v>
      </c>
      <c r="C233" s="144" t="s">
        <v>1694</v>
      </c>
      <c r="D233" s="151" t="s">
        <v>602</v>
      </c>
      <c r="E233" s="151">
        <f>VLOOKUP(A233,'AFC Data details'!$B:$P,15,0)</f>
        <v>2.1040000000000001</v>
      </c>
      <c r="F233" s="151">
        <f>SUMIFS('AFC Data details'!C:C,'AFC Data details'!$B:$B,'Element wise-detail Summary'!$A233)</f>
        <v>1</v>
      </c>
      <c r="G233" s="151">
        <f>SUMIFS(Cast!$C:$C,Cast!$B:$B,'Element wise-detail Summary'!$A233)</f>
        <v>1</v>
      </c>
      <c r="H233" s="151">
        <f t="shared" si="16"/>
        <v>0</v>
      </c>
      <c r="I233" s="151">
        <f>SUMIFS(Del!$C:$C,Del!$B:$B,'Element wise-detail Summary'!$A233)</f>
        <v>1</v>
      </c>
      <c r="J233" s="151">
        <f t="shared" si="17"/>
        <v>0</v>
      </c>
      <c r="K233" s="151">
        <f t="shared" si="18"/>
        <v>0</v>
      </c>
      <c r="L233" s="151">
        <f>SUMIF(Ere!$B:$B,'Element wise-detail Summary'!$A233,Ere!$C:$C)</f>
        <v>1</v>
      </c>
      <c r="M233" s="151">
        <f t="shared" si="19"/>
        <v>0</v>
      </c>
      <c r="N233">
        <f t="shared" si="20"/>
        <v>2.1040000000000001</v>
      </c>
      <c r="O233" s="146"/>
    </row>
    <row r="234" spans="1:15" hidden="1" x14ac:dyDescent="0.25">
      <c r="A234" s="151" t="s">
        <v>1414</v>
      </c>
      <c r="B234" s="233" t="str">
        <f>VLOOKUP(A234,'AFC Data details'!$B:$E,4,0)</f>
        <v>V41</v>
      </c>
      <c r="C234" s="144" t="s">
        <v>1694</v>
      </c>
      <c r="D234" s="151" t="s">
        <v>602</v>
      </c>
      <c r="E234" s="151">
        <f>VLOOKUP(A234,'AFC Data details'!$B:$P,15,0)</f>
        <v>2.1040000000000001</v>
      </c>
      <c r="F234" s="151">
        <f>SUMIFS('AFC Data details'!C:C,'AFC Data details'!$B:$B,'Element wise-detail Summary'!$A234)</f>
        <v>1</v>
      </c>
      <c r="G234" s="151">
        <f>SUMIFS(Cast!$C:$C,Cast!$B:$B,'Element wise-detail Summary'!$A234)</f>
        <v>1</v>
      </c>
      <c r="H234" s="151">
        <f t="shared" si="16"/>
        <v>0</v>
      </c>
      <c r="I234" s="151">
        <f>SUMIFS(Del!$C:$C,Del!$B:$B,'Element wise-detail Summary'!$A234)</f>
        <v>1</v>
      </c>
      <c r="J234" s="151">
        <f t="shared" si="17"/>
        <v>0</v>
      </c>
      <c r="K234" s="151">
        <f t="shared" si="18"/>
        <v>0</v>
      </c>
      <c r="L234" s="151">
        <f>SUMIF(Ere!$B:$B,'Element wise-detail Summary'!$A234,Ere!$C:$C)</f>
        <v>1</v>
      </c>
      <c r="M234" s="151">
        <f t="shared" si="19"/>
        <v>0</v>
      </c>
      <c r="N234">
        <f t="shared" si="20"/>
        <v>2.1040000000000001</v>
      </c>
    </row>
    <row r="235" spans="1:15" hidden="1" x14ac:dyDescent="0.25">
      <c r="A235" s="151" t="s">
        <v>1415</v>
      </c>
      <c r="B235" s="233" t="str">
        <f>VLOOKUP(A235,'AFC Data details'!$B:$E,4,0)</f>
        <v>V41</v>
      </c>
      <c r="C235" s="144" t="s">
        <v>1694</v>
      </c>
      <c r="D235" s="151" t="s">
        <v>602</v>
      </c>
      <c r="E235" s="151">
        <f>VLOOKUP(A235,'AFC Data details'!$B:$P,15,0)</f>
        <v>2.1040000000000001</v>
      </c>
      <c r="F235" s="151">
        <f>SUMIFS('AFC Data details'!C:C,'AFC Data details'!$B:$B,'Element wise-detail Summary'!$A235)</f>
        <v>1</v>
      </c>
      <c r="G235" s="151">
        <f>SUMIFS(Cast!$C:$C,Cast!$B:$B,'Element wise-detail Summary'!$A235)</f>
        <v>1</v>
      </c>
      <c r="H235" s="151">
        <f t="shared" si="16"/>
        <v>0</v>
      </c>
      <c r="I235" s="151">
        <f>SUMIFS(Del!$C:$C,Del!$B:$B,'Element wise-detail Summary'!$A235)</f>
        <v>1</v>
      </c>
      <c r="J235" s="151">
        <f t="shared" si="17"/>
        <v>0</v>
      </c>
      <c r="K235" s="151">
        <f t="shared" si="18"/>
        <v>0</v>
      </c>
      <c r="L235" s="151">
        <f>SUMIF(Ere!$B:$B,'Element wise-detail Summary'!$A235,Ere!$C:$C)</f>
        <v>1</v>
      </c>
      <c r="M235" s="151">
        <f t="shared" si="19"/>
        <v>0</v>
      </c>
      <c r="N235">
        <f t="shared" si="20"/>
        <v>2.1040000000000001</v>
      </c>
    </row>
    <row r="236" spans="1:15" hidden="1" x14ac:dyDescent="0.25">
      <c r="A236" s="151" t="s">
        <v>1416</v>
      </c>
      <c r="B236" s="233" t="str">
        <f>VLOOKUP(A236,'AFC Data details'!$B:$E,4,0)</f>
        <v>V40</v>
      </c>
      <c r="C236" s="144" t="s">
        <v>1694</v>
      </c>
      <c r="D236" s="151" t="s">
        <v>602</v>
      </c>
      <c r="E236" s="151">
        <f>VLOOKUP(A236,'AFC Data details'!$B:$P,15,0)</f>
        <v>2.1040000000000001</v>
      </c>
      <c r="F236" s="151">
        <f>SUMIFS('AFC Data details'!C:C,'AFC Data details'!$B:$B,'Element wise-detail Summary'!$A236)</f>
        <v>1</v>
      </c>
      <c r="G236" s="151">
        <f>SUMIFS(Cast!$C:$C,Cast!$B:$B,'Element wise-detail Summary'!$A236)</f>
        <v>1</v>
      </c>
      <c r="H236" s="151">
        <f t="shared" si="16"/>
        <v>0</v>
      </c>
      <c r="I236" s="151">
        <f>SUMIFS(Del!$C:$C,Del!$B:$B,'Element wise-detail Summary'!$A236)</f>
        <v>1</v>
      </c>
      <c r="J236" s="151">
        <f t="shared" si="17"/>
        <v>0</v>
      </c>
      <c r="K236" s="151">
        <f t="shared" si="18"/>
        <v>0</v>
      </c>
      <c r="L236" s="151">
        <f>SUMIF(Ere!$B:$B,'Element wise-detail Summary'!$A236,Ere!$C:$C)</f>
        <v>1</v>
      </c>
      <c r="M236" s="151">
        <f t="shared" si="19"/>
        <v>0</v>
      </c>
      <c r="N236">
        <f t="shared" si="20"/>
        <v>2.1040000000000001</v>
      </c>
    </row>
    <row r="237" spans="1:15" hidden="1" x14ac:dyDescent="0.25">
      <c r="A237" s="151" t="s">
        <v>1417</v>
      </c>
      <c r="B237" s="233" t="str">
        <f>VLOOKUP(A237,'AFC Data details'!$B:$E,4,0)</f>
        <v>V41</v>
      </c>
      <c r="C237" s="144" t="s">
        <v>1694</v>
      </c>
      <c r="D237" s="151" t="s">
        <v>602</v>
      </c>
      <c r="E237" s="151">
        <f>VLOOKUP(A237,'AFC Data details'!$B:$P,15,0)</f>
        <v>2.1040000000000001</v>
      </c>
      <c r="F237" s="151">
        <f>SUMIFS('AFC Data details'!C:C,'AFC Data details'!$B:$B,'Element wise-detail Summary'!$A237)</f>
        <v>1</v>
      </c>
      <c r="G237" s="151">
        <f>SUMIFS(Cast!$C:$C,Cast!$B:$B,'Element wise-detail Summary'!$A237)</f>
        <v>1</v>
      </c>
      <c r="H237" s="151">
        <f t="shared" si="16"/>
        <v>0</v>
      </c>
      <c r="I237" s="151">
        <f>SUMIFS(Del!$C:$C,Del!$B:$B,'Element wise-detail Summary'!$A237)</f>
        <v>1</v>
      </c>
      <c r="J237" s="151">
        <f t="shared" si="17"/>
        <v>0</v>
      </c>
      <c r="K237" s="151">
        <f t="shared" si="18"/>
        <v>0</v>
      </c>
      <c r="L237" s="151">
        <f>SUMIF(Ere!$B:$B,'Element wise-detail Summary'!$A237,Ere!$C:$C)</f>
        <v>1</v>
      </c>
      <c r="M237" s="151">
        <f t="shared" si="19"/>
        <v>0</v>
      </c>
      <c r="N237">
        <f t="shared" si="20"/>
        <v>2.1040000000000001</v>
      </c>
    </row>
    <row r="238" spans="1:15" hidden="1" x14ac:dyDescent="0.25">
      <c r="A238" s="151" t="s">
        <v>1418</v>
      </c>
      <c r="B238" s="233" t="str">
        <f>VLOOKUP(A238,'AFC Data details'!$B:$E,4,0)</f>
        <v>V40</v>
      </c>
      <c r="C238" s="144" t="s">
        <v>1694</v>
      </c>
      <c r="D238" s="151" t="s">
        <v>602</v>
      </c>
      <c r="E238" s="151">
        <f>VLOOKUP(A238,'AFC Data details'!$B:$P,15,0)</f>
        <v>1.2290000000000001</v>
      </c>
      <c r="F238" s="151">
        <f>SUMIFS('AFC Data details'!C:C,'AFC Data details'!$B:$B,'Element wise-detail Summary'!$A238)</f>
        <v>1</v>
      </c>
      <c r="G238" s="151">
        <f>SUMIFS(Cast!$C:$C,Cast!$B:$B,'Element wise-detail Summary'!$A238)</f>
        <v>1</v>
      </c>
      <c r="H238" s="151">
        <f t="shared" si="16"/>
        <v>0</v>
      </c>
      <c r="I238" s="151">
        <f>SUMIFS(Del!$C:$C,Del!$B:$B,'Element wise-detail Summary'!$A238)</f>
        <v>1</v>
      </c>
      <c r="J238" s="151">
        <f t="shared" si="17"/>
        <v>0</v>
      </c>
      <c r="K238" s="151">
        <f t="shared" si="18"/>
        <v>0</v>
      </c>
      <c r="L238" s="151">
        <f>SUMIF(Ere!$B:$B,'Element wise-detail Summary'!$A238,Ere!$C:$C)</f>
        <v>1</v>
      </c>
      <c r="M238" s="151">
        <f t="shared" si="19"/>
        <v>0</v>
      </c>
      <c r="N238">
        <f t="shared" si="20"/>
        <v>1.2290000000000001</v>
      </c>
    </row>
    <row r="239" spans="1:15" hidden="1" x14ac:dyDescent="0.25">
      <c r="A239" s="151" t="s">
        <v>1419</v>
      </c>
      <c r="B239" s="233" t="str">
        <f>VLOOKUP(A239,'AFC Data details'!$B:$E,4,0)</f>
        <v>V40</v>
      </c>
      <c r="C239" s="144" t="s">
        <v>1694</v>
      </c>
      <c r="D239" s="151" t="s">
        <v>602</v>
      </c>
      <c r="E239" s="151">
        <f>VLOOKUP(A239,'AFC Data details'!$B:$P,15,0)</f>
        <v>1.421</v>
      </c>
      <c r="F239" s="151">
        <f>SUMIFS('AFC Data details'!C:C,'AFC Data details'!$B:$B,'Element wise-detail Summary'!$A239)</f>
        <v>1</v>
      </c>
      <c r="G239" s="151">
        <f>SUMIFS(Cast!$C:$C,Cast!$B:$B,'Element wise-detail Summary'!$A239)</f>
        <v>1</v>
      </c>
      <c r="H239" s="151">
        <f t="shared" si="16"/>
        <v>0</v>
      </c>
      <c r="I239" s="151">
        <f>SUMIFS(Del!$C:$C,Del!$B:$B,'Element wise-detail Summary'!$A239)</f>
        <v>1</v>
      </c>
      <c r="J239" s="151">
        <f t="shared" si="17"/>
        <v>0</v>
      </c>
      <c r="K239" s="151">
        <f t="shared" si="18"/>
        <v>0</v>
      </c>
      <c r="L239" s="151">
        <f>SUMIF(Ere!$B:$B,'Element wise-detail Summary'!$A239,Ere!$C:$C)</f>
        <v>1</v>
      </c>
      <c r="M239" s="151">
        <f t="shared" si="19"/>
        <v>0</v>
      </c>
      <c r="N239">
        <f t="shared" si="20"/>
        <v>1.421</v>
      </c>
    </row>
    <row r="240" spans="1:15" hidden="1" x14ac:dyDescent="0.25">
      <c r="A240" s="151" t="s">
        <v>1420</v>
      </c>
      <c r="B240" s="233" t="str">
        <f>VLOOKUP(A240,'AFC Data details'!$B:$E,4,0)</f>
        <v>V41</v>
      </c>
      <c r="C240" s="144" t="s">
        <v>1694</v>
      </c>
      <c r="D240" s="151" t="s">
        <v>602</v>
      </c>
      <c r="E240" s="151">
        <f>VLOOKUP(A240,'AFC Data details'!$B:$P,15,0)</f>
        <v>1.413</v>
      </c>
      <c r="F240" s="151">
        <f>SUMIFS('AFC Data details'!C:C,'AFC Data details'!$B:$B,'Element wise-detail Summary'!$A240)</f>
        <v>1</v>
      </c>
      <c r="G240" s="151">
        <f>SUMIFS(Cast!$C:$C,Cast!$B:$B,'Element wise-detail Summary'!$A240)</f>
        <v>1</v>
      </c>
      <c r="H240" s="151">
        <f t="shared" si="16"/>
        <v>0</v>
      </c>
      <c r="I240" s="151">
        <f>SUMIFS(Del!$C:$C,Del!$B:$B,'Element wise-detail Summary'!$A240)</f>
        <v>1</v>
      </c>
      <c r="J240" s="151">
        <f t="shared" si="17"/>
        <v>0</v>
      </c>
      <c r="K240" s="151">
        <f t="shared" si="18"/>
        <v>0</v>
      </c>
      <c r="L240" s="151">
        <f>SUMIF(Ere!$B:$B,'Element wise-detail Summary'!$A240,Ere!$C:$C)</f>
        <v>1</v>
      </c>
      <c r="M240" s="151">
        <f t="shared" si="19"/>
        <v>0</v>
      </c>
      <c r="N240">
        <f t="shared" si="20"/>
        <v>1.413</v>
      </c>
    </row>
    <row r="241" spans="1:14" hidden="1" x14ac:dyDescent="0.25">
      <c r="A241" s="151" t="s">
        <v>1421</v>
      </c>
      <c r="B241" s="233" t="str">
        <f>VLOOKUP(A241,'AFC Data details'!$B:$E,4,0)</f>
        <v>V41</v>
      </c>
      <c r="C241" s="144" t="s">
        <v>1694</v>
      </c>
      <c r="D241" s="151" t="s">
        <v>602</v>
      </c>
      <c r="E241" s="151">
        <f>VLOOKUP(A241,'AFC Data details'!$B:$P,15,0)</f>
        <v>1.4370000000000001</v>
      </c>
      <c r="F241" s="151">
        <f>SUMIFS('AFC Data details'!C:C,'AFC Data details'!$B:$B,'Element wise-detail Summary'!$A241)</f>
        <v>1</v>
      </c>
      <c r="G241" s="151">
        <f>SUMIFS(Cast!$C:$C,Cast!$B:$B,'Element wise-detail Summary'!$A241)</f>
        <v>1</v>
      </c>
      <c r="H241" s="151">
        <f t="shared" si="16"/>
        <v>0</v>
      </c>
      <c r="I241" s="151">
        <f>SUMIFS(Del!$C:$C,Del!$B:$B,'Element wise-detail Summary'!$A241)</f>
        <v>1</v>
      </c>
      <c r="J241" s="151">
        <f t="shared" si="17"/>
        <v>0</v>
      </c>
      <c r="K241" s="151">
        <f t="shared" si="18"/>
        <v>0</v>
      </c>
      <c r="L241" s="151">
        <f>SUMIF(Ere!$B:$B,'Element wise-detail Summary'!$A241,Ere!$C:$C)</f>
        <v>1</v>
      </c>
      <c r="M241" s="151">
        <f t="shared" si="19"/>
        <v>0</v>
      </c>
      <c r="N241">
        <f t="shared" si="20"/>
        <v>1.4370000000000001</v>
      </c>
    </row>
    <row r="242" spans="1:14" hidden="1" x14ac:dyDescent="0.25">
      <c r="A242" s="151" t="s">
        <v>1422</v>
      </c>
      <c r="B242" s="233" t="str">
        <f>VLOOKUP(A242,'AFC Data details'!$B:$E,4,0)</f>
        <v>V41</v>
      </c>
      <c r="C242" s="144" t="s">
        <v>1694</v>
      </c>
      <c r="D242" s="151" t="s">
        <v>602</v>
      </c>
      <c r="E242" s="151">
        <f>VLOOKUP(A242,'AFC Data details'!$B:$P,15,0)</f>
        <v>1.264</v>
      </c>
      <c r="F242" s="151">
        <f>SUMIFS('AFC Data details'!C:C,'AFC Data details'!$B:$B,'Element wise-detail Summary'!$A242)</f>
        <v>1</v>
      </c>
      <c r="G242" s="151">
        <f>SUMIFS(Cast!$C:$C,Cast!$B:$B,'Element wise-detail Summary'!$A242)</f>
        <v>1</v>
      </c>
      <c r="H242" s="151">
        <f t="shared" si="16"/>
        <v>0</v>
      </c>
      <c r="I242" s="151">
        <f>SUMIFS(Del!$C:$C,Del!$B:$B,'Element wise-detail Summary'!$A242)</f>
        <v>1</v>
      </c>
      <c r="J242" s="151">
        <f t="shared" si="17"/>
        <v>0</v>
      </c>
      <c r="K242" s="151">
        <f t="shared" si="18"/>
        <v>0</v>
      </c>
      <c r="L242" s="151">
        <f>SUMIF(Ere!$B:$B,'Element wise-detail Summary'!$A242,Ere!$C:$C)</f>
        <v>1</v>
      </c>
      <c r="M242" s="151">
        <f t="shared" si="19"/>
        <v>0</v>
      </c>
      <c r="N242">
        <f t="shared" si="20"/>
        <v>1.264</v>
      </c>
    </row>
    <row r="243" spans="1:14" hidden="1" x14ac:dyDescent="0.25">
      <c r="A243" s="151" t="s">
        <v>1423</v>
      </c>
      <c r="B243" s="233" t="str">
        <f>VLOOKUP(A243,'AFC Data details'!$B:$E,4,0)</f>
        <v>V42</v>
      </c>
      <c r="C243" s="144" t="s">
        <v>1694</v>
      </c>
      <c r="D243" s="151" t="s">
        <v>602</v>
      </c>
      <c r="E243" s="151">
        <f>VLOOKUP(A243,'AFC Data details'!$B:$P,15,0)</f>
        <v>0.998</v>
      </c>
      <c r="F243" s="151">
        <f>SUMIFS('AFC Data details'!C:C,'AFC Data details'!$B:$B,'Element wise-detail Summary'!$A243)</f>
        <v>1</v>
      </c>
      <c r="G243" s="151">
        <f>SUMIFS(Cast!$C:$C,Cast!$B:$B,'Element wise-detail Summary'!$A243)</f>
        <v>1</v>
      </c>
      <c r="H243" s="151">
        <f t="shared" si="16"/>
        <v>0</v>
      </c>
      <c r="I243" s="151">
        <f>SUMIFS(Del!$C:$C,Del!$B:$B,'Element wise-detail Summary'!$A243)</f>
        <v>1</v>
      </c>
      <c r="J243" s="151">
        <f t="shared" si="17"/>
        <v>0</v>
      </c>
      <c r="K243" s="151">
        <f t="shared" si="18"/>
        <v>0</v>
      </c>
      <c r="L243" s="151">
        <f>SUMIF(Ere!$B:$B,'Element wise-detail Summary'!$A243,Ere!$C:$C)</f>
        <v>1</v>
      </c>
      <c r="M243" s="151">
        <f t="shared" si="19"/>
        <v>0</v>
      </c>
      <c r="N243">
        <f t="shared" si="20"/>
        <v>0.998</v>
      </c>
    </row>
    <row r="244" spans="1:14" hidden="1" x14ac:dyDescent="0.25">
      <c r="A244" s="151" t="s">
        <v>1424</v>
      </c>
      <c r="B244" s="233" t="str">
        <f>VLOOKUP(A244,'AFC Data details'!$B:$E,4,0)</f>
        <v>V42</v>
      </c>
      <c r="C244" s="144" t="s">
        <v>1694</v>
      </c>
      <c r="D244" s="151" t="s">
        <v>602</v>
      </c>
      <c r="E244" s="151">
        <f>VLOOKUP(A244,'AFC Data details'!$B:$P,15,0)</f>
        <v>1.25</v>
      </c>
      <c r="F244" s="151">
        <f>SUMIFS('AFC Data details'!C:C,'AFC Data details'!$B:$B,'Element wise-detail Summary'!$A244)</f>
        <v>1</v>
      </c>
      <c r="G244" s="151">
        <f>SUMIFS(Cast!$C:$C,Cast!$B:$B,'Element wise-detail Summary'!$A244)</f>
        <v>1</v>
      </c>
      <c r="H244" s="151">
        <f t="shared" si="16"/>
        <v>0</v>
      </c>
      <c r="I244" s="151">
        <f>SUMIFS(Del!$C:$C,Del!$B:$B,'Element wise-detail Summary'!$A244)</f>
        <v>1</v>
      </c>
      <c r="J244" s="151">
        <f t="shared" si="17"/>
        <v>0</v>
      </c>
      <c r="K244" s="151">
        <f t="shared" si="18"/>
        <v>0</v>
      </c>
      <c r="L244" s="151">
        <f>SUMIF(Ere!$B:$B,'Element wise-detail Summary'!$A244,Ere!$C:$C)</f>
        <v>1</v>
      </c>
      <c r="M244" s="151">
        <f t="shared" si="19"/>
        <v>0</v>
      </c>
      <c r="N244">
        <f t="shared" si="20"/>
        <v>1.25</v>
      </c>
    </row>
    <row r="245" spans="1:14" hidden="1" x14ac:dyDescent="0.25">
      <c r="A245" s="151" t="s">
        <v>1425</v>
      </c>
      <c r="B245" s="233" t="str">
        <f>VLOOKUP(A245,'AFC Data details'!$B:$E,4,0)</f>
        <v>V42</v>
      </c>
      <c r="C245" s="144" t="s">
        <v>1694</v>
      </c>
      <c r="D245" s="151" t="s">
        <v>602</v>
      </c>
      <c r="E245" s="151">
        <f>VLOOKUP(A245,'AFC Data details'!$B:$P,15,0)</f>
        <v>2.048</v>
      </c>
      <c r="F245" s="151">
        <f>SUMIFS('AFC Data details'!C:C,'AFC Data details'!$B:$B,'Element wise-detail Summary'!$A245)</f>
        <v>1</v>
      </c>
      <c r="G245" s="151">
        <f>SUMIFS(Cast!$C:$C,Cast!$B:$B,'Element wise-detail Summary'!$A245)</f>
        <v>1</v>
      </c>
      <c r="H245" s="151">
        <f t="shared" si="16"/>
        <v>0</v>
      </c>
      <c r="I245" s="151">
        <f>SUMIFS(Del!$C:$C,Del!$B:$B,'Element wise-detail Summary'!$A245)</f>
        <v>1</v>
      </c>
      <c r="J245" s="151">
        <f t="shared" si="17"/>
        <v>0</v>
      </c>
      <c r="K245" s="151">
        <f t="shared" si="18"/>
        <v>0</v>
      </c>
      <c r="L245" s="151">
        <f>SUMIF(Ere!$B:$B,'Element wise-detail Summary'!$A245,Ere!$C:$C)</f>
        <v>1</v>
      </c>
      <c r="M245" s="151">
        <f t="shared" si="19"/>
        <v>0</v>
      </c>
      <c r="N245">
        <f t="shared" si="20"/>
        <v>2.048</v>
      </c>
    </row>
    <row r="246" spans="1:14" hidden="1" x14ac:dyDescent="0.25">
      <c r="A246" s="151" t="s">
        <v>1426</v>
      </c>
      <c r="B246" s="233" t="str">
        <f>VLOOKUP(A246,'AFC Data details'!$B:$E,4,0)</f>
        <v>V42</v>
      </c>
      <c r="C246" s="144" t="s">
        <v>1694</v>
      </c>
      <c r="D246" s="151" t="s">
        <v>602</v>
      </c>
      <c r="E246" s="151">
        <f>VLOOKUP(A246,'AFC Data details'!$B:$P,15,0)</f>
        <v>2.048</v>
      </c>
      <c r="F246" s="151">
        <f>SUMIFS('AFC Data details'!C:C,'AFC Data details'!$B:$B,'Element wise-detail Summary'!$A246)</f>
        <v>1</v>
      </c>
      <c r="G246" s="151">
        <f>SUMIFS(Cast!$C:$C,Cast!$B:$B,'Element wise-detail Summary'!$A246)</f>
        <v>1</v>
      </c>
      <c r="H246" s="151">
        <f t="shared" si="16"/>
        <v>0</v>
      </c>
      <c r="I246" s="151">
        <f>SUMIFS(Del!$C:$C,Del!$B:$B,'Element wise-detail Summary'!$A246)</f>
        <v>1</v>
      </c>
      <c r="J246" s="151">
        <f t="shared" si="17"/>
        <v>0</v>
      </c>
      <c r="K246" s="151">
        <f t="shared" si="18"/>
        <v>0</v>
      </c>
      <c r="L246" s="151">
        <f>SUMIF(Ere!$B:$B,'Element wise-detail Summary'!$A246,Ere!$C:$C)</f>
        <v>1</v>
      </c>
      <c r="M246" s="151">
        <f t="shared" si="19"/>
        <v>0</v>
      </c>
      <c r="N246">
        <f t="shared" si="20"/>
        <v>2.048</v>
      </c>
    </row>
    <row r="247" spans="1:14" hidden="1" x14ac:dyDescent="0.25">
      <c r="A247" s="151" t="s">
        <v>1427</v>
      </c>
      <c r="B247" s="233" t="str">
        <f>VLOOKUP(A247,'AFC Data details'!$B:$E,4,0)</f>
        <v>V42</v>
      </c>
      <c r="C247" s="144" t="s">
        <v>1694</v>
      </c>
      <c r="D247" s="151" t="s">
        <v>602</v>
      </c>
      <c r="E247" s="151">
        <f>VLOOKUP(A247,'AFC Data details'!$B:$P,15,0)</f>
        <v>1.9830000000000001</v>
      </c>
      <c r="F247" s="151">
        <f>SUMIFS('AFC Data details'!C:C,'AFC Data details'!$B:$B,'Element wise-detail Summary'!$A247)</f>
        <v>1</v>
      </c>
      <c r="G247" s="151">
        <f>SUMIFS(Cast!$C:$C,Cast!$B:$B,'Element wise-detail Summary'!$A247)</f>
        <v>1</v>
      </c>
      <c r="H247" s="151">
        <f t="shared" si="16"/>
        <v>0</v>
      </c>
      <c r="I247" s="151">
        <f>SUMIFS(Del!$C:$C,Del!$B:$B,'Element wise-detail Summary'!$A247)</f>
        <v>1</v>
      </c>
      <c r="J247" s="151">
        <f t="shared" si="17"/>
        <v>0</v>
      </c>
      <c r="K247" s="151">
        <f t="shared" si="18"/>
        <v>0</v>
      </c>
      <c r="L247" s="151">
        <f>SUMIF(Ere!$B:$B,'Element wise-detail Summary'!$A247,Ere!$C:$C)</f>
        <v>1</v>
      </c>
      <c r="M247" s="151">
        <f t="shared" si="19"/>
        <v>0</v>
      </c>
      <c r="N247">
        <f t="shared" si="20"/>
        <v>1.9830000000000001</v>
      </c>
    </row>
    <row r="248" spans="1:14" hidden="1" x14ac:dyDescent="0.25">
      <c r="A248" s="151" t="s">
        <v>1428</v>
      </c>
      <c r="B248" s="233" t="str">
        <f>VLOOKUP(A248,'AFC Data details'!$B:$E,4,0)</f>
        <v>V42</v>
      </c>
      <c r="C248" s="144" t="s">
        <v>1694</v>
      </c>
      <c r="D248" s="151" t="s">
        <v>602</v>
      </c>
      <c r="E248" s="151">
        <f>VLOOKUP(A248,'AFC Data details'!$B:$P,15,0)</f>
        <v>1.9830000000000001</v>
      </c>
      <c r="F248" s="151">
        <f>SUMIFS('AFC Data details'!C:C,'AFC Data details'!$B:$B,'Element wise-detail Summary'!$A248)</f>
        <v>1</v>
      </c>
      <c r="G248" s="151">
        <f>SUMIFS(Cast!$C:$C,Cast!$B:$B,'Element wise-detail Summary'!$A248)</f>
        <v>1</v>
      </c>
      <c r="H248" s="151">
        <f t="shared" si="16"/>
        <v>0</v>
      </c>
      <c r="I248" s="151">
        <f>SUMIFS(Del!$C:$C,Del!$B:$B,'Element wise-detail Summary'!$A248)</f>
        <v>1</v>
      </c>
      <c r="J248" s="151">
        <f t="shared" si="17"/>
        <v>0</v>
      </c>
      <c r="K248" s="151">
        <f t="shared" si="18"/>
        <v>0</v>
      </c>
      <c r="L248" s="151">
        <f>SUMIF(Ere!$B:$B,'Element wise-detail Summary'!$A248,Ere!$C:$C)</f>
        <v>1</v>
      </c>
      <c r="M248" s="151">
        <f t="shared" si="19"/>
        <v>0</v>
      </c>
      <c r="N248">
        <f t="shared" si="20"/>
        <v>1.9830000000000001</v>
      </c>
    </row>
    <row r="249" spans="1:14" hidden="1" x14ac:dyDescent="0.25">
      <c r="A249" s="151" t="s">
        <v>1429</v>
      </c>
      <c r="B249" s="233" t="str">
        <f>VLOOKUP(A249,'AFC Data details'!$B:$E,4,0)</f>
        <v>V42</v>
      </c>
      <c r="C249" s="144" t="s">
        <v>1694</v>
      </c>
      <c r="D249" s="151" t="s">
        <v>602</v>
      </c>
      <c r="E249" s="151">
        <f>VLOOKUP(A249,'AFC Data details'!$B:$P,15,0)</f>
        <v>1.9830000000000001</v>
      </c>
      <c r="F249" s="151">
        <f>SUMIFS('AFC Data details'!C:C,'AFC Data details'!$B:$B,'Element wise-detail Summary'!$A249)</f>
        <v>1</v>
      </c>
      <c r="G249" s="151">
        <f>SUMIFS(Cast!$C:$C,Cast!$B:$B,'Element wise-detail Summary'!$A249)</f>
        <v>1</v>
      </c>
      <c r="H249" s="151">
        <f t="shared" si="16"/>
        <v>0</v>
      </c>
      <c r="I249" s="151">
        <f>SUMIFS(Del!$C:$C,Del!$B:$B,'Element wise-detail Summary'!$A249)</f>
        <v>1</v>
      </c>
      <c r="J249" s="151">
        <f t="shared" si="17"/>
        <v>0</v>
      </c>
      <c r="K249" s="151">
        <f t="shared" si="18"/>
        <v>0</v>
      </c>
      <c r="L249" s="151">
        <f>SUMIF(Ere!$B:$B,'Element wise-detail Summary'!$A249,Ere!$C:$C)</f>
        <v>1</v>
      </c>
      <c r="M249" s="151">
        <f t="shared" si="19"/>
        <v>0</v>
      </c>
      <c r="N249">
        <f t="shared" si="20"/>
        <v>1.9830000000000001</v>
      </c>
    </row>
    <row r="250" spans="1:14" hidden="1" x14ac:dyDescent="0.25">
      <c r="A250" s="151" t="s">
        <v>1430</v>
      </c>
      <c r="B250" s="233" t="str">
        <f>VLOOKUP(A250,'AFC Data details'!$B:$E,4,0)</f>
        <v>V42</v>
      </c>
      <c r="C250" s="144" t="s">
        <v>1694</v>
      </c>
      <c r="D250" s="151" t="s">
        <v>602</v>
      </c>
      <c r="E250" s="151">
        <f>VLOOKUP(A250,'AFC Data details'!$B:$P,15,0)</f>
        <v>0.92</v>
      </c>
      <c r="F250" s="151">
        <f>SUMIFS('AFC Data details'!C:C,'AFC Data details'!$B:$B,'Element wise-detail Summary'!$A250)</f>
        <v>1</v>
      </c>
      <c r="G250" s="151">
        <f>SUMIFS(Cast!$C:$C,Cast!$B:$B,'Element wise-detail Summary'!$A250)</f>
        <v>1</v>
      </c>
      <c r="H250" s="151">
        <f t="shared" si="16"/>
        <v>0</v>
      </c>
      <c r="I250" s="151">
        <f>SUMIFS(Del!$C:$C,Del!$B:$B,'Element wise-detail Summary'!$A250)</f>
        <v>1</v>
      </c>
      <c r="J250" s="151">
        <f t="shared" si="17"/>
        <v>0</v>
      </c>
      <c r="K250" s="151">
        <f t="shared" si="18"/>
        <v>0</v>
      </c>
      <c r="L250" s="151">
        <f>SUMIF(Ere!$B:$B,'Element wise-detail Summary'!$A250,Ere!$C:$C)</f>
        <v>0</v>
      </c>
      <c r="M250" s="151">
        <f t="shared" si="19"/>
        <v>1</v>
      </c>
      <c r="N250">
        <f t="shared" si="20"/>
        <v>0.92</v>
      </c>
    </row>
    <row r="251" spans="1:14" hidden="1" x14ac:dyDescent="0.25">
      <c r="A251" s="151" t="s">
        <v>1431</v>
      </c>
      <c r="B251" s="233" t="str">
        <f>VLOOKUP(A251,'AFC Data details'!$B:$E,4,0)</f>
        <v>V42</v>
      </c>
      <c r="C251" s="144" t="s">
        <v>1694</v>
      </c>
      <c r="D251" s="151" t="s">
        <v>602</v>
      </c>
      <c r="E251" s="151">
        <f>VLOOKUP(A251,'AFC Data details'!$B:$P,15,0)</f>
        <v>0.92</v>
      </c>
      <c r="F251" s="151">
        <f>SUMIFS('AFC Data details'!C:C,'AFC Data details'!$B:$B,'Element wise-detail Summary'!$A251)</f>
        <v>1</v>
      </c>
      <c r="G251" s="151">
        <f>SUMIFS(Cast!$C:$C,Cast!$B:$B,'Element wise-detail Summary'!$A251)</f>
        <v>1</v>
      </c>
      <c r="H251" s="151">
        <f t="shared" si="16"/>
        <v>0</v>
      </c>
      <c r="I251" s="151">
        <f>SUMIFS(Del!$C:$C,Del!$B:$B,'Element wise-detail Summary'!$A251)</f>
        <v>1</v>
      </c>
      <c r="J251" s="151">
        <f t="shared" si="17"/>
        <v>0</v>
      </c>
      <c r="K251" s="151">
        <f t="shared" si="18"/>
        <v>0</v>
      </c>
      <c r="L251" s="151">
        <f>SUMIF(Ere!$B:$B,'Element wise-detail Summary'!$A251,Ere!$C:$C)</f>
        <v>1</v>
      </c>
      <c r="M251" s="151">
        <f t="shared" si="19"/>
        <v>0</v>
      </c>
      <c r="N251">
        <f t="shared" si="20"/>
        <v>0.92</v>
      </c>
    </row>
    <row r="252" spans="1:14" hidden="1" x14ac:dyDescent="0.25">
      <c r="A252" s="151" t="s">
        <v>1432</v>
      </c>
      <c r="B252" s="233" t="str">
        <f>VLOOKUP(A252,'AFC Data details'!$B:$E,4,0)</f>
        <v>V42</v>
      </c>
      <c r="C252" s="144" t="s">
        <v>1694</v>
      </c>
      <c r="D252" s="151" t="s">
        <v>602</v>
      </c>
      <c r="E252" s="151">
        <f>VLOOKUP(A252,'AFC Data details'!$B:$P,15,0)</f>
        <v>1.093</v>
      </c>
      <c r="F252" s="151">
        <f>SUMIFS('AFC Data details'!C:C,'AFC Data details'!$B:$B,'Element wise-detail Summary'!$A252)</f>
        <v>1</v>
      </c>
      <c r="G252" s="151">
        <f>SUMIFS(Cast!$C:$C,Cast!$B:$B,'Element wise-detail Summary'!$A252)</f>
        <v>1</v>
      </c>
      <c r="H252" s="151">
        <f t="shared" si="16"/>
        <v>0</v>
      </c>
      <c r="I252" s="151">
        <f>SUMIFS(Del!$C:$C,Del!$B:$B,'Element wise-detail Summary'!$A252)</f>
        <v>1</v>
      </c>
      <c r="J252" s="151">
        <f t="shared" si="17"/>
        <v>0</v>
      </c>
      <c r="K252" s="151">
        <f t="shared" si="18"/>
        <v>0</v>
      </c>
      <c r="L252" s="151">
        <f>SUMIF(Ere!$B:$B,'Element wise-detail Summary'!$A252,Ere!$C:$C)</f>
        <v>1</v>
      </c>
      <c r="M252" s="151">
        <f t="shared" si="19"/>
        <v>0</v>
      </c>
      <c r="N252">
        <f t="shared" si="20"/>
        <v>1.093</v>
      </c>
    </row>
    <row r="253" spans="1:14" hidden="1" x14ac:dyDescent="0.25">
      <c r="A253" s="151" t="s">
        <v>1433</v>
      </c>
      <c r="B253" s="233" t="str">
        <f>VLOOKUP(A253,'AFC Data details'!$B:$E,4,0)</f>
        <v>V43</v>
      </c>
      <c r="C253" s="145" t="s">
        <v>1695</v>
      </c>
      <c r="D253" s="151" t="s">
        <v>602</v>
      </c>
      <c r="E253" s="151">
        <f>VLOOKUP(A253,'AFC Data details'!$B:$P,15,0)</f>
        <v>1.232</v>
      </c>
      <c r="F253" s="151">
        <f>SUMIFS('AFC Data details'!C:C,'AFC Data details'!$B:$B,'Element wise-detail Summary'!$A253)</f>
        <v>1</v>
      </c>
      <c r="G253" s="151">
        <f>SUMIFS(Cast!$C:$C,Cast!$B:$B,'Element wise-detail Summary'!$A253)</f>
        <v>1</v>
      </c>
      <c r="H253" s="151">
        <f t="shared" si="16"/>
        <v>0</v>
      </c>
      <c r="I253" s="151">
        <f>SUMIFS(Del!$C:$C,Del!$B:$B,'Element wise-detail Summary'!$A253)</f>
        <v>1</v>
      </c>
      <c r="J253" s="151">
        <f t="shared" si="17"/>
        <v>0</v>
      </c>
      <c r="K253" s="151">
        <f t="shared" si="18"/>
        <v>0</v>
      </c>
      <c r="L253" s="151">
        <f>SUMIF(Ere!$B:$B,'Element wise-detail Summary'!$A253,Ere!$C:$C)</f>
        <v>1</v>
      </c>
      <c r="M253" s="151">
        <f t="shared" si="19"/>
        <v>0</v>
      </c>
      <c r="N253">
        <f t="shared" si="20"/>
        <v>1.232</v>
      </c>
    </row>
    <row r="254" spans="1:14" hidden="1" x14ac:dyDescent="0.25">
      <c r="A254" s="151" t="s">
        <v>1434</v>
      </c>
      <c r="B254" s="233" t="str">
        <f>VLOOKUP(A254,'AFC Data details'!$B:$E,4,0)</f>
        <v>V43</v>
      </c>
      <c r="C254" s="145" t="s">
        <v>1695</v>
      </c>
      <c r="D254" s="151" t="s">
        <v>602</v>
      </c>
      <c r="E254" s="151">
        <f>VLOOKUP(A254,'AFC Data details'!$B:$P,15,0)</f>
        <v>1.387</v>
      </c>
      <c r="F254" s="151">
        <f>SUMIFS('AFC Data details'!C:C,'AFC Data details'!$B:$B,'Element wise-detail Summary'!$A254)</f>
        <v>1</v>
      </c>
      <c r="G254" s="151">
        <f>SUMIFS(Cast!$C:$C,Cast!$B:$B,'Element wise-detail Summary'!$A254)</f>
        <v>1</v>
      </c>
      <c r="H254" s="151">
        <f t="shared" si="16"/>
        <v>0</v>
      </c>
      <c r="I254" s="151">
        <f>SUMIFS(Del!$C:$C,Del!$B:$B,'Element wise-detail Summary'!$A254)</f>
        <v>0</v>
      </c>
      <c r="J254" s="151">
        <f t="shared" si="17"/>
        <v>1</v>
      </c>
      <c r="K254" s="151">
        <f t="shared" si="18"/>
        <v>1</v>
      </c>
      <c r="L254" s="151">
        <f>SUMIF(Ere!$B:$B,'Element wise-detail Summary'!$A254,Ere!$C:$C)</f>
        <v>0</v>
      </c>
      <c r="M254" s="151">
        <f t="shared" si="19"/>
        <v>1</v>
      </c>
      <c r="N254">
        <f t="shared" si="20"/>
        <v>0</v>
      </c>
    </row>
    <row r="255" spans="1:14" hidden="1" x14ac:dyDescent="0.25">
      <c r="A255" s="151" t="s">
        <v>1435</v>
      </c>
      <c r="B255" s="233" t="str">
        <f>VLOOKUP(A255,'AFC Data details'!$B:$E,4,0)</f>
        <v>V43</v>
      </c>
      <c r="C255" s="145" t="s">
        <v>1695</v>
      </c>
      <c r="D255" s="151" t="s">
        <v>602</v>
      </c>
      <c r="E255" s="151">
        <f>VLOOKUP(A255,'AFC Data details'!$B:$P,15,0)</f>
        <v>1.387</v>
      </c>
      <c r="F255" s="151">
        <f>SUMIFS('AFC Data details'!C:C,'AFC Data details'!$B:$B,'Element wise-detail Summary'!$A255)</f>
        <v>1</v>
      </c>
      <c r="G255" s="151">
        <f>SUMIFS(Cast!$C:$C,Cast!$B:$B,'Element wise-detail Summary'!$A255)</f>
        <v>1</v>
      </c>
      <c r="H255" s="151">
        <f t="shared" si="16"/>
        <v>0</v>
      </c>
      <c r="I255" s="151">
        <f>SUMIFS(Del!$C:$C,Del!$B:$B,'Element wise-detail Summary'!$A255)</f>
        <v>0</v>
      </c>
      <c r="J255" s="151">
        <f t="shared" si="17"/>
        <v>1</v>
      </c>
      <c r="K255" s="151">
        <f t="shared" si="18"/>
        <v>1</v>
      </c>
      <c r="L255" s="151">
        <f>SUMIF(Ere!$B:$B,'Element wise-detail Summary'!$A255,Ere!$C:$C)</f>
        <v>0</v>
      </c>
      <c r="M255" s="151">
        <f t="shared" si="19"/>
        <v>1</v>
      </c>
      <c r="N255">
        <f t="shared" si="20"/>
        <v>0</v>
      </c>
    </row>
    <row r="256" spans="1:14" hidden="1" x14ac:dyDescent="0.25">
      <c r="A256" s="151" t="s">
        <v>1436</v>
      </c>
      <c r="B256" s="233" t="str">
        <f>VLOOKUP(A256,'AFC Data details'!$B:$E,4,0)</f>
        <v>V43</v>
      </c>
      <c r="C256" s="145" t="s">
        <v>1695</v>
      </c>
      <c r="D256" s="151" t="s">
        <v>602</v>
      </c>
      <c r="E256" s="151">
        <f>VLOOKUP(A256,'AFC Data details'!$B:$P,15,0)</f>
        <v>1.724</v>
      </c>
      <c r="F256" s="151">
        <f>SUMIFS('AFC Data details'!C:C,'AFC Data details'!$B:$B,'Element wise-detail Summary'!$A256)</f>
        <v>1</v>
      </c>
      <c r="G256" s="151">
        <f>SUMIFS(Cast!$C:$C,Cast!$B:$B,'Element wise-detail Summary'!$A256)</f>
        <v>1</v>
      </c>
      <c r="H256" s="151">
        <f t="shared" si="16"/>
        <v>0</v>
      </c>
      <c r="I256" s="151">
        <f>SUMIFS(Del!$C:$C,Del!$B:$B,'Element wise-detail Summary'!$A256)</f>
        <v>0</v>
      </c>
      <c r="J256" s="151">
        <f t="shared" si="17"/>
        <v>1</v>
      </c>
      <c r="K256" s="151">
        <f t="shared" si="18"/>
        <v>1</v>
      </c>
      <c r="L256" s="151">
        <f>SUMIF(Ere!$B:$B,'Element wise-detail Summary'!$A256,Ere!$C:$C)</f>
        <v>0</v>
      </c>
      <c r="M256" s="151">
        <f t="shared" si="19"/>
        <v>1</v>
      </c>
      <c r="N256">
        <f t="shared" si="20"/>
        <v>0</v>
      </c>
    </row>
    <row r="257" spans="1:14" hidden="1" x14ac:dyDescent="0.25">
      <c r="A257" s="151" t="s">
        <v>1437</v>
      </c>
      <c r="B257" s="233" t="str">
        <f>VLOOKUP(A257,'AFC Data details'!$B:$E,4,0)</f>
        <v>V43</v>
      </c>
      <c r="C257" s="145" t="s">
        <v>1695</v>
      </c>
      <c r="D257" s="151" t="s">
        <v>602</v>
      </c>
      <c r="E257" s="151">
        <f>VLOOKUP(A257,'AFC Data details'!$B:$P,15,0)</f>
        <v>1.77</v>
      </c>
      <c r="F257" s="151">
        <f>SUMIFS('AFC Data details'!C:C,'AFC Data details'!$B:$B,'Element wise-detail Summary'!$A257)</f>
        <v>1</v>
      </c>
      <c r="G257" s="151">
        <f>SUMIFS(Cast!$C:$C,Cast!$B:$B,'Element wise-detail Summary'!$A257)</f>
        <v>1</v>
      </c>
      <c r="H257" s="151">
        <f t="shared" si="16"/>
        <v>0</v>
      </c>
      <c r="I257" s="151">
        <f>SUMIFS(Del!$C:$C,Del!$B:$B,'Element wise-detail Summary'!$A257)</f>
        <v>0</v>
      </c>
      <c r="J257" s="151">
        <f t="shared" si="17"/>
        <v>1</v>
      </c>
      <c r="K257" s="151">
        <f t="shared" si="18"/>
        <v>1</v>
      </c>
      <c r="L257" s="151">
        <f>SUMIF(Ere!$B:$B,'Element wise-detail Summary'!$A257,Ere!$C:$C)</f>
        <v>0</v>
      </c>
      <c r="M257" s="151">
        <f t="shared" si="19"/>
        <v>1</v>
      </c>
      <c r="N257">
        <f t="shared" si="20"/>
        <v>0</v>
      </c>
    </row>
    <row r="258" spans="1:14" hidden="1" x14ac:dyDescent="0.25">
      <c r="A258" s="151" t="s">
        <v>1438</v>
      </c>
      <c r="B258" s="233" t="str">
        <f>VLOOKUP(A258,'AFC Data details'!$B:$E,4,0)</f>
        <v>V43</v>
      </c>
      <c r="C258" s="145" t="s">
        <v>1695</v>
      </c>
      <c r="D258" s="151" t="s">
        <v>602</v>
      </c>
      <c r="E258" s="151">
        <f>VLOOKUP(A258,'AFC Data details'!$B:$P,15,0)</f>
        <v>2.4980000000000002</v>
      </c>
      <c r="F258" s="151">
        <f>SUMIFS('AFC Data details'!C:C,'AFC Data details'!$B:$B,'Element wise-detail Summary'!$A258)</f>
        <v>1</v>
      </c>
      <c r="G258" s="151">
        <f>SUMIFS(Cast!$C:$C,Cast!$B:$B,'Element wise-detail Summary'!$A258)</f>
        <v>1</v>
      </c>
      <c r="H258" s="151">
        <f t="shared" si="16"/>
        <v>0</v>
      </c>
      <c r="I258" s="151">
        <f>SUMIFS(Del!$C:$C,Del!$B:$B,'Element wise-detail Summary'!$A258)</f>
        <v>0</v>
      </c>
      <c r="J258" s="151">
        <f t="shared" si="17"/>
        <v>1</v>
      </c>
      <c r="K258" s="151">
        <f t="shared" si="18"/>
        <v>1</v>
      </c>
      <c r="L258" s="151">
        <f>SUMIF(Ere!$B:$B,'Element wise-detail Summary'!$A258,Ere!$C:$C)</f>
        <v>0</v>
      </c>
      <c r="M258" s="151">
        <f t="shared" si="19"/>
        <v>1</v>
      </c>
      <c r="N258">
        <f t="shared" si="20"/>
        <v>0</v>
      </c>
    </row>
    <row r="259" spans="1:14" hidden="1" x14ac:dyDescent="0.25">
      <c r="A259" s="151" t="s">
        <v>1439</v>
      </c>
      <c r="B259" s="233" t="str">
        <f>VLOOKUP(A259,'AFC Data details'!$B:$E,4,0)</f>
        <v>V43</v>
      </c>
      <c r="C259" s="145" t="s">
        <v>1695</v>
      </c>
      <c r="D259" s="151" t="s">
        <v>602</v>
      </c>
      <c r="E259" s="151">
        <f>VLOOKUP(A259,'AFC Data details'!$B:$P,15,0)</f>
        <v>2.19</v>
      </c>
      <c r="F259" s="151">
        <f>SUMIFS('AFC Data details'!C:C,'AFC Data details'!$B:$B,'Element wise-detail Summary'!$A259)</f>
        <v>1</v>
      </c>
      <c r="G259" s="151">
        <f>SUMIFS(Cast!$C:$C,Cast!$B:$B,'Element wise-detail Summary'!$A259)</f>
        <v>1</v>
      </c>
      <c r="H259" s="151">
        <f t="shared" si="16"/>
        <v>0</v>
      </c>
      <c r="I259" s="151">
        <f>SUMIFS(Del!$C:$C,Del!$B:$B,'Element wise-detail Summary'!$A259)</f>
        <v>0</v>
      </c>
      <c r="J259" s="151">
        <f t="shared" si="17"/>
        <v>1</v>
      </c>
      <c r="K259" s="151">
        <f t="shared" si="18"/>
        <v>1</v>
      </c>
      <c r="L259" s="151">
        <f>SUMIF(Ere!$B:$B,'Element wise-detail Summary'!$A259,Ere!$C:$C)</f>
        <v>0</v>
      </c>
      <c r="M259" s="151">
        <f t="shared" si="19"/>
        <v>1</v>
      </c>
      <c r="N259">
        <f t="shared" si="20"/>
        <v>0</v>
      </c>
    </row>
    <row r="260" spans="1:14" hidden="1" x14ac:dyDescent="0.25">
      <c r="A260" s="151" t="s">
        <v>1440</v>
      </c>
      <c r="B260" s="233" t="str">
        <f>VLOOKUP(A260,'AFC Data details'!$B:$E,4,0)</f>
        <v>V43</v>
      </c>
      <c r="C260" s="145" t="s">
        <v>1695</v>
      </c>
      <c r="D260" s="151" t="s">
        <v>602</v>
      </c>
      <c r="E260" s="151">
        <f>VLOOKUP(A260,'AFC Data details'!$B:$P,15,0)</f>
        <v>2.19</v>
      </c>
      <c r="F260" s="151">
        <f>SUMIFS('AFC Data details'!C:C,'AFC Data details'!$B:$B,'Element wise-detail Summary'!$A260)</f>
        <v>1</v>
      </c>
      <c r="G260" s="151">
        <f>SUMIFS(Cast!$C:$C,Cast!$B:$B,'Element wise-detail Summary'!$A260)</f>
        <v>1</v>
      </c>
      <c r="H260" s="151">
        <f t="shared" ref="H260:H323" si="21">F260-G260</f>
        <v>0</v>
      </c>
      <c r="I260" s="151">
        <f>SUMIFS(Del!$C:$C,Del!$B:$B,'Element wise-detail Summary'!$A260)</f>
        <v>0</v>
      </c>
      <c r="J260" s="151">
        <f t="shared" ref="J260:J323" si="22">F260-I260</f>
        <v>1</v>
      </c>
      <c r="K260" s="151">
        <f t="shared" ref="K260:K323" si="23">G260-I260</f>
        <v>1</v>
      </c>
      <c r="L260" s="151">
        <f>SUMIF(Ere!$B:$B,'Element wise-detail Summary'!$A260,Ere!$C:$C)</f>
        <v>0</v>
      </c>
      <c r="M260" s="151">
        <f t="shared" ref="M260:M323" si="24">F260-L260</f>
        <v>1</v>
      </c>
      <c r="N260">
        <f t="shared" ref="N260:N323" si="25">I260*E260</f>
        <v>0</v>
      </c>
    </row>
    <row r="261" spans="1:14" hidden="1" x14ac:dyDescent="0.25">
      <c r="A261" s="151" t="s">
        <v>1441</v>
      </c>
      <c r="B261" s="233" t="str">
        <f>VLOOKUP(A261,'AFC Data details'!$B:$E,4,0)</f>
        <v>V43</v>
      </c>
      <c r="C261" s="145" t="s">
        <v>1695</v>
      </c>
      <c r="D261" s="151" t="s">
        <v>602</v>
      </c>
      <c r="E261" s="151">
        <f>VLOOKUP(A261,'AFC Data details'!$B:$P,15,0)</f>
        <v>2.19</v>
      </c>
      <c r="F261" s="151">
        <f>SUMIFS('AFC Data details'!C:C,'AFC Data details'!$B:$B,'Element wise-detail Summary'!$A261)</f>
        <v>1</v>
      </c>
      <c r="G261" s="151">
        <f>SUMIFS(Cast!$C:$C,Cast!$B:$B,'Element wise-detail Summary'!$A261)</f>
        <v>1</v>
      </c>
      <c r="H261" s="151">
        <f t="shared" si="21"/>
        <v>0</v>
      </c>
      <c r="I261" s="151">
        <f>SUMIFS(Del!$C:$C,Del!$B:$B,'Element wise-detail Summary'!$A261)</f>
        <v>0</v>
      </c>
      <c r="J261" s="151">
        <f t="shared" si="22"/>
        <v>1</v>
      </c>
      <c r="K261" s="151">
        <f t="shared" si="23"/>
        <v>1</v>
      </c>
      <c r="L261" s="151">
        <f>SUMIF(Ere!$B:$B,'Element wise-detail Summary'!$A261,Ere!$C:$C)</f>
        <v>0</v>
      </c>
      <c r="M261" s="151">
        <f t="shared" si="24"/>
        <v>1</v>
      </c>
      <c r="N261">
        <f t="shared" si="25"/>
        <v>0</v>
      </c>
    </row>
    <row r="262" spans="1:14" hidden="1" x14ac:dyDescent="0.25">
      <c r="A262" s="151" t="s">
        <v>1442</v>
      </c>
      <c r="B262" s="233" t="str">
        <f>VLOOKUP(A262,'AFC Data details'!$B:$E,4,0)</f>
        <v>V43</v>
      </c>
      <c r="C262" s="145" t="s">
        <v>1695</v>
      </c>
      <c r="D262" s="151" t="s">
        <v>602</v>
      </c>
      <c r="E262" s="151">
        <f>VLOOKUP(A262,'AFC Data details'!$B:$P,15,0)</f>
        <v>2.19</v>
      </c>
      <c r="F262" s="151">
        <f>SUMIFS('AFC Data details'!C:C,'AFC Data details'!$B:$B,'Element wise-detail Summary'!$A262)</f>
        <v>1</v>
      </c>
      <c r="G262" s="151">
        <f>SUMIFS(Cast!$C:$C,Cast!$B:$B,'Element wise-detail Summary'!$A262)</f>
        <v>1</v>
      </c>
      <c r="H262" s="151">
        <f t="shared" si="21"/>
        <v>0</v>
      </c>
      <c r="I262" s="151">
        <f>SUMIFS(Del!$C:$C,Del!$B:$B,'Element wise-detail Summary'!$A262)</f>
        <v>0</v>
      </c>
      <c r="J262" s="151">
        <f t="shared" si="22"/>
        <v>1</v>
      </c>
      <c r="K262" s="151">
        <f t="shared" si="23"/>
        <v>1</v>
      </c>
      <c r="L262" s="151">
        <f>SUMIF(Ere!$B:$B,'Element wise-detail Summary'!$A262,Ere!$C:$C)</f>
        <v>0</v>
      </c>
      <c r="M262" s="151">
        <f t="shared" si="24"/>
        <v>1</v>
      </c>
      <c r="N262">
        <f t="shared" si="25"/>
        <v>0</v>
      </c>
    </row>
    <row r="263" spans="1:14" hidden="1" x14ac:dyDescent="0.25">
      <c r="A263" s="151" t="s">
        <v>1443</v>
      </c>
      <c r="B263" s="233" t="str">
        <f>VLOOKUP(A263,'AFC Data details'!$B:$E,4,0)</f>
        <v>V43</v>
      </c>
      <c r="C263" s="145" t="s">
        <v>1695</v>
      </c>
      <c r="D263" s="151" t="s">
        <v>602</v>
      </c>
      <c r="E263" s="151">
        <f>VLOOKUP(A263,'AFC Data details'!$B:$P,15,0)</f>
        <v>2.5939999999999999</v>
      </c>
      <c r="F263" s="151">
        <f>SUMIFS('AFC Data details'!C:C,'AFC Data details'!$B:$B,'Element wise-detail Summary'!$A263)</f>
        <v>1</v>
      </c>
      <c r="G263" s="151">
        <f>SUMIFS(Cast!$C:$C,Cast!$B:$B,'Element wise-detail Summary'!$A263)</f>
        <v>1</v>
      </c>
      <c r="H263" s="151">
        <f t="shared" si="21"/>
        <v>0</v>
      </c>
      <c r="I263" s="151">
        <f>SUMIFS(Del!$C:$C,Del!$B:$B,'Element wise-detail Summary'!$A263)</f>
        <v>0</v>
      </c>
      <c r="J263" s="151">
        <f t="shared" si="22"/>
        <v>1</v>
      </c>
      <c r="K263" s="151">
        <f t="shared" si="23"/>
        <v>1</v>
      </c>
      <c r="L263" s="151">
        <f>SUMIF(Ere!$B:$B,'Element wise-detail Summary'!$A263,Ere!$C:$C)</f>
        <v>0</v>
      </c>
      <c r="M263" s="151">
        <f t="shared" si="24"/>
        <v>1</v>
      </c>
      <c r="N263">
        <f t="shared" si="25"/>
        <v>0</v>
      </c>
    </row>
    <row r="264" spans="1:14" hidden="1" x14ac:dyDescent="0.25">
      <c r="A264" s="151" t="s">
        <v>1445</v>
      </c>
      <c r="B264" s="233" t="str">
        <f>VLOOKUP(A264,'AFC Data details'!$B:$E,4,0)</f>
        <v>V43</v>
      </c>
      <c r="C264" s="145" t="s">
        <v>1695</v>
      </c>
      <c r="D264" s="151" t="s">
        <v>602</v>
      </c>
      <c r="E264" s="151">
        <f>VLOOKUP(A264,'AFC Data details'!$B:$P,15,0)</f>
        <v>2.5939999999999999</v>
      </c>
      <c r="F264" s="151">
        <f>SUMIFS('AFC Data details'!C:C,'AFC Data details'!$B:$B,'Element wise-detail Summary'!$A264)</f>
        <v>1</v>
      </c>
      <c r="G264" s="151">
        <f>SUMIFS(Cast!$C:$C,Cast!$B:$B,'Element wise-detail Summary'!$A264)</f>
        <v>1</v>
      </c>
      <c r="H264" s="151">
        <f t="shared" si="21"/>
        <v>0</v>
      </c>
      <c r="I264" s="151">
        <f>SUMIFS(Del!$C:$C,Del!$B:$B,'Element wise-detail Summary'!$A264)</f>
        <v>0</v>
      </c>
      <c r="J264" s="151">
        <f t="shared" si="22"/>
        <v>1</v>
      </c>
      <c r="K264" s="151">
        <f t="shared" si="23"/>
        <v>1</v>
      </c>
      <c r="L264" s="151">
        <f>SUMIF(Ere!$B:$B,'Element wise-detail Summary'!$A264,Ere!$C:$C)</f>
        <v>0</v>
      </c>
      <c r="M264" s="151">
        <f t="shared" si="24"/>
        <v>1</v>
      </c>
      <c r="N264">
        <f t="shared" si="25"/>
        <v>0</v>
      </c>
    </row>
    <row r="265" spans="1:14" hidden="1" x14ac:dyDescent="0.25">
      <c r="A265" s="151" t="s">
        <v>1446</v>
      </c>
      <c r="B265" s="233" t="str">
        <f>VLOOKUP(A265,'AFC Data details'!$B:$E,4,0)</f>
        <v>V43</v>
      </c>
      <c r="C265" s="145" t="s">
        <v>1695</v>
      </c>
      <c r="D265" s="151" t="s">
        <v>602</v>
      </c>
      <c r="E265" s="151">
        <f>VLOOKUP(A265,'AFC Data details'!$B:$P,15,0)</f>
        <v>1.413</v>
      </c>
      <c r="F265" s="151">
        <f>SUMIFS('AFC Data details'!C:C,'AFC Data details'!$B:$B,'Element wise-detail Summary'!$A265)</f>
        <v>1</v>
      </c>
      <c r="G265" s="151">
        <f>SUMIFS(Cast!$C:$C,Cast!$B:$B,'Element wise-detail Summary'!$A265)</f>
        <v>1</v>
      </c>
      <c r="H265" s="151">
        <f t="shared" si="21"/>
        <v>0</v>
      </c>
      <c r="I265" s="151">
        <f>SUMIFS(Del!$C:$C,Del!$B:$B,'Element wise-detail Summary'!$A265)</f>
        <v>0</v>
      </c>
      <c r="J265" s="151">
        <f t="shared" si="22"/>
        <v>1</v>
      </c>
      <c r="K265" s="151">
        <f t="shared" si="23"/>
        <v>1</v>
      </c>
      <c r="L265" s="151">
        <f>SUMIF(Ere!$B:$B,'Element wise-detail Summary'!$A265,Ere!$C:$C)</f>
        <v>0</v>
      </c>
      <c r="M265" s="151">
        <f t="shared" si="24"/>
        <v>1</v>
      </c>
      <c r="N265">
        <f t="shared" si="25"/>
        <v>0</v>
      </c>
    </row>
    <row r="266" spans="1:14" hidden="1" x14ac:dyDescent="0.25">
      <c r="A266" s="151" t="s">
        <v>1447</v>
      </c>
      <c r="B266" s="233" t="str">
        <f>VLOOKUP(A266,'AFC Data details'!$B:$E,4,0)</f>
        <v>V45</v>
      </c>
      <c r="C266" s="145" t="s">
        <v>1695</v>
      </c>
      <c r="D266" s="151" t="s">
        <v>602</v>
      </c>
      <c r="E266" s="151">
        <f>VLOOKUP(A266,'AFC Data details'!$B:$P,15,0)</f>
        <v>1.413</v>
      </c>
      <c r="F266" s="151">
        <f>SUMIFS('AFC Data details'!C:C,'AFC Data details'!$B:$B,'Element wise-detail Summary'!$A266)</f>
        <v>1</v>
      </c>
      <c r="G266" s="151">
        <f>SUMIFS(Cast!$C:$C,Cast!$B:$B,'Element wise-detail Summary'!$A266)</f>
        <v>1</v>
      </c>
      <c r="H266" s="151">
        <f t="shared" si="21"/>
        <v>0</v>
      </c>
      <c r="I266" s="151">
        <f>SUMIFS(Del!$C:$C,Del!$B:$B,'Element wise-detail Summary'!$A266)</f>
        <v>0</v>
      </c>
      <c r="J266" s="151">
        <f t="shared" si="22"/>
        <v>1</v>
      </c>
      <c r="K266" s="151">
        <f t="shared" si="23"/>
        <v>1</v>
      </c>
      <c r="L266" s="151">
        <f>SUMIF(Ere!$B:$B,'Element wise-detail Summary'!$A266,Ere!$C:$C)</f>
        <v>0</v>
      </c>
      <c r="M266" s="151">
        <f t="shared" si="24"/>
        <v>1</v>
      </c>
      <c r="N266">
        <f t="shared" si="25"/>
        <v>0</v>
      </c>
    </row>
    <row r="267" spans="1:14" hidden="1" x14ac:dyDescent="0.25">
      <c r="A267" s="151" t="s">
        <v>1448</v>
      </c>
      <c r="B267" s="233" t="str">
        <f>VLOOKUP(A267,'AFC Data details'!$B:$E,4,0)</f>
        <v>V47</v>
      </c>
      <c r="C267" s="145" t="s">
        <v>1695</v>
      </c>
      <c r="D267" s="151" t="s">
        <v>602</v>
      </c>
      <c r="E267" s="151">
        <f>VLOOKUP(A267,'AFC Data details'!$B:$P,15,0)</f>
        <v>1.413</v>
      </c>
      <c r="F267" s="151">
        <f>SUMIFS('AFC Data details'!C:C,'AFC Data details'!$B:$B,'Element wise-detail Summary'!$A267)</f>
        <v>1</v>
      </c>
      <c r="G267" s="151">
        <f>SUMIFS(Cast!$C:$C,Cast!$B:$B,'Element wise-detail Summary'!$A267)</f>
        <v>1</v>
      </c>
      <c r="H267" s="151">
        <f t="shared" si="21"/>
        <v>0</v>
      </c>
      <c r="I267" s="151">
        <f>SUMIFS(Del!$C:$C,Del!$B:$B,'Element wise-detail Summary'!$A267)</f>
        <v>1</v>
      </c>
      <c r="J267" s="151">
        <f t="shared" si="22"/>
        <v>0</v>
      </c>
      <c r="K267" s="151">
        <f t="shared" si="23"/>
        <v>0</v>
      </c>
      <c r="L267" s="151">
        <f>SUMIF(Ere!$B:$B,'Element wise-detail Summary'!$A267,Ere!$C:$C)</f>
        <v>1</v>
      </c>
      <c r="M267" s="151">
        <f t="shared" si="24"/>
        <v>0</v>
      </c>
      <c r="N267">
        <f t="shared" si="25"/>
        <v>1.413</v>
      </c>
    </row>
    <row r="268" spans="1:14" hidden="1" x14ac:dyDescent="0.25">
      <c r="A268" s="151" t="s">
        <v>1449</v>
      </c>
      <c r="B268" s="233" t="str">
        <f>VLOOKUP(A268,'AFC Data details'!$B:$E,4,0)</f>
        <v>V43</v>
      </c>
      <c r="C268" s="145" t="s">
        <v>1695</v>
      </c>
      <c r="D268" s="151" t="s">
        <v>602</v>
      </c>
      <c r="E268" s="151">
        <f>VLOOKUP(A268,'AFC Data details'!$B:$P,15,0)</f>
        <v>1.4650000000000001</v>
      </c>
      <c r="F268" s="151">
        <f>SUMIFS('AFC Data details'!C:C,'AFC Data details'!$B:$B,'Element wise-detail Summary'!$A268)</f>
        <v>1</v>
      </c>
      <c r="G268" s="151">
        <f>SUMIFS(Cast!$C:$C,Cast!$B:$B,'Element wise-detail Summary'!$A268)</f>
        <v>1</v>
      </c>
      <c r="H268" s="151">
        <f t="shared" si="21"/>
        <v>0</v>
      </c>
      <c r="I268" s="151">
        <f>SUMIFS(Del!$C:$C,Del!$B:$B,'Element wise-detail Summary'!$A268)</f>
        <v>0</v>
      </c>
      <c r="J268" s="151">
        <f t="shared" si="22"/>
        <v>1</v>
      </c>
      <c r="K268" s="151">
        <f t="shared" si="23"/>
        <v>1</v>
      </c>
      <c r="L268" s="151">
        <f>SUMIF(Ere!$B:$B,'Element wise-detail Summary'!$A268,Ere!$C:$C)</f>
        <v>0</v>
      </c>
      <c r="M268" s="151">
        <f t="shared" si="24"/>
        <v>1</v>
      </c>
      <c r="N268">
        <f t="shared" si="25"/>
        <v>0</v>
      </c>
    </row>
    <row r="269" spans="1:14" hidden="1" x14ac:dyDescent="0.25">
      <c r="A269" s="151" t="s">
        <v>1450</v>
      </c>
      <c r="B269" s="233" t="str">
        <f>VLOOKUP(A269,'AFC Data details'!$B:$E,4,0)</f>
        <v>V43</v>
      </c>
      <c r="C269" s="145" t="s">
        <v>1695</v>
      </c>
      <c r="D269" s="151" t="s">
        <v>602</v>
      </c>
      <c r="E269" s="151">
        <f>VLOOKUP(A269,'AFC Data details'!$B:$P,15,0)</f>
        <v>1.2929999999999999</v>
      </c>
      <c r="F269" s="151">
        <f>SUMIFS('AFC Data details'!C:C,'AFC Data details'!$B:$B,'Element wise-detail Summary'!$A269)</f>
        <v>1</v>
      </c>
      <c r="G269" s="151">
        <f>SUMIFS(Cast!$C:$C,Cast!$B:$B,'Element wise-detail Summary'!$A269)</f>
        <v>1</v>
      </c>
      <c r="H269" s="151">
        <f t="shared" si="21"/>
        <v>0</v>
      </c>
      <c r="I269" s="151">
        <f>SUMIFS(Del!$C:$C,Del!$B:$B,'Element wise-detail Summary'!$A269)</f>
        <v>0</v>
      </c>
      <c r="J269" s="151">
        <f t="shared" si="22"/>
        <v>1</v>
      </c>
      <c r="K269" s="151">
        <f t="shared" si="23"/>
        <v>1</v>
      </c>
      <c r="L269" s="151">
        <f>SUMIF(Ere!$B:$B,'Element wise-detail Summary'!$A269,Ere!$C:$C)</f>
        <v>0</v>
      </c>
      <c r="M269" s="151">
        <f t="shared" si="24"/>
        <v>1</v>
      </c>
      <c r="N269">
        <f t="shared" si="25"/>
        <v>0</v>
      </c>
    </row>
    <row r="270" spans="1:14" hidden="1" x14ac:dyDescent="0.25">
      <c r="A270" s="151" t="s">
        <v>1451</v>
      </c>
      <c r="B270" s="233" t="str">
        <f>VLOOKUP(A270,'AFC Data details'!$B:$E,4,0)</f>
        <v>V44</v>
      </c>
      <c r="C270" s="145" t="s">
        <v>1695</v>
      </c>
      <c r="D270" s="151" t="s">
        <v>602</v>
      </c>
      <c r="E270" s="151">
        <f>VLOOKUP(A270,'AFC Data details'!$B:$P,15,0)</f>
        <v>2.0590000000000002</v>
      </c>
      <c r="F270" s="151">
        <f>SUMIFS('AFC Data details'!C:C,'AFC Data details'!$B:$B,'Element wise-detail Summary'!$A270)</f>
        <v>1</v>
      </c>
      <c r="G270" s="151">
        <f>SUMIFS(Cast!$C:$C,Cast!$B:$B,'Element wise-detail Summary'!$A270)</f>
        <v>1</v>
      </c>
      <c r="H270" s="151">
        <f t="shared" si="21"/>
        <v>0</v>
      </c>
      <c r="I270" s="151">
        <f>SUMIFS(Del!$C:$C,Del!$B:$B,'Element wise-detail Summary'!$A270)</f>
        <v>0</v>
      </c>
      <c r="J270" s="151">
        <f t="shared" si="22"/>
        <v>1</v>
      </c>
      <c r="K270" s="151">
        <f t="shared" si="23"/>
        <v>1</v>
      </c>
      <c r="L270" s="151">
        <f>SUMIF(Ere!$B:$B,'Element wise-detail Summary'!$A270,Ere!$C:$C)</f>
        <v>0</v>
      </c>
      <c r="M270" s="151">
        <f t="shared" si="24"/>
        <v>1</v>
      </c>
      <c r="N270">
        <f t="shared" si="25"/>
        <v>0</v>
      </c>
    </row>
    <row r="271" spans="1:14" hidden="1" x14ac:dyDescent="0.25">
      <c r="A271" s="151" t="s">
        <v>1452</v>
      </c>
      <c r="B271" s="233" t="str">
        <f>VLOOKUP(A271,'AFC Data details'!$B:$E,4,0)</f>
        <v>V46</v>
      </c>
      <c r="C271" s="145" t="s">
        <v>1695</v>
      </c>
      <c r="D271" s="151" t="s">
        <v>602</v>
      </c>
      <c r="E271" s="151">
        <f>VLOOKUP(A271,'AFC Data details'!$B:$P,15,0)</f>
        <v>2.0590000000000002</v>
      </c>
      <c r="F271" s="151">
        <f>SUMIFS('AFC Data details'!C:C,'AFC Data details'!$B:$B,'Element wise-detail Summary'!$A271)</f>
        <v>1</v>
      </c>
      <c r="G271" s="151">
        <f>SUMIFS(Cast!$C:$C,Cast!$B:$B,'Element wise-detail Summary'!$A271)</f>
        <v>1</v>
      </c>
      <c r="H271" s="151">
        <f t="shared" si="21"/>
        <v>0</v>
      </c>
      <c r="I271" s="151">
        <f>SUMIFS(Del!$C:$C,Del!$B:$B,'Element wise-detail Summary'!$A271)</f>
        <v>0</v>
      </c>
      <c r="J271" s="151">
        <f t="shared" si="22"/>
        <v>1</v>
      </c>
      <c r="K271" s="151">
        <f t="shared" si="23"/>
        <v>1</v>
      </c>
      <c r="L271" s="151">
        <f>SUMIF(Ere!$B:$B,'Element wise-detail Summary'!$A271,Ere!$C:$C)</f>
        <v>0</v>
      </c>
      <c r="M271" s="151">
        <f t="shared" si="24"/>
        <v>1</v>
      </c>
      <c r="N271">
        <f t="shared" si="25"/>
        <v>0</v>
      </c>
    </row>
    <row r="272" spans="1:14" hidden="1" x14ac:dyDescent="0.25">
      <c r="A272" s="151" t="s">
        <v>1453</v>
      </c>
      <c r="B272" s="233" t="str">
        <f>VLOOKUP(A272,'AFC Data details'!$B:$E,4,0)</f>
        <v>V44</v>
      </c>
      <c r="C272" s="145" t="s">
        <v>1695</v>
      </c>
      <c r="D272" s="151" t="s">
        <v>602</v>
      </c>
      <c r="E272" s="151">
        <f>VLOOKUP(A272,'AFC Data details'!$B:$P,15,0)</f>
        <v>2.0590000000000002</v>
      </c>
      <c r="F272" s="151">
        <f>SUMIFS('AFC Data details'!C:C,'AFC Data details'!$B:$B,'Element wise-detail Summary'!$A272)</f>
        <v>1</v>
      </c>
      <c r="G272" s="151">
        <f>SUMIFS(Cast!$C:$C,Cast!$B:$B,'Element wise-detail Summary'!$A272)</f>
        <v>1</v>
      </c>
      <c r="H272" s="151">
        <f t="shared" si="21"/>
        <v>0</v>
      </c>
      <c r="I272" s="151">
        <f>SUMIFS(Del!$C:$C,Del!$B:$B,'Element wise-detail Summary'!$A272)</f>
        <v>0</v>
      </c>
      <c r="J272" s="151">
        <f t="shared" si="22"/>
        <v>1</v>
      </c>
      <c r="K272" s="151">
        <f t="shared" si="23"/>
        <v>1</v>
      </c>
      <c r="L272" s="151">
        <f>SUMIF(Ere!$B:$B,'Element wise-detail Summary'!$A272,Ere!$C:$C)</f>
        <v>0</v>
      </c>
      <c r="M272" s="151">
        <f t="shared" si="24"/>
        <v>1</v>
      </c>
      <c r="N272">
        <f t="shared" si="25"/>
        <v>0</v>
      </c>
    </row>
    <row r="273" spans="1:14" hidden="1" x14ac:dyDescent="0.25">
      <c r="A273" s="151" t="s">
        <v>1454</v>
      </c>
      <c r="B273" s="233" t="str">
        <f>VLOOKUP(A273,'AFC Data details'!$B:$E,4,0)</f>
        <v>V44</v>
      </c>
      <c r="C273" s="145" t="s">
        <v>1695</v>
      </c>
      <c r="D273" s="151" t="s">
        <v>602</v>
      </c>
      <c r="E273" s="151">
        <f>VLOOKUP(A273,'AFC Data details'!$B:$P,15,0)</f>
        <v>2.0590000000000002</v>
      </c>
      <c r="F273" s="151">
        <f>SUMIFS('AFC Data details'!C:C,'AFC Data details'!$B:$B,'Element wise-detail Summary'!$A273)</f>
        <v>1</v>
      </c>
      <c r="G273" s="151">
        <f>SUMIFS(Cast!$C:$C,Cast!$B:$B,'Element wise-detail Summary'!$A273)</f>
        <v>1</v>
      </c>
      <c r="H273" s="151">
        <f t="shared" si="21"/>
        <v>0</v>
      </c>
      <c r="I273" s="151">
        <f>SUMIFS(Del!$C:$C,Del!$B:$B,'Element wise-detail Summary'!$A273)</f>
        <v>0</v>
      </c>
      <c r="J273" s="151">
        <f t="shared" si="22"/>
        <v>1</v>
      </c>
      <c r="K273" s="151">
        <f t="shared" si="23"/>
        <v>1</v>
      </c>
      <c r="L273" s="151">
        <f>SUMIF(Ere!$B:$B,'Element wise-detail Summary'!$A273,Ere!$C:$C)</f>
        <v>0</v>
      </c>
      <c r="M273" s="151">
        <f t="shared" si="24"/>
        <v>1</v>
      </c>
      <c r="N273">
        <f t="shared" si="25"/>
        <v>0</v>
      </c>
    </row>
    <row r="274" spans="1:14" hidden="1" x14ac:dyDescent="0.25">
      <c r="A274" s="151" t="s">
        <v>1455</v>
      </c>
      <c r="B274" s="233" t="str">
        <f>VLOOKUP(A274,'AFC Data details'!$B:$E,4,0)</f>
        <v>V45</v>
      </c>
      <c r="C274" s="145" t="s">
        <v>1695</v>
      </c>
      <c r="D274" s="151" t="s">
        <v>602</v>
      </c>
      <c r="E274" s="151">
        <f>VLOOKUP(A274,'AFC Data details'!$B:$P,15,0)</f>
        <v>2.0590000000000002</v>
      </c>
      <c r="F274" s="151">
        <f>SUMIFS('AFC Data details'!C:C,'AFC Data details'!$B:$B,'Element wise-detail Summary'!$A274)</f>
        <v>1</v>
      </c>
      <c r="G274" s="151">
        <f>SUMIFS(Cast!$C:$C,Cast!$B:$B,'Element wise-detail Summary'!$A274)</f>
        <v>1</v>
      </c>
      <c r="H274" s="151">
        <f t="shared" si="21"/>
        <v>0</v>
      </c>
      <c r="I274" s="151">
        <f>SUMIFS(Del!$C:$C,Del!$B:$B,'Element wise-detail Summary'!$A274)</f>
        <v>0</v>
      </c>
      <c r="J274" s="151">
        <f t="shared" si="22"/>
        <v>1</v>
      </c>
      <c r="K274" s="151">
        <f t="shared" si="23"/>
        <v>1</v>
      </c>
      <c r="L274" s="151">
        <f>SUMIF(Ere!$B:$B,'Element wise-detail Summary'!$A274,Ere!$C:$C)</f>
        <v>0</v>
      </c>
      <c r="M274" s="151">
        <f t="shared" si="24"/>
        <v>1</v>
      </c>
      <c r="N274">
        <f t="shared" si="25"/>
        <v>0</v>
      </c>
    </row>
    <row r="275" spans="1:14" hidden="1" x14ac:dyDescent="0.25">
      <c r="A275" s="151" t="s">
        <v>1456</v>
      </c>
      <c r="B275" s="233" t="str">
        <f>VLOOKUP(A275,'AFC Data details'!$B:$E,4,0)</f>
        <v>V45</v>
      </c>
      <c r="C275" s="145" t="s">
        <v>1695</v>
      </c>
      <c r="D275" s="151" t="s">
        <v>602</v>
      </c>
      <c r="E275" s="151">
        <f>VLOOKUP(A275,'AFC Data details'!$B:$P,15,0)</f>
        <v>2.0590000000000002</v>
      </c>
      <c r="F275" s="151">
        <f>SUMIFS('AFC Data details'!C:C,'AFC Data details'!$B:$B,'Element wise-detail Summary'!$A275)</f>
        <v>1</v>
      </c>
      <c r="G275" s="151">
        <f>SUMIFS(Cast!$C:$C,Cast!$B:$B,'Element wise-detail Summary'!$A275)</f>
        <v>1</v>
      </c>
      <c r="H275" s="151">
        <f t="shared" si="21"/>
        <v>0</v>
      </c>
      <c r="I275" s="151">
        <f>SUMIFS(Del!$C:$C,Del!$B:$B,'Element wise-detail Summary'!$A275)</f>
        <v>0</v>
      </c>
      <c r="J275" s="151">
        <f t="shared" si="22"/>
        <v>1</v>
      </c>
      <c r="K275" s="151">
        <f t="shared" si="23"/>
        <v>1</v>
      </c>
      <c r="L275" s="151">
        <f>SUMIF(Ere!$B:$B,'Element wise-detail Summary'!$A275,Ere!$C:$C)</f>
        <v>0</v>
      </c>
      <c r="M275" s="151">
        <f t="shared" si="24"/>
        <v>1</v>
      </c>
      <c r="N275">
        <f t="shared" si="25"/>
        <v>0</v>
      </c>
    </row>
    <row r="276" spans="1:14" hidden="1" x14ac:dyDescent="0.25">
      <c r="A276" s="151" t="s">
        <v>1457</v>
      </c>
      <c r="B276" s="233" t="str">
        <f>VLOOKUP(A276,'AFC Data details'!$B:$E,4,0)</f>
        <v>V46</v>
      </c>
      <c r="C276" s="145" t="s">
        <v>1695</v>
      </c>
      <c r="D276" s="151" t="s">
        <v>602</v>
      </c>
      <c r="E276" s="151">
        <f>VLOOKUP(A276,'AFC Data details'!$B:$P,15,0)</f>
        <v>2.0590000000000002</v>
      </c>
      <c r="F276" s="151">
        <f>SUMIFS('AFC Data details'!C:C,'AFC Data details'!$B:$B,'Element wise-detail Summary'!$A276)</f>
        <v>1</v>
      </c>
      <c r="G276" s="151">
        <f>SUMIFS(Cast!$C:$C,Cast!$B:$B,'Element wise-detail Summary'!$A276)</f>
        <v>1</v>
      </c>
      <c r="H276" s="151">
        <f t="shared" si="21"/>
        <v>0</v>
      </c>
      <c r="I276" s="151">
        <f>SUMIFS(Del!$C:$C,Del!$B:$B,'Element wise-detail Summary'!$A276)</f>
        <v>0</v>
      </c>
      <c r="J276" s="151">
        <f t="shared" si="22"/>
        <v>1</v>
      </c>
      <c r="K276" s="151">
        <f t="shared" si="23"/>
        <v>1</v>
      </c>
      <c r="L276" s="151">
        <f>SUMIF(Ere!$B:$B,'Element wise-detail Summary'!$A276,Ere!$C:$C)</f>
        <v>0</v>
      </c>
      <c r="M276" s="151">
        <f t="shared" si="24"/>
        <v>1</v>
      </c>
      <c r="N276">
        <f t="shared" si="25"/>
        <v>0</v>
      </c>
    </row>
    <row r="277" spans="1:14" hidden="1" x14ac:dyDescent="0.25">
      <c r="A277" s="151" t="s">
        <v>1458</v>
      </c>
      <c r="B277" s="233" t="str">
        <f>VLOOKUP(A277,'AFC Data details'!$B:$E,4,0)</f>
        <v>V46</v>
      </c>
      <c r="C277" s="145" t="s">
        <v>1695</v>
      </c>
      <c r="D277" s="151" t="s">
        <v>602</v>
      </c>
      <c r="E277" s="151">
        <f>VLOOKUP(A277,'AFC Data details'!$B:$P,15,0)</f>
        <v>2.0590000000000002</v>
      </c>
      <c r="F277" s="151">
        <f>SUMIFS('AFC Data details'!C:C,'AFC Data details'!$B:$B,'Element wise-detail Summary'!$A277)</f>
        <v>1</v>
      </c>
      <c r="G277" s="151">
        <f>SUMIFS(Cast!$C:$C,Cast!$B:$B,'Element wise-detail Summary'!$A277)</f>
        <v>1</v>
      </c>
      <c r="H277" s="151">
        <f t="shared" si="21"/>
        <v>0</v>
      </c>
      <c r="I277" s="151">
        <f>SUMIFS(Del!$C:$C,Del!$B:$B,'Element wise-detail Summary'!$A277)</f>
        <v>0</v>
      </c>
      <c r="J277" s="151">
        <f t="shared" si="22"/>
        <v>1</v>
      </c>
      <c r="K277" s="151">
        <f t="shared" si="23"/>
        <v>1</v>
      </c>
      <c r="L277" s="151">
        <f>SUMIF(Ere!$B:$B,'Element wise-detail Summary'!$A277,Ere!$C:$C)</f>
        <v>0</v>
      </c>
      <c r="M277" s="151">
        <f t="shared" si="24"/>
        <v>1</v>
      </c>
      <c r="N277">
        <f t="shared" si="25"/>
        <v>0</v>
      </c>
    </row>
    <row r="278" spans="1:14" hidden="1" x14ac:dyDescent="0.25">
      <c r="A278" s="151" t="s">
        <v>1459</v>
      </c>
      <c r="B278" s="233" t="str">
        <f>VLOOKUP(A278,'AFC Data details'!$B:$E,4,0)</f>
        <v>V47</v>
      </c>
      <c r="C278" s="145" t="s">
        <v>1695</v>
      </c>
      <c r="D278" s="151" t="s">
        <v>602</v>
      </c>
      <c r="E278" s="151">
        <f>VLOOKUP(A278,'AFC Data details'!$B:$P,15,0)</f>
        <v>2.0590000000000002</v>
      </c>
      <c r="F278" s="151">
        <f>SUMIFS('AFC Data details'!C:C,'AFC Data details'!$B:$B,'Element wise-detail Summary'!$A278)</f>
        <v>1</v>
      </c>
      <c r="G278" s="151">
        <f>SUMIFS(Cast!$C:$C,Cast!$B:$B,'Element wise-detail Summary'!$A278)</f>
        <v>1</v>
      </c>
      <c r="H278" s="151">
        <f t="shared" si="21"/>
        <v>0</v>
      </c>
      <c r="I278" s="151">
        <f>SUMIFS(Del!$C:$C,Del!$B:$B,'Element wise-detail Summary'!$A278)</f>
        <v>0</v>
      </c>
      <c r="J278" s="151">
        <f t="shared" si="22"/>
        <v>1</v>
      </c>
      <c r="K278" s="151">
        <f t="shared" si="23"/>
        <v>1</v>
      </c>
      <c r="L278" s="151">
        <f>SUMIF(Ere!$B:$B,'Element wise-detail Summary'!$A278,Ere!$C:$C)</f>
        <v>0</v>
      </c>
      <c r="M278" s="151">
        <f t="shared" si="24"/>
        <v>1</v>
      </c>
      <c r="N278">
        <f t="shared" si="25"/>
        <v>0</v>
      </c>
    </row>
    <row r="279" spans="1:14" hidden="1" x14ac:dyDescent="0.25">
      <c r="A279" s="151" t="s">
        <v>1460</v>
      </c>
      <c r="B279" s="233" t="str">
        <f>VLOOKUP(A279,'AFC Data details'!$B:$E,4,0)</f>
        <v>V47</v>
      </c>
      <c r="C279" s="145" t="s">
        <v>1695</v>
      </c>
      <c r="D279" s="151" t="s">
        <v>602</v>
      </c>
      <c r="E279" s="151">
        <f>VLOOKUP(A279,'AFC Data details'!$B:$P,15,0)</f>
        <v>2.0590000000000002</v>
      </c>
      <c r="F279" s="151">
        <f>SUMIFS('AFC Data details'!C:C,'AFC Data details'!$B:$B,'Element wise-detail Summary'!$A279)</f>
        <v>1</v>
      </c>
      <c r="G279" s="151">
        <f>SUMIFS(Cast!$C:$C,Cast!$B:$B,'Element wise-detail Summary'!$A279)</f>
        <v>1</v>
      </c>
      <c r="H279" s="151">
        <f t="shared" si="21"/>
        <v>0</v>
      </c>
      <c r="I279" s="151">
        <f>SUMIFS(Del!$C:$C,Del!$B:$B,'Element wise-detail Summary'!$A279)</f>
        <v>0</v>
      </c>
      <c r="J279" s="151">
        <f t="shared" si="22"/>
        <v>1</v>
      </c>
      <c r="K279" s="151">
        <f t="shared" si="23"/>
        <v>1</v>
      </c>
      <c r="L279" s="151">
        <f>SUMIF(Ere!$B:$B,'Element wise-detail Summary'!$A279,Ere!$C:$C)</f>
        <v>0</v>
      </c>
      <c r="M279" s="151">
        <f t="shared" si="24"/>
        <v>1</v>
      </c>
      <c r="N279">
        <f t="shared" si="25"/>
        <v>0</v>
      </c>
    </row>
    <row r="280" spans="1:14" hidden="1" x14ac:dyDescent="0.25">
      <c r="A280" s="151" t="s">
        <v>1461</v>
      </c>
      <c r="B280" s="233" t="str">
        <f>VLOOKUP(A280,'AFC Data details'!$B:$E,4,0)</f>
        <v>V44</v>
      </c>
      <c r="C280" s="145" t="s">
        <v>1695</v>
      </c>
      <c r="D280" s="151" t="s">
        <v>602</v>
      </c>
      <c r="E280" s="151">
        <f>VLOOKUP(A280,'AFC Data details'!$B:$P,15,0)</f>
        <v>2.097</v>
      </c>
      <c r="F280" s="151">
        <f>SUMIFS('AFC Data details'!C:C,'AFC Data details'!$B:$B,'Element wise-detail Summary'!$A280)</f>
        <v>1</v>
      </c>
      <c r="G280" s="151">
        <f>SUMIFS(Cast!$C:$C,Cast!$B:$B,'Element wise-detail Summary'!$A280)</f>
        <v>1</v>
      </c>
      <c r="H280" s="151">
        <f t="shared" si="21"/>
        <v>0</v>
      </c>
      <c r="I280" s="151">
        <f>SUMIFS(Del!$C:$C,Del!$B:$B,'Element wise-detail Summary'!$A280)</f>
        <v>0</v>
      </c>
      <c r="J280" s="151">
        <f t="shared" si="22"/>
        <v>1</v>
      </c>
      <c r="K280" s="151">
        <f t="shared" si="23"/>
        <v>1</v>
      </c>
      <c r="L280" s="151">
        <f>SUMIF(Ere!$B:$B,'Element wise-detail Summary'!$A280,Ere!$C:$C)</f>
        <v>0</v>
      </c>
      <c r="M280" s="151">
        <f t="shared" si="24"/>
        <v>1</v>
      </c>
      <c r="N280">
        <f t="shared" si="25"/>
        <v>0</v>
      </c>
    </row>
    <row r="281" spans="1:14" hidden="1" x14ac:dyDescent="0.25">
      <c r="A281" s="151" t="s">
        <v>1462</v>
      </c>
      <c r="B281" s="233" t="str">
        <f>VLOOKUP(A281,'AFC Data details'!$B:$E,4,0)</f>
        <v>V44</v>
      </c>
      <c r="C281" s="145" t="s">
        <v>1695</v>
      </c>
      <c r="D281" s="151" t="s">
        <v>602</v>
      </c>
      <c r="E281" s="151">
        <f>VLOOKUP(A281,'AFC Data details'!$B:$P,15,0)</f>
        <v>2.097</v>
      </c>
      <c r="F281" s="151">
        <f>SUMIFS('AFC Data details'!C:C,'AFC Data details'!$B:$B,'Element wise-detail Summary'!$A281)</f>
        <v>1</v>
      </c>
      <c r="G281" s="151">
        <f>SUMIFS(Cast!$C:$C,Cast!$B:$B,'Element wise-detail Summary'!$A281)</f>
        <v>1</v>
      </c>
      <c r="H281" s="151">
        <f t="shared" si="21"/>
        <v>0</v>
      </c>
      <c r="I281" s="151">
        <f>SUMIFS(Del!$C:$C,Del!$B:$B,'Element wise-detail Summary'!$A281)</f>
        <v>0</v>
      </c>
      <c r="J281" s="151">
        <f t="shared" si="22"/>
        <v>1</v>
      </c>
      <c r="K281" s="151">
        <f t="shared" si="23"/>
        <v>1</v>
      </c>
      <c r="L281" s="151">
        <f>SUMIF(Ere!$B:$B,'Element wise-detail Summary'!$A281,Ere!$C:$C)</f>
        <v>0</v>
      </c>
      <c r="M281" s="151">
        <f t="shared" si="24"/>
        <v>1</v>
      </c>
      <c r="N281">
        <f t="shared" si="25"/>
        <v>0</v>
      </c>
    </row>
    <row r="282" spans="1:14" hidden="1" x14ac:dyDescent="0.25">
      <c r="A282" s="151" t="s">
        <v>1463</v>
      </c>
      <c r="B282" s="233" t="str">
        <f>VLOOKUP(A282,'AFC Data details'!$B:$E,4,0)</f>
        <v>V46</v>
      </c>
      <c r="C282" s="145" t="s">
        <v>1695</v>
      </c>
      <c r="D282" s="151" t="s">
        <v>602</v>
      </c>
      <c r="E282" s="151">
        <f>VLOOKUP(A282,'AFC Data details'!$B:$P,15,0)</f>
        <v>2.097</v>
      </c>
      <c r="F282" s="151">
        <f>SUMIFS('AFC Data details'!C:C,'AFC Data details'!$B:$B,'Element wise-detail Summary'!$A282)</f>
        <v>1</v>
      </c>
      <c r="G282" s="151">
        <f>SUMIFS(Cast!$C:$C,Cast!$B:$B,'Element wise-detail Summary'!$A282)</f>
        <v>1</v>
      </c>
      <c r="H282" s="151">
        <f t="shared" si="21"/>
        <v>0</v>
      </c>
      <c r="I282" s="151">
        <f>SUMIFS(Del!$C:$C,Del!$B:$B,'Element wise-detail Summary'!$A282)</f>
        <v>0</v>
      </c>
      <c r="J282" s="151">
        <f t="shared" si="22"/>
        <v>1</v>
      </c>
      <c r="K282" s="151">
        <f t="shared" si="23"/>
        <v>1</v>
      </c>
      <c r="L282" s="151">
        <f>SUMIF(Ere!$B:$B,'Element wise-detail Summary'!$A282,Ere!$C:$C)</f>
        <v>0</v>
      </c>
      <c r="M282" s="151">
        <f t="shared" si="24"/>
        <v>1</v>
      </c>
      <c r="N282">
        <f t="shared" si="25"/>
        <v>0</v>
      </c>
    </row>
    <row r="283" spans="1:14" hidden="1" x14ac:dyDescent="0.25">
      <c r="A283" s="151" t="s">
        <v>1464</v>
      </c>
      <c r="B283" s="233" t="str">
        <f>VLOOKUP(A283,'AFC Data details'!$B:$E,4,0)</f>
        <v>V44</v>
      </c>
      <c r="C283" s="145" t="s">
        <v>1695</v>
      </c>
      <c r="D283" s="151" t="s">
        <v>602</v>
      </c>
      <c r="E283" s="151">
        <f>VLOOKUP(A283,'AFC Data details'!$B:$P,15,0)</f>
        <v>1.3320000000000001</v>
      </c>
      <c r="F283" s="151">
        <f>SUMIFS('AFC Data details'!C:C,'AFC Data details'!$B:$B,'Element wise-detail Summary'!$A283)</f>
        <v>1</v>
      </c>
      <c r="G283" s="151">
        <f>SUMIFS(Cast!$C:$C,Cast!$B:$B,'Element wise-detail Summary'!$A283)</f>
        <v>1</v>
      </c>
      <c r="H283" s="151">
        <f t="shared" si="21"/>
        <v>0</v>
      </c>
      <c r="I283" s="151">
        <f>SUMIFS(Del!$C:$C,Del!$B:$B,'Element wise-detail Summary'!$A283)</f>
        <v>1</v>
      </c>
      <c r="J283" s="151">
        <f t="shared" si="22"/>
        <v>0</v>
      </c>
      <c r="K283" s="151">
        <f t="shared" si="23"/>
        <v>0</v>
      </c>
      <c r="L283" s="151">
        <f>SUMIF(Ere!$B:$B,'Element wise-detail Summary'!$A283,Ere!$C:$C)</f>
        <v>1</v>
      </c>
      <c r="M283" s="151">
        <f t="shared" si="24"/>
        <v>0</v>
      </c>
      <c r="N283">
        <f t="shared" si="25"/>
        <v>1.3320000000000001</v>
      </c>
    </row>
    <row r="284" spans="1:14" hidden="1" x14ac:dyDescent="0.25">
      <c r="A284" s="151" t="s">
        <v>1465</v>
      </c>
      <c r="B284" s="233" t="str">
        <f>VLOOKUP(A284,'AFC Data details'!$B:$E,4,0)</f>
        <v>V44</v>
      </c>
      <c r="C284" s="145" t="s">
        <v>1695</v>
      </c>
      <c r="D284" s="151" t="s">
        <v>602</v>
      </c>
      <c r="E284" s="151">
        <f>VLOOKUP(A284,'AFC Data details'!$B:$P,15,0)</f>
        <v>1.3320000000000001</v>
      </c>
      <c r="F284" s="151">
        <f>SUMIFS('AFC Data details'!C:C,'AFC Data details'!$B:$B,'Element wise-detail Summary'!$A284)</f>
        <v>1</v>
      </c>
      <c r="G284" s="151">
        <f>SUMIFS(Cast!$C:$C,Cast!$B:$B,'Element wise-detail Summary'!$A284)</f>
        <v>1</v>
      </c>
      <c r="H284" s="151">
        <f t="shared" si="21"/>
        <v>0</v>
      </c>
      <c r="I284" s="151">
        <f>SUMIFS(Del!$C:$C,Del!$B:$B,'Element wise-detail Summary'!$A284)</f>
        <v>0</v>
      </c>
      <c r="J284" s="151">
        <f t="shared" si="22"/>
        <v>1</v>
      </c>
      <c r="K284" s="151">
        <f t="shared" si="23"/>
        <v>1</v>
      </c>
      <c r="L284" s="151">
        <f>SUMIF(Ere!$B:$B,'Element wise-detail Summary'!$A284,Ere!$C:$C)</f>
        <v>0</v>
      </c>
      <c r="M284" s="151">
        <f t="shared" si="24"/>
        <v>1</v>
      </c>
      <c r="N284">
        <f t="shared" si="25"/>
        <v>0</v>
      </c>
    </row>
    <row r="285" spans="1:14" hidden="1" x14ac:dyDescent="0.25">
      <c r="A285" s="151" t="s">
        <v>1466</v>
      </c>
      <c r="B285" s="233" t="str">
        <f>VLOOKUP(A285,'AFC Data details'!$B:$E,4,0)</f>
        <v>V44</v>
      </c>
      <c r="C285" s="145" t="s">
        <v>1695</v>
      </c>
      <c r="D285" s="151" t="s">
        <v>602</v>
      </c>
      <c r="E285" s="151">
        <f>VLOOKUP(A285,'AFC Data details'!$B:$P,15,0)</f>
        <v>1.5049999999999999</v>
      </c>
      <c r="F285" s="151">
        <f>SUMIFS('AFC Data details'!C:C,'AFC Data details'!$B:$B,'Element wise-detail Summary'!$A285)</f>
        <v>1</v>
      </c>
      <c r="G285" s="151">
        <f>SUMIFS(Cast!$C:$C,Cast!$B:$B,'Element wise-detail Summary'!$A285)</f>
        <v>1</v>
      </c>
      <c r="H285" s="151">
        <f t="shared" si="21"/>
        <v>0</v>
      </c>
      <c r="I285" s="151">
        <f>SUMIFS(Del!$C:$C,Del!$B:$B,'Element wise-detail Summary'!$A285)</f>
        <v>1</v>
      </c>
      <c r="J285" s="151">
        <f t="shared" si="22"/>
        <v>0</v>
      </c>
      <c r="K285" s="151">
        <f t="shared" si="23"/>
        <v>0</v>
      </c>
      <c r="L285" s="151">
        <f>SUMIF(Ere!$B:$B,'Element wise-detail Summary'!$A285,Ere!$C:$C)</f>
        <v>1</v>
      </c>
      <c r="M285" s="151">
        <f t="shared" si="24"/>
        <v>0</v>
      </c>
      <c r="N285">
        <f t="shared" si="25"/>
        <v>1.5049999999999999</v>
      </c>
    </row>
    <row r="286" spans="1:14" hidden="1" x14ac:dyDescent="0.25">
      <c r="A286" s="151" t="s">
        <v>1467</v>
      </c>
      <c r="B286" s="233" t="str">
        <f>VLOOKUP(A286,'AFC Data details'!$B:$E,4,0)</f>
        <v>V45</v>
      </c>
      <c r="C286" s="145" t="s">
        <v>1695</v>
      </c>
      <c r="D286" s="151" t="s">
        <v>602</v>
      </c>
      <c r="E286" s="151">
        <f>VLOOKUP(A286,'AFC Data details'!$B:$P,15,0)</f>
        <v>1.2210000000000001</v>
      </c>
      <c r="F286" s="151">
        <f>SUMIFS('AFC Data details'!C:C,'AFC Data details'!$B:$B,'Element wise-detail Summary'!$A286)</f>
        <v>1</v>
      </c>
      <c r="G286" s="151">
        <f>SUMIFS(Cast!$C:$C,Cast!$B:$B,'Element wise-detail Summary'!$A286)</f>
        <v>1</v>
      </c>
      <c r="H286" s="151">
        <f t="shared" si="21"/>
        <v>0</v>
      </c>
      <c r="I286" s="151">
        <f>SUMIFS(Del!$C:$C,Del!$B:$B,'Element wise-detail Summary'!$A286)</f>
        <v>1</v>
      </c>
      <c r="J286" s="151">
        <f t="shared" si="22"/>
        <v>0</v>
      </c>
      <c r="K286" s="151">
        <f t="shared" si="23"/>
        <v>0</v>
      </c>
      <c r="L286" s="151">
        <f>SUMIF(Ere!$B:$B,'Element wise-detail Summary'!$A286,Ere!$C:$C)</f>
        <v>1</v>
      </c>
      <c r="M286" s="151">
        <f t="shared" si="24"/>
        <v>0</v>
      </c>
      <c r="N286">
        <f t="shared" si="25"/>
        <v>1.2210000000000001</v>
      </c>
    </row>
    <row r="287" spans="1:14" hidden="1" x14ac:dyDescent="0.25">
      <c r="A287" s="151" t="s">
        <v>1468</v>
      </c>
      <c r="B287" s="233" t="str">
        <f>VLOOKUP(A287,'AFC Data details'!$B:$E,4,0)</f>
        <v>V45</v>
      </c>
      <c r="C287" s="145" t="s">
        <v>1695</v>
      </c>
      <c r="D287" s="151" t="s">
        <v>602</v>
      </c>
      <c r="E287" s="151">
        <f>VLOOKUP(A287,'AFC Data details'!$B:$P,15,0)</f>
        <v>2.0590000000000002</v>
      </c>
      <c r="F287" s="151">
        <f>SUMIFS('AFC Data details'!C:C,'AFC Data details'!$B:$B,'Element wise-detail Summary'!$A287)</f>
        <v>1</v>
      </c>
      <c r="G287" s="151">
        <f>SUMIFS(Cast!$C:$C,Cast!$B:$B,'Element wise-detail Summary'!$A287)</f>
        <v>1</v>
      </c>
      <c r="H287" s="151">
        <f t="shared" si="21"/>
        <v>0</v>
      </c>
      <c r="I287" s="151">
        <f>SUMIFS(Del!$C:$C,Del!$B:$B,'Element wise-detail Summary'!$A287)</f>
        <v>0</v>
      </c>
      <c r="J287" s="151">
        <f t="shared" si="22"/>
        <v>1</v>
      </c>
      <c r="K287" s="151">
        <f t="shared" si="23"/>
        <v>1</v>
      </c>
      <c r="L287" s="151">
        <f>SUMIF(Ere!$B:$B,'Element wise-detail Summary'!$A287,Ere!$C:$C)</f>
        <v>0</v>
      </c>
      <c r="M287" s="151">
        <f t="shared" si="24"/>
        <v>1</v>
      </c>
      <c r="N287">
        <f t="shared" si="25"/>
        <v>0</v>
      </c>
    </row>
    <row r="288" spans="1:14" hidden="1" x14ac:dyDescent="0.25">
      <c r="A288" s="151" t="s">
        <v>1469</v>
      </c>
      <c r="B288" s="233" t="str">
        <f>VLOOKUP(A288,'AFC Data details'!$B:$E,4,0)</f>
        <v>V47</v>
      </c>
      <c r="C288" s="145" t="s">
        <v>1695</v>
      </c>
      <c r="D288" s="151" t="s">
        <v>602</v>
      </c>
      <c r="E288" s="151">
        <f>VLOOKUP(A288,'AFC Data details'!$B:$P,15,0)</f>
        <v>2.0590000000000002</v>
      </c>
      <c r="F288" s="151">
        <f>SUMIFS('AFC Data details'!C:C,'AFC Data details'!$B:$B,'Element wise-detail Summary'!$A288)</f>
        <v>1</v>
      </c>
      <c r="G288" s="151">
        <f>SUMIFS(Cast!$C:$C,Cast!$B:$B,'Element wise-detail Summary'!$A288)</f>
        <v>1</v>
      </c>
      <c r="H288" s="151">
        <f t="shared" si="21"/>
        <v>0</v>
      </c>
      <c r="I288" s="151">
        <f>SUMIFS(Del!$C:$C,Del!$B:$B,'Element wise-detail Summary'!$A288)</f>
        <v>0</v>
      </c>
      <c r="J288" s="151">
        <f t="shared" si="22"/>
        <v>1</v>
      </c>
      <c r="K288" s="151">
        <f t="shared" si="23"/>
        <v>1</v>
      </c>
      <c r="L288" s="151">
        <f>SUMIF(Ere!$B:$B,'Element wise-detail Summary'!$A288,Ere!$C:$C)</f>
        <v>0</v>
      </c>
      <c r="M288" s="151">
        <f t="shared" si="24"/>
        <v>1</v>
      </c>
      <c r="N288">
        <f t="shared" si="25"/>
        <v>0</v>
      </c>
    </row>
    <row r="289" spans="1:14" hidden="1" x14ac:dyDescent="0.25">
      <c r="A289" s="151" t="s">
        <v>1470</v>
      </c>
      <c r="B289" s="233" t="str">
        <f>VLOOKUP(A289,'AFC Data details'!$B:$E,4,0)</f>
        <v>V45</v>
      </c>
      <c r="C289" s="145" t="s">
        <v>1695</v>
      </c>
      <c r="D289" s="151" t="s">
        <v>602</v>
      </c>
      <c r="E289" s="151">
        <f>VLOOKUP(A289,'AFC Data details'!$B:$P,15,0)</f>
        <v>2.097</v>
      </c>
      <c r="F289" s="151">
        <f>SUMIFS('AFC Data details'!C:C,'AFC Data details'!$B:$B,'Element wise-detail Summary'!$A289)</f>
        <v>1</v>
      </c>
      <c r="G289" s="151">
        <f>SUMIFS(Cast!$C:$C,Cast!$B:$B,'Element wise-detail Summary'!$A289)</f>
        <v>1</v>
      </c>
      <c r="H289" s="151">
        <f t="shared" si="21"/>
        <v>0</v>
      </c>
      <c r="I289" s="151">
        <f>SUMIFS(Del!$C:$C,Del!$B:$B,'Element wise-detail Summary'!$A289)</f>
        <v>0</v>
      </c>
      <c r="J289" s="151">
        <f t="shared" si="22"/>
        <v>1</v>
      </c>
      <c r="K289" s="151">
        <f t="shared" si="23"/>
        <v>1</v>
      </c>
      <c r="L289" s="151">
        <f>SUMIF(Ere!$B:$B,'Element wise-detail Summary'!$A289,Ere!$C:$C)</f>
        <v>0</v>
      </c>
      <c r="M289" s="151">
        <f t="shared" si="24"/>
        <v>1</v>
      </c>
      <c r="N289">
        <f t="shared" si="25"/>
        <v>0</v>
      </c>
    </row>
    <row r="290" spans="1:14" hidden="1" x14ac:dyDescent="0.25">
      <c r="A290" s="151" t="s">
        <v>1471</v>
      </c>
      <c r="B290" s="233" t="str">
        <f>VLOOKUP(A290,'AFC Data details'!$B:$E,4,0)</f>
        <v>V47</v>
      </c>
      <c r="C290" s="145" t="s">
        <v>1695</v>
      </c>
      <c r="D290" s="151" t="s">
        <v>602</v>
      </c>
      <c r="E290" s="151">
        <f>VLOOKUP(A290,'AFC Data details'!$B:$P,15,0)</f>
        <v>2.097</v>
      </c>
      <c r="F290" s="151">
        <f>SUMIFS('AFC Data details'!C:C,'AFC Data details'!$B:$B,'Element wise-detail Summary'!$A290)</f>
        <v>1</v>
      </c>
      <c r="G290" s="151">
        <f>SUMIFS(Cast!$C:$C,Cast!$B:$B,'Element wise-detail Summary'!$A290)</f>
        <v>1</v>
      </c>
      <c r="H290" s="151">
        <f t="shared" si="21"/>
        <v>0</v>
      </c>
      <c r="I290" s="151">
        <f>SUMIFS(Del!$C:$C,Del!$B:$B,'Element wise-detail Summary'!$A290)</f>
        <v>0</v>
      </c>
      <c r="J290" s="151">
        <f t="shared" si="22"/>
        <v>1</v>
      </c>
      <c r="K290" s="151">
        <f t="shared" si="23"/>
        <v>1</v>
      </c>
      <c r="L290" s="151">
        <f>SUMIF(Ere!$B:$B,'Element wise-detail Summary'!$A290,Ere!$C:$C)</f>
        <v>0</v>
      </c>
      <c r="M290" s="151">
        <f t="shared" si="24"/>
        <v>1</v>
      </c>
      <c r="N290">
        <f t="shared" si="25"/>
        <v>0</v>
      </c>
    </row>
    <row r="291" spans="1:14" hidden="1" x14ac:dyDescent="0.25">
      <c r="A291" s="151" t="s">
        <v>1472</v>
      </c>
      <c r="B291" s="233" t="str">
        <f>VLOOKUP(A291,'AFC Data details'!$B:$E,4,0)</f>
        <v>V45</v>
      </c>
      <c r="C291" s="145" t="s">
        <v>1695</v>
      </c>
      <c r="D291" s="151" t="s">
        <v>602</v>
      </c>
      <c r="E291" s="151">
        <f>VLOOKUP(A291,'AFC Data details'!$B:$P,15,0)</f>
        <v>1.8009999999999999</v>
      </c>
      <c r="F291" s="151">
        <f>SUMIFS('AFC Data details'!C:C,'AFC Data details'!$B:$B,'Element wise-detail Summary'!$A291)</f>
        <v>1</v>
      </c>
      <c r="G291" s="151">
        <f>SUMIFS(Cast!$C:$C,Cast!$B:$B,'Element wise-detail Summary'!$A291)</f>
        <v>1</v>
      </c>
      <c r="H291" s="151">
        <f t="shared" si="21"/>
        <v>0</v>
      </c>
      <c r="I291" s="151">
        <f>SUMIFS(Del!$C:$C,Del!$B:$B,'Element wise-detail Summary'!$A291)</f>
        <v>1</v>
      </c>
      <c r="J291" s="151">
        <f t="shared" si="22"/>
        <v>0</v>
      </c>
      <c r="K291" s="151">
        <f t="shared" si="23"/>
        <v>0</v>
      </c>
      <c r="L291" s="151">
        <f>SUMIF(Ere!$B:$B,'Element wise-detail Summary'!$A291,Ere!$C:$C)</f>
        <v>1</v>
      </c>
      <c r="M291" s="151">
        <f t="shared" si="24"/>
        <v>0</v>
      </c>
      <c r="N291">
        <f t="shared" si="25"/>
        <v>1.8009999999999999</v>
      </c>
    </row>
    <row r="292" spans="1:14" hidden="1" x14ac:dyDescent="0.25">
      <c r="A292" s="151" t="s">
        <v>1474</v>
      </c>
      <c r="B292" s="233" t="str">
        <f>VLOOKUP(A292,'AFC Data details'!$B:$E,4,0)</f>
        <v>V45</v>
      </c>
      <c r="C292" s="145" t="s">
        <v>1695</v>
      </c>
      <c r="D292" s="151" t="s">
        <v>602</v>
      </c>
      <c r="E292" s="151">
        <f>VLOOKUP(A292,'AFC Data details'!$B:$P,15,0)</f>
        <v>1.617</v>
      </c>
      <c r="F292" s="151">
        <f>SUMIFS('AFC Data details'!C:C,'AFC Data details'!$B:$B,'Element wise-detail Summary'!$A292)</f>
        <v>1</v>
      </c>
      <c r="G292" s="151">
        <f>SUMIFS(Cast!$C:$C,Cast!$B:$B,'Element wise-detail Summary'!$A292)</f>
        <v>1</v>
      </c>
      <c r="H292" s="151">
        <f t="shared" si="21"/>
        <v>0</v>
      </c>
      <c r="I292" s="151">
        <f>SUMIFS(Del!$C:$C,Del!$B:$B,'Element wise-detail Summary'!$A292)</f>
        <v>1</v>
      </c>
      <c r="J292" s="151">
        <f t="shared" si="22"/>
        <v>0</v>
      </c>
      <c r="K292" s="151">
        <f t="shared" si="23"/>
        <v>0</v>
      </c>
      <c r="L292" s="151">
        <f>SUMIF(Ere!$B:$B,'Element wise-detail Summary'!$A292,Ere!$C:$C)</f>
        <v>1</v>
      </c>
      <c r="M292" s="151">
        <f t="shared" si="24"/>
        <v>0</v>
      </c>
      <c r="N292">
        <f t="shared" si="25"/>
        <v>1.617</v>
      </c>
    </row>
    <row r="293" spans="1:14" hidden="1" x14ac:dyDescent="0.25">
      <c r="A293" s="151" t="s">
        <v>1475</v>
      </c>
      <c r="B293" s="233" t="str">
        <f>VLOOKUP(A293,'AFC Data details'!$B:$E,4,0)</f>
        <v>V46</v>
      </c>
      <c r="C293" s="145" t="s">
        <v>1695</v>
      </c>
      <c r="D293" s="151" t="s">
        <v>602</v>
      </c>
      <c r="E293" s="151">
        <f>VLOOKUP(A293,'AFC Data details'!$B:$P,15,0)</f>
        <v>1.629</v>
      </c>
      <c r="F293" s="151">
        <f>SUMIFS('AFC Data details'!C:C,'AFC Data details'!$B:$B,'Element wise-detail Summary'!$A293)</f>
        <v>1</v>
      </c>
      <c r="G293" s="151">
        <f>SUMIFS(Cast!$C:$C,Cast!$B:$B,'Element wise-detail Summary'!$A293)</f>
        <v>1</v>
      </c>
      <c r="H293" s="151">
        <f t="shared" si="21"/>
        <v>0</v>
      </c>
      <c r="I293" s="151">
        <f>SUMIFS(Del!$C:$C,Del!$B:$B,'Element wise-detail Summary'!$A293)</f>
        <v>1</v>
      </c>
      <c r="J293" s="151">
        <f t="shared" si="22"/>
        <v>0</v>
      </c>
      <c r="K293" s="151">
        <f t="shared" si="23"/>
        <v>0</v>
      </c>
      <c r="L293" s="151">
        <f>SUMIF(Ere!$B:$B,'Element wise-detail Summary'!$A293,Ere!$C:$C)</f>
        <v>1</v>
      </c>
      <c r="M293" s="151">
        <f t="shared" si="24"/>
        <v>0</v>
      </c>
      <c r="N293">
        <f t="shared" si="25"/>
        <v>1.629</v>
      </c>
    </row>
    <row r="294" spans="1:14" hidden="1" x14ac:dyDescent="0.25">
      <c r="A294" s="151" t="s">
        <v>1476</v>
      </c>
      <c r="B294" s="233" t="str">
        <f>VLOOKUP(A294,'AFC Data details'!$B:$E,4,0)</f>
        <v>V46</v>
      </c>
      <c r="C294" s="145" t="s">
        <v>1695</v>
      </c>
      <c r="D294" s="151" t="s">
        <v>602</v>
      </c>
      <c r="E294" s="151">
        <f>VLOOKUP(A294,'AFC Data details'!$B:$P,15,0)</f>
        <v>1.802</v>
      </c>
      <c r="F294" s="151">
        <f>SUMIFS('AFC Data details'!C:C,'AFC Data details'!$B:$B,'Element wise-detail Summary'!$A294)</f>
        <v>1</v>
      </c>
      <c r="G294" s="151">
        <f>SUMIFS(Cast!$C:$C,Cast!$B:$B,'Element wise-detail Summary'!$A294)</f>
        <v>1</v>
      </c>
      <c r="H294" s="151">
        <f t="shared" si="21"/>
        <v>0</v>
      </c>
      <c r="I294" s="151">
        <f>SUMIFS(Del!$C:$C,Del!$B:$B,'Element wise-detail Summary'!$A294)</f>
        <v>1</v>
      </c>
      <c r="J294" s="151">
        <f t="shared" si="22"/>
        <v>0</v>
      </c>
      <c r="K294" s="151">
        <f t="shared" si="23"/>
        <v>0</v>
      </c>
      <c r="L294" s="151">
        <f>SUMIF(Ere!$B:$B,'Element wise-detail Summary'!$A294,Ere!$C:$C)</f>
        <v>1</v>
      </c>
      <c r="M294" s="151">
        <f t="shared" si="24"/>
        <v>0</v>
      </c>
      <c r="N294">
        <f t="shared" si="25"/>
        <v>1.802</v>
      </c>
    </row>
    <row r="295" spans="1:14" hidden="1" x14ac:dyDescent="0.25">
      <c r="A295" s="151" t="s">
        <v>1477</v>
      </c>
      <c r="B295" s="233" t="str">
        <f>VLOOKUP(A295,'AFC Data details'!$B:$E,4,0)</f>
        <v>V47</v>
      </c>
      <c r="C295" s="145" t="s">
        <v>1695</v>
      </c>
      <c r="D295" s="151" t="s">
        <v>602</v>
      </c>
      <c r="E295" s="151">
        <f>VLOOKUP(A295,'AFC Data details'!$B:$P,15,0)</f>
        <v>1.101</v>
      </c>
      <c r="F295" s="151">
        <f>SUMIFS('AFC Data details'!C:C,'AFC Data details'!$B:$B,'Element wise-detail Summary'!$A295)</f>
        <v>1</v>
      </c>
      <c r="G295" s="151">
        <f>SUMIFS(Cast!$C:$C,Cast!$B:$B,'Element wise-detail Summary'!$A295)</f>
        <v>1</v>
      </c>
      <c r="H295" s="151">
        <f t="shared" si="21"/>
        <v>0</v>
      </c>
      <c r="I295" s="151">
        <f>SUMIFS(Del!$C:$C,Del!$B:$B,'Element wise-detail Summary'!$A295)</f>
        <v>1</v>
      </c>
      <c r="J295" s="151">
        <f t="shared" si="22"/>
        <v>0</v>
      </c>
      <c r="K295" s="151">
        <f t="shared" si="23"/>
        <v>0</v>
      </c>
      <c r="L295" s="151">
        <f>SUMIF(Ere!$B:$B,'Element wise-detail Summary'!$A295,Ere!$C:$C)</f>
        <v>1</v>
      </c>
      <c r="M295" s="151">
        <f t="shared" si="24"/>
        <v>0</v>
      </c>
      <c r="N295">
        <f t="shared" si="25"/>
        <v>1.101</v>
      </c>
    </row>
    <row r="296" spans="1:14" hidden="1" x14ac:dyDescent="0.25">
      <c r="A296" s="151" t="s">
        <v>1478</v>
      </c>
      <c r="B296" s="233" t="str">
        <f>VLOOKUP(A296,'AFC Data details'!$B:$E,4,0)</f>
        <v>V47</v>
      </c>
      <c r="C296" s="145" t="s">
        <v>1695</v>
      </c>
      <c r="D296" s="151" t="s">
        <v>602</v>
      </c>
      <c r="E296" s="151">
        <f>VLOOKUP(A296,'AFC Data details'!$B:$P,15,0)</f>
        <v>1.665</v>
      </c>
      <c r="F296" s="151">
        <f>SUMIFS('AFC Data details'!C:C,'AFC Data details'!$B:$B,'Element wise-detail Summary'!$A296)</f>
        <v>1</v>
      </c>
      <c r="G296" s="151">
        <f>SUMIFS(Cast!$C:$C,Cast!$B:$B,'Element wise-detail Summary'!$A296)</f>
        <v>1</v>
      </c>
      <c r="H296" s="151">
        <f t="shared" si="21"/>
        <v>0</v>
      </c>
      <c r="I296" s="151">
        <f>SUMIFS(Del!$C:$C,Del!$B:$B,'Element wise-detail Summary'!$A296)</f>
        <v>1</v>
      </c>
      <c r="J296" s="151">
        <f t="shared" si="22"/>
        <v>0</v>
      </c>
      <c r="K296" s="151">
        <f t="shared" si="23"/>
        <v>0</v>
      </c>
      <c r="L296" s="151">
        <f>SUMIF(Ere!$B:$B,'Element wise-detail Summary'!$A296,Ere!$C:$C)</f>
        <v>1</v>
      </c>
      <c r="M296" s="151">
        <f t="shared" si="24"/>
        <v>0</v>
      </c>
      <c r="N296">
        <f t="shared" si="25"/>
        <v>1.665</v>
      </c>
    </row>
    <row r="297" spans="1:14" hidden="1" x14ac:dyDescent="0.25">
      <c r="A297" s="151" t="s">
        <v>1479</v>
      </c>
      <c r="B297" s="233" t="str">
        <f>VLOOKUP(A297,'AFC Data details'!$B:$E,4,0)</f>
        <v>V47</v>
      </c>
      <c r="C297" s="145" t="s">
        <v>1695</v>
      </c>
      <c r="D297" s="151" t="s">
        <v>602</v>
      </c>
      <c r="E297" s="151">
        <f>VLOOKUP(A297,'AFC Data details'!$B:$P,15,0)</f>
        <v>1.48</v>
      </c>
      <c r="F297" s="151">
        <f>SUMIFS('AFC Data details'!C:C,'AFC Data details'!$B:$B,'Element wise-detail Summary'!$A297)</f>
        <v>1</v>
      </c>
      <c r="G297" s="151">
        <f>SUMIFS(Cast!$C:$C,Cast!$B:$B,'Element wise-detail Summary'!$A297)</f>
        <v>1</v>
      </c>
      <c r="H297" s="151">
        <f t="shared" si="21"/>
        <v>0</v>
      </c>
      <c r="I297" s="151">
        <f>SUMIFS(Del!$C:$C,Del!$B:$B,'Element wise-detail Summary'!$A297)</f>
        <v>1</v>
      </c>
      <c r="J297" s="151">
        <f t="shared" si="22"/>
        <v>0</v>
      </c>
      <c r="K297" s="151">
        <f t="shared" si="23"/>
        <v>0</v>
      </c>
      <c r="L297" s="151">
        <f>SUMIF(Ere!$B:$B,'Element wise-detail Summary'!$A297,Ere!$C:$C)</f>
        <v>1</v>
      </c>
      <c r="M297" s="151">
        <f t="shared" si="24"/>
        <v>0</v>
      </c>
      <c r="N297">
        <f t="shared" si="25"/>
        <v>1.48</v>
      </c>
    </row>
    <row r="298" spans="1:14" hidden="1" x14ac:dyDescent="0.25">
      <c r="A298" s="151" t="s">
        <v>1480</v>
      </c>
      <c r="B298" s="233" t="str">
        <f>VLOOKUP(A298,'AFC Data details'!$B:$E,4,0)</f>
        <v>V47</v>
      </c>
      <c r="C298" s="145" t="s">
        <v>1695</v>
      </c>
      <c r="D298" s="151" t="s">
        <v>602</v>
      </c>
      <c r="E298" s="151">
        <f>VLOOKUP(A298,'AFC Data details'!$B:$P,15,0)</f>
        <v>1.48</v>
      </c>
      <c r="F298" s="151">
        <f>SUMIFS('AFC Data details'!C:C,'AFC Data details'!$B:$B,'Element wise-detail Summary'!$A298)</f>
        <v>1</v>
      </c>
      <c r="G298" s="151">
        <f>SUMIFS(Cast!$C:$C,Cast!$B:$B,'Element wise-detail Summary'!$A298)</f>
        <v>1</v>
      </c>
      <c r="H298" s="151">
        <f t="shared" si="21"/>
        <v>0</v>
      </c>
      <c r="I298" s="151">
        <f>SUMIFS(Del!$C:$C,Del!$B:$B,'Element wise-detail Summary'!$A298)</f>
        <v>1</v>
      </c>
      <c r="J298" s="151">
        <f t="shared" si="22"/>
        <v>0</v>
      </c>
      <c r="K298" s="151">
        <f t="shared" si="23"/>
        <v>0</v>
      </c>
      <c r="L298" s="151">
        <f>SUMIF(Ere!$B:$B,'Element wise-detail Summary'!$A298,Ere!$C:$C)</f>
        <v>1</v>
      </c>
      <c r="M298" s="151">
        <f t="shared" si="24"/>
        <v>0</v>
      </c>
      <c r="N298">
        <f t="shared" si="25"/>
        <v>1.48</v>
      </c>
    </row>
    <row r="299" spans="1:14" hidden="1" x14ac:dyDescent="0.25">
      <c r="A299" s="151" t="s">
        <v>1481</v>
      </c>
      <c r="B299" s="233" t="str">
        <f>VLOOKUP(A299,'AFC Data details'!$B:$E,4,0)</f>
        <v>V48</v>
      </c>
      <c r="C299" s="145" t="s">
        <v>1695</v>
      </c>
      <c r="D299" s="151" t="s">
        <v>602</v>
      </c>
      <c r="E299" s="151">
        <f>VLOOKUP(A299,'AFC Data details'!$B:$P,15,0)</f>
        <v>2.04</v>
      </c>
      <c r="F299" s="151">
        <f>SUMIFS('AFC Data details'!C:C,'AFC Data details'!$B:$B,'Element wise-detail Summary'!$A299)</f>
        <v>1</v>
      </c>
      <c r="G299" s="151">
        <f>SUMIFS(Cast!$C:$C,Cast!$B:$B,'Element wise-detail Summary'!$A299)</f>
        <v>1</v>
      </c>
      <c r="H299" s="151">
        <f t="shared" si="21"/>
        <v>0</v>
      </c>
      <c r="I299" s="151">
        <f>SUMIFS(Del!$C:$C,Del!$B:$B,'Element wise-detail Summary'!$A299)</f>
        <v>1</v>
      </c>
      <c r="J299" s="151">
        <f t="shared" si="22"/>
        <v>0</v>
      </c>
      <c r="K299" s="151">
        <f t="shared" si="23"/>
        <v>0</v>
      </c>
      <c r="L299" s="151">
        <f>SUMIF(Ere!$B:$B,'Element wise-detail Summary'!$A299,Ere!$C:$C)</f>
        <v>1</v>
      </c>
      <c r="M299" s="151">
        <f t="shared" si="24"/>
        <v>0</v>
      </c>
      <c r="N299">
        <f t="shared" si="25"/>
        <v>2.04</v>
      </c>
    </row>
    <row r="300" spans="1:14" hidden="1" x14ac:dyDescent="0.25">
      <c r="A300" s="151" t="s">
        <v>1482</v>
      </c>
      <c r="B300" s="233" t="str">
        <f>VLOOKUP(A300,'AFC Data details'!$B:$E,4,0)</f>
        <v>V48</v>
      </c>
      <c r="C300" s="145" t="s">
        <v>1695</v>
      </c>
      <c r="D300" s="151" t="s">
        <v>602</v>
      </c>
      <c r="E300" s="151">
        <f>VLOOKUP(A300,'AFC Data details'!$B:$P,15,0)</f>
        <v>2.04</v>
      </c>
      <c r="F300" s="151">
        <f>SUMIFS('AFC Data details'!C:C,'AFC Data details'!$B:$B,'Element wise-detail Summary'!$A300)</f>
        <v>1</v>
      </c>
      <c r="G300" s="151">
        <f>SUMIFS(Cast!$C:$C,Cast!$B:$B,'Element wise-detail Summary'!$A300)</f>
        <v>1</v>
      </c>
      <c r="H300" s="151">
        <f t="shared" si="21"/>
        <v>0</v>
      </c>
      <c r="I300" s="151">
        <f>SUMIFS(Del!$C:$C,Del!$B:$B,'Element wise-detail Summary'!$A300)</f>
        <v>1</v>
      </c>
      <c r="J300" s="151">
        <f t="shared" si="22"/>
        <v>0</v>
      </c>
      <c r="K300" s="151">
        <f t="shared" si="23"/>
        <v>0</v>
      </c>
      <c r="L300" s="151">
        <f>SUMIF(Ere!$B:$B,'Element wise-detail Summary'!$A300,Ere!$C:$C)</f>
        <v>1</v>
      </c>
      <c r="M300" s="151">
        <f t="shared" si="24"/>
        <v>0</v>
      </c>
      <c r="N300">
        <f t="shared" si="25"/>
        <v>2.04</v>
      </c>
    </row>
    <row r="301" spans="1:14" hidden="1" x14ac:dyDescent="0.25">
      <c r="A301" s="151" t="s">
        <v>1483</v>
      </c>
      <c r="B301" s="233" t="str">
        <f>VLOOKUP(A301,'AFC Data details'!$B:$E,4,0)</f>
        <v>V48</v>
      </c>
      <c r="C301" s="145" t="s">
        <v>1695</v>
      </c>
      <c r="D301" s="151" t="s">
        <v>602</v>
      </c>
      <c r="E301" s="151">
        <f>VLOOKUP(A301,'AFC Data details'!$B:$P,15,0)</f>
        <v>2.04</v>
      </c>
      <c r="F301" s="151">
        <f>SUMIFS('AFC Data details'!C:C,'AFC Data details'!$B:$B,'Element wise-detail Summary'!$A301)</f>
        <v>1</v>
      </c>
      <c r="G301" s="151">
        <f>SUMIFS(Cast!$C:$C,Cast!$B:$B,'Element wise-detail Summary'!$A301)</f>
        <v>1</v>
      </c>
      <c r="H301" s="151">
        <f t="shared" si="21"/>
        <v>0</v>
      </c>
      <c r="I301" s="151">
        <f>SUMIFS(Del!$C:$C,Del!$B:$B,'Element wise-detail Summary'!$A301)</f>
        <v>1</v>
      </c>
      <c r="J301" s="151">
        <f t="shared" si="22"/>
        <v>0</v>
      </c>
      <c r="K301" s="151">
        <f t="shared" si="23"/>
        <v>0</v>
      </c>
      <c r="L301" s="151">
        <f>SUMIF(Ere!$B:$B,'Element wise-detail Summary'!$A301,Ere!$C:$C)</f>
        <v>1</v>
      </c>
      <c r="M301" s="151">
        <f t="shared" si="24"/>
        <v>0</v>
      </c>
      <c r="N301">
        <f t="shared" si="25"/>
        <v>2.04</v>
      </c>
    </row>
    <row r="302" spans="1:14" hidden="1" x14ac:dyDescent="0.25">
      <c r="A302" s="151" t="s">
        <v>1484</v>
      </c>
      <c r="B302" s="233" t="str">
        <f>VLOOKUP(A302,'AFC Data details'!$B:$E,4,0)</f>
        <v>V48</v>
      </c>
      <c r="C302" s="145" t="s">
        <v>1695</v>
      </c>
      <c r="D302" s="151" t="s">
        <v>602</v>
      </c>
      <c r="E302" s="151">
        <f>VLOOKUP(A302,'AFC Data details'!$B:$P,15,0)</f>
        <v>2.3450000000000002</v>
      </c>
      <c r="F302" s="151">
        <f>SUMIFS('AFC Data details'!C:C,'AFC Data details'!$B:$B,'Element wise-detail Summary'!$A302)</f>
        <v>1</v>
      </c>
      <c r="G302" s="151">
        <f>SUMIFS(Cast!$C:$C,Cast!$B:$B,'Element wise-detail Summary'!$A302)</f>
        <v>1</v>
      </c>
      <c r="H302" s="151">
        <f t="shared" si="21"/>
        <v>0</v>
      </c>
      <c r="I302" s="151">
        <f>SUMIFS(Del!$C:$C,Del!$B:$B,'Element wise-detail Summary'!$A302)</f>
        <v>1</v>
      </c>
      <c r="J302" s="151">
        <f t="shared" si="22"/>
        <v>0</v>
      </c>
      <c r="K302" s="151">
        <f t="shared" si="23"/>
        <v>0</v>
      </c>
      <c r="L302" s="151">
        <f>SUMIF(Ere!$B:$B,'Element wise-detail Summary'!$A302,Ere!$C:$C)</f>
        <v>1</v>
      </c>
      <c r="M302" s="151">
        <f t="shared" si="24"/>
        <v>0</v>
      </c>
      <c r="N302">
        <f t="shared" si="25"/>
        <v>2.3450000000000002</v>
      </c>
    </row>
    <row r="303" spans="1:14" hidden="1" x14ac:dyDescent="0.25">
      <c r="A303" s="151" t="s">
        <v>1485</v>
      </c>
      <c r="B303" s="233" t="str">
        <f>VLOOKUP(A303,'AFC Data details'!$B:$E,4,0)</f>
        <v>V48</v>
      </c>
      <c r="C303" s="145" t="s">
        <v>1695</v>
      </c>
      <c r="D303" s="151" t="s">
        <v>602</v>
      </c>
      <c r="E303" s="151">
        <f>VLOOKUP(A303,'AFC Data details'!$B:$P,15,0)</f>
        <v>2.3450000000000002</v>
      </c>
      <c r="F303" s="151">
        <f>SUMIFS('AFC Data details'!C:C,'AFC Data details'!$B:$B,'Element wise-detail Summary'!$A303)</f>
        <v>1</v>
      </c>
      <c r="G303" s="151">
        <f>SUMIFS(Cast!$C:$C,Cast!$B:$B,'Element wise-detail Summary'!$A303)</f>
        <v>1</v>
      </c>
      <c r="H303" s="151">
        <f t="shared" si="21"/>
        <v>0</v>
      </c>
      <c r="I303" s="151">
        <f>SUMIFS(Del!$C:$C,Del!$B:$B,'Element wise-detail Summary'!$A303)</f>
        <v>1</v>
      </c>
      <c r="J303" s="151">
        <f t="shared" si="22"/>
        <v>0</v>
      </c>
      <c r="K303" s="151">
        <f t="shared" si="23"/>
        <v>0</v>
      </c>
      <c r="L303" s="151">
        <f>SUMIF(Ere!$B:$B,'Element wise-detail Summary'!$A303,Ere!$C:$C)</f>
        <v>1</v>
      </c>
      <c r="M303" s="151">
        <f t="shared" si="24"/>
        <v>0</v>
      </c>
      <c r="N303">
        <f t="shared" si="25"/>
        <v>2.3450000000000002</v>
      </c>
    </row>
    <row r="304" spans="1:14" hidden="1" x14ac:dyDescent="0.25">
      <c r="A304" s="151" t="s">
        <v>1486</v>
      </c>
      <c r="B304" s="233" t="str">
        <f>VLOOKUP(A304,'AFC Data details'!$B:$E,4,0)</f>
        <v>V48</v>
      </c>
      <c r="C304" s="145" t="s">
        <v>1695</v>
      </c>
      <c r="D304" s="151" t="s">
        <v>602</v>
      </c>
      <c r="E304" s="151">
        <f>VLOOKUP(A304,'AFC Data details'!$B:$P,15,0)</f>
        <v>2.3450000000000002</v>
      </c>
      <c r="F304" s="151">
        <f>SUMIFS('AFC Data details'!C:C,'AFC Data details'!$B:$B,'Element wise-detail Summary'!$A304)</f>
        <v>1</v>
      </c>
      <c r="G304" s="151">
        <f>SUMIFS(Cast!$C:$C,Cast!$B:$B,'Element wise-detail Summary'!$A304)</f>
        <v>1</v>
      </c>
      <c r="H304" s="151">
        <f t="shared" si="21"/>
        <v>0</v>
      </c>
      <c r="I304" s="151">
        <f>SUMIFS(Del!$C:$C,Del!$B:$B,'Element wise-detail Summary'!$A304)</f>
        <v>1</v>
      </c>
      <c r="J304" s="151">
        <f t="shared" si="22"/>
        <v>0</v>
      </c>
      <c r="K304" s="151">
        <f t="shared" si="23"/>
        <v>0</v>
      </c>
      <c r="L304" s="151">
        <f>SUMIF(Ere!$B:$B,'Element wise-detail Summary'!$A304,Ere!$C:$C)</f>
        <v>1</v>
      </c>
      <c r="M304" s="151">
        <f t="shared" si="24"/>
        <v>0</v>
      </c>
      <c r="N304">
        <f t="shared" si="25"/>
        <v>2.3450000000000002</v>
      </c>
    </row>
    <row r="305" spans="1:14" hidden="1" x14ac:dyDescent="0.25">
      <c r="A305" s="151" t="s">
        <v>1487</v>
      </c>
      <c r="B305" s="233" t="str">
        <f>VLOOKUP(A305,'AFC Data details'!$B:$E,4,0)</f>
        <v>V48</v>
      </c>
      <c r="C305" s="145" t="s">
        <v>1695</v>
      </c>
      <c r="D305" s="151" t="s">
        <v>602</v>
      </c>
      <c r="E305" s="151">
        <f>VLOOKUP(A305,'AFC Data details'!$B:$P,15,0)</f>
        <v>1.49</v>
      </c>
      <c r="F305" s="151">
        <f>SUMIFS('AFC Data details'!C:C,'AFC Data details'!$B:$B,'Element wise-detail Summary'!$A305)</f>
        <v>1</v>
      </c>
      <c r="G305" s="151">
        <f>SUMIFS(Cast!$C:$C,Cast!$B:$B,'Element wise-detail Summary'!$A305)</f>
        <v>1</v>
      </c>
      <c r="H305" s="151">
        <f t="shared" si="21"/>
        <v>0</v>
      </c>
      <c r="I305" s="151">
        <f>SUMIFS(Del!$C:$C,Del!$B:$B,'Element wise-detail Summary'!$A305)</f>
        <v>1</v>
      </c>
      <c r="J305" s="151">
        <f t="shared" si="22"/>
        <v>0</v>
      </c>
      <c r="K305" s="151">
        <f t="shared" si="23"/>
        <v>0</v>
      </c>
      <c r="L305" s="151">
        <f>SUMIF(Ere!$B:$B,'Element wise-detail Summary'!$A305,Ere!$C:$C)</f>
        <v>1</v>
      </c>
      <c r="M305" s="151">
        <f t="shared" si="24"/>
        <v>0</v>
      </c>
      <c r="N305">
        <f t="shared" si="25"/>
        <v>1.49</v>
      </c>
    </row>
    <row r="306" spans="1:14" hidden="1" x14ac:dyDescent="0.25">
      <c r="A306" s="151" t="s">
        <v>1488</v>
      </c>
      <c r="B306" s="233" t="str">
        <f>VLOOKUP(A306,'AFC Data details'!$B:$E,4,0)</f>
        <v>V48</v>
      </c>
      <c r="C306" s="145" t="s">
        <v>1695</v>
      </c>
      <c r="D306" s="151" t="s">
        <v>602</v>
      </c>
      <c r="E306" s="151">
        <f>VLOOKUP(A306,'AFC Data details'!$B:$P,15,0)</f>
        <v>1.49</v>
      </c>
      <c r="F306" s="151">
        <f>SUMIFS('AFC Data details'!C:C,'AFC Data details'!$B:$B,'Element wise-detail Summary'!$A306)</f>
        <v>1</v>
      </c>
      <c r="G306" s="151">
        <f>SUMIFS(Cast!$C:$C,Cast!$B:$B,'Element wise-detail Summary'!$A306)</f>
        <v>1</v>
      </c>
      <c r="H306" s="151">
        <f t="shared" si="21"/>
        <v>0</v>
      </c>
      <c r="I306" s="151">
        <f>SUMIFS(Del!$C:$C,Del!$B:$B,'Element wise-detail Summary'!$A306)</f>
        <v>1</v>
      </c>
      <c r="J306" s="151">
        <f t="shared" si="22"/>
        <v>0</v>
      </c>
      <c r="K306" s="151">
        <f t="shared" si="23"/>
        <v>0</v>
      </c>
      <c r="L306" s="151">
        <f>SUMIF(Ere!$B:$B,'Element wise-detail Summary'!$A306,Ere!$C:$C)</f>
        <v>1</v>
      </c>
      <c r="M306" s="151">
        <f t="shared" si="24"/>
        <v>0</v>
      </c>
      <c r="N306">
        <f t="shared" si="25"/>
        <v>1.49</v>
      </c>
    </row>
    <row r="307" spans="1:14" hidden="1" x14ac:dyDescent="0.25">
      <c r="A307" s="151" t="s">
        <v>1489</v>
      </c>
      <c r="B307" s="233" t="str">
        <f>VLOOKUP(A307,'AFC Data details'!$B:$E,4,0)</f>
        <v>V48</v>
      </c>
      <c r="C307" s="145" t="s">
        <v>1695</v>
      </c>
      <c r="D307" s="151" t="s">
        <v>602</v>
      </c>
      <c r="E307" s="151">
        <f>VLOOKUP(A307,'AFC Data details'!$B:$P,15,0)</f>
        <v>1.6639999999999999</v>
      </c>
      <c r="F307" s="151">
        <f>SUMIFS('AFC Data details'!C:C,'AFC Data details'!$B:$B,'Element wise-detail Summary'!$A307)</f>
        <v>1</v>
      </c>
      <c r="G307" s="151">
        <f>SUMIFS(Cast!$C:$C,Cast!$B:$B,'Element wise-detail Summary'!$A307)</f>
        <v>1</v>
      </c>
      <c r="H307" s="151">
        <f t="shared" si="21"/>
        <v>0</v>
      </c>
      <c r="I307" s="151">
        <f>SUMIFS(Del!$C:$C,Del!$B:$B,'Element wise-detail Summary'!$A307)</f>
        <v>1</v>
      </c>
      <c r="J307" s="151">
        <f t="shared" si="22"/>
        <v>0</v>
      </c>
      <c r="K307" s="151">
        <f t="shared" si="23"/>
        <v>0</v>
      </c>
      <c r="L307" s="151">
        <f>SUMIF(Ere!$B:$B,'Element wise-detail Summary'!$A307,Ere!$C:$C)</f>
        <v>1</v>
      </c>
      <c r="M307" s="151">
        <f t="shared" si="24"/>
        <v>0</v>
      </c>
      <c r="N307">
        <f t="shared" si="25"/>
        <v>1.6639999999999999</v>
      </c>
    </row>
    <row r="308" spans="1:14" hidden="1" x14ac:dyDescent="0.25">
      <c r="A308" s="151" t="s">
        <v>1490</v>
      </c>
      <c r="B308" s="233" t="str">
        <f>VLOOKUP(A308,'AFC Data details'!$B:$E,4,0)</f>
        <v>V49</v>
      </c>
      <c r="C308" s="145" t="s">
        <v>1695</v>
      </c>
      <c r="D308" s="151" t="s">
        <v>602</v>
      </c>
      <c r="E308" s="151">
        <f>VLOOKUP(A308,'AFC Data details'!$B:$P,15,0)</f>
        <v>1.0980000000000001</v>
      </c>
      <c r="F308" s="151">
        <f>SUMIFS('AFC Data details'!C:C,'AFC Data details'!$B:$B,'Element wise-detail Summary'!$A308)</f>
        <v>1</v>
      </c>
      <c r="G308" s="151">
        <f>SUMIFS(Cast!$C:$C,Cast!$B:$B,'Element wise-detail Summary'!$A308)</f>
        <v>1</v>
      </c>
      <c r="H308" s="151">
        <f t="shared" si="21"/>
        <v>0</v>
      </c>
      <c r="I308" s="151">
        <f>SUMIFS(Del!$C:$C,Del!$B:$B,'Element wise-detail Summary'!$A308)</f>
        <v>0</v>
      </c>
      <c r="J308" s="151">
        <f t="shared" si="22"/>
        <v>1</v>
      </c>
      <c r="K308" s="151">
        <f t="shared" si="23"/>
        <v>1</v>
      </c>
      <c r="L308" s="151">
        <f>SUMIF(Ere!$B:$B,'Element wise-detail Summary'!$A308,Ere!$C:$C)</f>
        <v>0</v>
      </c>
      <c r="M308" s="151">
        <f t="shared" si="24"/>
        <v>1</v>
      </c>
      <c r="N308">
        <f t="shared" si="25"/>
        <v>0</v>
      </c>
    </row>
    <row r="309" spans="1:14" hidden="1" x14ac:dyDescent="0.25">
      <c r="A309" s="151" t="s">
        <v>1491</v>
      </c>
      <c r="B309" s="233" t="str">
        <f>VLOOKUP(A309,'AFC Data details'!$B:$E,4,0)</f>
        <v>V49</v>
      </c>
      <c r="C309" s="145" t="s">
        <v>1695</v>
      </c>
      <c r="D309" s="151" t="s">
        <v>602</v>
      </c>
      <c r="E309" s="151">
        <f>VLOOKUP(A309,'AFC Data details'!$B:$P,15,0)</f>
        <v>1.9830000000000001</v>
      </c>
      <c r="F309" s="151">
        <f>SUMIFS('AFC Data details'!C:C,'AFC Data details'!$B:$B,'Element wise-detail Summary'!$A309)</f>
        <v>1</v>
      </c>
      <c r="G309" s="151">
        <f>SUMIFS(Cast!$C:$C,Cast!$B:$B,'Element wise-detail Summary'!$A309)</f>
        <v>1</v>
      </c>
      <c r="H309" s="151">
        <f t="shared" si="21"/>
        <v>0</v>
      </c>
      <c r="I309" s="151">
        <f>SUMIFS(Del!$C:$C,Del!$B:$B,'Element wise-detail Summary'!$A309)</f>
        <v>0</v>
      </c>
      <c r="J309" s="151">
        <f t="shared" si="22"/>
        <v>1</v>
      </c>
      <c r="K309" s="151">
        <f t="shared" si="23"/>
        <v>1</v>
      </c>
      <c r="L309" s="151">
        <f>SUMIF(Ere!$B:$B,'Element wise-detail Summary'!$A309,Ere!$C:$C)</f>
        <v>0</v>
      </c>
      <c r="M309" s="151">
        <f t="shared" si="24"/>
        <v>1</v>
      </c>
      <c r="N309">
        <f t="shared" si="25"/>
        <v>0</v>
      </c>
    </row>
    <row r="310" spans="1:14" hidden="1" x14ac:dyDescent="0.25">
      <c r="A310" s="151" t="s">
        <v>1492</v>
      </c>
      <c r="B310" s="233" t="str">
        <f>VLOOKUP(A310,'AFC Data details'!$B:$E,4,0)</f>
        <v>V49</v>
      </c>
      <c r="C310" s="145" t="s">
        <v>1695</v>
      </c>
      <c r="D310" s="151" t="s">
        <v>602</v>
      </c>
      <c r="E310" s="151">
        <f>VLOOKUP(A310,'AFC Data details'!$B:$P,15,0)</f>
        <v>1.9830000000000001</v>
      </c>
      <c r="F310" s="151">
        <f>SUMIFS('AFC Data details'!C:C,'AFC Data details'!$B:$B,'Element wise-detail Summary'!$A310)</f>
        <v>1</v>
      </c>
      <c r="G310" s="151">
        <f>SUMIFS(Cast!$C:$C,Cast!$B:$B,'Element wise-detail Summary'!$A310)</f>
        <v>1</v>
      </c>
      <c r="H310" s="151">
        <f t="shared" si="21"/>
        <v>0</v>
      </c>
      <c r="I310" s="151">
        <f>SUMIFS(Del!$C:$C,Del!$B:$B,'Element wise-detail Summary'!$A310)</f>
        <v>0</v>
      </c>
      <c r="J310" s="151">
        <f t="shared" si="22"/>
        <v>1</v>
      </c>
      <c r="K310" s="151">
        <f t="shared" si="23"/>
        <v>1</v>
      </c>
      <c r="L310" s="151">
        <f>SUMIF(Ere!$B:$B,'Element wise-detail Summary'!$A310,Ere!$C:$C)</f>
        <v>0</v>
      </c>
      <c r="M310" s="151">
        <f t="shared" si="24"/>
        <v>1</v>
      </c>
      <c r="N310">
        <f t="shared" si="25"/>
        <v>0</v>
      </c>
    </row>
    <row r="311" spans="1:14" hidden="1" x14ac:dyDescent="0.25">
      <c r="A311" s="151" t="s">
        <v>1493</v>
      </c>
      <c r="B311" s="233" t="str">
        <f>VLOOKUP(A311,'AFC Data details'!$B:$E,4,0)</f>
        <v>V49</v>
      </c>
      <c r="C311" s="145" t="s">
        <v>1695</v>
      </c>
      <c r="D311" s="151" t="s">
        <v>602</v>
      </c>
      <c r="E311" s="151">
        <f>VLOOKUP(A311,'AFC Data details'!$B:$P,15,0)</f>
        <v>2.1080000000000001</v>
      </c>
      <c r="F311" s="151">
        <f>SUMIFS('AFC Data details'!C:C,'AFC Data details'!$B:$B,'Element wise-detail Summary'!$A311)</f>
        <v>1</v>
      </c>
      <c r="G311" s="151">
        <f>SUMIFS(Cast!$C:$C,Cast!$B:$B,'Element wise-detail Summary'!$A311)</f>
        <v>1</v>
      </c>
      <c r="H311" s="151">
        <f t="shared" si="21"/>
        <v>0</v>
      </c>
      <c r="I311" s="151">
        <f>SUMIFS(Del!$C:$C,Del!$B:$B,'Element wise-detail Summary'!$A311)</f>
        <v>0</v>
      </c>
      <c r="J311" s="151">
        <f t="shared" si="22"/>
        <v>1</v>
      </c>
      <c r="K311" s="151">
        <f t="shared" si="23"/>
        <v>1</v>
      </c>
      <c r="L311" s="151">
        <f>SUMIF(Ere!$B:$B,'Element wise-detail Summary'!$A311,Ere!$C:$C)</f>
        <v>0</v>
      </c>
      <c r="M311" s="151">
        <f t="shared" si="24"/>
        <v>1</v>
      </c>
      <c r="N311">
        <f t="shared" si="25"/>
        <v>0</v>
      </c>
    </row>
    <row r="312" spans="1:14" hidden="1" x14ac:dyDescent="0.25">
      <c r="A312" s="151" t="s">
        <v>1494</v>
      </c>
      <c r="B312" s="233" t="str">
        <f>VLOOKUP(A312,'AFC Data details'!$B:$E,4,0)</f>
        <v>V49</v>
      </c>
      <c r="C312" s="145" t="s">
        <v>1695</v>
      </c>
      <c r="D312" s="151" t="s">
        <v>602</v>
      </c>
      <c r="E312" s="151">
        <f>VLOOKUP(A312,'AFC Data details'!$B:$P,15,0)</f>
        <v>2.2090000000000001</v>
      </c>
      <c r="F312" s="151">
        <f>SUMIFS('AFC Data details'!C:C,'AFC Data details'!$B:$B,'Element wise-detail Summary'!$A312)</f>
        <v>1</v>
      </c>
      <c r="G312" s="151">
        <f>SUMIFS(Cast!$C:$C,Cast!$B:$B,'Element wise-detail Summary'!$A312)</f>
        <v>1</v>
      </c>
      <c r="H312" s="151">
        <f t="shared" si="21"/>
        <v>0</v>
      </c>
      <c r="I312" s="151">
        <f>SUMIFS(Del!$C:$C,Del!$B:$B,'Element wise-detail Summary'!$A312)</f>
        <v>0</v>
      </c>
      <c r="J312" s="151">
        <f t="shared" si="22"/>
        <v>1</v>
      </c>
      <c r="K312" s="151">
        <f t="shared" si="23"/>
        <v>1</v>
      </c>
      <c r="L312" s="151">
        <f>SUMIF(Ere!$B:$B,'Element wise-detail Summary'!$A312,Ere!$C:$C)</f>
        <v>0</v>
      </c>
      <c r="M312" s="151">
        <f t="shared" si="24"/>
        <v>1</v>
      </c>
      <c r="N312">
        <f t="shared" si="25"/>
        <v>0</v>
      </c>
    </row>
    <row r="313" spans="1:14" hidden="1" x14ac:dyDescent="0.25">
      <c r="A313" s="151" t="s">
        <v>1495</v>
      </c>
      <c r="B313" s="233" t="str">
        <f>VLOOKUP(A313,'AFC Data details'!$B:$E,4,0)</f>
        <v>V49</v>
      </c>
      <c r="C313" s="145" t="s">
        <v>1695</v>
      </c>
      <c r="D313" s="151" t="s">
        <v>602</v>
      </c>
      <c r="E313" s="151">
        <f>VLOOKUP(A313,'AFC Data details'!$B:$P,15,0)</f>
        <v>2.3010000000000002</v>
      </c>
      <c r="F313" s="151">
        <f>SUMIFS('AFC Data details'!C:C,'AFC Data details'!$B:$B,'Element wise-detail Summary'!$A313)</f>
        <v>1</v>
      </c>
      <c r="G313" s="151">
        <f>SUMIFS(Cast!$C:$C,Cast!$B:$B,'Element wise-detail Summary'!$A313)</f>
        <v>1</v>
      </c>
      <c r="H313" s="151">
        <f t="shared" si="21"/>
        <v>0</v>
      </c>
      <c r="I313" s="151">
        <f>SUMIFS(Del!$C:$C,Del!$B:$B,'Element wise-detail Summary'!$A313)</f>
        <v>0</v>
      </c>
      <c r="J313" s="151">
        <f t="shared" si="22"/>
        <v>1</v>
      </c>
      <c r="K313" s="151">
        <f t="shared" si="23"/>
        <v>1</v>
      </c>
      <c r="L313" s="151">
        <f>SUMIF(Ere!$B:$B,'Element wise-detail Summary'!$A313,Ere!$C:$C)</f>
        <v>0</v>
      </c>
      <c r="M313" s="151">
        <f t="shared" si="24"/>
        <v>1</v>
      </c>
      <c r="N313">
        <f t="shared" si="25"/>
        <v>0</v>
      </c>
    </row>
    <row r="314" spans="1:14" hidden="1" x14ac:dyDescent="0.25">
      <c r="A314" s="151" t="s">
        <v>1496</v>
      </c>
      <c r="B314" s="233" t="str">
        <f>VLOOKUP(A314,'AFC Data details'!$B:$E,4,0)</f>
        <v>V49</v>
      </c>
      <c r="C314" s="145" t="s">
        <v>1695</v>
      </c>
      <c r="D314" s="151" t="s">
        <v>602</v>
      </c>
      <c r="E314" s="151">
        <f>VLOOKUP(A314,'AFC Data details'!$B:$P,15,0)</f>
        <v>2.3010000000000002</v>
      </c>
      <c r="F314" s="151">
        <f>SUMIFS('AFC Data details'!C:C,'AFC Data details'!$B:$B,'Element wise-detail Summary'!$A314)</f>
        <v>1</v>
      </c>
      <c r="G314" s="151">
        <f>SUMIFS(Cast!$C:$C,Cast!$B:$B,'Element wise-detail Summary'!$A314)</f>
        <v>1</v>
      </c>
      <c r="H314" s="151">
        <f t="shared" si="21"/>
        <v>0</v>
      </c>
      <c r="I314" s="151">
        <f>SUMIFS(Del!$C:$C,Del!$B:$B,'Element wise-detail Summary'!$A314)</f>
        <v>0</v>
      </c>
      <c r="J314" s="151">
        <f t="shared" si="22"/>
        <v>1</v>
      </c>
      <c r="K314" s="151">
        <f t="shared" si="23"/>
        <v>1</v>
      </c>
      <c r="L314" s="151">
        <f>SUMIF(Ere!$B:$B,'Element wise-detail Summary'!$A314,Ere!$C:$C)</f>
        <v>0</v>
      </c>
      <c r="M314" s="151">
        <f t="shared" si="24"/>
        <v>1</v>
      </c>
      <c r="N314">
        <f t="shared" si="25"/>
        <v>0</v>
      </c>
    </row>
    <row r="315" spans="1:14" hidden="1" x14ac:dyDescent="0.25">
      <c r="A315" s="151" t="s">
        <v>1497</v>
      </c>
      <c r="B315" s="233" t="str">
        <f>VLOOKUP(A315,'AFC Data details'!$B:$E,4,0)</f>
        <v>V49</v>
      </c>
      <c r="C315" s="145" t="s">
        <v>1695</v>
      </c>
      <c r="D315" s="151" t="s">
        <v>602</v>
      </c>
      <c r="E315" s="151">
        <f>VLOOKUP(A315,'AFC Data details'!$B:$P,15,0)</f>
        <v>1.413</v>
      </c>
      <c r="F315" s="151">
        <f>SUMIFS('AFC Data details'!C:C,'AFC Data details'!$B:$B,'Element wise-detail Summary'!$A315)</f>
        <v>1</v>
      </c>
      <c r="G315" s="151">
        <f>SUMIFS(Cast!$C:$C,Cast!$B:$B,'Element wise-detail Summary'!$A315)</f>
        <v>1</v>
      </c>
      <c r="H315" s="151">
        <f t="shared" si="21"/>
        <v>0</v>
      </c>
      <c r="I315" s="151">
        <f>SUMIFS(Del!$C:$C,Del!$B:$B,'Element wise-detail Summary'!$A315)</f>
        <v>0</v>
      </c>
      <c r="J315" s="151">
        <f t="shared" si="22"/>
        <v>1</v>
      </c>
      <c r="K315" s="151">
        <f t="shared" si="23"/>
        <v>1</v>
      </c>
      <c r="L315" s="151">
        <f>SUMIF(Ere!$B:$B,'Element wise-detail Summary'!$A315,Ere!$C:$C)</f>
        <v>0</v>
      </c>
      <c r="M315" s="151">
        <f t="shared" si="24"/>
        <v>1</v>
      </c>
      <c r="N315">
        <f t="shared" si="25"/>
        <v>0</v>
      </c>
    </row>
    <row r="316" spans="1:14" hidden="1" x14ac:dyDescent="0.25">
      <c r="A316" s="151" t="s">
        <v>1498</v>
      </c>
      <c r="B316" s="233" t="str">
        <f>VLOOKUP(A316,'AFC Data details'!$B:$E,4,0)</f>
        <v>V51</v>
      </c>
      <c r="C316" s="145" t="s">
        <v>1695</v>
      </c>
      <c r="D316" s="151" t="s">
        <v>602</v>
      </c>
      <c r="E316" s="151">
        <f>VLOOKUP(A316,'AFC Data details'!$B:$P,15,0)</f>
        <v>1.413</v>
      </c>
      <c r="F316" s="151">
        <f>SUMIFS('AFC Data details'!C:C,'AFC Data details'!$B:$B,'Element wise-detail Summary'!$A316)</f>
        <v>1</v>
      </c>
      <c r="G316" s="151">
        <f>SUMIFS(Cast!$C:$C,Cast!$B:$B,'Element wise-detail Summary'!$A316)</f>
        <v>1</v>
      </c>
      <c r="H316" s="151">
        <f t="shared" si="21"/>
        <v>0</v>
      </c>
      <c r="I316" s="151">
        <f>SUMIFS(Del!$C:$C,Del!$B:$B,'Element wise-detail Summary'!$A316)</f>
        <v>0</v>
      </c>
      <c r="J316" s="151">
        <f t="shared" si="22"/>
        <v>1</v>
      </c>
      <c r="K316" s="151">
        <f t="shared" si="23"/>
        <v>1</v>
      </c>
      <c r="L316" s="151">
        <f>SUMIF(Ere!$B:$B,'Element wise-detail Summary'!$A316,Ere!$C:$C)</f>
        <v>0</v>
      </c>
      <c r="M316" s="151">
        <f t="shared" si="24"/>
        <v>1</v>
      </c>
      <c r="N316">
        <f t="shared" si="25"/>
        <v>0</v>
      </c>
    </row>
    <row r="317" spans="1:14" hidden="1" x14ac:dyDescent="0.25">
      <c r="A317" s="151" t="s">
        <v>1499</v>
      </c>
      <c r="B317" s="233" t="str">
        <f>VLOOKUP(A317,'AFC Data details'!$B:$E,4,0)</f>
        <v>V53</v>
      </c>
      <c r="C317" s="145" t="s">
        <v>1695</v>
      </c>
      <c r="D317" s="151" t="s">
        <v>602</v>
      </c>
      <c r="E317" s="151">
        <f>VLOOKUP(A317,'AFC Data details'!$B:$P,15,0)</f>
        <v>1.413</v>
      </c>
      <c r="F317" s="151">
        <f>SUMIFS('AFC Data details'!C:C,'AFC Data details'!$B:$B,'Element wise-detail Summary'!$A317)</f>
        <v>1</v>
      </c>
      <c r="G317" s="151">
        <f>SUMIFS(Cast!$C:$C,Cast!$B:$B,'Element wise-detail Summary'!$A317)</f>
        <v>1</v>
      </c>
      <c r="H317" s="151">
        <f t="shared" si="21"/>
        <v>0</v>
      </c>
      <c r="I317" s="151">
        <f>SUMIFS(Del!$C:$C,Del!$B:$B,'Element wise-detail Summary'!$A317)</f>
        <v>0</v>
      </c>
      <c r="J317" s="151">
        <f t="shared" si="22"/>
        <v>1</v>
      </c>
      <c r="K317" s="151">
        <f t="shared" si="23"/>
        <v>1</v>
      </c>
      <c r="L317" s="151">
        <f>SUMIF(Ere!$B:$B,'Element wise-detail Summary'!$A317,Ere!$C:$C)</f>
        <v>0</v>
      </c>
      <c r="M317" s="151">
        <f t="shared" si="24"/>
        <v>1</v>
      </c>
      <c r="N317">
        <f t="shared" si="25"/>
        <v>0</v>
      </c>
    </row>
    <row r="318" spans="1:14" hidden="1" x14ac:dyDescent="0.25">
      <c r="A318" s="151" t="s">
        <v>1500</v>
      </c>
      <c r="B318" s="233" t="str">
        <f>VLOOKUP(A318,'AFC Data details'!$B:$E,4,0)</f>
        <v>V49</v>
      </c>
      <c r="C318" s="145" t="s">
        <v>1695</v>
      </c>
      <c r="D318" s="151" t="s">
        <v>602</v>
      </c>
      <c r="E318" s="151">
        <f>VLOOKUP(A318,'AFC Data details'!$B:$P,15,0)</f>
        <v>1.6140000000000001</v>
      </c>
      <c r="F318" s="151">
        <f>SUMIFS('AFC Data details'!C:C,'AFC Data details'!$B:$B,'Element wise-detail Summary'!$A318)</f>
        <v>1</v>
      </c>
      <c r="G318" s="151">
        <f>SUMIFS(Cast!$C:$C,Cast!$B:$B,'Element wise-detail Summary'!$A318)</f>
        <v>1</v>
      </c>
      <c r="H318" s="151">
        <f t="shared" si="21"/>
        <v>0</v>
      </c>
      <c r="I318" s="151">
        <f>SUMIFS(Del!$C:$C,Del!$B:$B,'Element wise-detail Summary'!$A318)</f>
        <v>0</v>
      </c>
      <c r="J318" s="151">
        <f t="shared" si="22"/>
        <v>1</v>
      </c>
      <c r="K318" s="151">
        <f t="shared" si="23"/>
        <v>1</v>
      </c>
      <c r="L318" s="151">
        <f>SUMIF(Ere!$B:$B,'Element wise-detail Summary'!$A318,Ere!$C:$C)</f>
        <v>0</v>
      </c>
      <c r="M318" s="151">
        <f t="shared" si="24"/>
        <v>1</v>
      </c>
      <c r="N318">
        <f t="shared" si="25"/>
        <v>0</v>
      </c>
    </row>
    <row r="319" spans="1:14" hidden="1" x14ac:dyDescent="0.25">
      <c r="A319" s="151" t="s">
        <v>1501</v>
      </c>
      <c r="B319" s="233" t="str">
        <f>VLOOKUP(A319,'AFC Data details'!$B:$E,4,0)</f>
        <v>V49</v>
      </c>
      <c r="C319" s="145" t="s">
        <v>1695</v>
      </c>
      <c r="D319" s="151" t="s">
        <v>602</v>
      </c>
      <c r="E319" s="151">
        <f>VLOOKUP(A319,'AFC Data details'!$B:$P,15,0)</f>
        <v>1.4410000000000001</v>
      </c>
      <c r="F319" s="151">
        <f>SUMIFS('AFC Data details'!C:C,'AFC Data details'!$B:$B,'Element wise-detail Summary'!$A319)</f>
        <v>1</v>
      </c>
      <c r="G319" s="151">
        <f>SUMIFS(Cast!$C:$C,Cast!$B:$B,'Element wise-detail Summary'!$A319)</f>
        <v>1</v>
      </c>
      <c r="H319" s="151">
        <f t="shared" si="21"/>
        <v>0</v>
      </c>
      <c r="I319" s="151">
        <f>SUMIFS(Del!$C:$C,Del!$B:$B,'Element wise-detail Summary'!$A319)</f>
        <v>0</v>
      </c>
      <c r="J319" s="151">
        <f t="shared" si="22"/>
        <v>1</v>
      </c>
      <c r="K319" s="151">
        <f t="shared" si="23"/>
        <v>1</v>
      </c>
      <c r="L319" s="151">
        <f>SUMIF(Ere!$B:$B,'Element wise-detail Summary'!$A319,Ere!$C:$C)</f>
        <v>0</v>
      </c>
      <c r="M319" s="151">
        <f t="shared" si="24"/>
        <v>1</v>
      </c>
      <c r="N319">
        <f t="shared" si="25"/>
        <v>0</v>
      </c>
    </row>
    <row r="320" spans="1:14" hidden="1" x14ac:dyDescent="0.25">
      <c r="A320" s="151" t="s">
        <v>1502</v>
      </c>
      <c r="B320" s="233" t="str">
        <f>VLOOKUP(A320,'AFC Data details'!$B:$E,4,0)</f>
        <v>V50</v>
      </c>
      <c r="C320" s="145" t="s">
        <v>1695</v>
      </c>
      <c r="D320" s="151" t="s">
        <v>602</v>
      </c>
      <c r="E320" s="151">
        <f>VLOOKUP(A320,'AFC Data details'!$B:$P,15,0)</f>
        <v>2.0470000000000002</v>
      </c>
      <c r="F320" s="151">
        <f>SUMIFS('AFC Data details'!C:C,'AFC Data details'!$B:$B,'Element wise-detail Summary'!$A320)</f>
        <v>1</v>
      </c>
      <c r="G320" s="151">
        <f>SUMIFS(Cast!$C:$C,Cast!$B:$B,'Element wise-detail Summary'!$A320)</f>
        <v>1</v>
      </c>
      <c r="H320" s="151">
        <f t="shared" si="21"/>
        <v>0</v>
      </c>
      <c r="I320" s="151">
        <f>SUMIFS(Del!$C:$C,Del!$B:$B,'Element wise-detail Summary'!$A320)</f>
        <v>0</v>
      </c>
      <c r="J320" s="151">
        <f t="shared" si="22"/>
        <v>1</v>
      </c>
      <c r="K320" s="151">
        <f t="shared" si="23"/>
        <v>1</v>
      </c>
      <c r="L320" s="151">
        <f>SUMIF(Ere!$B:$B,'Element wise-detail Summary'!$A320,Ere!$C:$C)</f>
        <v>0</v>
      </c>
      <c r="M320" s="151">
        <f t="shared" si="24"/>
        <v>1</v>
      </c>
      <c r="N320">
        <f t="shared" si="25"/>
        <v>0</v>
      </c>
    </row>
    <row r="321" spans="1:14" hidden="1" x14ac:dyDescent="0.25">
      <c r="A321" s="151" t="s">
        <v>1503</v>
      </c>
      <c r="B321" s="233" t="str">
        <f>VLOOKUP(A321,'AFC Data details'!$B:$E,4,0)</f>
        <v>V50</v>
      </c>
      <c r="C321" s="145" t="s">
        <v>1695</v>
      </c>
      <c r="D321" s="151" t="s">
        <v>602</v>
      </c>
      <c r="E321" s="151">
        <f>VLOOKUP(A321,'AFC Data details'!$B:$P,15,0)</f>
        <v>2.0470000000000002</v>
      </c>
      <c r="F321" s="151">
        <f>SUMIFS('AFC Data details'!C:C,'AFC Data details'!$B:$B,'Element wise-detail Summary'!$A321)</f>
        <v>1</v>
      </c>
      <c r="G321" s="151">
        <f>SUMIFS(Cast!$C:$C,Cast!$B:$B,'Element wise-detail Summary'!$A321)</f>
        <v>1</v>
      </c>
      <c r="H321" s="151">
        <f t="shared" si="21"/>
        <v>0</v>
      </c>
      <c r="I321" s="151">
        <f>SUMIFS(Del!$C:$C,Del!$B:$B,'Element wise-detail Summary'!$A321)</f>
        <v>0</v>
      </c>
      <c r="J321" s="151">
        <f t="shared" si="22"/>
        <v>1</v>
      </c>
      <c r="K321" s="151">
        <f t="shared" si="23"/>
        <v>1</v>
      </c>
      <c r="L321" s="151">
        <f>SUMIF(Ere!$B:$B,'Element wise-detail Summary'!$A321,Ere!$C:$C)</f>
        <v>0</v>
      </c>
      <c r="M321" s="151">
        <f t="shared" si="24"/>
        <v>1</v>
      </c>
      <c r="N321">
        <f t="shared" si="25"/>
        <v>0</v>
      </c>
    </row>
    <row r="322" spans="1:14" hidden="1" x14ac:dyDescent="0.25">
      <c r="A322" s="151" t="s">
        <v>1504</v>
      </c>
      <c r="B322" s="233" t="str">
        <f>VLOOKUP(A322,'AFC Data details'!$B:$E,4,0)</f>
        <v>V50</v>
      </c>
      <c r="C322" s="145" t="s">
        <v>1695</v>
      </c>
      <c r="D322" s="151" t="s">
        <v>602</v>
      </c>
      <c r="E322" s="151">
        <f>VLOOKUP(A322,'AFC Data details'!$B:$P,15,0)</f>
        <v>2.0470000000000002</v>
      </c>
      <c r="F322" s="151">
        <f>SUMIFS('AFC Data details'!C:C,'AFC Data details'!$B:$B,'Element wise-detail Summary'!$A322)</f>
        <v>1</v>
      </c>
      <c r="G322" s="151">
        <f>SUMIFS(Cast!$C:$C,Cast!$B:$B,'Element wise-detail Summary'!$A322)</f>
        <v>1</v>
      </c>
      <c r="H322" s="151">
        <f t="shared" si="21"/>
        <v>0</v>
      </c>
      <c r="I322" s="151">
        <f>SUMIFS(Del!$C:$C,Del!$B:$B,'Element wise-detail Summary'!$A322)</f>
        <v>0</v>
      </c>
      <c r="J322" s="151">
        <f t="shared" si="22"/>
        <v>1</v>
      </c>
      <c r="K322" s="151">
        <f t="shared" si="23"/>
        <v>1</v>
      </c>
      <c r="L322" s="151">
        <f>SUMIF(Ere!$B:$B,'Element wise-detail Summary'!$A322,Ere!$C:$C)</f>
        <v>0</v>
      </c>
      <c r="M322" s="151">
        <f t="shared" si="24"/>
        <v>1</v>
      </c>
      <c r="N322">
        <f t="shared" si="25"/>
        <v>0</v>
      </c>
    </row>
    <row r="323" spans="1:14" hidden="1" x14ac:dyDescent="0.25">
      <c r="A323" s="151" t="s">
        <v>1505</v>
      </c>
      <c r="B323" s="233" t="str">
        <f>VLOOKUP(A323,'AFC Data details'!$B:$E,4,0)</f>
        <v>V51</v>
      </c>
      <c r="C323" s="145" t="s">
        <v>1695</v>
      </c>
      <c r="D323" s="151" t="s">
        <v>602</v>
      </c>
      <c r="E323" s="151">
        <f>VLOOKUP(A323,'AFC Data details'!$B:$P,15,0)</f>
        <v>2.0470000000000002</v>
      </c>
      <c r="F323" s="151">
        <f>SUMIFS('AFC Data details'!C:C,'AFC Data details'!$B:$B,'Element wise-detail Summary'!$A323)</f>
        <v>1</v>
      </c>
      <c r="G323" s="151">
        <f>SUMIFS(Cast!$C:$C,Cast!$B:$B,'Element wise-detail Summary'!$A323)</f>
        <v>1</v>
      </c>
      <c r="H323" s="151">
        <f t="shared" si="21"/>
        <v>0</v>
      </c>
      <c r="I323" s="151">
        <f>SUMIFS(Del!$C:$C,Del!$B:$B,'Element wise-detail Summary'!$A323)</f>
        <v>0</v>
      </c>
      <c r="J323" s="151">
        <f t="shared" si="22"/>
        <v>1</v>
      </c>
      <c r="K323" s="151">
        <f t="shared" si="23"/>
        <v>1</v>
      </c>
      <c r="L323" s="151">
        <f>SUMIF(Ere!$B:$B,'Element wise-detail Summary'!$A323,Ere!$C:$C)</f>
        <v>0</v>
      </c>
      <c r="M323" s="151">
        <f t="shared" si="24"/>
        <v>1</v>
      </c>
      <c r="N323">
        <f t="shared" si="25"/>
        <v>0</v>
      </c>
    </row>
    <row r="324" spans="1:14" hidden="1" x14ac:dyDescent="0.25">
      <c r="A324" s="151" t="s">
        <v>1506</v>
      </c>
      <c r="B324" s="233" t="str">
        <f>VLOOKUP(A324,'AFC Data details'!$B:$E,4,0)</f>
        <v>V51</v>
      </c>
      <c r="C324" s="145" t="s">
        <v>1695</v>
      </c>
      <c r="D324" s="151" t="s">
        <v>602</v>
      </c>
      <c r="E324" s="151">
        <f>VLOOKUP(A324,'AFC Data details'!$B:$P,15,0)</f>
        <v>2.0470000000000002</v>
      </c>
      <c r="F324" s="151">
        <f>SUMIFS('AFC Data details'!C:C,'AFC Data details'!$B:$B,'Element wise-detail Summary'!$A324)</f>
        <v>1</v>
      </c>
      <c r="G324" s="151">
        <f>SUMIFS(Cast!$C:$C,Cast!$B:$B,'Element wise-detail Summary'!$A324)</f>
        <v>1</v>
      </c>
      <c r="H324" s="151">
        <f t="shared" ref="H324:H387" si="26">F324-G324</f>
        <v>0</v>
      </c>
      <c r="I324" s="151">
        <f>SUMIFS(Del!$C:$C,Del!$B:$B,'Element wise-detail Summary'!$A324)</f>
        <v>0</v>
      </c>
      <c r="J324" s="151">
        <f t="shared" ref="J324:J387" si="27">F324-I324</f>
        <v>1</v>
      </c>
      <c r="K324" s="151">
        <f t="shared" ref="K324:K387" si="28">G324-I324</f>
        <v>1</v>
      </c>
      <c r="L324" s="151">
        <f>SUMIF(Ere!$B:$B,'Element wise-detail Summary'!$A324,Ere!$C:$C)</f>
        <v>0</v>
      </c>
      <c r="M324" s="151">
        <f t="shared" ref="M324:M387" si="29">F324-L324</f>
        <v>1</v>
      </c>
      <c r="N324">
        <f t="shared" ref="N324:N387" si="30">I324*E324</f>
        <v>0</v>
      </c>
    </row>
    <row r="325" spans="1:14" hidden="1" x14ac:dyDescent="0.25">
      <c r="A325" s="151" t="s">
        <v>1507</v>
      </c>
      <c r="B325" s="233" t="str">
        <f>VLOOKUP(A325,'AFC Data details'!$B:$E,4,0)</f>
        <v>V50</v>
      </c>
      <c r="C325" s="145" t="s">
        <v>1695</v>
      </c>
      <c r="D325" s="151" t="s">
        <v>602</v>
      </c>
      <c r="E325" s="151">
        <f>VLOOKUP(A325,'AFC Data details'!$B:$P,15,0)</f>
        <v>2.0840000000000001</v>
      </c>
      <c r="F325" s="151">
        <f>SUMIFS('AFC Data details'!C:C,'AFC Data details'!$B:$B,'Element wise-detail Summary'!$A325)</f>
        <v>1</v>
      </c>
      <c r="G325" s="151">
        <f>SUMIFS(Cast!$C:$C,Cast!$B:$B,'Element wise-detail Summary'!$A325)</f>
        <v>1</v>
      </c>
      <c r="H325" s="151">
        <f t="shared" si="26"/>
        <v>0</v>
      </c>
      <c r="I325" s="151">
        <f>SUMIFS(Del!$C:$C,Del!$B:$B,'Element wise-detail Summary'!$A325)</f>
        <v>0</v>
      </c>
      <c r="J325" s="151">
        <f t="shared" si="27"/>
        <v>1</v>
      </c>
      <c r="K325" s="151">
        <f t="shared" si="28"/>
        <v>1</v>
      </c>
      <c r="L325" s="151">
        <f>SUMIF(Ere!$B:$B,'Element wise-detail Summary'!$A325,Ere!$C:$C)</f>
        <v>0</v>
      </c>
      <c r="M325" s="151">
        <f t="shared" si="29"/>
        <v>1</v>
      </c>
      <c r="N325">
        <f t="shared" si="30"/>
        <v>0</v>
      </c>
    </row>
    <row r="326" spans="1:14" hidden="1" x14ac:dyDescent="0.25">
      <c r="A326" s="151" t="s">
        <v>1508</v>
      </c>
      <c r="B326" s="233" t="str">
        <f>VLOOKUP(A326,'AFC Data details'!$B:$E,4,0)</f>
        <v>V50</v>
      </c>
      <c r="C326" s="145" t="s">
        <v>1695</v>
      </c>
      <c r="D326" s="151" t="s">
        <v>602</v>
      </c>
      <c r="E326" s="151">
        <f>VLOOKUP(A326,'AFC Data details'!$B:$P,15,0)</f>
        <v>2.0840000000000001</v>
      </c>
      <c r="F326" s="151">
        <f>SUMIFS('AFC Data details'!C:C,'AFC Data details'!$B:$B,'Element wise-detail Summary'!$A326)</f>
        <v>1</v>
      </c>
      <c r="G326" s="151">
        <f>SUMIFS(Cast!$C:$C,Cast!$B:$B,'Element wise-detail Summary'!$A326)</f>
        <v>1</v>
      </c>
      <c r="H326" s="151">
        <f t="shared" si="26"/>
        <v>0</v>
      </c>
      <c r="I326" s="151">
        <f>SUMIFS(Del!$C:$C,Del!$B:$B,'Element wise-detail Summary'!$A326)</f>
        <v>0</v>
      </c>
      <c r="J326" s="151">
        <f t="shared" si="27"/>
        <v>1</v>
      </c>
      <c r="K326" s="151">
        <f t="shared" si="28"/>
        <v>1</v>
      </c>
      <c r="L326" s="151">
        <f>SUMIF(Ere!$B:$B,'Element wise-detail Summary'!$A326,Ere!$C:$C)</f>
        <v>0</v>
      </c>
      <c r="M326" s="151">
        <f t="shared" si="29"/>
        <v>1</v>
      </c>
      <c r="N326">
        <f t="shared" si="30"/>
        <v>0</v>
      </c>
    </row>
    <row r="327" spans="1:14" hidden="1" x14ac:dyDescent="0.25">
      <c r="A327" s="151" t="s">
        <v>1509</v>
      </c>
      <c r="B327" s="233" t="str">
        <f>VLOOKUP(A327,'AFC Data details'!$B:$E,4,0)</f>
        <v>V51</v>
      </c>
      <c r="C327" s="145" t="s">
        <v>1695</v>
      </c>
      <c r="D327" s="151" t="s">
        <v>602</v>
      </c>
      <c r="E327" s="151">
        <f>VLOOKUP(A327,'AFC Data details'!$B:$P,15,0)</f>
        <v>2.0840000000000001</v>
      </c>
      <c r="F327" s="151">
        <f>SUMIFS('AFC Data details'!C:C,'AFC Data details'!$B:$B,'Element wise-detail Summary'!$A327)</f>
        <v>1</v>
      </c>
      <c r="G327" s="151">
        <f>SUMIFS(Cast!$C:$C,Cast!$B:$B,'Element wise-detail Summary'!$A327)</f>
        <v>1</v>
      </c>
      <c r="H327" s="151">
        <f t="shared" si="26"/>
        <v>0</v>
      </c>
      <c r="I327" s="151">
        <f>SUMIFS(Del!$C:$C,Del!$B:$B,'Element wise-detail Summary'!$A327)</f>
        <v>0</v>
      </c>
      <c r="J327" s="151">
        <f t="shared" si="27"/>
        <v>1</v>
      </c>
      <c r="K327" s="151">
        <f t="shared" si="28"/>
        <v>1</v>
      </c>
      <c r="L327" s="151">
        <f>SUMIF(Ere!$B:$B,'Element wise-detail Summary'!$A327,Ere!$C:$C)</f>
        <v>0</v>
      </c>
      <c r="M327" s="151">
        <f t="shared" si="29"/>
        <v>1</v>
      </c>
      <c r="N327">
        <f t="shared" si="30"/>
        <v>0</v>
      </c>
    </row>
    <row r="328" spans="1:14" hidden="1" x14ac:dyDescent="0.25">
      <c r="A328" s="151" t="s">
        <v>1510</v>
      </c>
      <c r="B328" s="233" t="str">
        <f>VLOOKUP(A328,'AFC Data details'!$B:$E,4,0)</f>
        <v>V51</v>
      </c>
      <c r="C328" s="145" t="s">
        <v>1695</v>
      </c>
      <c r="D328" s="151" t="s">
        <v>602</v>
      </c>
      <c r="E328" s="151">
        <f>VLOOKUP(A328,'AFC Data details'!$B:$P,15,0)</f>
        <v>2.0840000000000001</v>
      </c>
      <c r="F328" s="151">
        <f>SUMIFS('AFC Data details'!C:C,'AFC Data details'!$B:$B,'Element wise-detail Summary'!$A328)</f>
        <v>1</v>
      </c>
      <c r="G328" s="151">
        <f>SUMIFS(Cast!$C:$C,Cast!$B:$B,'Element wise-detail Summary'!$A328)</f>
        <v>1</v>
      </c>
      <c r="H328" s="151">
        <f t="shared" si="26"/>
        <v>0</v>
      </c>
      <c r="I328" s="151">
        <f>SUMIFS(Del!$C:$C,Del!$B:$B,'Element wise-detail Summary'!$A328)</f>
        <v>0</v>
      </c>
      <c r="J328" s="151">
        <f t="shared" si="27"/>
        <v>1</v>
      </c>
      <c r="K328" s="151">
        <f t="shared" si="28"/>
        <v>1</v>
      </c>
      <c r="L328" s="151">
        <f>SUMIF(Ere!$B:$B,'Element wise-detail Summary'!$A328,Ere!$C:$C)</f>
        <v>0</v>
      </c>
      <c r="M328" s="151">
        <f t="shared" si="29"/>
        <v>1</v>
      </c>
      <c r="N328">
        <f t="shared" si="30"/>
        <v>0</v>
      </c>
    </row>
    <row r="329" spans="1:14" hidden="1" x14ac:dyDescent="0.25">
      <c r="A329" s="151" t="s">
        <v>1511</v>
      </c>
      <c r="B329" s="233" t="str">
        <f>VLOOKUP(A329,'AFC Data details'!$B:$E,4,0)</f>
        <v>V52</v>
      </c>
      <c r="C329" s="145" t="s">
        <v>1695</v>
      </c>
      <c r="D329" s="151" t="s">
        <v>602</v>
      </c>
      <c r="E329" s="151">
        <f>VLOOKUP(A329,'AFC Data details'!$B:$P,15,0)</f>
        <v>2.0840000000000001</v>
      </c>
      <c r="F329" s="151">
        <f>SUMIFS('AFC Data details'!C:C,'AFC Data details'!$B:$B,'Element wise-detail Summary'!$A329)</f>
        <v>1</v>
      </c>
      <c r="G329" s="151">
        <f>SUMIFS(Cast!$C:$C,Cast!$B:$B,'Element wise-detail Summary'!$A329)</f>
        <v>1</v>
      </c>
      <c r="H329" s="151">
        <f t="shared" si="26"/>
        <v>0</v>
      </c>
      <c r="I329" s="151">
        <f>SUMIFS(Del!$C:$C,Del!$B:$B,'Element wise-detail Summary'!$A329)</f>
        <v>0</v>
      </c>
      <c r="J329" s="151">
        <f t="shared" si="27"/>
        <v>1</v>
      </c>
      <c r="K329" s="151">
        <f t="shared" si="28"/>
        <v>1</v>
      </c>
      <c r="L329" s="151">
        <f>SUMIF(Ere!$B:$B,'Element wise-detail Summary'!$A329,Ere!$C:$C)</f>
        <v>0</v>
      </c>
      <c r="M329" s="151">
        <f t="shared" si="29"/>
        <v>1</v>
      </c>
      <c r="N329">
        <f t="shared" si="30"/>
        <v>0</v>
      </c>
    </row>
    <row r="330" spans="1:14" hidden="1" x14ac:dyDescent="0.25">
      <c r="A330" s="151" t="s">
        <v>1512</v>
      </c>
      <c r="B330" s="233" t="str">
        <f>VLOOKUP(A330,'AFC Data details'!$B:$E,4,0)</f>
        <v>V52</v>
      </c>
      <c r="C330" s="145" t="s">
        <v>1695</v>
      </c>
      <c r="D330" s="151" t="s">
        <v>602</v>
      </c>
      <c r="E330" s="151">
        <f>VLOOKUP(A330,'AFC Data details'!$B:$P,15,0)</f>
        <v>2.0840000000000001</v>
      </c>
      <c r="F330" s="151">
        <f>SUMIFS('AFC Data details'!C:C,'AFC Data details'!$B:$B,'Element wise-detail Summary'!$A330)</f>
        <v>1</v>
      </c>
      <c r="G330" s="151">
        <f>SUMIFS(Cast!$C:$C,Cast!$B:$B,'Element wise-detail Summary'!$A330)</f>
        <v>1</v>
      </c>
      <c r="H330" s="151">
        <f t="shared" si="26"/>
        <v>0</v>
      </c>
      <c r="I330" s="151">
        <f>SUMIFS(Del!$C:$C,Del!$B:$B,'Element wise-detail Summary'!$A330)</f>
        <v>0</v>
      </c>
      <c r="J330" s="151">
        <f t="shared" si="27"/>
        <v>1</v>
      </c>
      <c r="K330" s="151">
        <f t="shared" si="28"/>
        <v>1</v>
      </c>
      <c r="L330" s="151">
        <f>SUMIF(Ere!$B:$B,'Element wise-detail Summary'!$A330,Ere!$C:$C)</f>
        <v>0</v>
      </c>
      <c r="M330" s="151">
        <f t="shared" si="29"/>
        <v>1</v>
      </c>
      <c r="N330">
        <f t="shared" si="30"/>
        <v>0</v>
      </c>
    </row>
    <row r="331" spans="1:14" hidden="1" x14ac:dyDescent="0.25">
      <c r="A331" s="151" t="s">
        <v>1513</v>
      </c>
      <c r="B331" s="233" t="str">
        <f>VLOOKUP(A331,'AFC Data details'!$B:$E,4,0)</f>
        <v>V53</v>
      </c>
      <c r="C331" s="145" t="s">
        <v>1695</v>
      </c>
      <c r="D331" s="151" t="s">
        <v>602</v>
      </c>
      <c r="E331" s="151">
        <f>VLOOKUP(A331,'AFC Data details'!$B:$P,15,0)</f>
        <v>2.0840000000000001</v>
      </c>
      <c r="F331" s="151">
        <f>SUMIFS('AFC Data details'!C:C,'AFC Data details'!$B:$B,'Element wise-detail Summary'!$A331)</f>
        <v>1</v>
      </c>
      <c r="G331" s="151">
        <f>SUMIFS(Cast!$C:$C,Cast!$B:$B,'Element wise-detail Summary'!$A331)</f>
        <v>1</v>
      </c>
      <c r="H331" s="151">
        <f t="shared" si="26"/>
        <v>0</v>
      </c>
      <c r="I331" s="151">
        <f>SUMIFS(Del!$C:$C,Del!$B:$B,'Element wise-detail Summary'!$A331)</f>
        <v>0</v>
      </c>
      <c r="J331" s="151">
        <f t="shared" si="27"/>
        <v>1</v>
      </c>
      <c r="K331" s="151">
        <f t="shared" si="28"/>
        <v>1</v>
      </c>
      <c r="L331" s="151">
        <f>SUMIF(Ere!$B:$B,'Element wise-detail Summary'!$A331,Ere!$C:$C)</f>
        <v>0</v>
      </c>
      <c r="M331" s="151">
        <f t="shared" si="29"/>
        <v>1</v>
      </c>
      <c r="N331">
        <f t="shared" si="30"/>
        <v>0</v>
      </c>
    </row>
    <row r="332" spans="1:14" hidden="1" x14ac:dyDescent="0.25">
      <c r="A332" s="151" t="s">
        <v>1514</v>
      </c>
      <c r="B332" s="233" t="str">
        <f>VLOOKUP(A332,'AFC Data details'!$B:$E,4,0)</f>
        <v>V53</v>
      </c>
      <c r="C332" s="145" t="s">
        <v>1695</v>
      </c>
      <c r="D332" s="151" t="s">
        <v>602</v>
      </c>
      <c r="E332" s="151">
        <f>VLOOKUP(A332,'AFC Data details'!$B:$P,15,0)</f>
        <v>2.0840000000000001</v>
      </c>
      <c r="F332" s="151">
        <f>SUMIFS('AFC Data details'!C:C,'AFC Data details'!$B:$B,'Element wise-detail Summary'!$A332)</f>
        <v>1</v>
      </c>
      <c r="G332" s="151">
        <f>SUMIFS(Cast!$C:$C,Cast!$B:$B,'Element wise-detail Summary'!$A332)</f>
        <v>1</v>
      </c>
      <c r="H332" s="151">
        <f t="shared" si="26"/>
        <v>0</v>
      </c>
      <c r="I332" s="151">
        <f>SUMIFS(Del!$C:$C,Del!$B:$B,'Element wise-detail Summary'!$A332)</f>
        <v>0</v>
      </c>
      <c r="J332" s="151">
        <f t="shared" si="27"/>
        <v>1</v>
      </c>
      <c r="K332" s="151">
        <f t="shared" si="28"/>
        <v>1</v>
      </c>
      <c r="L332" s="151">
        <f>SUMIF(Ere!$B:$B,'Element wise-detail Summary'!$A332,Ere!$C:$C)</f>
        <v>0</v>
      </c>
      <c r="M332" s="151">
        <f t="shared" si="29"/>
        <v>1</v>
      </c>
      <c r="N332">
        <f t="shared" si="30"/>
        <v>0</v>
      </c>
    </row>
    <row r="333" spans="1:14" hidden="1" x14ac:dyDescent="0.25">
      <c r="A333" s="151" t="s">
        <v>1515</v>
      </c>
      <c r="B333" s="233" t="str">
        <f>VLOOKUP(A333,'AFC Data details'!$B:$E,4,0)</f>
        <v>V50</v>
      </c>
      <c r="C333" s="145" t="s">
        <v>1695</v>
      </c>
      <c r="D333" s="151" t="s">
        <v>602</v>
      </c>
      <c r="E333" s="151">
        <f>VLOOKUP(A333,'AFC Data details'!$B:$P,15,0)</f>
        <v>2.0840000000000001</v>
      </c>
      <c r="F333" s="151">
        <f>SUMIFS('AFC Data details'!C:C,'AFC Data details'!$B:$B,'Element wise-detail Summary'!$A333)</f>
        <v>1</v>
      </c>
      <c r="G333" s="151">
        <f>SUMIFS(Cast!$C:$C,Cast!$B:$B,'Element wise-detail Summary'!$A333)</f>
        <v>1</v>
      </c>
      <c r="H333" s="151">
        <f t="shared" si="26"/>
        <v>0</v>
      </c>
      <c r="I333" s="151">
        <f>SUMIFS(Del!$C:$C,Del!$B:$B,'Element wise-detail Summary'!$A333)</f>
        <v>0</v>
      </c>
      <c r="J333" s="151">
        <f t="shared" si="27"/>
        <v>1</v>
      </c>
      <c r="K333" s="151">
        <f t="shared" si="28"/>
        <v>1</v>
      </c>
      <c r="L333" s="151">
        <f>SUMIF(Ere!$B:$B,'Element wise-detail Summary'!$A333,Ere!$C:$C)</f>
        <v>0</v>
      </c>
      <c r="M333" s="151">
        <f t="shared" si="29"/>
        <v>1</v>
      </c>
      <c r="N333">
        <f t="shared" si="30"/>
        <v>0</v>
      </c>
    </row>
    <row r="334" spans="1:14" hidden="1" x14ac:dyDescent="0.25">
      <c r="A334" s="151" t="s">
        <v>1516</v>
      </c>
      <c r="B334" s="233" t="str">
        <f>VLOOKUP(A334,'AFC Data details'!$B:$E,4,0)</f>
        <v>V52</v>
      </c>
      <c r="C334" s="145" t="s">
        <v>1695</v>
      </c>
      <c r="D334" s="151" t="s">
        <v>602</v>
      </c>
      <c r="E334" s="151">
        <f>VLOOKUP(A334,'AFC Data details'!$B:$P,15,0)</f>
        <v>2.0840000000000001</v>
      </c>
      <c r="F334" s="151">
        <f>SUMIFS('AFC Data details'!C:C,'AFC Data details'!$B:$B,'Element wise-detail Summary'!$A334)</f>
        <v>1</v>
      </c>
      <c r="G334" s="151">
        <f>SUMIFS(Cast!$C:$C,Cast!$B:$B,'Element wise-detail Summary'!$A334)</f>
        <v>1</v>
      </c>
      <c r="H334" s="151">
        <f t="shared" si="26"/>
        <v>0</v>
      </c>
      <c r="I334" s="151">
        <f>SUMIFS(Del!$C:$C,Del!$B:$B,'Element wise-detail Summary'!$A334)</f>
        <v>0</v>
      </c>
      <c r="J334" s="151">
        <f t="shared" si="27"/>
        <v>1</v>
      </c>
      <c r="K334" s="151">
        <f t="shared" si="28"/>
        <v>1</v>
      </c>
      <c r="L334" s="151">
        <f>SUMIF(Ere!$B:$B,'Element wise-detail Summary'!$A334,Ere!$C:$C)</f>
        <v>0</v>
      </c>
      <c r="M334" s="151">
        <f t="shared" si="29"/>
        <v>1</v>
      </c>
      <c r="N334">
        <f t="shared" si="30"/>
        <v>0</v>
      </c>
    </row>
    <row r="335" spans="1:14" hidden="1" x14ac:dyDescent="0.25">
      <c r="A335" s="151" t="s">
        <v>1517</v>
      </c>
      <c r="B335" s="233" t="str">
        <f>VLOOKUP(A335,'AFC Data details'!$B:$E,4,0)</f>
        <v>V50</v>
      </c>
      <c r="C335" s="145" t="s">
        <v>1695</v>
      </c>
      <c r="D335" s="151" t="s">
        <v>602</v>
      </c>
      <c r="E335" s="151">
        <f>VLOOKUP(A335,'AFC Data details'!$B:$P,15,0)</f>
        <v>1.4410000000000001</v>
      </c>
      <c r="F335" s="151">
        <f>SUMIFS('AFC Data details'!C:C,'AFC Data details'!$B:$B,'Element wise-detail Summary'!$A335)</f>
        <v>1</v>
      </c>
      <c r="G335" s="151">
        <f>SUMIFS(Cast!$C:$C,Cast!$B:$B,'Element wise-detail Summary'!$A335)</f>
        <v>1</v>
      </c>
      <c r="H335" s="151">
        <f t="shared" si="26"/>
        <v>0</v>
      </c>
      <c r="I335" s="151">
        <f>SUMIFS(Del!$C:$C,Del!$B:$B,'Element wise-detail Summary'!$A335)</f>
        <v>0</v>
      </c>
      <c r="J335" s="151">
        <f t="shared" si="27"/>
        <v>1</v>
      </c>
      <c r="K335" s="151">
        <f t="shared" si="28"/>
        <v>1</v>
      </c>
      <c r="L335" s="151">
        <f>SUMIF(Ere!$B:$B,'Element wise-detail Summary'!$A335,Ere!$C:$C)</f>
        <v>0</v>
      </c>
      <c r="M335" s="151">
        <f t="shared" si="29"/>
        <v>1</v>
      </c>
      <c r="N335">
        <f t="shared" si="30"/>
        <v>0</v>
      </c>
    </row>
    <row r="336" spans="1:14" hidden="1" x14ac:dyDescent="0.25">
      <c r="A336" s="151" t="s">
        <v>1518</v>
      </c>
      <c r="B336" s="233" t="str">
        <f>VLOOKUP(A336,'AFC Data details'!$B:$E,4,0)</f>
        <v>V50</v>
      </c>
      <c r="C336" s="145" t="s">
        <v>1695</v>
      </c>
      <c r="D336" s="151" t="s">
        <v>602</v>
      </c>
      <c r="E336" s="151">
        <f>VLOOKUP(A336,'AFC Data details'!$B:$P,15,0)</f>
        <v>1.6140000000000001</v>
      </c>
      <c r="F336" s="151">
        <f>SUMIFS('AFC Data details'!C:C,'AFC Data details'!$B:$B,'Element wise-detail Summary'!$A336)</f>
        <v>1</v>
      </c>
      <c r="G336" s="151">
        <f>SUMIFS(Cast!$C:$C,Cast!$B:$B,'Element wise-detail Summary'!$A336)</f>
        <v>1</v>
      </c>
      <c r="H336" s="151">
        <f t="shared" si="26"/>
        <v>0</v>
      </c>
      <c r="I336" s="151">
        <f>SUMIFS(Del!$C:$C,Del!$B:$B,'Element wise-detail Summary'!$A336)</f>
        <v>0</v>
      </c>
      <c r="J336" s="151">
        <f t="shared" si="27"/>
        <v>1</v>
      </c>
      <c r="K336" s="151">
        <f t="shared" si="28"/>
        <v>1</v>
      </c>
      <c r="L336" s="151">
        <f>SUMIF(Ere!$B:$B,'Element wise-detail Summary'!$A336,Ere!$C:$C)</f>
        <v>0</v>
      </c>
      <c r="M336" s="151">
        <f t="shared" si="29"/>
        <v>1</v>
      </c>
      <c r="N336">
        <f t="shared" si="30"/>
        <v>0</v>
      </c>
    </row>
    <row r="337" spans="1:14" hidden="1" x14ac:dyDescent="0.25">
      <c r="A337" s="151" t="s">
        <v>1519</v>
      </c>
      <c r="B337" s="233" t="str">
        <f>VLOOKUP(A337,'AFC Data details'!$B:$E,4,0)</f>
        <v>V51</v>
      </c>
      <c r="C337" s="145" t="s">
        <v>1695</v>
      </c>
      <c r="D337" s="151" t="s">
        <v>602</v>
      </c>
      <c r="E337" s="151">
        <f>VLOOKUP(A337,'AFC Data details'!$B:$P,15,0)</f>
        <v>1.1040000000000001</v>
      </c>
      <c r="F337" s="151">
        <f>SUMIFS('AFC Data details'!C:C,'AFC Data details'!$B:$B,'Element wise-detail Summary'!$A337)</f>
        <v>1</v>
      </c>
      <c r="G337" s="151">
        <f>SUMIFS(Cast!$C:$C,Cast!$B:$B,'Element wise-detail Summary'!$A337)</f>
        <v>1</v>
      </c>
      <c r="H337" s="151">
        <f t="shared" si="26"/>
        <v>0</v>
      </c>
      <c r="I337" s="151">
        <f>SUMIFS(Del!$C:$C,Del!$B:$B,'Element wise-detail Summary'!$A337)</f>
        <v>0</v>
      </c>
      <c r="J337" s="151">
        <f t="shared" si="27"/>
        <v>1</v>
      </c>
      <c r="K337" s="151">
        <f t="shared" si="28"/>
        <v>1</v>
      </c>
      <c r="L337" s="151">
        <f>SUMIF(Ere!$B:$B,'Element wise-detail Summary'!$A337,Ere!$C:$C)</f>
        <v>0</v>
      </c>
      <c r="M337" s="151">
        <f t="shared" si="29"/>
        <v>1</v>
      </c>
      <c r="N337">
        <f t="shared" si="30"/>
        <v>0</v>
      </c>
    </row>
    <row r="338" spans="1:14" hidden="1" x14ac:dyDescent="0.25">
      <c r="A338" s="151" t="s">
        <v>1520</v>
      </c>
      <c r="B338" s="233" t="str">
        <f>VLOOKUP(A338,'AFC Data details'!$B:$E,4,0)</f>
        <v>V51</v>
      </c>
      <c r="C338" s="145" t="s">
        <v>1695</v>
      </c>
      <c r="D338" s="151" t="s">
        <v>602</v>
      </c>
      <c r="E338" s="151">
        <f>VLOOKUP(A338,'AFC Data details'!$B:$P,15,0)</f>
        <v>2.0470000000000002</v>
      </c>
      <c r="F338" s="151">
        <f>SUMIFS('AFC Data details'!C:C,'AFC Data details'!$B:$B,'Element wise-detail Summary'!$A338)</f>
        <v>1</v>
      </c>
      <c r="G338" s="151">
        <f>SUMIFS(Cast!$C:$C,Cast!$B:$B,'Element wise-detail Summary'!$A338)</f>
        <v>1</v>
      </c>
      <c r="H338" s="151">
        <f t="shared" si="26"/>
        <v>0</v>
      </c>
      <c r="I338" s="151">
        <f>SUMIFS(Del!$C:$C,Del!$B:$B,'Element wise-detail Summary'!$A338)</f>
        <v>0</v>
      </c>
      <c r="J338" s="151">
        <f t="shared" si="27"/>
        <v>1</v>
      </c>
      <c r="K338" s="151">
        <f t="shared" si="28"/>
        <v>1</v>
      </c>
      <c r="L338" s="151">
        <f>SUMIF(Ere!$B:$B,'Element wise-detail Summary'!$A338,Ere!$C:$C)</f>
        <v>0</v>
      </c>
      <c r="M338" s="151">
        <f t="shared" si="29"/>
        <v>1</v>
      </c>
      <c r="N338">
        <f t="shared" si="30"/>
        <v>0</v>
      </c>
    </row>
    <row r="339" spans="1:14" hidden="1" x14ac:dyDescent="0.25">
      <c r="A339" s="151" t="s">
        <v>1521</v>
      </c>
      <c r="B339" s="233" t="str">
        <f>VLOOKUP(A339,'AFC Data details'!$B:$E,4,0)</f>
        <v>V51</v>
      </c>
      <c r="C339" s="145" t="s">
        <v>1695</v>
      </c>
      <c r="D339" s="151" t="s">
        <v>602</v>
      </c>
      <c r="E339" s="151">
        <f>VLOOKUP(A339,'AFC Data details'!$B:$P,15,0)</f>
        <v>2.0840000000000001</v>
      </c>
      <c r="F339" s="151">
        <f>SUMIFS('AFC Data details'!C:C,'AFC Data details'!$B:$B,'Element wise-detail Summary'!$A339)</f>
        <v>1</v>
      </c>
      <c r="G339" s="151">
        <f>SUMIFS(Cast!$C:$C,Cast!$B:$B,'Element wise-detail Summary'!$A339)</f>
        <v>1</v>
      </c>
      <c r="H339" s="151">
        <f t="shared" si="26"/>
        <v>0</v>
      </c>
      <c r="I339" s="151">
        <f>SUMIFS(Del!$C:$C,Del!$B:$B,'Element wise-detail Summary'!$A339)</f>
        <v>0</v>
      </c>
      <c r="J339" s="151">
        <f t="shared" si="27"/>
        <v>1</v>
      </c>
      <c r="K339" s="151">
        <f t="shared" si="28"/>
        <v>1</v>
      </c>
      <c r="L339" s="151">
        <f>SUMIF(Ere!$B:$B,'Element wise-detail Summary'!$A339,Ere!$C:$C)</f>
        <v>0</v>
      </c>
      <c r="M339" s="151">
        <f t="shared" si="29"/>
        <v>1</v>
      </c>
      <c r="N339">
        <f t="shared" si="30"/>
        <v>0</v>
      </c>
    </row>
    <row r="340" spans="1:14" hidden="1" x14ac:dyDescent="0.25">
      <c r="A340" s="151" t="s">
        <v>1522</v>
      </c>
      <c r="B340" s="233" t="str">
        <f>VLOOKUP(A340,'AFC Data details'!$B:$E,4,0)</f>
        <v>V53</v>
      </c>
      <c r="C340" s="145" t="s">
        <v>1695</v>
      </c>
      <c r="D340" s="151" t="s">
        <v>602</v>
      </c>
      <c r="E340" s="151">
        <f>VLOOKUP(A340,'AFC Data details'!$B:$P,15,0)</f>
        <v>2.0840000000000001</v>
      </c>
      <c r="F340" s="151">
        <f>SUMIFS('AFC Data details'!C:C,'AFC Data details'!$B:$B,'Element wise-detail Summary'!$A340)</f>
        <v>1</v>
      </c>
      <c r="G340" s="151">
        <f>SUMIFS(Cast!$C:$C,Cast!$B:$B,'Element wise-detail Summary'!$A340)</f>
        <v>1</v>
      </c>
      <c r="H340" s="151">
        <f t="shared" si="26"/>
        <v>0</v>
      </c>
      <c r="I340" s="151">
        <f>SUMIFS(Del!$C:$C,Del!$B:$B,'Element wise-detail Summary'!$A340)</f>
        <v>0</v>
      </c>
      <c r="J340" s="151">
        <f t="shared" si="27"/>
        <v>1</v>
      </c>
      <c r="K340" s="151">
        <f t="shared" si="28"/>
        <v>1</v>
      </c>
      <c r="L340" s="151">
        <f>SUMIF(Ere!$B:$B,'Element wise-detail Summary'!$A340,Ere!$C:$C)</f>
        <v>0</v>
      </c>
      <c r="M340" s="151">
        <f t="shared" si="29"/>
        <v>1</v>
      </c>
      <c r="N340">
        <f t="shared" si="30"/>
        <v>0</v>
      </c>
    </row>
    <row r="341" spans="1:14" hidden="1" x14ac:dyDescent="0.25">
      <c r="A341" s="151" t="s">
        <v>1523</v>
      </c>
      <c r="B341" s="233" t="str">
        <f>VLOOKUP(A341,'AFC Data details'!$B:$E,4,0)</f>
        <v>V51</v>
      </c>
      <c r="C341" s="145" t="s">
        <v>1695</v>
      </c>
      <c r="D341" s="151" t="s">
        <v>602</v>
      </c>
      <c r="E341" s="151">
        <f>VLOOKUP(A341,'AFC Data details'!$B:$P,15,0)</f>
        <v>1.6339999999999999</v>
      </c>
      <c r="F341" s="151">
        <f>SUMIFS('AFC Data details'!C:C,'AFC Data details'!$B:$B,'Element wise-detail Summary'!$A341)</f>
        <v>1</v>
      </c>
      <c r="G341" s="151">
        <f>SUMIFS(Cast!$C:$C,Cast!$B:$B,'Element wise-detail Summary'!$A341)</f>
        <v>1</v>
      </c>
      <c r="H341" s="151">
        <f t="shared" si="26"/>
        <v>0</v>
      </c>
      <c r="I341" s="151">
        <f>SUMIFS(Del!$C:$C,Del!$B:$B,'Element wise-detail Summary'!$A341)</f>
        <v>0</v>
      </c>
      <c r="J341" s="151">
        <f t="shared" si="27"/>
        <v>1</v>
      </c>
      <c r="K341" s="151">
        <f t="shared" si="28"/>
        <v>1</v>
      </c>
      <c r="L341" s="151">
        <f>SUMIF(Ere!$B:$B,'Element wise-detail Summary'!$A341,Ere!$C:$C)</f>
        <v>0</v>
      </c>
      <c r="M341" s="151">
        <f t="shared" si="29"/>
        <v>1</v>
      </c>
      <c r="N341">
        <f t="shared" si="30"/>
        <v>0</v>
      </c>
    </row>
    <row r="342" spans="1:14" hidden="1" x14ac:dyDescent="0.25">
      <c r="A342" s="151" t="s">
        <v>1524</v>
      </c>
      <c r="B342" s="233" t="str">
        <f>VLOOKUP(A342,'AFC Data details'!$B:$E,4,0)</f>
        <v>V51</v>
      </c>
      <c r="C342" s="145" t="s">
        <v>1695</v>
      </c>
      <c r="D342" s="151" t="s">
        <v>602</v>
      </c>
      <c r="E342" s="151">
        <f>VLOOKUP(A342,'AFC Data details'!$B:$P,15,0)</f>
        <v>1.452</v>
      </c>
      <c r="F342" s="151">
        <f>SUMIFS('AFC Data details'!C:C,'AFC Data details'!$B:$B,'Element wise-detail Summary'!$A342)</f>
        <v>1</v>
      </c>
      <c r="G342" s="151">
        <f>SUMIFS(Cast!$C:$C,Cast!$B:$B,'Element wise-detail Summary'!$A342)</f>
        <v>1</v>
      </c>
      <c r="H342" s="151">
        <f t="shared" si="26"/>
        <v>0</v>
      </c>
      <c r="I342" s="151">
        <f>SUMIFS(Del!$C:$C,Del!$B:$B,'Element wise-detail Summary'!$A342)</f>
        <v>0</v>
      </c>
      <c r="J342" s="151">
        <f t="shared" si="27"/>
        <v>1</v>
      </c>
      <c r="K342" s="151">
        <f t="shared" si="28"/>
        <v>1</v>
      </c>
      <c r="L342" s="151">
        <f>SUMIF(Ere!$B:$B,'Element wise-detail Summary'!$A342,Ere!$C:$C)</f>
        <v>0</v>
      </c>
      <c r="M342" s="151">
        <f t="shared" si="29"/>
        <v>1</v>
      </c>
      <c r="N342">
        <f t="shared" si="30"/>
        <v>0</v>
      </c>
    </row>
    <row r="343" spans="1:14" hidden="1" x14ac:dyDescent="0.25">
      <c r="A343" s="151" t="s">
        <v>1525</v>
      </c>
      <c r="B343" s="233" t="str">
        <f>VLOOKUP(A343,'AFC Data details'!$B:$E,4,0)</f>
        <v>V52</v>
      </c>
      <c r="C343" s="145" t="s">
        <v>1695</v>
      </c>
      <c r="D343" s="151" t="s">
        <v>602</v>
      </c>
      <c r="E343" s="151">
        <f>VLOOKUP(A343,'AFC Data details'!$B:$P,15,0)</f>
        <v>2.0499999999999998</v>
      </c>
      <c r="F343" s="151">
        <f>SUMIFS('AFC Data details'!C:C,'AFC Data details'!$B:$B,'Element wise-detail Summary'!$A343)</f>
        <v>1</v>
      </c>
      <c r="G343" s="151">
        <f>SUMIFS(Cast!$C:$C,Cast!$B:$B,'Element wise-detail Summary'!$A343)</f>
        <v>1</v>
      </c>
      <c r="H343" s="151">
        <f t="shared" si="26"/>
        <v>0</v>
      </c>
      <c r="I343" s="151">
        <f>SUMIFS(Del!$C:$C,Del!$B:$B,'Element wise-detail Summary'!$A343)</f>
        <v>0</v>
      </c>
      <c r="J343" s="151">
        <f t="shared" si="27"/>
        <v>1</v>
      </c>
      <c r="K343" s="151">
        <f t="shared" si="28"/>
        <v>1</v>
      </c>
      <c r="L343" s="151">
        <f>SUMIF(Ere!$B:$B,'Element wise-detail Summary'!$A343,Ere!$C:$C)</f>
        <v>0</v>
      </c>
      <c r="M343" s="151">
        <f t="shared" si="29"/>
        <v>1</v>
      </c>
      <c r="N343">
        <f t="shared" si="30"/>
        <v>0</v>
      </c>
    </row>
    <row r="344" spans="1:14" hidden="1" x14ac:dyDescent="0.25">
      <c r="A344" s="151" t="s">
        <v>1526</v>
      </c>
      <c r="B344" s="233" t="str">
        <f>VLOOKUP(A344,'AFC Data details'!$B:$E,4,0)</f>
        <v>V52</v>
      </c>
      <c r="C344" s="145" t="s">
        <v>1695</v>
      </c>
      <c r="D344" s="151" t="s">
        <v>602</v>
      </c>
      <c r="E344" s="151">
        <f>VLOOKUP(A344,'AFC Data details'!$B:$P,15,0)</f>
        <v>2.0499999999999998</v>
      </c>
      <c r="F344" s="151">
        <f>SUMIFS('AFC Data details'!C:C,'AFC Data details'!$B:$B,'Element wise-detail Summary'!$A344)</f>
        <v>1</v>
      </c>
      <c r="G344" s="151">
        <f>SUMIFS(Cast!$C:$C,Cast!$B:$B,'Element wise-detail Summary'!$A344)</f>
        <v>1</v>
      </c>
      <c r="H344" s="151">
        <f t="shared" si="26"/>
        <v>0</v>
      </c>
      <c r="I344" s="151">
        <f>SUMIFS(Del!$C:$C,Del!$B:$B,'Element wise-detail Summary'!$A344)</f>
        <v>0</v>
      </c>
      <c r="J344" s="151">
        <f t="shared" si="27"/>
        <v>1</v>
      </c>
      <c r="K344" s="151">
        <f t="shared" si="28"/>
        <v>1</v>
      </c>
      <c r="L344" s="151">
        <f>SUMIF(Ere!$B:$B,'Element wise-detail Summary'!$A344,Ere!$C:$C)</f>
        <v>0</v>
      </c>
      <c r="M344" s="151">
        <f t="shared" si="29"/>
        <v>1</v>
      </c>
      <c r="N344">
        <f t="shared" si="30"/>
        <v>0</v>
      </c>
    </row>
    <row r="345" spans="1:14" hidden="1" x14ac:dyDescent="0.25">
      <c r="A345" s="151" t="s">
        <v>1527</v>
      </c>
      <c r="B345" s="233" t="str">
        <f>VLOOKUP(A345,'AFC Data details'!$B:$E,4,0)</f>
        <v>V52</v>
      </c>
      <c r="C345" s="145" t="s">
        <v>1695</v>
      </c>
      <c r="D345" s="151" t="s">
        <v>602</v>
      </c>
      <c r="E345" s="151">
        <f>VLOOKUP(A345,'AFC Data details'!$B:$P,15,0)</f>
        <v>2.0499999999999998</v>
      </c>
      <c r="F345" s="151">
        <f>SUMIFS('AFC Data details'!C:C,'AFC Data details'!$B:$B,'Element wise-detail Summary'!$A345)</f>
        <v>1</v>
      </c>
      <c r="G345" s="151">
        <f>SUMIFS(Cast!$C:$C,Cast!$B:$B,'Element wise-detail Summary'!$A345)</f>
        <v>1</v>
      </c>
      <c r="H345" s="151">
        <f t="shared" si="26"/>
        <v>0</v>
      </c>
      <c r="I345" s="151">
        <f>SUMIFS(Del!$C:$C,Del!$B:$B,'Element wise-detail Summary'!$A345)</f>
        <v>0</v>
      </c>
      <c r="J345" s="151">
        <f t="shared" si="27"/>
        <v>1</v>
      </c>
      <c r="K345" s="151">
        <f t="shared" si="28"/>
        <v>1</v>
      </c>
      <c r="L345" s="151">
        <f>SUMIF(Ere!$B:$B,'Element wise-detail Summary'!$A345,Ere!$C:$C)</f>
        <v>0</v>
      </c>
      <c r="M345" s="151">
        <f t="shared" si="29"/>
        <v>1</v>
      </c>
      <c r="N345">
        <f t="shared" si="30"/>
        <v>0</v>
      </c>
    </row>
    <row r="346" spans="1:14" hidden="1" x14ac:dyDescent="0.25">
      <c r="A346" s="151" t="s">
        <v>1528</v>
      </c>
      <c r="B346" s="233" t="str">
        <f>VLOOKUP(A346,'AFC Data details'!$B:$E,4,0)</f>
        <v>V53</v>
      </c>
      <c r="C346" s="145" t="s">
        <v>1695</v>
      </c>
      <c r="D346" s="151" t="s">
        <v>602</v>
      </c>
      <c r="E346" s="151">
        <f>VLOOKUP(A346,'AFC Data details'!$B:$P,15,0)</f>
        <v>2.0499999999999998</v>
      </c>
      <c r="F346" s="151">
        <f>SUMIFS('AFC Data details'!C:C,'AFC Data details'!$B:$B,'Element wise-detail Summary'!$A346)</f>
        <v>1</v>
      </c>
      <c r="G346" s="151">
        <f>SUMIFS(Cast!$C:$C,Cast!$B:$B,'Element wise-detail Summary'!$A346)</f>
        <v>1</v>
      </c>
      <c r="H346" s="151">
        <f t="shared" si="26"/>
        <v>0</v>
      </c>
      <c r="I346" s="151">
        <f>SUMIFS(Del!$C:$C,Del!$B:$B,'Element wise-detail Summary'!$A346)</f>
        <v>0</v>
      </c>
      <c r="J346" s="151">
        <f t="shared" si="27"/>
        <v>1</v>
      </c>
      <c r="K346" s="151">
        <f t="shared" si="28"/>
        <v>1</v>
      </c>
      <c r="L346" s="151">
        <f>SUMIF(Ere!$B:$B,'Element wise-detail Summary'!$A346,Ere!$C:$C)</f>
        <v>0</v>
      </c>
      <c r="M346" s="151">
        <f t="shared" si="29"/>
        <v>1</v>
      </c>
      <c r="N346">
        <f t="shared" si="30"/>
        <v>0</v>
      </c>
    </row>
    <row r="347" spans="1:14" hidden="1" x14ac:dyDescent="0.25">
      <c r="A347" s="151" t="s">
        <v>1529</v>
      </c>
      <c r="B347" s="233" t="str">
        <f>VLOOKUP(A347,'AFC Data details'!$B:$E,4,0)</f>
        <v>V53</v>
      </c>
      <c r="C347" s="145" t="s">
        <v>1695</v>
      </c>
      <c r="D347" s="151" t="s">
        <v>602</v>
      </c>
      <c r="E347" s="151">
        <f>VLOOKUP(A347,'AFC Data details'!$B:$P,15,0)</f>
        <v>2.0499999999999998</v>
      </c>
      <c r="F347" s="151">
        <f>SUMIFS('AFC Data details'!C:C,'AFC Data details'!$B:$B,'Element wise-detail Summary'!$A347)</f>
        <v>1</v>
      </c>
      <c r="G347" s="151">
        <f>SUMIFS(Cast!$C:$C,Cast!$B:$B,'Element wise-detail Summary'!$A347)</f>
        <v>1</v>
      </c>
      <c r="H347" s="151">
        <f t="shared" si="26"/>
        <v>0</v>
      </c>
      <c r="I347" s="151">
        <f>SUMIFS(Del!$C:$C,Del!$B:$B,'Element wise-detail Summary'!$A347)</f>
        <v>0</v>
      </c>
      <c r="J347" s="151">
        <f t="shared" si="27"/>
        <v>1</v>
      </c>
      <c r="K347" s="151">
        <f t="shared" si="28"/>
        <v>1</v>
      </c>
      <c r="L347" s="151">
        <f>SUMIF(Ere!$B:$B,'Element wise-detail Summary'!$A347,Ere!$C:$C)</f>
        <v>0</v>
      </c>
      <c r="M347" s="151">
        <f t="shared" si="29"/>
        <v>1</v>
      </c>
      <c r="N347">
        <f t="shared" si="30"/>
        <v>0</v>
      </c>
    </row>
    <row r="348" spans="1:14" hidden="1" x14ac:dyDescent="0.25">
      <c r="A348" s="151" t="s">
        <v>1530</v>
      </c>
      <c r="B348" s="233" t="str">
        <f>VLOOKUP(A348,'AFC Data details'!$B:$E,4,0)</f>
        <v>V52</v>
      </c>
      <c r="C348" s="145" t="s">
        <v>1695</v>
      </c>
      <c r="D348" s="151" t="s">
        <v>602</v>
      </c>
      <c r="E348" s="151">
        <f>VLOOKUP(A348,'AFC Data details'!$B:$P,15,0)</f>
        <v>1.452</v>
      </c>
      <c r="F348" s="151">
        <f>SUMIFS('AFC Data details'!C:C,'AFC Data details'!$B:$B,'Element wise-detail Summary'!$A348)</f>
        <v>1</v>
      </c>
      <c r="G348" s="151">
        <f>SUMIFS(Cast!$C:$C,Cast!$B:$B,'Element wise-detail Summary'!$A348)</f>
        <v>1</v>
      </c>
      <c r="H348" s="151">
        <f t="shared" si="26"/>
        <v>0</v>
      </c>
      <c r="I348" s="151">
        <f>SUMIFS(Del!$C:$C,Del!$B:$B,'Element wise-detail Summary'!$A348)</f>
        <v>0</v>
      </c>
      <c r="J348" s="151">
        <f t="shared" si="27"/>
        <v>1</v>
      </c>
      <c r="K348" s="151">
        <f t="shared" si="28"/>
        <v>1</v>
      </c>
      <c r="L348" s="151">
        <f>SUMIF(Ere!$B:$B,'Element wise-detail Summary'!$A348,Ere!$C:$C)</f>
        <v>0</v>
      </c>
      <c r="M348" s="151">
        <f t="shared" si="29"/>
        <v>1</v>
      </c>
      <c r="N348">
        <f t="shared" si="30"/>
        <v>0</v>
      </c>
    </row>
    <row r="349" spans="1:14" hidden="1" x14ac:dyDescent="0.25">
      <c r="A349" s="151" t="s">
        <v>1531</v>
      </c>
      <c r="B349" s="233" t="str">
        <f>VLOOKUP(A349,'AFC Data details'!$B:$E,4,0)</f>
        <v>V52</v>
      </c>
      <c r="C349" s="145" t="s">
        <v>1695</v>
      </c>
      <c r="D349" s="151" t="s">
        <v>602</v>
      </c>
      <c r="E349" s="151">
        <f>VLOOKUP(A349,'AFC Data details'!$B:$P,15,0)</f>
        <v>1.625</v>
      </c>
      <c r="F349" s="151">
        <f>SUMIFS('AFC Data details'!C:C,'AFC Data details'!$B:$B,'Element wise-detail Summary'!$A349)</f>
        <v>1</v>
      </c>
      <c r="G349" s="151">
        <f>SUMIFS(Cast!$C:$C,Cast!$B:$B,'Element wise-detail Summary'!$A349)</f>
        <v>1</v>
      </c>
      <c r="H349" s="151">
        <f t="shared" si="26"/>
        <v>0</v>
      </c>
      <c r="I349" s="151">
        <f>SUMIFS(Del!$C:$C,Del!$B:$B,'Element wise-detail Summary'!$A349)</f>
        <v>0</v>
      </c>
      <c r="J349" s="151">
        <f t="shared" si="27"/>
        <v>1</v>
      </c>
      <c r="K349" s="151">
        <f t="shared" si="28"/>
        <v>1</v>
      </c>
      <c r="L349" s="151">
        <f>SUMIF(Ere!$B:$B,'Element wise-detail Summary'!$A349,Ere!$C:$C)</f>
        <v>0</v>
      </c>
      <c r="M349" s="151">
        <f t="shared" si="29"/>
        <v>1</v>
      </c>
      <c r="N349">
        <f t="shared" si="30"/>
        <v>0</v>
      </c>
    </row>
    <row r="350" spans="1:14" hidden="1" x14ac:dyDescent="0.25">
      <c r="A350" s="151" t="s">
        <v>1532</v>
      </c>
      <c r="B350" s="233" t="str">
        <f>VLOOKUP(A350,'AFC Data details'!$B:$E,4,0)</f>
        <v>V53</v>
      </c>
      <c r="C350" s="145" t="s">
        <v>1695</v>
      </c>
      <c r="D350" s="151" t="s">
        <v>602</v>
      </c>
      <c r="E350" s="151">
        <f>VLOOKUP(A350,'AFC Data details'!$B:$P,15,0)</f>
        <v>1.0840000000000001</v>
      </c>
      <c r="F350" s="151">
        <f>SUMIFS('AFC Data details'!C:C,'AFC Data details'!$B:$B,'Element wise-detail Summary'!$A350)</f>
        <v>1</v>
      </c>
      <c r="G350" s="151">
        <f>SUMIFS(Cast!$C:$C,Cast!$B:$B,'Element wise-detail Summary'!$A350)</f>
        <v>1</v>
      </c>
      <c r="H350" s="151">
        <f t="shared" si="26"/>
        <v>0</v>
      </c>
      <c r="I350" s="151">
        <f>SUMIFS(Del!$C:$C,Del!$B:$B,'Element wise-detail Summary'!$A350)</f>
        <v>0</v>
      </c>
      <c r="J350" s="151">
        <f t="shared" si="27"/>
        <v>1</v>
      </c>
      <c r="K350" s="151">
        <f t="shared" si="28"/>
        <v>1</v>
      </c>
      <c r="L350" s="151">
        <f>SUMIF(Ere!$B:$B,'Element wise-detail Summary'!$A350,Ere!$C:$C)</f>
        <v>0</v>
      </c>
      <c r="M350" s="151">
        <f t="shared" si="29"/>
        <v>1</v>
      </c>
      <c r="N350">
        <f t="shared" si="30"/>
        <v>0</v>
      </c>
    </row>
    <row r="351" spans="1:14" hidden="1" x14ac:dyDescent="0.25">
      <c r="A351" s="151" t="s">
        <v>1533</v>
      </c>
      <c r="B351" s="233" t="str">
        <f>VLOOKUP(A351,'AFC Data details'!$B:$E,4,0)</f>
        <v>V53</v>
      </c>
      <c r="C351" s="145" t="s">
        <v>1695</v>
      </c>
      <c r="D351" s="151" t="s">
        <v>602</v>
      </c>
      <c r="E351" s="151">
        <f>VLOOKUP(A351,'AFC Data details'!$B:$P,15,0)</f>
        <v>2.0499999999999998</v>
      </c>
      <c r="F351" s="151">
        <f>SUMIFS('AFC Data details'!C:C,'AFC Data details'!$B:$B,'Element wise-detail Summary'!$A351)</f>
        <v>1</v>
      </c>
      <c r="G351" s="151">
        <f>SUMIFS(Cast!$C:$C,Cast!$B:$B,'Element wise-detail Summary'!$A351)</f>
        <v>1</v>
      </c>
      <c r="H351" s="151">
        <f t="shared" si="26"/>
        <v>0</v>
      </c>
      <c r="I351" s="151">
        <f>SUMIFS(Del!$C:$C,Del!$B:$B,'Element wise-detail Summary'!$A351)</f>
        <v>0</v>
      </c>
      <c r="J351" s="151">
        <f t="shared" si="27"/>
        <v>1</v>
      </c>
      <c r="K351" s="151">
        <f t="shared" si="28"/>
        <v>1</v>
      </c>
      <c r="L351" s="151">
        <f>SUMIF(Ere!$B:$B,'Element wise-detail Summary'!$A351,Ere!$C:$C)</f>
        <v>0</v>
      </c>
      <c r="M351" s="151">
        <f t="shared" si="29"/>
        <v>1</v>
      </c>
      <c r="N351">
        <f t="shared" si="30"/>
        <v>0</v>
      </c>
    </row>
    <row r="352" spans="1:14" hidden="1" x14ac:dyDescent="0.25">
      <c r="A352" s="151" t="s">
        <v>1534</v>
      </c>
      <c r="B352" s="233" t="str">
        <f>VLOOKUP(A352,'AFC Data details'!$B:$E,4,0)</f>
        <v>V53</v>
      </c>
      <c r="C352" s="145" t="s">
        <v>1695</v>
      </c>
      <c r="D352" s="151" t="s">
        <v>602</v>
      </c>
      <c r="E352" s="151">
        <f>VLOOKUP(A352,'AFC Data details'!$B:$P,15,0)</f>
        <v>1.5940000000000001</v>
      </c>
      <c r="F352" s="151">
        <f>SUMIFS('AFC Data details'!C:C,'AFC Data details'!$B:$B,'Element wise-detail Summary'!$A352)</f>
        <v>1</v>
      </c>
      <c r="G352" s="151">
        <f>SUMIFS(Cast!$C:$C,Cast!$B:$B,'Element wise-detail Summary'!$A352)</f>
        <v>1</v>
      </c>
      <c r="H352" s="151">
        <f t="shared" si="26"/>
        <v>0</v>
      </c>
      <c r="I352" s="151">
        <f>SUMIFS(Del!$C:$C,Del!$B:$B,'Element wise-detail Summary'!$A352)</f>
        <v>0</v>
      </c>
      <c r="J352" s="151">
        <f t="shared" si="27"/>
        <v>1</v>
      </c>
      <c r="K352" s="151">
        <f t="shared" si="28"/>
        <v>1</v>
      </c>
      <c r="L352" s="151">
        <f>SUMIF(Ere!$B:$B,'Element wise-detail Summary'!$A352,Ere!$C:$C)</f>
        <v>0</v>
      </c>
      <c r="M352" s="151">
        <f t="shared" si="29"/>
        <v>1</v>
      </c>
      <c r="N352">
        <f t="shared" si="30"/>
        <v>0</v>
      </c>
    </row>
    <row r="353" spans="1:14" hidden="1" x14ac:dyDescent="0.25">
      <c r="A353" s="151" t="s">
        <v>1535</v>
      </c>
      <c r="B353" s="233" t="str">
        <f>VLOOKUP(A353,'AFC Data details'!$B:$E,4,0)</f>
        <v>V53</v>
      </c>
      <c r="C353" s="145" t="s">
        <v>1695</v>
      </c>
      <c r="D353" s="151" t="s">
        <v>602</v>
      </c>
      <c r="E353" s="151">
        <f>VLOOKUP(A353,'AFC Data details'!$B:$P,15,0)</f>
        <v>1.4119999999999999</v>
      </c>
      <c r="F353" s="151">
        <f>SUMIFS('AFC Data details'!C:C,'AFC Data details'!$B:$B,'Element wise-detail Summary'!$A353)</f>
        <v>1</v>
      </c>
      <c r="G353" s="151">
        <f>SUMIFS(Cast!$C:$C,Cast!$B:$B,'Element wise-detail Summary'!$A353)</f>
        <v>1</v>
      </c>
      <c r="H353" s="151">
        <f t="shared" si="26"/>
        <v>0</v>
      </c>
      <c r="I353" s="151">
        <f>SUMIFS(Del!$C:$C,Del!$B:$B,'Element wise-detail Summary'!$A353)</f>
        <v>0</v>
      </c>
      <c r="J353" s="151">
        <f t="shared" si="27"/>
        <v>1</v>
      </c>
      <c r="K353" s="151">
        <f t="shared" si="28"/>
        <v>1</v>
      </c>
      <c r="L353" s="151">
        <f>SUMIF(Ere!$B:$B,'Element wise-detail Summary'!$A353,Ere!$C:$C)</f>
        <v>0</v>
      </c>
      <c r="M353" s="151">
        <f t="shared" si="29"/>
        <v>1</v>
      </c>
      <c r="N353">
        <f t="shared" si="30"/>
        <v>0</v>
      </c>
    </row>
    <row r="354" spans="1:14" hidden="1" x14ac:dyDescent="0.25">
      <c r="A354" s="151" t="s">
        <v>1536</v>
      </c>
      <c r="B354" s="233" t="str">
        <f>VLOOKUP(A354,'AFC Data details'!$B:$E,4,0)</f>
        <v>V54</v>
      </c>
      <c r="C354" s="145" t="s">
        <v>1695</v>
      </c>
      <c r="D354" s="151" t="s">
        <v>602</v>
      </c>
      <c r="E354" s="151">
        <f>VLOOKUP(A354,'AFC Data details'!$B:$P,15,0)</f>
        <v>2.1040000000000001</v>
      </c>
      <c r="F354" s="151">
        <f>SUMIFS('AFC Data details'!C:C,'AFC Data details'!$B:$B,'Element wise-detail Summary'!$A354)</f>
        <v>1</v>
      </c>
      <c r="G354" s="151">
        <f>SUMIFS(Cast!$C:$C,Cast!$B:$B,'Element wise-detail Summary'!$A354)</f>
        <v>1</v>
      </c>
      <c r="H354" s="151">
        <f t="shared" si="26"/>
        <v>0</v>
      </c>
      <c r="I354" s="151">
        <f>SUMIFS(Del!$C:$C,Del!$B:$B,'Element wise-detail Summary'!$A354)</f>
        <v>0</v>
      </c>
      <c r="J354" s="151">
        <f t="shared" si="27"/>
        <v>1</v>
      </c>
      <c r="K354" s="151">
        <f t="shared" si="28"/>
        <v>1</v>
      </c>
      <c r="L354" s="151">
        <f>SUMIF(Ere!$B:$B,'Element wise-detail Summary'!$A354,Ere!$C:$C)</f>
        <v>0</v>
      </c>
      <c r="M354" s="151">
        <f t="shared" si="29"/>
        <v>1</v>
      </c>
      <c r="N354">
        <f t="shared" si="30"/>
        <v>0</v>
      </c>
    </row>
    <row r="355" spans="1:14" hidden="1" x14ac:dyDescent="0.25">
      <c r="A355" s="151" t="s">
        <v>1537</v>
      </c>
      <c r="B355" s="233" t="str">
        <f>VLOOKUP(A355,'AFC Data details'!$B:$E,4,0)</f>
        <v>V54</v>
      </c>
      <c r="C355" s="145" t="s">
        <v>1695</v>
      </c>
      <c r="D355" s="151" t="s">
        <v>602</v>
      </c>
      <c r="E355" s="151">
        <f>VLOOKUP(A355,'AFC Data details'!$B:$P,15,0)</f>
        <v>2.0030000000000001</v>
      </c>
      <c r="F355" s="151">
        <f>SUMIFS('AFC Data details'!C:C,'AFC Data details'!$B:$B,'Element wise-detail Summary'!$A355)</f>
        <v>1</v>
      </c>
      <c r="G355" s="151">
        <f>SUMIFS(Cast!$C:$C,Cast!$B:$B,'Element wise-detail Summary'!$A355)</f>
        <v>1</v>
      </c>
      <c r="H355" s="151">
        <f t="shared" si="26"/>
        <v>0</v>
      </c>
      <c r="I355" s="151">
        <f>SUMIFS(Del!$C:$C,Del!$B:$B,'Element wise-detail Summary'!$A355)</f>
        <v>0</v>
      </c>
      <c r="J355" s="151">
        <f t="shared" si="27"/>
        <v>1</v>
      </c>
      <c r="K355" s="151">
        <f t="shared" si="28"/>
        <v>1</v>
      </c>
      <c r="L355" s="151">
        <f>SUMIF(Ere!$B:$B,'Element wise-detail Summary'!$A355,Ere!$C:$C)</f>
        <v>0</v>
      </c>
      <c r="M355" s="151">
        <f t="shared" si="29"/>
        <v>1</v>
      </c>
      <c r="N355">
        <f t="shared" si="30"/>
        <v>0</v>
      </c>
    </row>
    <row r="356" spans="1:14" hidden="1" x14ac:dyDescent="0.25">
      <c r="A356" s="151" t="s">
        <v>1538</v>
      </c>
      <c r="B356" s="233" t="str">
        <f>VLOOKUP(A356,'AFC Data details'!$B:$E,4,0)</f>
        <v>V54</v>
      </c>
      <c r="C356" s="145" t="s">
        <v>1695</v>
      </c>
      <c r="D356" s="151" t="s">
        <v>602</v>
      </c>
      <c r="E356" s="151">
        <f>VLOOKUP(A356,'AFC Data details'!$B:$P,15,0)</f>
        <v>2.0030000000000001</v>
      </c>
      <c r="F356" s="151">
        <f>SUMIFS('AFC Data details'!C:C,'AFC Data details'!$B:$B,'Element wise-detail Summary'!$A356)</f>
        <v>1</v>
      </c>
      <c r="G356" s="151">
        <f>SUMIFS(Cast!$C:$C,Cast!$B:$B,'Element wise-detail Summary'!$A356)</f>
        <v>1</v>
      </c>
      <c r="H356" s="151">
        <f t="shared" si="26"/>
        <v>0</v>
      </c>
      <c r="I356" s="151">
        <f>SUMIFS(Del!$C:$C,Del!$B:$B,'Element wise-detail Summary'!$A356)</f>
        <v>0</v>
      </c>
      <c r="J356" s="151">
        <f t="shared" si="27"/>
        <v>1</v>
      </c>
      <c r="K356" s="151">
        <f t="shared" si="28"/>
        <v>1</v>
      </c>
      <c r="L356" s="151">
        <f>SUMIF(Ere!$B:$B,'Element wise-detail Summary'!$A356,Ere!$C:$C)</f>
        <v>0</v>
      </c>
      <c r="M356" s="151">
        <f t="shared" si="29"/>
        <v>1</v>
      </c>
      <c r="N356">
        <f t="shared" si="30"/>
        <v>0</v>
      </c>
    </row>
    <row r="357" spans="1:14" hidden="1" x14ac:dyDescent="0.25">
      <c r="A357" s="151" t="s">
        <v>1539</v>
      </c>
      <c r="B357" s="233" t="str">
        <f>VLOOKUP(A357,'AFC Data details'!$B:$E,4,0)</f>
        <v>V54</v>
      </c>
      <c r="C357" s="145" t="s">
        <v>1695</v>
      </c>
      <c r="D357" s="151" t="s">
        <v>602</v>
      </c>
      <c r="E357" s="151">
        <f>VLOOKUP(A357,'AFC Data details'!$B:$P,15,0)</f>
        <v>2.0030000000000001</v>
      </c>
      <c r="F357" s="151">
        <f>SUMIFS('AFC Data details'!C:C,'AFC Data details'!$B:$B,'Element wise-detail Summary'!$A357)</f>
        <v>1</v>
      </c>
      <c r="G357" s="151">
        <f>SUMIFS(Cast!$C:$C,Cast!$B:$B,'Element wise-detail Summary'!$A357)</f>
        <v>1</v>
      </c>
      <c r="H357" s="151">
        <f t="shared" si="26"/>
        <v>0</v>
      </c>
      <c r="I357" s="151">
        <f>SUMIFS(Del!$C:$C,Del!$B:$B,'Element wise-detail Summary'!$A357)</f>
        <v>0</v>
      </c>
      <c r="J357" s="151">
        <f t="shared" si="27"/>
        <v>1</v>
      </c>
      <c r="K357" s="151">
        <f t="shared" si="28"/>
        <v>1</v>
      </c>
      <c r="L357" s="151">
        <f>SUMIF(Ere!$B:$B,'Element wise-detail Summary'!$A357,Ere!$C:$C)</f>
        <v>0</v>
      </c>
      <c r="M357" s="151">
        <f t="shared" si="29"/>
        <v>1</v>
      </c>
      <c r="N357">
        <f t="shared" si="30"/>
        <v>0</v>
      </c>
    </row>
    <row r="358" spans="1:14" hidden="1" x14ac:dyDescent="0.25">
      <c r="A358" s="151" t="s">
        <v>1540</v>
      </c>
      <c r="B358" s="233" t="str">
        <f>VLOOKUP(A358,'AFC Data details'!$B:$E,4,0)</f>
        <v>V54</v>
      </c>
      <c r="C358" s="145" t="s">
        <v>1695</v>
      </c>
      <c r="D358" s="151" t="s">
        <v>602</v>
      </c>
      <c r="E358" s="151">
        <f>VLOOKUP(A358,'AFC Data details'!$B:$P,15,0)</f>
        <v>2.2789999999999999</v>
      </c>
      <c r="F358" s="151">
        <f>SUMIFS('AFC Data details'!C:C,'AFC Data details'!$B:$B,'Element wise-detail Summary'!$A358)</f>
        <v>1</v>
      </c>
      <c r="G358" s="151">
        <f>SUMIFS(Cast!$C:$C,Cast!$B:$B,'Element wise-detail Summary'!$A358)</f>
        <v>1</v>
      </c>
      <c r="H358" s="151">
        <f t="shared" si="26"/>
        <v>0</v>
      </c>
      <c r="I358" s="151">
        <f>SUMIFS(Del!$C:$C,Del!$B:$B,'Element wise-detail Summary'!$A358)</f>
        <v>0</v>
      </c>
      <c r="J358" s="151">
        <f t="shared" si="27"/>
        <v>1</v>
      </c>
      <c r="K358" s="151">
        <f t="shared" si="28"/>
        <v>1</v>
      </c>
      <c r="L358" s="151">
        <f>SUMIF(Ere!$B:$B,'Element wise-detail Summary'!$A358,Ere!$C:$C)</f>
        <v>0</v>
      </c>
      <c r="M358" s="151">
        <f t="shared" si="29"/>
        <v>1</v>
      </c>
      <c r="N358">
        <f t="shared" si="30"/>
        <v>0</v>
      </c>
    </row>
    <row r="359" spans="1:14" hidden="1" x14ac:dyDescent="0.25">
      <c r="A359" s="151" t="s">
        <v>1541</v>
      </c>
      <c r="B359" s="233" t="str">
        <f>VLOOKUP(A359,'AFC Data details'!$B:$E,4,0)</f>
        <v>V54</v>
      </c>
      <c r="C359" s="145" t="s">
        <v>1695</v>
      </c>
      <c r="D359" s="151" t="s">
        <v>602</v>
      </c>
      <c r="E359" s="151">
        <f>VLOOKUP(A359,'AFC Data details'!$B:$P,15,0)</f>
        <v>1.296</v>
      </c>
      <c r="F359" s="151">
        <f>SUMIFS('AFC Data details'!C:C,'AFC Data details'!$B:$B,'Element wise-detail Summary'!$A359)</f>
        <v>1</v>
      </c>
      <c r="G359" s="151">
        <f>SUMIFS(Cast!$C:$C,Cast!$B:$B,'Element wise-detail Summary'!$A359)</f>
        <v>1</v>
      </c>
      <c r="H359" s="151">
        <f t="shared" si="26"/>
        <v>0</v>
      </c>
      <c r="I359" s="151">
        <f>SUMIFS(Del!$C:$C,Del!$B:$B,'Element wise-detail Summary'!$A359)</f>
        <v>0</v>
      </c>
      <c r="J359" s="151">
        <f t="shared" si="27"/>
        <v>1</v>
      </c>
      <c r="K359" s="151">
        <f t="shared" si="28"/>
        <v>1</v>
      </c>
      <c r="L359" s="151">
        <f>SUMIF(Ere!$B:$B,'Element wise-detail Summary'!$A359,Ere!$C:$C)</f>
        <v>0</v>
      </c>
      <c r="M359" s="151">
        <f t="shared" si="29"/>
        <v>1</v>
      </c>
      <c r="N359">
        <f t="shared" si="30"/>
        <v>0</v>
      </c>
    </row>
    <row r="360" spans="1:14" hidden="1" x14ac:dyDescent="0.25">
      <c r="A360" s="151" t="s">
        <v>1542</v>
      </c>
      <c r="B360" s="233" t="str">
        <f>VLOOKUP(A360,'AFC Data details'!$B:$E,4,0)</f>
        <v>V54</v>
      </c>
      <c r="C360" s="145" t="s">
        <v>1695</v>
      </c>
      <c r="D360" s="151" t="s">
        <v>602</v>
      </c>
      <c r="E360" s="151">
        <f>VLOOKUP(A360,'AFC Data details'!$B:$P,15,0)</f>
        <v>1.296</v>
      </c>
      <c r="F360" s="151">
        <f>SUMIFS('AFC Data details'!C:C,'AFC Data details'!$B:$B,'Element wise-detail Summary'!$A360)</f>
        <v>1</v>
      </c>
      <c r="G360" s="151">
        <f>SUMIFS(Cast!$C:$C,Cast!$B:$B,'Element wise-detail Summary'!$A360)</f>
        <v>1</v>
      </c>
      <c r="H360" s="151">
        <f t="shared" si="26"/>
        <v>0</v>
      </c>
      <c r="I360" s="151">
        <f>SUMIFS(Del!$C:$C,Del!$B:$B,'Element wise-detail Summary'!$A360)</f>
        <v>0</v>
      </c>
      <c r="J360" s="151">
        <f t="shared" si="27"/>
        <v>1</v>
      </c>
      <c r="K360" s="151">
        <f t="shared" si="28"/>
        <v>1</v>
      </c>
      <c r="L360" s="151">
        <f>SUMIF(Ere!$B:$B,'Element wise-detail Summary'!$A360,Ere!$C:$C)</f>
        <v>0</v>
      </c>
      <c r="M360" s="151">
        <f t="shared" si="29"/>
        <v>1</v>
      </c>
      <c r="N360">
        <f t="shared" si="30"/>
        <v>0</v>
      </c>
    </row>
    <row r="361" spans="1:14" hidden="1" x14ac:dyDescent="0.25">
      <c r="A361" s="151" t="s">
        <v>1543</v>
      </c>
      <c r="B361" s="233" t="str">
        <f>VLOOKUP(A361,'AFC Data details'!$B:$E,4,0)</f>
        <v>V54</v>
      </c>
      <c r="C361" s="145" t="s">
        <v>1695</v>
      </c>
      <c r="D361" s="151" t="s">
        <v>602</v>
      </c>
      <c r="E361" s="151">
        <f>VLOOKUP(A361,'AFC Data details'!$B:$P,15,0)</f>
        <v>1.4690000000000001</v>
      </c>
      <c r="F361" s="151">
        <f>SUMIFS('AFC Data details'!C:C,'AFC Data details'!$B:$B,'Element wise-detail Summary'!$A361)</f>
        <v>1</v>
      </c>
      <c r="G361" s="151">
        <f>SUMIFS(Cast!$C:$C,Cast!$B:$B,'Element wise-detail Summary'!$A361)</f>
        <v>1</v>
      </c>
      <c r="H361" s="151">
        <f t="shared" si="26"/>
        <v>0</v>
      </c>
      <c r="I361" s="151">
        <f>SUMIFS(Del!$C:$C,Del!$B:$B,'Element wise-detail Summary'!$A361)</f>
        <v>0</v>
      </c>
      <c r="J361" s="151">
        <f t="shared" si="27"/>
        <v>1</v>
      </c>
      <c r="K361" s="151">
        <f t="shared" si="28"/>
        <v>1</v>
      </c>
      <c r="L361" s="151">
        <f>SUMIF(Ere!$B:$B,'Element wise-detail Summary'!$A361,Ere!$C:$C)</f>
        <v>0</v>
      </c>
      <c r="M361" s="151">
        <f t="shared" si="29"/>
        <v>1</v>
      </c>
      <c r="N361">
        <f t="shared" si="30"/>
        <v>0</v>
      </c>
    </row>
    <row r="362" spans="1:14" hidden="1" x14ac:dyDescent="0.25">
      <c r="A362" s="151" t="s">
        <v>1544</v>
      </c>
      <c r="B362" s="233" t="str">
        <f>VLOOKUP(A362,'AFC Data details'!$B:$E,4,0)</f>
        <v>V56</v>
      </c>
      <c r="C362" s="144" t="s">
        <v>1696</v>
      </c>
      <c r="D362" s="151" t="s">
        <v>602</v>
      </c>
      <c r="E362" s="151">
        <f>VLOOKUP(A362,'AFC Data details'!$B:$P,15,0)</f>
        <v>2.1219999999999999</v>
      </c>
      <c r="F362" s="151">
        <f>SUMIFS('AFC Data details'!C:C,'AFC Data details'!$B:$B,'Element wise-detail Summary'!$A362)</f>
        <v>1</v>
      </c>
      <c r="G362" s="151">
        <f>SUMIFS(Cast!$C:$C,Cast!$B:$B,'Element wise-detail Summary'!$A362)</f>
        <v>1</v>
      </c>
      <c r="H362" s="151">
        <f t="shared" si="26"/>
        <v>0</v>
      </c>
      <c r="I362" s="151">
        <f>SUMIFS(Del!$C:$C,Del!$B:$B,'Element wise-detail Summary'!$A362)</f>
        <v>1</v>
      </c>
      <c r="J362" s="151">
        <f t="shared" si="27"/>
        <v>0</v>
      </c>
      <c r="K362" s="151">
        <f t="shared" si="28"/>
        <v>0</v>
      </c>
      <c r="L362" s="151">
        <f>SUMIF(Ere!$B:$B,'Element wise-detail Summary'!$A362,Ere!$C:$C)</f>
        <v>1</v>
      </c>
      <c r="M362" s="151">
        <f t="shared" si="29"/>
        <v>0</v>
      </c>
      <c r="N362">
        <f t="shared" si="30"/>
        <v>2.1219999999999999</v>
      </c>
    </row>
    <row r="363" spans="1:14" hidden="1" x14ac:dyDescent="0.25">
      <c r="A363" s="151" t="s">
        <v>1545</v>
      </c>
      <c r="B363" s="233" t="str">
        <f>VLOOKUP(A363,'AFC Data details'!$B:$E,4,0)</f>
        <v>V56</v>
      </c>
      <c r="C363" s="144" t="s">
        <v>1696</v>
      </c>
      <c r="D363" s="151" t="s">
        <v>602</v>
      </c>
      <c r="E363" s="151">
        <f>VLOOKUP(A363,'AFC Data details'!$B:$P,15,0)</f>
        <v>2.1219999999999999</v>
      </c>
      <c r="F363" s="151">
        <f>SUMIFS('AFC Data details'!C:C,'AFC Data details'!$B:$B,'Element wise-detail Summary'!$A363)</f>
        <v>1</v>
      </c>
      <c r="G363" s="151">
        <f>SUMIFS(Cast!$C:$C,Cast!$B:$B,'Element wise-detail Summary'!$A363)</f>
        <v>1</v>
      </c>
      <c r="H363" s="151">
        <f t="shared" si="26"/>
        <v>0</v>
      </c>
      <c r="I363" s="151">
        <f>SUMIFS(Del!$C:$C,Del!$B:$B,'Element wise-detail Summary'!$A363)</f>
        <v>1</v>
      </c>
      <c r="J363" s="151">
        <f t="shared" si="27"/>
        <v>0</v>
      </c>
      <c r="K363" s="151">
        <f t="shared" si="28"/>
        <v>0</v>
      </c>
      <c r="L363" s="151">
        <f>SUMIF(Ere!$B:$B,'Element wise-detail Summary'!$A363,Ere!$C:$C)</f>
        <v>1</v>
      </c>
      <c r="M363" s="151">
        <f t="shared" si="29"/>
        <v>0</v>
      </c>
      <c r="N363">
        <f t="shared" si="30"/>
        <v>2.1219999999999999</v>
      </c>
    </row>
    <row r="364" spans="1:14" hidden="1" x14ac:dyDescent="0.25">
      <c r="A364" s="151" t="s">
        <v>1546</v>
      </c>
      <c r="B364" s="233" t="str">
        <f>VLOOKUP(A364,'AFC Data details'!$B:$E,4,0)</f>
        <v>V56</v>
      </c>
      <c r="C364" s="144" t="s">
        <v>1696</v>
      </c>
      <c r="D364" s="151" t="s">
        <v>602</v>
      </c>
      <c r="E364" s="151">
        <f>VLOOKUP(A364,'AFC Data details'!$B:$P,15,0)</f>
        <v>2.1219999999999999</v>
      </c>
      <c r="F364" s="151">
        <f>SUMIFS('AFC Data details'!C:C,'AFC Data details'!$B:$B,'Element wise-detail Summary'!$A364)</f>
        <v>1</v>
      </c>
      <c r="G364" s="151">
        <f>SUMIFS(Cast!$C:$C,Cast!$B:$B,'Element wise-detail Summary'!$A364)</f>
        <v>1</v>
      </c>
      <c r="H364" s="151">
        <f t="shared" si="26"/>
        <v>0</v>
      </c>
      <c r="I364" s="151">
        <f>SUMIFS(Del!$C:$C,Del!$B:$B,'Element wise-detail Summary'!$A364)</f>
        <v>1</v>
      </c>
      <c r="J364" s="151">
        <f t="shared" si="27"/>
        <v>0</v>
      </c>
      <c r="K364" s="151">
        <f t="shared" si="28"/>
        <v>0</v>
      </c>
      <c r="L364" s="151">
        <f>SUMIF(Ere!$B:$B,'Element wise-detail Summary'!$A364,Ere!$C:$C)</f>
        <v>1</v>
      </c>
      <c r="M364" s="151">
        <f t="shared" si="29"/>
        <v>0</v>
      </c>
      <c r="N364">
        <f t="shared" si="30"/>
        <v>2.1219999999999999</v>
      </c>
    </row>
    <row r="365" spans="1:14" hidden="1" x14ac:dyDescent="0.25">
      <c r="A365" s="151" t="s">
        <v>1547</v>
      </c>
      <c r="B365" s="233" t="str">
        <f>VLOOKUP(A365,'AFC Data details'!$B:$E,4,0)</f>
        <v>V56</v>
      </c>
      <c r="C365" s="144" t="s">
        <v>1696</v>
      </c>
      <c r="D365" s="151" t="s">
        <v>602</v>
      </c>
      <c r="E365" s="151">
        <f>VLOOKUP(A365,'AFC Data details'!$B:$P,15,0)</f>
        <v>2.1219999999999999</v>
      </c>
      <c r="F365" s="151">
        <f>SUMIFS('AFC Data details'!C:C,'AFC Data details'!$B:$B,'Element wise-detail Summary'!$A365)</f>
        <v>1</v>
      </c>
      <c r="G365" s="151">
        <f>SUMIFS(Cast!$C:$C,Cast!$B:$B,'Element wise-detail Summary'!$A365)</f>
        <v>1</v>
      </c>
      <c r="H365" s="151">
        <f t="shared" si="26"/>
        <v>0</v>
      </c>
      <c r="I365" s="151">
        <f>SUMIFS(Del!$C:$C,Del!$B:$B,'Element wise-detail Summary'!$A365)</f>
        <v>1</v>
      </c>
      <c r="J365" s="151">
        <f t="shared" si="27"/>
        <v>0</v>
      </c>
      <c r="K365" s="151">
        <f t="shared" si="28"/>
        <v>0</v>
      </c>
      <c r="L365" s="151">
        <f>SUMIF(Ere!$B:$B,'Element wise-detail Summary'!$A365,Ere!$C:$C)</f>
        <v>1</v>
      </c>
      <c r="M365" s="151">
        <f t="shared" si="29"/>
        <v>0</v>
      </c>
      <c r="N365">
        <f t="shared" si="30"/>
        <v>2.1219999999999999</v>
      </c>
    </row>
    <row r="366" spans="1:14" hidden="1" x14ac:dyDescent="0.25">
      <c r="A366" s="151" t="s">
        <v>1548</v>
      </c>
      <c r="B366" s="233" t="str">
        <f>VLOOKUP(A366,'AFC Data details'!$B:$E,4,0)</f>
        <v>V56</v>
      </c>
      <c r="C366" s="144" t="s">
        <v>1696</v>
      </c>
      <c r="D366" s="151" t="s">
        <v>602</v>
      </c>
      <c r="E366" s="151">
        <f>VLOOKUP(A366,'AFC Data details'!$B:$P,15,0)</f>
        <v>2.1219999999999999</v>
      </c>
      <c r="F366" s="151">
        <f>SUMIFS('AFC Data details'!C:C,'AFC Data details'!$B:$B,'Element wise-detail Summary'!$A366)</f>
        <v>1</v>
      </c>
      <c r="G366" s="151">
        <f>SUMIFS(Cast!$C:$C,Cast!$B:$B,'Element wise-detail Summary'!$A366)</f>
        <v>1</v>
      </c>
      <c r="H366" s="151">
        <f t="shared" si="26"/>
        <v>0</v>
      </c>
      <c r="I366" s="151">
        <f>SUMIFS(Del!$C:$C,Del!$B:$B,'Element wise-detail Summary'!$A366)</f>
        <v>1</v>
      </c>
      <c r="J366" s="151">
        <f t="shared" si="27"/>
        <v>0</v>
      </c>
      <c r="K366" s="151">
        <f t="shared" si="28"/>
        <v>0</v>
      </c>
      <c r="L366" s="151">
        <f>SUMIF(Ere!$B:$B,'Element wise-detail Summary'!$A366,Ere!$C:$C)</f>
        <v>1</v>
      </c>
      <c r="M366" s="151">
        <f t="shared" si="29"/>
        <v>0</v>
      </c>
      <c r="N366">
        <f t="shared" si="30"/>
        <v>2.1219999999999999</v>
      </c>
    </row>
    <row r="367" spans="1:14" hidden="1" x14ac:dyDescent="0.25">
      <c r="A367" s="151" t="s">
        <v>1549</v>
      </c>
      <c r="B367" s="233" t="str">
        <f>VLOOKUP(A367,'AFC Data details'!$B:$E,4,0)</f>
        <v>V57</v>
      </c>
      <c r="C367" s="144" t="s">
        <v>1696</v>
      </c>
      <c r="D367" s="151" t="s">
        <v>602</v>
      </c>
      <c r="E367" s="151">
        <f>VLOOKUP(A367,'AFC Data details'!$B:$P,15,0)</f>
        <v>2.1219999999999999</v>
      </c>
      <c r="F367" s="151">
        <f>SUMIFS('AFC Data details'!C:C,'AFC Data details'!$B:$B,'Element wise-detail Summary'!$A367)</f>
        <v>1</v>
      </c>
      <c r="G367" s="151">
        <f>SUMIFS(Cast!$C:$C,Cast!$B:$B,'Element wise-detail Summary'!$A367)</f>
        <v>1</v>
      </c>
      <c r="H367" s="151">
        <f t="shared" si="26"/>
        <v>0</v>
      </c>
      <c r="I367" s="151">
        <f>SUMIFS(Del!$C:$C,Del!$B:$B,'Element wise-detail Summary'!$A367)</f>
        <v>1</v>
      </c>
      <c r="J367" s="151">
        <f t="shared" si="27"/>
        <v>0</v>
      </c>
      <c r="K367" s="151">
        <f t="shared" si="28"/>
        <v>0</v>
      </c>
      <c r="L367" s="151">
        <f>SUMIF(Ere!$B:$B,'Element wise-detail Summary'!$A367,Ere!$C:$C)</f>
        <v>1</v>
      </c>
      <c r="M367" s="151">
        <f t="shared" si="29"/>
        <v>0</v>
      </c>
      <c r="N367">
        <f t="shared" si="30"/>
        <v>2.1219999999999999</v>
      </c>
    </row>
    <row r="368" spans="1:14" hidden="1" x14ac:dyDescent="0.25">
      <c r="A368" s="151" t="s">
        <v>1550</v>
      </c>
      <c r="B368" s="233" t="str">
        <f>VLOOKUP(A368,'AFC Data details'!$B:$E,4,0)</f>
        <v>V57</v>
      </c>
      <c r="C368" s="144" t="s">
        <v>1696</v>
      </c>
      <c r="D368" s="151" t="s">
        <v>602</v>
      </c>
      <c r="E368" s="151">
        <f>VLOOKUP(A368,'AFC Data details'!$B:$P,15,0)</f>
        <v>2.1219999999999999</v>
      </c>
      <c r="F368" s="151">
        <f>SUMIFS('AFC Data details'!C:C,'AFC Data details'!$B:$B,'Element wise-detail Summary'!$A368)</f>
        <v>1</v>
      </c>
      <c r="G368" s="151">
        <f>SUMIFS(Cast!$C:$C,Cast!$B:$B,'Element wise-detail Summary'!$A368)</f>
        <v>1</v>
      </c>
      <c r="H368" s="151">
        <f t="shared" si="26"/>
        <v>0</v>
      </c>
      <c r="I368" s="151">
        <f>SUMIFS(Del!$C:$C,Del!$B:$B,'Element wise-detail Summary'!$A368)</f>
        <v>1</v>
      </c>
      <c r="J368" s="151">
        <f t="shared" si="27"/>
        <v>0</v>
      </c>
      <c r="K368" s="151">
        <f t="shared" si="28"/>
        <v>0</v>
      </c>
      <c r="L368" s="151">
        <f>SUMIF(Ere!$B:$B,'Element wise-detail Summary'!$A368,Ere!$C:$C)</f>
        <v>1</v>
      </c>
      <c r="M368" s="151">
        <f t="shared" si="29"/>
        <v>0</v>
      </c>
      <c r="N368">
        <f t="shared" si="30"/>
        <v>2.1219999999999999</v>
      </c>
    </row>
    <row r="369" spans="1:14" hidden="1" x14ac:dyDescent="0.25">
      <c r="A369" s="151" t="s">
        <v>1551</v>
      </c>
      <c r="B369" s="233" t="str">
        <f>VLOOKUP(A369,'AFC Data details'!$B:$E,4,0)</f>
        <v>V57</v>
      </c>
      <c r="C369" s="144" t="s">
        <v>1696</v>
      </c>
      <c r="D369" s="151" t="s">
        <v>602</v>
      </c>
      <c r="E369" s="151">
        <f>VLOOKUP(A369,'AFC Data details'!$B:$P,15,0)</f>
        <v>2.1219999999999999</v>
      </c>
      <c r="F369" s="151">
        <f>SUMIFS('AFC Data details'!C:C,'AFC Data details'!$B:$B,'Element wise-detail Summary'!$A369)</f>
        <v>1</v>
      </c>
      <c r="G369" s="151">
        <f>SUMIFS(Cast!$C:$C,Cast!$B:$B,'Element wise-detail Summary'!$A369)</f>
        <v>1</v>
      </c>
      <c r="H369" s="151">
        <f t="shared" si="26"/>
        <v>0</v>
      </c>
      <c r="I369" s="151">
        <f>SUMIFS(Del!$C:$C,Del!$B:$B,'Element wise-detail Summary'!$A369)</f>
        <v>1</v>
      </c>
      <c r="J369" s="151">
        <f t="shared" si="27"/>
        <v>0</v>
      </c>
      <c r="K369" s="151">
        <f t="shared" si="28"/>
        <v>0</v>
      </c>
      <c r="L369" s="151">
        <f>SUMIF(Ere!$B:$B,'Element wise-detail Summary'!$A369,Ere!$C:$C)</f>
        <v>1</v>
      </c>
      <c r="M369" s="151">
        <f t="shared" si="29"/>
        <v>0</v>
      </c>
      <c r="N369">
        <f t="shared" si="30"/>
        <v>2.1219999999999999</v>
      </c>
    </row>
    <row r="370" spans="1:14" hidden="1" x14ac:dyDescent="0.25">
      <c r="A370" s="151" t="s">
        <v>1552</v>
      </c>
      <c r="B370" s="233" t="str">
        <f>VLOOKUP(A370,'AFC Data details'!$B:$E,4,0)</f>
        <v>V57</v>
      </c>
      <c r="C370" s="144" t="s">
        <v>1696</v>
      </c>
      <c r="D370" s="151" t="s">
        <v>602</v>
      </c>
      <c r="E370" s="151">
        <f>VLOOKUP(A370,'AFC Data details'!$B:$P,15,0)</f>
        <v>2.1219999999999999</v>
      </c>
      <c r="F370" s="151">
        <f>SUMIFS('AFC Data details'!C:C,'AFC Data details'!$B:$B,'Element wise-detail Summary'!$A370)</f>
        <v>1</v>
      </c>
      <c r="G370" s="151">
        <f>SUMIFS(Cast!$C:$C,Cast!$B:$B,'Element wise-detail Summary'!$A370)</f>
        <v>1</v>
      </c>
      <c r="H370" s="151">
        <f t="shared" si="26"/>
        <v>0</v>
      </c>
      <c r="I370" s="151">
        <f>SUMIFS(Del!$C:$C,Del!$B:$B,'Element wise-detail Summary'!$A370)</f>
        <v>1</v>
      </c>
      <c r="J370" s="151">
        <f t="shared" si="27"/>
        <v>0</v>
      </c>
      <c r="K370" s="151">
        <f t="shared" si="28"/>
        <v>0</v>
      </c>
      <c r="L370" s="151">
        <f>SUMIF(Ere!$B:$B,'Element wise-detail Summary'!$A370,Ere!$C:$C)</f>
        <v>1</v>
      </c>
      <c r="M370" s="151">
        <f t="shared" si="29"/>
        <v>0</v>
      </c>
      <c r="N370">
        <f t="shared" si="30"/>
        <v>2.1219999999999999</v>
      </c>
    </row>
    <row r="371" spans="1:14" hidden="1" x14ac:dyDescent="0.25">
      <c r="A371" s="151" t="s">
        <v>1553</v>
      </c>
      <c r="B371" s="233" t="str">
        <f>VLOOKUP(A371,'AFC Data details'!$B:$E,4,0)</f>
        <v>V56</v>
      </c>
      <c r="C371" s="144" t="s">
        <v>1696</v>
      </c>
      <c r="D371" s="151" t="s">
        <v>602</v>
      </c>
      <c r="E371" s="151">
        <f>VLOOKUP(A371,'AFC Data details'!$B:$P,15,0)</f>
        <v>2.1219999999999999</v>
      </c>
      <c r="F371" s="151">
        <f>SUMIFS('AFC Data details'!C:C,'AFC Data details'!$B:$B,'Element wise-detail Summary'!$A371)</f>
        <v>1</v>
      </c>
      <c r="G371" s="151">
        <f>SUMIFS(Cast!$C:$C,Cast!$B:$B,'Element wise-detail Summary'!$A371)</f>
        <v>1</v>
      </c>
      <c r="H371" s="151">
        <f t="shared" si="26"/>
        <v>0</v>
      </c>
      <c r="I371" s="151">
        <f>SUMIFS(Del!$C:$C,Del!$B:$B,'Element wise-detail Summary'!$A371)</f>
        <v>1</v>
      </c>
      <c r="J371" s="151">
        <f t="shared" si="27"/>
        <v>0</v>
      </c>
      <c r="K371" s="151">
        <f t="shared" si="28"/>
        <v>0</v>
      </c>
      <c r="L371" s="151">
        <f>SUMIF(Ere!$B:$B,'Element wise-detail Summary'!$A371,Ere!$C:$C)</f>
        <v>1</v>
      </c>
      <c r="M371" s="151">
        <f t="shared" si="29"/>
        <v>0</v>
      </c>
      <c r="N371">
        <f t="shared" si="30"/>
        <v>2.1219999999999999</v>
      </c>
    </row>
    <row r="372" spans="1:14" hidden="1" x14ac:dyDescent="0.25">
      <c r="A372" s="151" t="s">
        <v>1554</v>
      </c>
      <c r="B372" s="233" t="str">
        <f>VLOOKUP(A372,'AFC Data details'!$B:$E,4,0)</f>
        <v>V57</v>
      </c>
      <c r="C372" s="144" t="s">
        <v>1696</v>
      </c>
      <c r="D372" s="151" t="s">
        <v>602</v>
      </c>
      <c r="E372" s="151">
        <f>VLOOKUP(A372,'AFC Data details'!$B:$P,15,0)</f>
        <v>2.1219999999999999</v>
      </c>
      <c r="F372" s="151">
        <f>SUMIFS('AFC Data details'!C:C,'AFC Data details'!$B:$B,'Element wise-detail Summary'!$A372)</f>
        <v>1</v>
      </c>
      <c r="G372" s="151">
        <f>SUMIFS(Cast!$C:$C,Cast!$B:$B,'Element wise-detail Summary'!$A372)</f>
        <v>1</v>
      </c>
      <c r="H372" s="151">
        <f t="shared" si="26"/>
        <v>0</v>
      </c>
      <c r="I372" s="151">
        <f>SUMIFS(Del!$C:$C,Del!$B:$B,'Element wise-detail Summary'!$A372)</f>
        <v>1</v>
      </c>
      <c r="J372" s="151">
        <f t="shared" si="27"/>
        <v>0</v>
      </c>
      <c r="K372" s="151">
        <f t="shared" si="28"/>
        <v>0</v>
      </c>
      <c r="L372" s="151">
        <f>SUMIF(Ere!$B:$B,'Element wise-detail Summary'!$A372,Ere!$C:$C)</f>
        <v>1</v>
      </c>
      <c r="M372" s="151">
        <f t="shared" si="29"/>
        <v>0</v>
      </c>
      <c r="N372">
        <f t="shared" si="30"/>
        <v>2.1219999999999999</v>
      </c>
    </row>
    <row r="373" spans="1:14" hidden="1" x14ac:dyDescent="0.25">
      <c r="A373" s="151" t="s">
        <v>1555</v>
      </c>
      <c r="B373" s="233" t="str">
        <f>VLOOKUP(A373,'AFC Data details'!$B:$E,4,0)</f>
        <v>V57</v>
      </c>
      <c r="C373" s="144" t="s">
        <v>1696</v>
      </c>
      <c r="D373" s="151" t="s">
        <v>602</v>
      </c>
      <c r="E373" s="151">
        <f>VLOOKUP(A373,'AFC Data details'!$B:$P,15,0)</f>
        <v>2.1219999999999999</v>
      </c>
      <c r="F373" s="151">
        <f>SUMIFS('AFC Data details'!C:C,'AFC Data details'!$B:$B,'Element wise-detail Summary'!$A373)</f>
        <v>1</v>
      </c>
      <c r="G373" s="151">
        <f>SUMIFS(Cast!$C:$C,Cast!$B:$B,'Element wise-detail Summary'!$A373)</f>
        <v>1</v>
      </c>
      <c r="H373" s="151">
        <f t="shared" si="26"/>
        <v>0</v>
      </c>
      <c r="I373" s="151">
        <f>SUMIFS(Del!$C:$C,Del!$B:$B,'Element wise-detail Summary'!$A373)</f>
        <v>1</v>
      </c>
      <c r="J373" s="151">
        <f t="shared" si="27"/>
        <v>0</v>
      </c>
      <c r="K373" s="151">
        <f t="shared" si="28"/>
        <v>0</v>
      </c>
      <c r="L373" s="151">
        <f>SUMIF(Ere!$B:$B,'Element wise-detail Summary'!$A373,Ere!$C:$C)</f>
        <v>1</v>
      </c>
      <c r="M373" s="151">
        <f t="shared" si="29"/>
        <v>0</v>
      </c>
      <c r="N373">
        <f t="shared" si="30"/>
        <v>2.1219999999999999</v>
      </c>
    </row>
    <row r="374" spans="1:14" hidden="1" x14ac:dyDescent="0.25">
      <c r="A374" s="151" t="s">
        <v>1556</v>
      </c>
      <c r="B374" s="233" t="str">
        <f>VLOOKUP(A374,'AFC Data details'!$B:$E,4,0)</f>
        <v>V58</v>
      </c>
      <c r="C374" s="144" t="s">
        <v>1696</v>
      </c>
      <c r="D374" s="151" t="s">
        <v>602</v>
      </c>
      <c r="E374" s="151">
        <f>VLOOKUP(A374,'AFC Data details'!$B:$P,15,0)</f>
        <v>2.1179999999999999</v>
      </c>
      <c r="F374" s="151">
        <f>SUMIFS('AFC Data details'!C:C,'AFC Data details'!$B:$B,'Element wise-detail Summary'!$A374)</f>
        <v>1</v>
      </c>
      <c r="G374" s="151">
        <f>SUMIFS(Cast!$C:$C,Cast!$B:$B,'Element wise-detail Summary'!$A374)</f>
        <v>1</v>
      </c>
      <c r="H374" s="151">
        <f t="shared" si="26"/>
        <v>0</v>
      </c>
      <c r="I374" s="151">
        <f>SUMIFS(Del!$C:$C,Del!$B:$B,'Element wise-detail Summary'!$A374)</f>
        <v>1</v>
      </c>
      <c r="J374" s="151">
        <f t="shared" si="27"/>
        <v>0</v>
      </c>
      <c r="K374" s="151">
        <f t="shared" si="28"/>
        <v>0</v>
      </c>
      <c r="L374" s="151">
        <f>SUMIF(Ere!$B:$B,'Element wise-detail Summary'!$A374,Ere!$C:$C)</f>
        <v>1</v>
      </c>
      <c r="M374" s="151">
        <f t="shared" si="29"/>
        <v>0</v>
      </c>
      <c r="N374">
        <f t="shared" si="30"/>
        <v>2.1179999999999999</v>
      </c>
    </row>
    <row r="375" spans="1:14" hidden="1" x14ac:dyDescent="0.25">
      <c r="A375" s="151" t="s">
        <v>1557</v>
      </c>
      <c r="B375" s="233" t="str">
        <f>VLOOKUP(A375,'AFC Data details'!$B:$E,4,0)</f>
        <v>V58</v>
      </c>
      <c r="C375" s="144" t="s">
        <v>1696</v>
      </c>
      <c r="D375" s="151" t="s">
        <v>602</v>
      </c>
      <c r="E375" s="151">
        <f>VLOOKUP(A375,'AFC Data details'!$B:$P,15,0)</f>
        <v>2.1179999999999999</v>
      </c>
      <c r="F375" s="151">
        <f>SUMIFS('AFC Data details'!C:C,'AFC Data details'!$B:$B,'Element wise-detail Summary'!$A375)</f>
        <v>1</v>
      </c>
      <c r="G375" s="151">
        <f>SUMIFS(Cast!$C:$C,Cast!$B:$B,'Element wise-detail Summary'!$A375)</f>
        <v>1</v>
      </c>
      <c r="H375" s="151">
        <f t="shared" si="26"/>
        <v>0</v>
      </c>
      <c r="I375" s="151">
        <f>SUMIFS(Del!$C:$C,Del!$B:$B,'Element wise-detail Summary'!$A375)</f>
        <v>1</v>
      </c>
      <c r="J375" s="151">
        <f t="shared" si="27"/>
        <v>0</v>
      </c>
      <c r="K375" s="151">
        <f t="shared" si="28"/>
        <v>0</v>
      </c>
      <c r="L375" s="151">
        <f>SUMIF(Ere!$B:$B,'Element wise-detail Summary'!$A375,Ere!$C:$C)</f>
        <v>1</v>
      </c>
      <c r="M375" s="151">
        <f t="shared" si="29"/>
        <v>0</v>
      </c>
      <c r="N375">
        <f t="shared" si="30"/>
        <v>2.1179999999999999</v>
      </c>
    </row>
    <row r="376" spans="1:14" hidden="1" x14ac:dyDescent="0.25">
      <c r="A376" s="151" t="s">
        <v>1558</v>
      </c>
      <c r="B376" s="233" t="str">
        <f>VLOOKUP(A376,'AFC Data details'!$B:$E,4,0)</f>
        <v>V58</v>
      </c>
      <c r="C376" s="144" t="s">
        <v>1696</v>
      </c>
      <c r="D376" s="151" t="s">
        <v>602</v>
      </c>
      <c r="E376" s="151">
        <f>VLOOKUP(A376,'AFC Data details'!$B:$P,15,0)</f>
        <v>2.1179999999999999</v>
      </c>
      <c r="F376" s="151">
        <f>SUMIFS('AFC Data details'!C:C,'AFC Data details'!$B:$B,'Element wise-detail Summary'!$A376)</f>
        <v>1</v>
      </c>
      <c r="G376" s="151">
        <f>SUMIFS(Cast!$C:$C,Cast!$B:$B,'Element wise-detail Summary'!$A376)</f>
        <v>1</v>
      </c>
      <c r="H376" s="151">
        <f t="shared" si="26"/>
        <v>0</v>
      </c>
      <c r="I376" s="151">
        <f>SUMIFS(Del!$C:$C,Del!$B:$B,'Element wise-detail Summary'!$A376)</f>
        <v>1</v>
      </c>
      <c r="J376" s="151">
        <f t="shared" si="27"/>
        <v>0</v>
      </c>
      <c r="K376" s="151">
        <f t="shared" si="28"/>
        <v>0</v>
      </c>
      <c r="L376" s="151">
        <f>SUMIF(Ere!$B:$B,'Element wise-detail Summary'!$A376,Ere!$C:$C)</f>
        <v>1</v>
      </c>
      <c r="M376" s="151">
        <f t="shared" si="29"/>
        <v>0</v>
      </c>
      <c r="N376">
        <f t="shared" si="30"/>
        <v>2.1179999999999999</v>
      </c>
    </row>
    <row r="377" spans="1:14" hidden="1" x14ac:dyDescent="0.25">
      <c r="A377" s="151" t="s">
        <v>1559</v>
      </c>
      <c r="B377" s="233" t="str">
        <f>VLOOKUP(A377,'AFC Data details'!$B:$E,4,0)</f>
        <v>V58</v>
      </c>
      <c r="C377" s="144" t="s">
        <v>1696</v>
      </c>
      <c r="D377" s="151" t="s">
        <v>602</v>
      </c>
      <c r="E377" s="151">
        <f>VLOOKUP(A377,'AFC Data details'!$B:$P,15,0)</f>
        <v>2.1179999999999999</v>
      </c>
      <c r="F377" s="151">
        <f>SUMIFS('AFC Data details'!C:C,'AFC Data details'!$B:$B,'Element wise-detail Summary'!$A377)</f>
        <v>1</v>
      </c>
      <c r="G377" s="151">
        <f>SUMIFS(Cast!$C:$C,Cast!$B:$B,'Element wise-detail Summary'!$A377)</f>
        <v>1</v>
      </c>
      <c r="H377" s="151">
        <f t="shared" si="26"/>
        <v>0</v>
      </c>
      <c r="I377" s="151">
        <f>SUMIFS(Del!$C:$C,Del!$B:$B,'Element wise-detail Summary'!$A377)</f>
        <v>1</v>
      </c>
      <c r="J377" s="151">
        <f t="shared" si="27"/>
        <v>0</v>
      </c>
      <c r="K377" s="151">
        <f t="shared" si="28"/>
        <v>0</v>
      </c>
      <c r="L377" s="151">
        <f>SUMIF(Ere!$B:$B,'Element wise-detail Summary'!$A377,Ere!$C:$C)</f>
        <v>0</v>
      </c>
      <c r="M377" s="151">
        <f t="shared" si="29"/>
        <v>1</v>
      </c>
      <c r="N377">
        <f t="shared" si="30"/>
        <v>2.1179999999999999</v>
      </c>
    </row>
    <row r="378" spans="1:14" hidden="1" x14ac:dyDescent="0.25">
      <c r="A378" s="151" t="s">
        <v>1560</v>
      </c>
      <c r="B378" s="233" t="str">
        <f>VLOOKUP(A378,'AFC Data details'!$B:$E,4,0)</f>
        <v>V58</v>
      </c>
      <c r="C378" s="144" t="s">
        <v>1696</v>
      </c>
      <c r="D378" s="151" t="s">
        <v>602</v>
      </c>
      <c r="E378" s="151">
        <f>VLOOKUP(A378,'AFC Data details'!$B:$P,15,0)</f>
        <v>2.1179999999999999</v>
      </c>
      <c r="F378" s="151">
        <f>SUMIFS('AFC Data details'!C:C,'AFC Data details'!$B:$B,'Element wise-detail Summary'!$A378)</f>
        <v>1</v>
      </c>
      <c r="G378" s="151">
        <f>SUMIFS(Cast!$C:$C,Cast!$B:$B,'Element wise-detail Summary'!$A378)</f>
        <v>1</v>
      </c>
      <c r="H378" s="151">
        <f t="shared" si="26"/>
        <v>0</v>
      </c>
      <c r="I378" s="151">
        <f>SUMIFS(Del!$C:$C,Del!$B:$B,'Element wise-detail Summary'!$A378)</f>
        <v>1</v>
      </c>
      <c r="J378" s="151">
        <f t="shared" si="27"/>
        <v>0</v>
      </c>
      <c r="K378" s="151">
        <f t="shared" si="28"/>
        <v>0</v>
      </c>
      <c r="L378" s="151">
        <f>SUMIF(Ere!$B:$B,'Element wise-detail Summary'!$A378,Ere!$C:$C)</f>
        <v>0</v>
      </c>
      <c r="M378" s="151">
        <f t="shared" si="29"/>
        <v>1</v>
      </c>
      <c r="N378">
        <f t="shared" si="30"/>
        <v>2.1179999999999999</v>
      </c>
    </row>
    <row r="379" spans="1:14" hidden="1" x14ac:dyDescent="0.25">
      <c r="A379" s="151" t="s">
        <v>1561</v>
      </c>
      <c r="B379" s="233" t="str">
        <f>VLOOKUP(A379,'AFC Data details'!$B:$E,4,0)</f>
        <v>V59</v>
      </c>
      <c r="C379" s="144" t="s">
        <v>1696</v>
      </c>
      <c r="D379" s="151" t="s">
        <v>602</v>
      </c>
      <c r="E379" s="151">
        <f>VLOOKUP(A379,'AFC Data details'!$B:$P,15,0)</f>
        <v>2.1179999999999999</v>
      </c>
      <c r="F379" s="151">
        <f>SUMIFS('AFC Data details'!C:C,'AFC Data details'!$B:$B,'Element wise-detail Summary'!$A379)</f>
        <v>1</v>
      </c>
      <c r="G379" s="151">
        <f>SUMIFS(Cast!$C:$C,Cast!$B:$B,'Element wise-detail Summary'!$A379)</f>
        <v>1</v>
      </c>
      <c r="H379" s="151">
        <f t="shared" si="26"/>
        <v>0</v>
      </c>
      <c r="I379" s="151">
        <f>SUMIFS(Del!$C:$C,Del!$B:$B,'Element wise-detail Summary'!$A379)</f>
        <v>1</v>
      </c>
      <c r="J379" s="151">
        <f t="shared" si="27"/>
        <v>0</v>
      </c>
      <c r="K379" s="151">
        <f t="shared" si="28"/>
        <v>0</v>
      </c>
      <c r="L379" s="151">
        <f>SUMIF(Ere!$B:$B,'Element wise-detail Summary'!$A379,Ere!$C:$C)</f>
        <v>1</v>
      </c>
      <c r="M379" s="151">
        <f t="shared" si="29"/>
        <v>0</v>
      </c>
      <c r="N379">
        <f t="shared" si="30"/>
        <v>2.1179999999999999</v>
      </c>
    </row>
    <row r="380" spans="1:14" hidden="1" x14ac:dyDescent="0.25">
      <c r="A380" s="151" t="s">
        <v>1562</v>
      </c>
      <c r="B380" s="233" t="str">
        <f>VLOOKUP(A380,'AFC Data details'!$B:$E,4,0)</f>
        <v>V59</v>
      </c>
      <c r="C380" s="144" t="s">
        <v>1696</v>
      </c>
      <c r="D380" s="151" t="s">
        <v>602</v>
      </c>
      <c r="E380" s="151">
        <f>VLOOKUP(A380,'AFC Data details'!$B:$P,15,0)</f>
        <v>2.1179999999999999</v>
      </c>
      <c r="F380" s="151">
        <f>SUMIFS('AFC Data details'!C:C,'AFC Data details'!$B:$B,'Element wise-detail Summary'!$A380)</f>
        <v>1</v>
      </c>
      <c r="G380" s="151">
        <f>SUMIFS(Cast!$C:$C,Cast!$B:$B,'Element wise-detail Summary'!$A380)</f>
        <v>1</v>
      </c>
      <c r="H380" s="151">
        <f t="shared" si="26"/>
        <v>0</v>
      </c>
      <c r="I380" s="151">
        <f>SUMIFS(Del!$C:$C,Del!$B:$B,'Element wise-detail Summary'!$A380)</f>
        <v>1</v>
      </c>
      <c r="J380" s="151">
        <f t="shared" si="27"/>
        <v>0</v>
      </c>
      <c r="K380" s="151">
        <f t="shared" si="28"/>
        <v>0</v>
      </c>
      <c r="L380" s="151">
        <f>SUMIF(Ere!$B:$B,'Element wise-detail Summary'!$A380,Ere!$C:$C)</f>
        <v>0</v>
      </c>
      <c r="M380" s="151">
        <f t="shared" si="29"/>
        <v>1</v>
      </c>
      <c r="N380">
        <f t="shared" si="30"/>
        <v>2.1179999999999999</v>
      </c>
    </row>
    <row r="381" spans="1:14" hidden="1" x14ac:dyDescent="0.25">
      <c r="A381" s="151" t="s">
        <v>1563</v>
      </c>
      <c r="B381" s="233" t="str">
        <f>VLOOKUP(A381,'AFC Data details'!$B:$E,4,0)</f>
        <v>V59</v>
      </c>
      <c r="C381" s="144" t="s">
        <v>1696</v>
      </c>
      <c r="D381" s="151" t="s">
        <v>602</v>
      </c>
      <c r="E381" s="151">
        <f>VLOOKUP(A381,'AFC Data details'!$B:$P,15,0)</f>
        <v>2.1179999999999999</v>
      </c>
      <c r="F381" s="151">
        <f>SUMIFS('AFC Data details'!C:C,'AFC Data details'!$B:$B,'Element wise-detail Summary'!$A381)</f>
        <v>1</v>
      </c>
      <c r="G381" s="151">
        <f>SUMIFS(Cast!$C:$C,Cast!$B:$B,'Element wise-detail Summary'!$A381)</f>
        <v>1</v>
      </c>
      <c r="H381" s="151">
        <f t="shared" si="26"/>
        <v>0</v>
      </c>
      <c r="I381" s="151">
        <f>SUMIFS(Del!$C:$C,Del!$B:$B,'Element wise-detail Summary'!$A381)</f>
        <v>1</v>
      </c>
      <c r="J381" s="151">
        <f t="shared" si="27"/>
        <v>0</v>
      </c>
      <c r="K381" s="151">
        <f t="shared" si="28"/>
        <v>0</v>
      </c>
      <c r="L381" s="151">
        <f>SUMIF(Ere!$B:$B,'Element wise-detail Summary'!$A381,Ere!$C:$C)</f>
        <v>1</v>
      </c>
      <c r="M381" s="151">
        <f t="shared" si="29"/>
        <v>0</v>
      </c>
      <c r="N381">
        <f t="shared" si="30"/>
        <v>2.1179999999999999</v>
      </c>
    </row>
    <row r="382" spans="1:14" hidden="1" x14ac:dyDescent="0.25">
      <c r="A382" s="151" t="s">
        <v>1564</v>
      </c>
      <c r="B382" s="233" t="str">
        <f>VLOOKUP(A382,'AFC Data details'!$B:$E,4,0)</f>
        <v>V59</v>
      </c>
      <c r="C382" s="144" t="s">
        <v>1696</v>
      </c>
      <c r="D382" s="151" t="s">
        <v>602</v>
      </c>
      <c r="E382" s="151">
        <f>VLOOKUP(A382,'AFC Data details'!$B:$P,15,0)</f>
        <v>2.1179999999999999</v>
      </c>
      <c r="F382" s="151">
        <f>SUMIFS('AFC Data details'!C:C,'AFC Data details'!$B:$B,'Element wise-detail Summary'!$A382)</f>
        <v>1</v>
      </c>
      <c r="G382" s="151">
        <f>SUMIFS(Cast!$C:$C,Cast!$B:$B,'Element wise-detail Summary'!$A382)</f>
        <v>1</v>
      </c>
      <c r="H382" s="151">
        <f t="shared" si="26"/>
        <v>0</v>
      </c>
      <c r="I382" s="151">
        <f>SUMIFS(Del!$C:$C,Del!$B:$B,'Element wise-detail Summary'!$A382)</f>
        <v>1</v>
      </c>
      <c r="J382" s="151">
        <f t="shared" si="27"/>
        <v>0</v>
      </c>
      <c r="K382" s="151">
        <f t="shared" si="28"/>
        <v>0</v>
      </c>
      <c r="L382" s="151">
        <f>SUMIF(Ere!$B:$B,'Element wise-detail Summary'!$A382,Ere!$C:$C)</f>
        <v>1</v>
      </c>
      <c r="M382" s="151">
        <f t="shared" si="29"/>
        <v>0</v>
      </c>
      <c r="N382">
        <f t="shared" si="30"/>
        <v>2.1179999999999999</v>
      </c>
    </row>
    <row r="383" spans="1:14" hidden="1" x14ac:dyDescent="0.25">
      <c r="A383" s="151" t="s">
        <v>1565</v>
      </c>
      <c r="B383" s="233" t="str">
        <f>VLOOKUP(A383,'AFC Data details'!$B:$E,4,0)</f>
        <v>V58</v>
      </c>
      <c r="C383" s="144" t="s">
        <v>1696</v>
      </c>
      <c r="D383" s="151" t="s">
        <v>602</v>
      </c>
      <c r="E383" s="151">
        <f>VLOOKUP(A383,'AFC Data details'!$B:$P,15,0)</f>
        <v>2.1179999999999999</v>
      </c>
      <c r="F383" s="151">
        <f>SUMIFS('AFC Data details'!C:C,'AFC Data details'!$B:$B,'Element wise-detail Summary'!$A383)</f>
        <v>1</v>
      </c>
      <c r="G383" s="151">
        <f>SUMIFS(Cast!$C:$C,Cast!$B:$B,'Element wise-detail Summary'!$A383)</f>
        <v>1</v>
      </c>
      <c r="H383" s="151">
        <f t="shared" si="26"/>
        <v>0</v>
      </c>
      <c r="I383" s="151">
        <f>SUMIFS(Del!$C:$C,Del!$B:$B,'Element wise-detail Summary'!$A383)</f>
        <v>1</v>
      </c>
      <c r="J383" s="151">
        <f t="shared" si="27"/>
        <v>0</v>
      </c>
      <c r="K383" s="151">
        <f t="shared" si="28"/>
        <v>0</v>
      </c>
      <c r="L383" s="151">
        <f>SUMIF(Ere!$B:$B,'Element wise-detail Summary'!$A383,Ere!$C:$C)</f>
        <v>1</v>
      </c>
      <c r="M383" s="151">
        <f t="shared" si="29"/>
        <v>0</v>
      </c>
      <c r="N383">
        <f t="shared" si="30"/>
        <v>2.1179999999999999</v>
      </c>
    </row>
    <row r="384" spans="1:14" hidden="1" x14ac:dyDescent="0.25">
      <c r="A384" s="151" t="s">
        <v>1566</v>
      </c>
      <c r="B384" s="233" t="str">
        <f>VLOOKUP(A384,'AFC Data details'!$B:$E,4,0)</f>
        <v>V59</v>
      </c>
      <c r="C384" s="144" t="s">
        <v>1696</v>
      </c>
      <c r="D384" s="151" t="s">
        <v>602</v>
      </c>
      <c r="E384" s="151">
        <f>VLOOKUP(A384,'AFC Data details'!$B:$P,15,0)</f>
        <v>2.1179999999999999</v>
      </c>
      <c r="F384" s="151">
        <f>SUMIFS('AFC Data details'!C:C,'AFC Data details'!$B:$B,'Element wise-detail Summary'!$A384)</f>
        <v>1</v>
      </c>
      <c r="G384" s="151">
        <f>SUMIFS(Cast!$C:$C,Cast!$B:$B,'Element wise-detail Summary'!$A384)</f>
        <v>1</v>
      </c>
      <c r="H384" s="151">
        <f t="shared" si="26"/>
        <v>0</v>
      </c>
      <c r="I384" s="151">
        <f>SUMIFS(Del!$C:$C,Del!$B:$B,'Element wise-detail Summary'!$A384)</f>
        <v>1</v>
      </c>
      <c r="J384" s="151">
        <f t="shared" si="27"/>
        <v>0</v>
      </c>
      <c r="K384" s="151">
        <f t="shared" si="28"/>
        <v>0</v>
      </c>
      <c r="L384" s="151">
        <f>SUMIF(Ere!$B:$B,'Element wise-detail Summary'!$A384,Ere!$C:$C)</f>
        <v>1</v>
      </c>
      <c r="M384" s="151">
        <f t="shared" si="29"/>
        <v>0</v>
      </c>
      <c r="N384">
        <f t="shared" si="30"/>
        <v>2.1179999999999999</v>
      </c>
    </row>
    <row r="385" spans="1:14" hidden="1" x14ac:dyDescent="0.25">
      <c r="A385" s="151" t="s">
        <v>1567</v>
      </c>
      <c r="B385" s="233" t="str">
        <f>VLOOKUP(A385,'AFC Data details'!$B:$E,4,0)</f>
        <v>V59</v>
      </c>
      <c r="C385" s="144" t="s">
        <v>1696</v>
      </c>
      <c r="D385" s="151" t="s">
        <v>602</v>
      </c>
      <c r="E385" s="151">
        <f>VLOOKUP(A385,'AFC Data details'!$B:$P,15,0)</f>
        <v>2.1179999999999999</v>
      </c>
      <c r="F385" s="151">
        <f>SUMIFS('AFC Data details'!C:C,'AFC Data details'!$B:$B,'Element wise-detail Summary'!$A385)</f>
        <v>1</v>
      </c>
      <c r="G385" s="151">
        <f>SUMIFS(Cast!$C:$C,Cast!$B:$B,'Element wise-detail Summary'!$A385)</f>
        <v>1</v>
      </c>
      <c r="H385" s="151">
        <f t="shared" si="26"/>
        <v>0</v>
      </c>
      <c r="I385" s="151">
        <f>SUMIFS(Del!$C:$C,Del!$B:$B,'Element wise-detail Summary'!$A385)</f>
        <v>1</v>
      </c>
      <c r="J385" s="151">
        <f t="shared" si="27"/>
        <v>0</v>
      </c>
      <c r="K385" s="151">
        <f t="shared" si="28"/>
        <v>0</v>
      </c>
      <c r="L385" s="151">
        <f>SUMIF(Ere!$B:$B,'Element wise-detail Summary'!$A385,Ere!$C:$C)</f>
        <v>1</v>
      </c>
      <c r="M385" s="151">
        <f t="shared" si="29"/>
        <v>0</v>
      </c>
      <c r="N385">
        <f t="shared" si="30"/>
        <v>2.1179999999999999</v>
      </c>
    </row>
    <row r="386" spans="1:14" hidden="1" x14ac:dyDescent="0.25">
      <c r="A386" s="151" t="s">
        <v>1568</v>
      </c>
      <c r="B386" s="233" t="str">
        <f>VLOOKUP(A386,'AFC Data details'!$B:$E,4,0)</f>
        <v>V61</v>
      </c>
      <c r="C386" s="144" t="s">
        <v>1696</v>
      </c>
      <c r="D386" s="151" t="s">
        <v>602</v>
      </c>
      <c r="E386" s="151">
        <f>VLOOKUP(A386,'AFC Data details'!$B:$P,15,0)</f>
        <v>1.9950000000000001</v>
      </c>
      <c r="F386" s="151">
        <f>SUMIFS('AFC Data details'!C:C,'AFC Data details'!$B:$B,'Element wise-detail Summary'!$A386)</f>
        <v>1</v>
      </c>
      <c r="G386" s="151">
        <f>SUMIFS(Cast!$C:$C,Cast!$B:$B,'Element wise-detail Summary'!$A386)</f>
        <v>1</v>
      </c>
      <c r="H386" s="151">
        <f t="shared" si="26"/>
        <v>0</v>
      </c>
      <c r="I386" s="151">
        <f>SUMIFS(Del!$C:$C,Del!$B:$B,'Element wise-detail Summary'!$A386)</f>
        <v>0</v>
      </c>
      <c r="J386" s="151">
        <f t="shared" si="27"/>
        <v>1</v>
      </c>
      <c r="K386" s="151">
        <f t="shared" si="28"/>
        <v>1</v>
      </c>
      <c r="L386" s="151">
        <f>SUMIF(Ere!$B:$B,'Element wise-detail Summary'!$A386,Ere!$C:$C)</f>
        <v>0</v>
      </c>
      <c r="M386" s="151">
        <f t="shared" si="29"/>
        <v>1</v>
      </c>
      <c r="N386">
        <f t="shared" si="30"/>
        <v>0</v>
      </c>
    </row>
    <row r="387" spans="1:14" hidden="1" x14ac:dyDescent="0.25">
      <c r="A387" s="151" t="s">
        <v>1569</v>
      </c>
      <c r="B387" s="233" t="str">
        <f>VLOOKUP(A387,'AFC Data details'!$B:$E,4,0)</f>
        <v>V61</v>
      </c>
      <c r="C387" s="144" t="s">
        <v>1696</v>
      </c>
      <c r="D387" s="151" t="s">
        <v>602</v>
      </c>
      <c r="E387" s="151">
        <f>VLOOKUP(A387,'AFC Data details'!$B:$P,15,0)</f>
        <v>1.9950000000000001</v>
      </c>
      <c r="F387" s="151">
        <f>SUMIFS('AFC Data details'!C:C,'AFC Data details'!$B:$B,'Element wise-detail Summary'!$A387)</f>
        <v>1</v>
      </c>
      <c r="G387" s="151">
        <f>SUMIFS(Cast!$C:$C,Cast!$B:$B,'Element wise-detail Summary'!$A387)</f>
        <v>1</v>
      </c>
      <c r="H387" s="151">
        <f t="shared" si="26"/>
        <v>0</v>
      </c>
      <c r="I387" s="151">
        <f>SUMIFS(Del!$C:$C,Del!$B:$B,'Element wise-detail Summary'!$A387)</f>
        <v>0</v>
      </c>
      <c r="J387" s="151">
        <f t="shared" si="27"/>
        <v>1</v>
      </c>
      <c r="K387" s="151">
        <f t="shared" si="28"/>
        <v>1</v>
      </c>
      <c r="L387" s="151">
        <f>SUMIF(Ere!$B:$B,'Element wise-detail Summary'!$A387,Ere!$C:$C)</f>
        <v>0</v>
      </c>
      <c r="M387" s="151">
        <f t="shared" si="29"/>
        <v>1</v>
      </c>
      <c r="N387">
        <f t="shared" si="30"/>
        <v>0</v>
      </c>
    </row>
    <row r="388" spans="1:14" hidden="1" x14ac:dyDescent="0.25">
      <c r="A388" s="151" t="s">
        <v>1570</v>
      </c>
      <c r="B388" s="233" t="str">
        <f>VLOOKUP(A388,'AFC Data details'!$B:$E,4,0)</f>
        <v>V61</v>
      </c>
      <c r="C388" s="144" t="s">
        <v>1696</v>
      </c>
      <c r="D388" s="151" t="s">
        <v>602</v>
      </c>
      <c r="E388" s="151">
        <f>VLOOKUP(A388,'AFC Data details'!$B:$P,15,0)</f>
        <v>2.0550000000000002</v>
      </c>
      <c r="F388" s="151">
        <f>SUMIFS('AFC Data details'!C:C,'AFC Data details'!$B:$B,'Element wise-detail Summary'!$A388)</f>
        <v>1</v>
      </c>
      <c r="G388" s="151">
        <f>SUMIFS(Cast!$C:$C,Cast!$B:$B,'Element wise-detail Summary'!$A388)</f>
        <v>1</v>
      </c>
      <c r="H388" s="151">
        <f t="shared" ref="H388:H451" si="31">F388-G388</f>
        <v>0</v>
      </c>
      <c r="I388" s="151">
        <f>SUMIFS(Del!$C:$C,Del!$B:$B,'Element wise-detail Summary'!$A388)</f>
        <v>0</v>
      </c>
      <c r="J388" s="151">
        <f t="shared" ref="J388:J451" si="32">F388-I388</f>
        <v>1</v>
      </c>
      <c r="K388" s="151">
        <f t="shared" ref="K388:K451" si="33">G388-I388</f>
        <v>1</v>
      </c>
      <c r="L388" s="151">
        <f>SUMIF(Ere!$B:$B,'Element wise-detail Summary'!$A388,Ere!$C:$C)</f>
        <v>0</v>
      </c>
      <c r="M388" s="151">
        <f t="shared" ref="M388:M451" si="34">F388-L388</f>
        <v>1</v>
      </c>
      <c r="N388">
        <f t="shared" ref="N388:N451" si="35">I388*E388</f>
        <v>0</v>
      </c>
    </row>
    <row r="389" spans="1:14" hidden="1" x14ac:dyDescent="0.25">
      <c r="A389" s="151" t="s">
        <v>1571</v>
      </c>
      <c r="B389" s="233" t="str">
        <f>VLOOKUP(A389,'AFC Data details'!$B:$E,4,0)</f>
        <v>V61</v>
      </c>
      <c r="C389" s="144" t="s">
        <v>1696</v>
      </c>
      <c r="D389" s="151" t="s">
        <v>602</v>
      </c>
      <c r="E389" s="151">
        <f>VLOOKUP(A389,'AFC Data details'!$B:$P,15,0)</f>
        <v>2.0550000000000002</v>
      </c>
      <c r="F389" s="151">
        <f>SUMIFS('AFC Data details'!C:C,'AFC Data details'!$B:$B,'Element wise-detail Summary'!$A389)</f>
        <v>1</v>
      </c>
      <c r="G389" s="151">
        <f>SUMIFS(Cast!$C:$C,Cast!$B:$B,'Element wise-detail Summary'!$A389)</f>
        <v>1</v>
      </c>
      <c r="H389" s="151">
        <f t="shared" si="31"/>
        <v>0</v>
      </c>
      <c r="I389" s="151">
        <f>SUMIFS(Del!$C:$C,Del!$B:$B,'Element wise-detail Summary'!$A389)</f>
        <v>0</v>
      </c>
      <c r="J389" s="151">
        <f t="shared" si="32"/>
        <v>1</v>
      </c>
      <c r="K389" s="151">
        <f t="shared" si="33"/>
        <v>1</v>
      </c>
      <c r="L389" s="151">
        <f>SUMIF(Ere!$B:$B,'Element wise-detail Summary'!$A389,Ere!$C:$C)</f>
        <v>0</v>
      </c>
      <c r="M389" s="151">
        <f t="shared" si="34"/>
        <v>1</v>
      </c>
      <c r="N389">
        <f t="shared" si="35"/>
        <v>0</v>
      </c>
    </row>
    <row r="390" spans="1:14" hidden="1" x14ac:dyDescent="0.25">
      <c r="A390" s="151" t="s">
        <v>1572</v>
      </c>
      <c r="B390" s="233" t="str">
        <f>VLOOKUP(A390,'AFC Data details'!$B:$E,4,0)</f>
        <v>V61</v>
      </c>
      <c r="C390" s="144" t="s">
        <v>1696</v>
      </c>
      <c r="D390" s="151" t="s">
        <v>602</v>
      </c>
      <c r="E390" s="151">
        <f>VLOOKUP(A390,'AFC Data details'!$B:$P,15,0)</f>
        <v>2.1949999999999998</v>
      </c>
      <c r="F390" s="151">
        <f>SUMIFS('AFC Data details'!C:C,'AFC Data details'!$B:$B,'Element wise-detail Summary'!$A390)</f>
        <v>1</v>
      </c>
      <c r="G390" s="151">
        <f>SUMIFS(Cast!$C:$C,Cast!$B:$B,'Element wise-detail Summary'!$A390)</f>
        <v>1</v>
      </c>
      <c r="H390" s="151">
        <f t="shared" si="31"/>
        <v>0</v>
      </c>
      <c r="I390" s="151">
        <f>SUMIFS(Del!$C:$C,Del!$B:$B,'Element wise-detail Summary'!$A390)</f>
        <v>0</v>
      </c>
      <c r="J390" s="151">
        <f t="shared" si="32"/>
        <v>1</v>
      </c>
      <c r="K390" s="151">
        <f t="shared" si="33"/>
        <v>1</v>
      </c>
      <c r="L390" s="151">
        <f>SUMIF(Ere!$B:$B,'Element wise-detail Summary'!$A390,Ere!$C:$C)</f>
        <v>0</v>
      </c>
      <c r="M390" s="151">
        <f t="shared" si="34"/>
        <v>1</v>
      </c>
      <c r="N390">
        <f t="shared" si="35"/>
        <v>0</v>
      </c>
    </row>
    <row r="391" spans="1:14" hidden="1" x14ac:dyDescent="0.25">
      <c r="A391" s="151" t="s">
        <v>1573</v>
      </c>
      <c r="B391" s="233" t="str">
        <f>VLOOKUP(A391,'AFC Data details'!$B:$E,4,0)</f>
        <v>V61</v>
      </c>
      <c r="C391" s="144" t="s">
        <v>1696</v>
      </c>
      <c r="D391" s="151" t="s">
        <v>602</v>
      </c>
      <c r="E391" s="151">
        <f>VLOOKUP(A391,'AFC Data details'!$B:$P,15,0)</f>
        <v>2.1949999999999998</v>
      </c>
      <c r="F391" s="151">
        <f>SUMIFS('AFC Data details'!C:C,'AFC Data details'!$B:$B,'Element wise-detail Summary'!$A391)</f>
        <v>1</v>
      </c>
      <c r="G391" s="151">
        <f>SUMIFS(Cast!$C:$C,Cast!$B:$B,'Element wise-detail Summary'!$A391)</f>
        <v>1</v>
      </c>
      <c r="H391" s="151">
        <f t="shared" si="31"/>
        <v>0</v>
      </c>
      <c r="I391" s="151">
        <f>SUMIFS(Del!$C:$C,Del!$B:$B,'Element wise-detail Summary'!$A391)</f>
        <v>0</v>
      </c>
      <c r="J391" s="151">
        <f t="shared" si="32"/>
        <v>1</v>
      </c>
      <c r="K391" s="151">
        <f t="shared" si="33"/>
        <v>1</v>
      </c>
      <c r="L391" s="151">
        <f>SUMIF(Ere!$B:$B,'Element wise-detail Summary'!$A391,Ere!$C:$C)</f>
        <v>0</v>
      </c>
      <c r="M391" s="151">
        <f t="shared" si="34"/>
        <v>1</v>
      </c>
      <c r="N391">
        <f t="shared" si="35"/>
        <v>0</v>
      </c>
    </row>
    <row r="392" spans="1:14" hidden="1" x14ac:dyDescent="0.25">
      <c r="A392" s="151" t="s">
        <v>1574</v>
      </c>
      <c r="B392" s="233" t="str">
        <f>VLOOKUP(A392,'AFC Data details'!$B:$E,4,0)</f>
        <v>V61</v>
      </c>
      <c r="C392" s="144" t="s">
        <v>1696</v>
      </c>
      <c r="D392" s="151" t="s">
        <v>602</v>
      </c>
      <c r="E392" s="151">
        <f>VLOOKUP(A392,'AFC Data details'!$B:$P,15,0)</f>
        <v>1.4179999999999999</v>
      </c>
      <c r="F392" s="151">
        <f>SUMIFS('AFC Data details'!C:C,'AFC Data details'!$B:$B,'Element wise-detail Summary'!$A392)</f>
        <v>1</v>
      </c>
      <c r="G392" s="151">
        <f>SUMIFS(Cast!$C:$C,Cast!$B:$B,'Element wise-detail Summary'!$A392)</f>
        <v>1</v>
      </c>
      <c r="H392" s="151">
        <f t="shared" si="31"/>
        <v>0</v>
      </c>
      <c r="I392" s="151">
        <f>SUMIFS(Del!$C:$C,Del!$B:$B,'Element wise-detail Summary'!$A392)</f>
        <v>1</v>
      </c>
      <c r="J392" s="151">
        <f t="shared" si="32"/>
        <v>0</v>
      </c>
      <c r="K392" s="151">
        <f t="shared" si="33"/>
        <v>0</v>
      </c>
      <c r="L392" s="151">
        <f>SUMIF(Ere!$B:$B,'Element wise-detail Summary'!$A392,Ere!$C:$C)</f>
        <v>1</v>
      </c>
      <c r="M392" s="151">
        <f t="shared" si="34"/>
        <v>0</v>
      </c>
      <c r="N392">
        <f t="shared" si="35"/>
        <v>1.4179999999999999</v>
      </c>
    </row>
    <row r="393" spans="1:14" hidden="1" x14ac:dyDescent="0.25">
      <c r="A393" s="151" t="s">
        <v>1575</v>
      </c>
      <c r="B393" s="233" t="str">
        <f>VLOOKUP(A393,'AFC Data details'!$B:$E,4,0)</f>
        <v>V62</v>
      </c>
      <c r="C393" s="144" t="s">
        <v>1696</v>
      </c>
      <c r="D393" s="151" t="s">
        <v>602</v>
      </c>
      <c r="E393" s="151">
        <f>VLOOKUP(A393,'AFC Data details'!$B:$P,15,0)</f>
        <v>2.0470000000000002</v>
      </c>
      <c r="F393" s="151">
        <f>SUMIFS('AFC Data details'!C:C,'AFC Data details'!$B:$B,'Element wise-detail Summary'!$A393)</f>
        <v>1</v>
      </c>
      <c r="G393" s="151">
        <f>SUMIFS(Cast!$C:$C,Cast!$B:$B,'Element wise-detail Summary'!$A393)</f>
        <v>1</v>
      </c>
      <c r="H393" s="151">
        <f t="shared" si="31"/>
        <v>0</v>
      </c>
      <c r="I393" s="151">
        <f>SUMIFS(Del!$C:$C,Del!$B:$B,'Element wise-detail Summary'!$A393)</f>
        <v>0</v>
      </c>
      <c r="J393" s="151">
        <f t="shared" si="32"/>
        <v>1</v>
      </c>
      <c r="K393" s="151">
        <f t="shared" si="33"/>
        <v>1</v>
      </c>
      <c r="L393" s="151">
        <f>SUMIF(Ere!$B:$B,'Element wise-detail Summary'!$A393,Ere!$C:$C)</f>
        <v>1</v>
      </c>
      <c r="M393" s="151">
        <f t="shared" si="34"/>
        <v>0</v>
      </c>
      <c r="N393">
        <f t="shared" si="35"/>
        <v>0</v>
      </c>
    </row>
    <row r="394" spans="1:14" hidden="1" x14ac:dyDescent="0.25">
      <c r="A394" s="151" t="s">
        <v>1576</v>
      </c>
      <c r="B394" s="233" t="str">
        <f>VLOOKUP(A394,'AFC Data details'!$B:$E,4,0)</f>
        <v>V66</v>
      </c>
      <c r="C394" s="144" t="s">
        <v>1696</v>
      </c>
      <c r="D394" s="151" t="s">
        <v>602</v>
      </c>
      <c r="E394" s="151">
        <f>VLOOKUP(A394,'AFC Data details'!$B:$P,15,0)</f>
        <v>2.0470000000000002</v>
      </c>
      <c r="F394" s="151">
        <f>SUMIFS('AFC Data details'!C:C,'AFC Data details'!$B:$B,'Element wise-detail Summary'!$A394)</f>
        <v>1</v>
      </c>
      <c r="G394" s="151">
        <f>SUMIFS(Cast!$C:$C,Cast!$B:$B,'Element wise-detail Summary'!$A394)</f>
        <v>1</v>
      </c>
      <c r="H394" s="151">
        <f t="shared" si="31"/>
        <v>0</v>
      </c>
      <c r="I394" s="151">
        <f>SUMIFS(Del!$C:$C,Del!$B:$B,'Element wise-detail Summary'!$A394)</f>
        <v>0</v>
      </c>
      <c r="J394" s="151">
        <f t="shared" si="32"/>
        <v>1</v>
      </c>
      <c r="K394" s="151">
        <f t="shared" si="33"/>
        <v>1</v>
      </c>
      <c r="L394" s="151">
        <f>SUMIF(Ere!$B:$B,'Element wise-detail Summary'!$A394,Ere!$C:$C)</f>
        <v>0</v>
      </c>
      <c r="M394" s="151">
        <f t="shared" si="34"/>
        <v>1</v>
      </c>
      <c r="N394">
        <f t="shared" si="35"/>
        <v>0</v>
      </c>
    </row>
    <row r="395" spans="1:14" hidden="1" x14ac:dyDescent="0.25">
      <c r="A395" s="151" t="s">
        <v>1577</v>
      </c>
      <c r="B395" s="233" t="str">
        <f>VLOOKUP(A395,'AFC Data details'!$B:$E,4,0)</f>
        <v>V62</v>
      </c>
      <c r="C395" s="144" t="s">
        <v>1696</v>
      </c>
      <c r="D395" s="151" t="s">
        <v>602</v>
      </c>
      <c r="E395" s="151">
        <f>VLOOKUP(A395,'AFC Data details'!$B:$P,15,0)</f>
        <v>2.0529999999999999</v>
      </c>
      <c r="F395" s="151">
        <f>SUMIFS('AFC Data details'!C:C,'AFC Data details'!$B:$B,'Element wise-detail Summary'!$A395)</f>
        <v>1</v>
      </c>
      <c r="G395" s="151">
        <f>SUMIFS(Cast!$C:$C,Cast!$B:$B,'Element wise-detail Summary'!$A395)</f>
        <v>1</v>
      </c>
      <c r="H395" s="151">
        <f t="shared" si="31"/>
        <v>0</v>
      </c>
      <c r="I395" s="151">
        <f>SUMIFS(Del!$C:$C,Del!$B:$B,'Element wise-detail Summary'!$A395)</f>
        <v>1</v>
      </c>
      <c r="J395" s="151">
        <f t="shared" si="32"/>
        <v>0</v>
      </c>
      <c r="K395" s="151">
        <f t="shared" si="33"/>
        <v>0</v>
      </c>
      <c r="L395" s="151">
        <f>SUMIF(Ere!$B:$B,'Element wise-detail Summary'!$A395,Ere!$C:$C)</f>
        <v>1</v>
      </c>
      <c r="M395" s="151">
        <f t="shared" si="34"/>
        <v>0</v>
      </c>
      <c r="N395">
        <f t="shared" si="35"/>
        <v>2.0529999999999999</v>
      </c>
    </row>
    <row r="396" spans="1:14" hidden="1" x14ac:dyDescent="0.25">
      <c r="A396" s="151" t="s">
        <v>1578</v>
      </c>
      <c r="B396" s="233" t="str">
        <f>VLOOKUP(A396,'AFC Data details'!$B:$E,4,0)</f>
        <v>V62</v>
      </c>
      <c r="C396" s="144" t="s">
        <v>1696</v>
      </c>
      <c r="D396" s="151" t="s">
        <v>602</v>
      </c>
      <c r="E396" s="151">
        <f>VLOOKUP(A396,'AFC Data details'!$B:$P,15,0)</f>
        <v>2.0529999999999999</v>
      </c>
      <c r="F396" s="151">
        <f>SUMIFS('AFC Data details'!C:C,'AFC Data details'!$B:$B,'Element wise-detail Summary'!$A396)</f>
        <v>1</v>
      </c>
      <c r="G396" s="151">
        <f>SUMIFS(Cast!$C:$C,Cast!$B:$B,'Element wise-detail Summary'!$A396)</f>
        <v>1</v>
      </c>
      <c r="H396" s="151">
        <f t="shared" si="31"/>
        <v>0</v>
      </c>
      <c r="I396" s="151">
        <f>SUMIFS(Del!$C:$C,Del!$B:$B,'Element wise-detail Summary'!$A396)</f>
        <v>1</v>
      </c>
      <c r="J396" s="151">
        <f t="shared" si="32"/>
        <v>0</v>
      </c>
      <c r="K396" s="151">
        <f t="shared" si="33"/>
        <v>0</v>
      </c>
      <c r="L396" s="151">
        <f>SUMIF(Ere!$B:$B,'Element wise-detail Summary'!$A396,Ere!$C:$C)</f>
        <v>1</v>
      </c>
      <c r="M396" s="151">
        <f t="shared" si="34"/>
        <v>0</v>
      </c>
      <c r="N396">
        <f t="shared" si="35"/>
        <v>2.0529999999999999</v>
      </c>
    </row>
    <row r="397" spans="1:14" hidden="1" x14ac:dyDescent="0.25">
      <c r="A397" s="151" t="s">
        <v>1579</v>
      </c>
      <c r="B397" s="233" t="str">
        <f>VLOOKUP(A397,'AFC Data details'!$B:$E,4,0)</f>
        <v>V63</v>
      </c>
      <c r="C397" s="144" t="s">
        <v>1696</v>
      </c>
      <c r="D397" s="151" t="s">
        <v>602</v>
      </c>
      <c r="E397" s="151">
        <f>VLOOKUP(A397,'AFC Data details'!$B:$P,15,0)</f>
        <v>2.0529999999999999</v>
      </c>
      <c r="F397" s="151">
        <f>SUMIFS('AFC Data details'!C:C,'AFC Data details'!$B:$B,'Element wise-detail Summary'!$A397)</f>
        <v>1</v>
      </c>
      <c r="G397" s="151">
        <f>SUMIFS(Cast!$C:$C,Cast!$B:$B,'Element wise-detail Summary'!$A397)</f>
        <v>1</v>
      </c>
      <c r="H397" s="151">
        <f t="shared" si="31"/>
        <v>0</v>
      </c>
      <c r="I397" s="151">
        <f>SUMIFS(Del!$C:$C,Del!$B:$B,'Element wise-detail Summary'!$A397)</f>
        <v>1</v>
      </c>
      <c r="J397" s="151">
        <f t="shared" si="32"/>
        <v>0</v>
      </c>
      <c r="K397" s="151">
        <f t="shared" si="33"/>
        <v>0</v>
      </c>
      <c r="L397" s="151">
        <f>SUMIF(Ere!$B:$B,'Element wise-detail Summary'!$A397,Ere!$C:$C)</f>
        <v>1</v>
      </c>
      <c r="M397" s="151">
        <f t="shared" si="34"/>
        <v>0</v>
      </c>
      <c r="N397">
        <f t="shared" si="35"/>
        <v>2.0529999999999999</v>
      </c>
    </row>
    <row r="398" spans="1:14" hidden="1" x14ac:dyDescent="0.25">
      <c r="A398" s="151" t="s">
        <v>1580</v>
      </c>
      <c r="B398" s="233" t="str">
        <f>VLOOKUP(A398,'AFC Data details'!$B:$E,4,0)</f>
        <v>V63</v>
      </c>
      <c r="C398" s="144" t="s">
        <v>1696</v>
      </c>
      <c r="D398" s="151" t="s">
        <v>602</v>
      </c>
      <c r="E398" s="151">
        <f>VLOOKUP(A398,'AFC Data details'!$B:$P,15,0)</f>
        <v>2.0529999999999999</v>
      </c>
      <c r="F398" s="151">
        <f>SUMIFS('AFC Data details'!C:C,'AFC Data details'!$B:$B,'Element wise-detail Summary'!$A398)</f>
        <v>1</v>
      </c>
      <c r="G398" s="151">
        <f>SUMIFS(Cast!$C:$C,Cast!$B:$B,'Element wise-detail Summary'!$A398)</f>
        <v>1</v>
      </c>
      <c r="H398" s="151">
        <f t="shared" si="31"/>
        <v>0</v>
      </c>
      <c r="I398" s="151">
        <f>SUMIFS(Del!$C:$C,Del!$B:$B,'Element wise-detail Summary'!$A398)</f>
        <v>1</v>
      </c>
      <c r="J398" s="151">
        <f t="shared" si="32"/>
        <v>0</v>
      </c>
      <c r="K398" s="151">
        <f t="shared" si="33"/>
        <v>0</v>
      </c>
      <c r="L398" s="151">
        <f>SUMIF(Ere!$B:$B,'Element wise-detail Summary'!$A398,Ere!$C:$C)</f>
        <v>1</v>
      </c>
      <c r="M398" s="151">
        <f t="shared" si="34"/>
        <v>0</v>
      </c>
      <c r="N398">
        <f t="shared" si="35"/>
        <v>2.0529999999999999</v>
      </c>
    </row>
    <row r="399" spans="1:14" hidden="1" x14ac:dyDescent="0.25">
      <c r="A399" s="151" t="s">
        <v>1581</v>
      </c>
      <c r="B399" s="233" t="str">
        <f>VLOOKUP(A399,'AFC Data details'!$B:$E,4,0)</f>
        <v>V66</v>
      </c>
      <c r="C399" s="144" t="s">
        <v>1696</v>
      </c>
      <c r="D399" s="151" t="s">
        <v>602</v>
      </c>
      <c r="E399" s="151">
        <f>VLOOKUP(A399,'AFC Data details'!$B:$P,15,0)</f>
        <v>2.0529999999999999</v>
      </c>
      <c r="F399" s="151">
        <f>SUMIFS('AFC Data details'!C:C,'AFC Data details'!$B:$B,'Element wise-detail Summary'!$A399)</f>
        <v>1</v>
      </c>
      <c r="G399" s="151">
        <f>SUMIFS(Cast!$C:$C,Cast!$B:$B,'Element wise-detail Summary'!$A399)</f>
        <v>1</v>
      </c>
      <c r="H399" s="151">
        <f t="shared" si="31"/>
        <v>0</v>
      </c>
      <c r="I399" s="151">
        <f>SUMIFS(Del!$C:$C,Del!$B:$B,'Element wise-detail Summary'!$A399)</f>
        <v>0</v>
      </c>
      <c r="J399" s="151">
        <f t="shared" si="32"/>
        <v>1</v>
      </c>
      <c r="K399" s="151">
        <f t="shared" si="33"/>
        <v>1</v>
      </c>
      <c r="L399" s="151">
        <f>SUMIF(Ere!$B:$B,'Element wise-detail Summary'!$A399,Ere!$C:$C)</f>
        <v>0</v>
      </c>
      <c r="M399" s="151">
        <f t="shared" si="34"/>
        <v>1</v>
      </c>
      <c r="N399">
        <f t="shared" si="35"/>
        <v>0</v>
      </c>
    </row>
    <row r="400" spans="1:14" hidden="1" x14ac:dyDescent="0.25">
      <c r="A400" s="151" t="s">
        <v>1582</v>
      </c>
      <c r="B400" s="233" t="str">
        <f>VLOOKUP(A400,'AFC Data details'!$B:$E,4,0)</f>
        <v>V66</v>
      </c>
      <c r="C400" s="144" t="s">
        <v>1696</v>
      </c>
      <c r="D400" s="151" t="s">
        <v>602</v>
      </c>
      <c r="E400" s="151">
        <f>VLOOKUP(A400,'AFC Data details'!$B:$P,15,0)</f>
        <v>2.0529999999999999</v>
      </c>
      <c r="F400" s="151">
        <f>SUMIFS('AFC Data details'!C:C,'AFC Data details'!$B:$B,'Element wise-detail Summary'!$A400)</f>
        <v>1</v>
      </c>
      <c r="G400" s="151">
        <f>SUMIFS(Cast!$C:$C,Cast!$B:$B,'Element wise-detail Summary'!$A400)</f>
        <v>1</v>
      </c>
      <c r="H400" s="151">
        <f t="shared" si="31"/>
        <v>0</v>
      </c>
      <c r="I400" s="151">
        <f>SUMIFS(Del!$C:$C,Del!$B:$B,'Element wise-detail Summary'!$A400)</f>
        <v>0</v>
      </c>
      <c r="J400" s="151">
        <f t="shared" si="32"/>
        <v>1</v>
      </c>
      <c r="K400" s="151">
        <f t="shared" si="33"/>
        <v>1</v>
      </c>
      <c r="L400" s="151">
        <f>SUMIF(Ere!$B:$B,'Element wise-detail Summary'!$A400,Ere!$C:$C)</f>
        <v>0</v>
      </c>
      <c r="M400" s="151">
        <f t="shared" si="34"/>
        <v>1</v>
      </c>
      <c r="N400">
        <f t="shared" si="35"/>
        <v>0</v>
      </c>
    </row>
    <row r="401" spans="1:14" hidden="1" x14ac:dyDescent="0.25">
      <c r="A401" s="151" t="s">
        <v>1583</v>
      </c>
      <c r="B401" s="233" t="str">
        <f>VLOOKUP(A401,'AFC Data details'!$B:$E,4,0)</f>
        <v>V67</v>
      </c>
      <c r="C401" s="144" t="s">
        <v>1696</v>
      </c>
      <c r="D401" s="151" t="s">
        <v>602</v>
      </c>
      <c r="E401" s="151">
        <f>VLOOKUP(A401,'AFC Data details'!$B:$P,15,0)</f>
        <v>2.0529999999999999</v>
      </c>
      <c r="F401" s="151">
        <f>SUMIFS('AFC Data details'!C:C,'AFC Data details'!$B:$B,'Element wise-detail Summary'!$A401)</f>
        <v>1</v>
      </c>
      <c r="G401" s="151">
        <f>SUMIFS(Cast!$C:$C,Cast!$B:$B,'Element wise-detail Summary'!$A401)</f>
        <v>1</v>
      </c>
      <c r="H401" s="151">
        <f t="shared" si="31"/>
        <v>0</v>
      </c>
      <c r="I401" s="151">
        <f>SUMIFS(Del!$C:$C,Del!$B:$B,'Element wise-detail Summary'!$A401)</f>
        <v>0</v>
      </c>
      <c r="J401" s="151">
        <f t="shared" si="32"/>
        <v>1</v>
      </c>
      <c r="K401" s="151">
        <f t="shared" si="33"/>
        <v>1</v>
      </c>
      <c r="L401" s="151">
        <f>SUMIF(Ere!$B:$B,'Element wise-detail Summary'!$A401,Ere!$C:$C)</f>
        <v>0</v>
      </c>
      <c r="M401" s="151">
        <f t="shared" si="34"/>
        <v>1</v>
      </c>
      <c r="N401">
        <f t="shared" si="35"/>
        <v>0</v>
      </c>
    </row>
    <row r="402" spans="1:14" hidden="1" x14ac:dyDescent="0.25">
      <c r="A402" s="151" t="s">
        <v>1584</v>
      </c>
      <c r="B402" s="233" t="str">
        <f>VLOOKUP(A402,'AFC Data details'!$B:$E,4,0)</f>
        <v>V67</v>
      </c>
      <c r="C402" s="144" t="s">
        <v>1696</v>
      </c>
      <c r="D402" s="151" t="s">
        <v>602</v>
      </c>
      <c r="E402" s="151">
        <f>VLOOKUP(A402,'AFC Data details'!$B:$P,15,0)</f>
        <v>2.0529999999999999</v>
      </c>
      <c r="F402" s="151">
        <f>SUMIFS('AFC Data details'!C:C,'AFC Data details'!$B:$B,'Element wise-detail Summary'!$A402)</f>
        <v>1</v>
      </c>
      <c r="G402" s="151">
        <f>SUMIFS(Cast!$C:$C,Cast!$B:$B,'Element wise-detail Summary'!$A402)</f>
        <v>1</v>
      </c>
      <c r="H402" s="151">
        <f t="shared" si="31"/>
        <v>0</v>
      </c>
      <c r="I402" s="151">
        <f>SUMIFS(Del!$C:$C,Del!$B:$B,'Element wise-detail Summary'!$A402)</f>
        <v>0</v>
      </c>
      <c r="J402" s="151">
        <f t="shared" si="32"/>
        <v>1</v>
      </c>
      <c r="K402" s="151">
        <f t="shared" si="33"/>
        <v>1</v>
      </c>
      <c r="L402" s="151">
        <f>SUMIF(Ere!$B:$B,'Element wise-detail Summary'!$A402,Ere!$C:$C)</f>
        <v>0</v>
      </c>
      <c r="M402" s="151">
        <f t="shared" si="34"/>
        <v>1</v>
      </c>
      <c r="N402">
        <f t="shared" si="35"/>
        <v>0</v>
      </c>
    </row>
    <row r="403" spans="1:14" hidden="1" x14ac:dyDescent="0.25">
      <c r="A403" s="151" t="s">
        <v>1585</v>
      </c>
      <c r="B403" s="233" t="str">
        <f>VLOOKUP(A403,'AFC Data details'!$B:$E,4,0)</f>
        <v>V62</v>
      </c>
      <c r="C403" s="144" t="s">
        <v>1696</v>
      </c>
      <c r="D403" s="151" t="s">
        <v>602</v>
      </c>
      <c r="E403" s="151">
        <f>VLOOKUP(A403,'AFC Data details'!$B:$P,15,0)</f>
        <v>2.0840000000000001</v>
      </c>
      <c r="F403" s="151">
        <f>SUMIFS('AFC Data details'!C:C,'AFC Data details'!$B:$B,'Element wise-detail Summary'!$A403)</f>
        <v>1</v>
      </c>
      <c r="G403" s="151">
        <f>SUMIFS(Cast!$C:$C,Cast!$B:$B,'Element wise-detail Summary'!$A403)</f>
        <v>1</v>
      </c>
      <c r="H403" s="151">
        <f t="shared" si="31"/>
        <v>0</v>
      </c>
      <c r="I403" s="151">
        <f>SUMIFS(Del!$C:$C,Del!$B:$B,'Element wise-detail Summary'!$A403)</f>
        <v>0</v>
      </c>
      <c r="J403" s="151">
        <f t="shared" si="32"/>
        <v>1</v>
      </c>
      <c r="K403" s="151">
        <f t="shared" si="33"/>
        <v>1</v>
      </c>
      <c r="L403" s="151">
        <f>SUMIF(Ere!$B:$B,'Element wise-detail Summary'!$A403,Ere!$C:$C)</f>
        <v>1</v>
      </c>
      <c r="M403" s="151">
        <f t="shared" si="34"/>
        <v>0</v>
      </c>
      <c r="N403">
        <f t="shared" si="35"/>
        <v>0</v>
      </c>
    </row>
    <row r="404" spans="1:14" hidden="1" x14ac:dyDescent="0.25">
      <c r="A404" s="151" t="s">
        <v>1586</v>
      </c>
      <c r="B404" s="233" t="str">
        <f>VLOOKUP(A404,'AFC Data details'!$B:$E,4,0)</f>
        <v>V62</v>
      </c>
      <c r="C404" s="144" t="s">
        <v>1696</v>
      </c>
      <c r="D404" s="151" t="s">
        <v>602</v>
      </c>
      <c r="E404" s="151">
        <f>VLOOKUP(A404,'AFC Data details'!$B:$P,15,0)</f>
        <v>2.0840000000000001</v>
      </c>
      <c r="F404" s="151">
        <f>SUMIFS('AFC Data details'!C:C,'AFC Data details'!$B:$B,'Element wise-detail Summary'!$A404)</f>
        <v>1</v>
      </c>
      <c r="G404" s="151">
        <f>SUMIFS(Cast!$C:$C,Cast!$B:$B,'Element wise-detail Summary'!$A404)</f>
        <v>1</v>
      </c>
      <c r="H404" s="151">
        <f t="shared" si="31"/>
        <v>0</v>
      </c>
      <c r="I404" s="151">
        <f>SUMIFS(Del!$C:$C,Del!$B:$B,'Element wise-detail Summary'!$A404)</f>
        <v>1</v>
      </c>
      <c r="J404" s="151">
        <f t="shared" si="32"/>
        <v>0</v>
      </c>
      <c r="K404" s="151">
        <f t="shared" si="33"/>
        <v>0</v>
      </c>
      <c r="L404" s="151">
        <f>SUMIF(Ere!$B:$B,'Element wise-detail Summary'!$A404,Ere!$C:$C)</f>
        <v>1</v>
      </c>
      <c r="M404" s="151">
        <f t="shared" si="34"/>
        <v>0</v>
      </c>
      <c r="N404">
        <f t="shared" si="35"/>
        <v>2.0840000000000001</v>
      </c>
    </row>
    <row r="405" spans="1:14" hidden="1" x14ac:dyDescent="0.25">
      <c r="A405" s="151" t="s">
        <v>1587</v>
      </c>
      <c r="B405" s="233" t="str">
        <f>VLOOKUP(A405,'AFC Data details'!$B:$E,4,0)</f>
        <v>V63</v>
      </c>
      <c r="C405" s="144" t="s">
        <v>1696</v>
      </c>
      <c r="D405" s="151" t="s">
        <v>602</v>
      </c>
      <c r="E405" s="151">
        <f>VLOOKUP(A405,'AFC Data details'!$B:$P,15,0)</f>
        <v>2.0840000000000001</v>
      </c>
      <c r="F405" s="151">
        <f>SUMIFS('AFC Data details'!C:C,'AFC Data details'!$B:$B,'Element wise-detail Summary'!$A405)</f>
        <v>1</v>
      </c>
      <c r="G405" s="151">
        <f>SUMIFS(Cast!$C:$C,Cast!$B:$B,'Element wise-detail Summary'!$A405)</f>
        <v>1</v>
      </c>
      <c r="H405" s="151">
        <f t="shared" si="31"/>
        <v>0</v>
      </c>
      <c r="I405" s="151">
        <f>SUMIFS(Del!$C:$C,Del!$B:$B,'Element wise-detail Summary'!$A405)</f>
        <v>1</v>
      </c>
      <c r="J405" s="151">
        <f t="shared" si="32"/>
        <v>0</v>
      </c>
      <c r="K405" s="151">
        <f t="shared" si="33"/>
        <v>0</v>
      </c>
      <c r="L405" s="151">
        <f>SUMIF(Ere!$B:$B,'Element wise-detail Summary'!$A405,Ere!$C:$C)</f>
        <v>1</v>
      </c>
      <c r="M405" s="151">
        <f t="shared" si="34"/>
        <v>0</v>
      </c>
      <c r="N405">
        <f t="shared" si="35"/>
        <v>2.0840000000000001</v>
      </c>
    </row>
    <row r="406" spans="1:14" hidden="1" x14ac:dyDescent="0.25">
      <c r="A406" s="151" t="s">
        <v>1588</v>
      </c>
      <c r="B406" s="233" t="str">
        <f>VLOOKUP(A406,'AFC Data details'!$B:$E,4,0)</f>
        <v>V63</v>
      </c>
      <c r="C406" s="144" t="s">
        <v>1696</v>
      </c>
      <c r="D406" s="151" t="s">
        <v>602</v>
      </c>
      <c r="E406" s="151">
        <f>VLOOKUP(A406,'AFC Data details'!$B:$P,15,0)</f>
        <v>2.0840000000000001</v>
      </c>
      <c r="F406" s="151">
        <f>SUMIFS('AFC Data details'!C:C,'AFC Data details'!$B:$B,'Element wise-detail Summary'!$A406)</f>
        <v>1</v>
      </c>
      <c r="G406" s="151">
        <f>SUMIFS(Cast!$C:$C,Cast!$B:$B,'Element wise-detail Summary'!$A406)</f>
        <v>1</v>
      </c>
      <c r="H406" s="151">
        <f t="shared" si="31"/>
        <v>0</v>
      </c>
      <c r="I406" s="151">
        <f>SUMIFS(Del!$C:$C,Del!$B:$B,'Element wise-detail Summary'!$A406)</f>
        <v>1</v>
      </c>
      <c r="J406" s="151">
        <f t="shared" si="32"/>
        <v>0</v>
      </c>
      <c r="K406" s="151">
        <f t="shared" si="33"/>
        <v>0</v>
      </c>
      <c r="L406" s="151">
        <f>SUMIF(Ere!$B:$B,'Element wise-detail Summary'!$A406,Ere!$C:$C)</f>
        <v>1</v>
      </c>
      <c r="M406" s="151">
        <f t="shared" si="34"/>
        <v>0</v>
      </c>
      <c r="N406">
        <f t="shared" si="35"/>
        <v>2.0840000000000001</v>
      </c>
    </row>
    <row r="407" spans="1:14" hidden="1" x14ac:dyDescent="0.25">
      <c r="A407" s="151" t="s">
        <v>1589</v>
      </c>
      <c r="B407" s="233" t="str">
        <f>VLOOKUP(A407,'AFC Data details'!$B:$E,4,0)</f>
        <v>V64</v>
      </c>
      <c r="C407" s="144" t="s">
        <v>1696</v>
      </c>
      <c r="D407" s="151" t="s">
        <v>602</v>
      </c>
      <c r="E407" s="151">
        <f>VLOOKUP(A407,'AFC Data details'!$B:$P,15,0)</f>
        <v>2.0840000000000001</v>
      </c>
      <c r="F407" s="151">
        <f>SUMIFS('AFC Data details'!C:C,'AFC Data details'!$B:$B,'Element wise-detail Summary'!$A407)</f>
        <v>1</v>
      </c>
      <c r="G407" s="151">
        <f>SUMIFS(Cast!$C:$C,Cast!$B:$B,'Element wise-detail Summary'!$A407)</f>
        <v>1</v>
      </c>
      <c r="H407" s="151">
        <f t="shared" si="31"/>
        <v>0</v>
      </c>
      <c r="I407" s="151">
        <f>SUMIFS(Del!$C:$C,Del!$B:$B,'Element wise-detail Summary'!$A407)</f>
        <v>0</v>
      </c>
      <c r="J407" s="151">
        <f t="shared" si="32"/>
        <v>1</v>
      </c>
      <c r="K407" s="151">
        <f t="shared" si="33"/>
        <v>1</v>
      </c>
      <c r="L407" s="151">
        <f>SUMIF(Ere!$B:$B,'Element wise-detail Summary'!$A407,Ere!$C:$C)</f>
        <v>0</v>
      </c>
      <c r="M407" s="151">
        <f t="shared" si="34"/>
        <v>1</v>
      </c>
      <c r="N407">
        <f t="shared" si="35"/>
        <v>0</v>
      </c>
    </row>
    <row r="408" spans="1:14" hidden="1" x14ac:dyDescent="0.25">
      <c r="A408" s="151" t="s">
        <v>1590</v>
      </c>
      <c r="B408" s="233" t="str">
        <f>VLOOKUP(A408,'AFC Data details'!$B:$E,4,0)</f>
        <v>V64</v>
      </c>
      <c r="C408" s="144" t="s">
        <v>1696</v>
      </c>
      <c r="D408" s="151" t="s">
        <v>602</v>
      </c>
      <c r="E408" s="151">
        <f>VLOOKUP(A408,'AFC Data details'!$B:$P,15,0)</f>
        <v>2.0840000000000001</v>
      </c>
      <c r="F408" s="151">
        <f>SUMIFS('AFC Data details'!C:C,'AFC Data details'!$B:$B,'Element wise-detail Summary'!$A408)</f>
        <v>1</v>
      </c>
      <c r="G408" s="151">
        <f>SUMIFS(Cast!$C:$C,Cast!$B:$B,'Element wise-detail Summary'!$A408)</f>
        <v>1</v>
      </c>
      <c r="H408" s="151">
        <f t="shared" si="31"/>
        <v>0</v>
      </c>
      <c r="I408" s="151">
        <f>SUMIFS(Del!$C:$C,Del!$B:$B,'Element wise-detail Summary'!$A408)</f>
        <v>0</v>
      </c>
      <c r="J408" s="151">
        <f t="shared" si="32"/>
        <v>1</v>
      </c>
      <c r="K408" s="151">
        <f t="shared" si="33"/>
        <v>1</v>
      </c>
      <c r="L408" s="151">
        <f>SUMIF(Ere!$B:$B,'Element wise-detail Summary'!$A408,Ere!$C:$C)</f>
        <v>0</v>
      </c>
      <c r="M408" s="151">
        <f t="shared" si="34"/>
        <v>1</v>
      </c>
      <c r="N408">
        <f t="shared" si="35"/>
        <v>0</v>
      </c>
    </row>
    <row r="409" spans="1:14" hidden="1" x14ac:dyDescent="0.25">
      <c r="A409" s="151" t="s">
        <v>1591</v>
      </c>
      <c r="B409" s="233" t="str">
        <f>VLOOKUP(A409,'AFC Data details'!$B:$E,4,0)</f>
        <v>V65</v>
      </c>
      <c r="C409" s="144" t="s">
        <v>1696</v>
      </c>
      <c r="D409" s="151" t="s">
        <v>602</v>
      </c>
      <c r="E409" s="151">
        <f>VLOOKUP(A409,'AFC Data details'!$B:$P,15,0)</f>
        <v>2.0840000000000001</v>
      </c>
      <c r="F409" s="151">
        <f>SUMIFS('AFC Data details'!C:C,'AFC Data details'!$B:$B,'Element wise-detail Summary'!$A409)</f>
        <v>1</v>
      </c>
      <c r="G409" s="151">
        <f>SUMIFS(Cast!$C:$C,Cast!$B:$B,'Element wise-detail Summary'!$A409)</f>
        <v>1</v>
      </c>
      <c r="H409" s="151">
        <f t="shared" si="31"/>
        <v>0</v>
      </c>
      <c r="I409" s="151">
        <f>SUMIFS(Del!$C:$C,Del!$B:$B,'Element wise-detail Summary'!$A409)</f>
        <v>0</v>
      </c>
      <c r="J409" s="151">
        <f t="shared" si="32"/>
        <v>1</v>
      </c>
      <c r="K409" s="151">
        <f t="shared" si="33"/>
        <v>1</v>
      </c>
      <c r="L409" s="151">
        <f>SUMIF(Ere!$B:$B,'Element wise-detail Summary'!$A409,Ere!$C:$C)</f>
        <v>0</v>
      </c>
      <c r="M409" s="151">
        <f t="shared" si="34"/>
        <v>1</v>
      </c>
      <c r="N409">
        <f t="shared" si="35"/>
        <v>0</v>
      </c>
    </row>
    <row r="410" spans="1:14" hidden="1" x14ac:dyDescent="0.25">
      <c r="A410" s="151" t="s">
        <v>1592</v>
      </c>
      <c r="B410" s="233" t="str">
        <f>VLOOKUP(A410,'AFC Data details'!$B:$E,4,0)</f>
        <v>V65</v>
      </c>
      <c r="C410" s="144" t="s">
        <v>1696</v>
      </c>
      <c r="D410" s="151" t="s">
        <v>602</v>
      </c>
      <c r="E410" s="151">
        <f>VLOOKUP(A410,'AFC Data details'!$B:$P,15,0)</f>
        <v>2.0840000000000001</v>
      </c>
      <c r="F410" s="151">
        <f>SUMIFS('AFC Data details'!C:C,'AFC Data details'!$B:$B,'Element wise-detail Summary'!$A410)</f>
        <v>1</v>
      </c>
      <c r="G410" s="151">
        <f>SUMIFS(Cast!$C:$C,Cast!$B:$B,'Element wise-detail Summary'!$A410)</f>
        <v>1</v>
      </c>
      <c r="H410" s="151">
        <f t="shared" si="31"/>
        <v>0</v>
      </c>
      <c r="I410" s="151">
        <f>SUMIFS(Del!$C:$C,Del!$B:$B,'Element wise-detail Summary'!$A410)</f>
        <v>0</v>
      </c>
      <c r="J410" s="151">
        <f t="shared" si="32"/>
        <v>1</v>
      </c>
      <c r="K410" s="151">
        <f t="shared" si="33"/>
        <v>1</v>
      </c>
      <c r="L410" s="151">
        <f>SUMIF(Ere!$B:$B,'Element wise-detail Summary'!$A410,Ere!$C:$C)</f>
        <v>0</v>
      </c>
      <c r="M410" s="151">
        <f t="shared" si="34"/>
        <v>1</v>
      </c>
      <c r="N410">
        <f t="shared" si="35"/>
        <v>0</v>
      </c>
    </row>
    <row r="411" spans="1:14" hidden="1" x14ac:dyDescent="0.25">
      <c r="A411" s="151" t="s">
        <v>1593</v>
      </c>
      <c r="B411" s="233" t="str">
        <f>VLOOKUP(A411,'AFC Data details'!$B:$E,4,0)</f>
        <v>V66</v>
      </c>
      <c r="C411" s="144" t="s">
        <v>1696</v>
      </c>
      <c r="D411" s="151" t="s">
        <v>602</v>
      </c>
      <c r="E411" s="151">
        <f>VLOOKUP(A411,'AFC Data details'!$B:$P,15,0)</f>
        <v>2.0840000000000001</v>
      </c>
      <c r="F411" s="151">
        <f>SUMIFS('AFC Data details'!C:C,'AFC Data details'!$B:$B,'Element wise-detail Summary'!$A411)</f>
        <v>1</v>
      </c>
      <c r="G411" s="151">
        <f>SUMIFS(Cast!$C:$C,Cast!$B:$B,'Element wise-detail Summary'!$A411)</f>
        <v>1</v>
      </c>
      <c r="H411" s="151">
        <f t="shared" si="31"/>
        <v>0</v>
      </c>
      <c r="I411" s="151">
        <f>SUMIFS(Del!$C:$C,Del!$B:$B,'Element wise-detail Summary'!$A411)</f>
        <v>0</v>
      </c>
      <c r="J411" s="151">
        <f t="shared" si="32"/>
        <v>1</v>
      </c>
      <c r="K411" s="151">
        <f t="shared" si="33"/>
        <v>1</v>
      </c>
      <c r="L411" s="151">
        <f>SUMIF(Ere!$B:$B,'Element wise-detail Summary'!$A411,Ere!$C:$C)</f>
        <v>0</v>
      </c>
      <c r="M411" s="151">
        <f t="shared" si="34"/>
        <v>1</v>
      </c>
      <c r="N411">
        <f t="shared" si="35"/>
        <v>0</v>
      </c>
    </row>
    <row r="412" spans="1:14" hidden="1" x14ac:dyDescent="0.25">
      <c r="A412" s="151" t="s">
        <v>1594</v>
      </c>
      <c r="B412" s="233" t="str">
        <f>VLOOKUP(A412,'AFC Data details'!$B:$E,4,0)</f>
        <v>V66</v>
      </c>
      <c r="C412" s="144" t="s">
        <v>1696</v>
      </c>
      <c r="D412" s="151" t="s">
        <v>602</v>
      </c>
      <c r="E412" s="151">
        <f>VLOOKUP(A412,'AFC Data details'!$B:$P,15,0)</f>
        <v>2.0840000000000001</v>
      </c>
      <c r="F412" s="151">
        <f>SUMIFS('AFC Data details'!C:C,'AFC Data details'!$B:$B,'Element wise-detail Summary'!$A412)</f>
        <v>1</v>
      </c>
      <c r="G412" s="151">
        <f>SUMIFS(Cast!$C:$C,Cast!$B:$B,'Element wise-detail Summary'!$A412)</f>
        <v>1</v>
      </c>
      <c r="H412" s="151">
        <f t="shared" si="31"/>
        <v>0</v>
      </c>
      <c r="I412" s="151">
        <f>SUMIFS(Del!$C:$C,Del!$B:$B,'Element wise-detail Summary'!$A412)</f>
        <v>0</v>
      </c>
      <c r="J412" s="151">
        <f t="shared" si="32"/>
        <v>1</v>
      </c>
      <c r="K412" s="151">
        <f t="shared" si="33"/>
        <v>1</v>
      </c>
      <c r="L412" s="151">
        <f>SUMIF(Ere!$B:$B,'Element wise-detail Summary'!$A412,Ere!$C:$C)</f>
        <v>0</v>
      </c>
      <c r="M412" s="151">
        <f t="shared" si="34"/>
        <v>1</v>
      </c>
      <c r="N412">
        <f t="shared" si="35"/>
        <v>0</v>
      </c>
    </row>
    <row r="413" spans="1:14" hidden="1" x14ac:dyDescent="0.25">
      <c r="A413" s="151" t="s">
        <v>1595</v>
      </c>
      <c r="B413" s="233" t="str">
        <f>VLOOKUP(A413,'AFC Data details'!$B:$E,4,0)</f>
        <v>V67</v>
      </c>
      <c r="C413" s="144" t="s">
        <v>1696</v>
      </c>
      <c r="D413" s="151" t="s">
        <v>602</v>
      </c>
      <c r="E413" s="151">
        <f>VLOOKUP(A413,'AFC Data details'!$B:$P,15,0)</f>
        <v>2.0840000000000001</v>
      </c>
      <c r="F413" s="151">
        <f>SUMIFS('AFC Data details'!C:C,'AFC Data details'!$B:$B,'Element wise-detail Summary'!$A413)</f>
        <v>1</v>
      </c>
      <c r="G413" s="151">
        <f>SUMIFS(Cast!$C:$C,Cast!$B:$B,'Element wise-detail Summary'!$A413)</f>
        <v>1</v>
      </c>
      <c r="H413" s="151">
        <f t="shared" si="31"/>
        <v>0</v>
      </c>
      <c r="I413" s="151">
        <f>SUMIFS(Del!$C:$C,Del!$B:$B,'Element wise-detail Summary'!$A413)</f>
        <v>0</v>
      </c>
      <c r="J413" s="151">
        <f t="shared" si="32"/>
        <v>1</v>
      </c>
      <c r="K413" s="151">
        <f t="shared" si="33"/>
        <v>1</v>
      </c>
      <c r="L413" s="151">
        <f>SUMIF(Ere!$B:$B,'Element wise-detail Summary'!$A413,Ere!$C:$C)</f>
        <v>0</v>
      </c>
      <c r="M413" s="151">
        <f t="shared" si="34"/>
        <v>1</v>
      </c>
      <c r="N413">
        <f t="shared" si="35"/>
        <v>0</v>
      </c>
    </row>
    <row r="414" spans="1:14" hidden="1" x14ac:dyDescent="0.25">
      <c r="A414" s="151" t="s">
        <v>1596</v>
      </c>
      <c r="B414" s="233" t="str">
        <f>VLOOKUP(A414,'AFC Data details'!$B:$E,4,0)</f>
        <v>V67</v>
      </c>
      <c r="C414" s="144" t="s">
        <v>1696</v>
      </c>
      <c r="D414" s="151" t="s">
        <v>602</v>
      </c>
      <c r="E414" s="151">
        <f>VLOOKUP(A414,'AFC Data details'!$B:$P,15,0)</f>
        <v>2.0840000000000001</v>
      </c>
      <c r="F414" s="151">
        <f>SUMIFS('AFC Data details'!C:C,'AFC Data details'!$B:$B,'Element wise-detail Summary'!$A414)</f>
        <v>1</v>
      </c>
      <c r="G414" s="151">
        <f>SUMIFS(Cast!$C:$C,Cast!$B:$B,'Element wise-detail Summary'!$A414)</f>
        <v>1</v>
      </c>
      <c r="H414" s="151">
        <f t="shared" si="31"/>
        <v>0</v>
      </c>
      <c r="I414" s="151">
        <f>SUMIFS(Del!$C:$C,Del!$B:$B,'Element wise-detail Summary'!$A414)</f>
        <v>0</v>
      </c>
      <c r="J414" s="151">
        <f t="shared" si="32"/>
        <v>1</v>
      </c>
      <c r="K414" s="151">
        <f t="shared" si="33"/>
        <v>1</v>
      </c>
      <c r="L414" s="151">
        <f>SUMIF(Ere!$B:$B,'Element wise-detail Summary'!$A414,Ere!$C:$C)</f>
        <v>0</v>
      </c>
      <c r="M414" s="151">
        <f t="shared" si="34"/>
        <v>1</v>
      </c>
      <c r="N414">
        <f t="shared" si="35"/>
        <v>0</v>
      </c>
    </row>
    <row r="415" spans="1:14" hidden="1" x14ac:dyDescent="0.25">
      <c r="A415" s="151" t="s">
        <v>1597</v>
      </c>
      <c r="B415" s="233" t="str">
        <f>VLOOKUP(A415,'AFC Data details'!$B:$E,4,0)</f>
        <v>V62</v>
      </c>
      <c r="C415" s="144" t="s">
        <v>1696</v>
      </c>
      <c r="D415" s="151" t="s">
        <v>602</v>
      </c>
      <c r="E415" s="151">
        <f>VLOOKUP(A415,'AFC Data details'!$B:$P,15,0)</f>
        <v>2.0840000000000001</v>
      </c>
      <c r="F415" s="151">
        <f>SUMIFS('AFC Data details'!C:C,'AFC Data details'!$B:$B,'Element wise-detail Summary'!$A415)</f>
        <v>1</v>
      </c>
      <c r="G415" s="151">
        <f>SUMIFS(Cast!$C:$C,Cast!$B:$B,'Element wise-detail Summary'!$A415)</f>
        <v>1</v>
      </c>
      <c r="H415" s="151">
        <f t="shared" si="31"/>
        <v>0</v>
      </c>
      <c r="I415" s="151">
        <f>SUMIFS(Del!$C:$C,Del!$B:$B,'Element wise-detail Summary'!$A415)</f>
        <v>1</v>
      </c>
      <c r="J415" s="151">
        <f t="shared" si="32"/>
        <v>0</v>
      </c>
      <c r="K415" s="151">
        <f t="shared" si="33"/>
        <v>0</v>
      </c>
      <c r="L415" s="151">
        <f>SUMIF(Ere!$B:$B,'Element wise-detail Summary'!$A415,Ere!$C:$C)</f>
        <v>1</v>
      </c>
      <c r="M415" s="151">
        <f t="shared" si="34"/>
        <v>0</v>
      </c>
      <c r="N415">
        <f t="shared" si="35"/>
        <v>2.0840000000000001</v>
      </c>
    </row>
    <row r="416" spans="1:14" hidden="1" x14ac:dyDescent="0.25">
      <c r="A416" s="151" t="s">
        <v>1598</v>
      </c>
      <c r="B416" s="233" t="str">
        <f>VLOOKUP(A416,'AFC Data details'!$B:$E,4,0)</f>
        <v>V64</v>
      </c>
      <c r="C416" s="144" t="s">
        <v>1696</v>
      </c>
      <c r="D416" s="151" t="s">
        <v>602</v>
      </c>
      <c r="E416" s="151">
        <f>VLOOKUP(A416,'AFC Data details'!$B:$P,15,0)</f>
        <v>2.0840000000000001</v>
      </c>
      <c r="F416" s="151">
        <f>SUMIFS('AFC Data details'!C:C,'AFC Data details'!$B:$B,'Element wise-detail Summary'!$A416)</f>
        <v>1</v>
      </c>
      <c r="G416" s="151">
        <f>SUMIFS(Cast!$C:$C,Cast!$B:$B,'Element wise-detail Summary'!$A416)</f>
        <v>1</v>
      </c>
      <c r="H416" s="151">
        <f t="shared" si="31"/>
        <v>0</v>
      </c>
      <c r="I416" s="151">
        <f>SUMIFS(Del!$C:$C,Del!$B:$B,'Element wise-detail Summary'!$A416)</f>
        <v>0</v>
      </c>
      <c r="J416" s="151">
        <f t="shared" si="32"/>
        <v>1</v>
      </c>
      <c r="K416" s="151">
        <f t="shared" si="33"/>
        <v>1</v>
      </c>
      <c r="L416" s="151">
        <f>SUMIF(Ere!$B:$B,'Element wise-detail Summary'!$A416,Ere!$C:$C)</f>
        <v>0</v>
      </c>
      <c r="M416" s="151">
        <f t="shared" si="34"/>
        <v>1</v>
      </c>
      <c r="N416">
        <f t="shared" si="35"/>
        <v>0</v>
      </c>
    </row>
    <row r="417" spans="1:14" hidden="1" x14ac:dyDescent="0.25">
      <c r="A417" s="151" t="s">
        <v>1599</v>
      </c>
      <c r="B417" s="233" t="str">
        <f>VLOOKUP(A417,'AFC Data details'!$B:$E,4,0)</f>
        <v>V66</v>
      </c>
      <c r="C417" s="144" t="s">
        <v>1696</v>
      </c>
      <c r="D417" s="151" t="s">
        <v>602</v>
      </c>
      <c r="E417" s="151">
        <f>VLOOKUP(A417,'AFC Data details'!$B:$P,15,0)</f>
        <v>2.0840000000000001</v>
      </c>
      <c r="F417" s="151">
        <f>SUMIFS('AFC Data details'!C:C,'AFC Data details'!$B:$B,'Element wise-detail Summary'!$A417)</f>
        <v>1</v>
      </c>
      <c r="G417" s="151">
        <f>SUMIFS(Cast!$C:$C,Cast!$B:$B,'Element wise-detail Summary'!$A417)</f>
        <v>1</v>
      </c>
      <c r="H417" s="151">
        <f t="shared" si="31"/>
        <v>0</v>
      </c>
      <c r="I417" s="151">
        <f>SUMIFS(Del!$C:$C,Del!$B:$B,'Element wise-detail Summary'!$A417)</f>
        <v>0</v>
      </c>
      <c r="J417" s="151">
        <f t="shared" si="32"/>
        <v>1</v>
      </c>
      <c r="K417" s="151">
        <f t="shared" si="33"/>
        <v>1</v>
      </c>
      <c r="L417" s="151">
        <f>SUMIF(Ere!$B:$B,'Element wise-detail Summary'!$A417,Ere!$C:$C)</f>
        <v>0</v>
      </c>
      <c r="M417" s="151">
        <f t="shared" si="34"/>
        <v>1</v>
      </c>
      <c r="N417">
        <f t="shared" si="35"/>
        <v>0</v>
      </c>
    </row>
    <row r="418" spans="1:14" hidden="1" x14ac:dyDescent="0.25">
      <c r="A418" s="151" t="s">
        <v>1600</v>
      </c>
      <c r="B418" s="233" t="str">
        <f>VLOOKUP(A418,'AFC Data details'!$B:$E,4,0)</f>
        <v>V63</v>
      </c>
      <c r="C418" s="144" t="s">
        <v>1696</v>
      </c>
      <c r="D418" s="151" t="s">
        <v>602</v>
      </c>
      <c r="E418" s="151">
        <f>VLOOKUP(A418,'AFC Data details'!$B:$P,15,0)</f>
        <v>2.052</v>
      </c>
      <c r="F418" s="151">
        <f>SUMIFS('AFC Data details'!C:C,'AFC Data details'!$B:$B,'Element wise-detail Summary'!$A418)</f>
        <v>1</v>
      </c>
      <c r="G418" s="151">
        <f>SUMIFS(Cast!$C:$C,Cast!$B:$B,'Element wise-detail Summary'!$A418)</f>
        <v>1</v>
      </c>
      <c r="H418" s="151">
        <f t="shared" si="31"/>
        <v>0</v>
      </c>
      <c r="I418" s="151">
        <f>SUMIFS(Del!$C:$C,Del!$B:$B,'Element wise-detail Summary'!$A418)</f>
        <v>1</v>
      </c>
      <c r="J418" s="151">
        <f t="shared" si="32"/>
        <v>0</v>
      </c>
      <c r="K418" s="151">
        <f t="shared" si="33"/>
        <v>0</v>
      </c>
      <c r="L418" s="151">
        <f>SUMIF(Ere!$B:$B,'Element wise-detail Summary'!$A418,Ere!$C:$C)</f>
        <v>1</v>
      </c>
      <c r="M418" s="151">
        <f t="shared" si="34"/>
        <v>0</v>
      </c>
      <c r="N418">
        <f t="shared" si="35"/>
        <v>2.052</v>
      </c>
    </row>
    <row r="419" spans="1:14" hidden="1" x14ac:dyDescent="0.25">
      <c r="A419" s="151" t="s">
        <v>1601</v>
      </c>
      <c r="B419" s="233" t="str">
        <f>VLOOKUP(A419,'AFC Data details'!$B:$E,4,0)</f>
        <v>V67</v>
      </c>
      <c r="C419" s="144" t="s">
        <v>1696</v>
      </c>
      <c r="D419" s="151" t="s">
        <v>602</v>
      </c>
      <c r="E419" s="151">
        <f>VLOOKUP(A419,'AFC Data details'!$B:$P,15,0)</f>
        <v>2.052</v>
      </c>
      <c r="F419" s="151">
        <f>SUMIFS('AFC Data details'!C:C,'AFC Data details'!$B:$B,'Element wise-detail Summary'!$A419)</f>
        <v>1</v>
      </c>
      <c r="G419" s="151">
        <f>SUMIFS(Cast!$C:$C,Cast!$B:$B,'Element wise-detail Summary'!$A419)</f>
        <v>1</v>
      </c>
      <c r="H419" s="151">
        <f t="shared" si="31"/>
        <v>0</v>
      </c>
      <c r="I419" s="151">
        <f>SUMIFS(Del!$C:$C,Del!$B:$B,'Element wise-detail Summary'!$A419)</f>
        <v>0</v>
      </c>
      <c r="J419" s="151">
        <f t="shared" si="32"/>
        <v>1</v>
      </c>
      <c r="K419" s="151">
        <f t="shared" si="33"/>
        <v>1</v>
      </c>
      <c r="L419" s="151">
        <f>SUMIF(Ere!$B:$B,'Element wise-detail Summary'!$A419,Ere!$C:$C)</f>
        <v>0</v>
      </c>
      <c r="M419" s="151">
        <f t="shared" si="34"/>
        <v>1</v>
      </c>
      <c r="N419">
        <f t="shared" si="35"/>
        <v>0</v>
      </c>
    </row>
    <row r="420" spans="1:14" hidden="1" x14ac:dyDescent="0.25">
      <c r="A420" s="151" t="s">
        <v>1602</v>
      </c>
      <c r="B420" s="233" t="str">
        <f>VLOOKUP(A420,'AFC Data details'!$B:$E,4,0)</f>
        <v>V63</v>
      </c>
      <c r="C420" s="144" t="s">
        <v>1696</v>
      </c>
      <c r="D420" s="151" t="s">
        <v>602</v>
      </c>
      <c r="E420" s="151">
        <f>VLOOKUP(A420,'AFC Data details'!$B:$P,15,0)</f>
        <v>2.0840000000000001</v>
      </c>
      <c r="F420" s="151">
        <f>SUMIFS('AFC Data details'!C:C,'AFC Data details'!$B:$B,'Element wise-detail Summary'!$A420)</f>
        <v>1</v>
      </c>
      <c r="G420" s="151">
        <f>SUMIFS(Cast!$C:$C,Cast!$B:$B,'Element wise-detail Summary'!$A420)</f>
        <v>1</v>
      </c>
      <c r="H420" s="151">
        <f t="shared" si="31"/>
        <v>0</v>
      </c>
      <c r="I420" s="151">
        <f>SUMIFS(Del!$C:$C,Del!$B:$B,'Element wise-detail Summary'!$A420)</f>
        <v>1</v>
      </c>
      <c r="J420" s="151">
        <f t="shared" si="32"/>
        <v>0</v>
      </c>
      <c r="K420" s="151">
        <f t="shared" si="33"/>
        <v>0</v>
      </c>
      <c r="L420" s="151">
        <f>SUMIF(Ere!$B:$B,'Element wise-detail Summary'!$A420,Ere!$C:$C)</f>
        <v>1</v>
      </c>
      <c r="M420" s="151">
        <f t="shared" si="34"/>
        <v>0</v>
      </c>
      <c r="N420">
        <f t="shared" si="35"/>
        <v>2.0840000000000001</v>
      </c>
    </row>
    <row r="421" spans="1:14" hidden="1" x14ac:dyDescent="0.25">
      <c r="A421" s="151" t="s">
        <v>1603</v>
      </c>
      <c r="B421" s="233" t="str">
        <f>VLOOKUP(A421,'AFC Data details'!$B:$E,4,0)</f>
        <v>V65</v>
      </c>
      <c r="C421" s="144" t="s">
        <v>1696</v>
      </c>
      <c r="D421" s="151" t="s">
        <v>602</v>
      </c>
      <c r="E421" s="151">
        <f>VLOOKUP(A421,'AFC Data details'!$B:$P,15,0)</f>
        <v>2.0840000000000001</v>
      </c>
      <c r="F421" s="151">
        <f>SUMIFS('AFC Data details'!C:C,'AFC Data details'!$B:$B,'Element wise-detail Summary'!$A421)</f>
        <v>1</v>
      </c>
      <c r="G421" s="151">
        <f>SUMIFS(Cast!$C:$C,Cast!$B:$B,'Element wise-detail Summary'!$A421)</f>
        <v>1</v>
      </c>
      <c r="H421" s="151">
        <f t="shared" si="31"/>
        <v>0</v>
      </c>
      <c r="I421" s="151">
        <f>SUMIFS(Del!$C:$C,Del!$B:$B,'Element wise-detail Summary'!$A421)</f>
        <v>0</v>
      </c>
      <c r="J421" s="151">
        <f t="shared" si="32"/>
        <v>1</v>
      </c>
      <c r="K421" s="151">
        <f t="shared" si="33"/>
        <v>1</v>
      </c>
      <c r="L421" s="151">
        <f>SUMIF(Ere!$B:$B,'Element wise-detail Summary'!$A421,Ere!$C:$C)</f>
        <v>0</v>
      </c>
      <c r="M421" s="151">
        <f t="shared" si="34"/>
        <v>1</v>
      </c>
      <c r="N421">
        <f t="shared" si="35"/>
        <v>0</v>
      </c>
    </row>
    <row r="422" spans="1:14" hidden="1" x14ac:dyDescent="0.25">
      <c r="A422" s="151" t="s">
        <v>1604</v>
      </c>
      <c r="B422" s="233" t="str">
        <f>VLOOKUP(A422,'AFC Data details'!$B:$E,4,0)</f>
        <v>V67</v>
      </c>
      <c r="C422" s="144" t="s">
        <v>1696</v>
      </c>
      <c r="D422" s="151" t="s">
        <v>602</v>
      </c>
      <c r="E422" s="151">
        <f>VLOOKUP(A422,'AFC Data details'!$B:$P,15,0)</f>
        <v>2.0840000000000001</v>
      </c>
      <c r="F422" s="151">
        <f>SUMIFS('AFC Data details'!C:C,'AFC Data details'!$B:$B,'Element wise-detail Summary'!$A422)</f>
        <v>1</v>
      </c>
      <c r="G422" s="151">
        <f>SUMIFS(Cast!$C:$C,Cast!$B:$B,'Element wise-detail Summary'!$A422)</f>
        <v>1</v>
      </c>
      <c r="H422" s="151">
        <f t="shared" si="31"/>
        <v>0</v>
      </c>
      <c r="I422" s="151">
        <f>SUMIFS(Del!$C:$C,Del!$B:$B,'Element wise-detail Summary'!$A422)</f>
        <v>0</v>
      </c>
      <c r="J422" s="151">
        <f t="shared" si="32"/>
        <v>1</v>
      </c>
      <c r="K422" s="151">
        <f t="shared" si="33"/>
        <v>1</v>
      </c>
      <c r="L422" s="151">
        <f>SUMIF(Ere!$B:$B,'Element wise-detail Summary'!$A422,Ere!$C:$C)</f>
        <v>0</v>
      </c>
      <c r="M422" s="151">
        <f t="shared" si="34"/>
        <v>1</v>
      </c>
      <c r="N422">
        <f t="shared" si="35"/>
        <v>0</v>
      </c>
    </row>
    <row r="423" spans="1:14" hidden="1" x14ac:dyDescent="0.25">
      <c r="A423" s="151" t="s">
        <v>1605</v>
      </c>
      <c r="B423" s="233" t="str">
        <f>VLOOKUP(A423,'AFC Data details'!$B:$E,4,0)</f>
        <v>V63</v>
      </c>
      <c r="C423" s="144" t="s">
        <v>1696</v>
      </c>
      <c r="D423" s="151" t="s">
        <v>602</v>
      </c>
      <c r="E423" s="151">
        <f>VLOOKUP(A423,'AFC Data details'!$B:$P,15,0)</f>
        <v>1.4430000000000001</v>
      </c>
      <c r="F423" s="151">
        <f>SUMIFS('AFC Data details'!C:C,'AFC Data details'!$B:$B,'Element wise-detail Summary'!$A423)</f>
        <v>1</v>
      </c>
      <c r="G423" s="151">
        <f>SUMIFS(Cast!$C:$C,Cast!$B:$B,'Element wise-detail Summary'!$A423)</f>
        <v>1</v>
      </c>
      <c r="H423" s="151">
        <f t="shared" si="31"/>
        <v>0</v>
      </c>
      <c r="I423" s="151">
        <f>SUMIFS(Del!$C:$C,Del!$B:$B,'Element wise-detail Summary'!$A423)</f>
        <v>0</v>
      </c>
      <c r="J423" s="151">
        <f t="shared" si="32"/>
        <v>1</v>
      </c>
      <c r="K423" s="151">
        <f t="shared" si="33"/>
        <v>1</v>
      </c>
      <c r="L423" s="151">
        <f>SUMIF(Ere!$B:$B,'Element wise-detail Summary'!$A423,Ere!$C:$C)</f>
        <v>0</v>
      </c>
      <c r="M423" s="151">
        <f t="shared" si="34"/>
        <v>1</v>
      </c>
      <c r="N423">
        <f t="shared" si="35"/>
        <v>0</v>
      </c>
    </row>
    <row r="424" spans="1:14" hidden="1" x14ac:dyDescent="0.25">
      <c r="A424" s="151" t="s">
        <v>1606</v>
      </c>
      <c r="B424" s="233" t="str">
        <f>VLOOKUP(A424,'AFC Data details'!$B:$E,4,0)</f>
        <v>V65</v>
      </c>
      <c r="C424" s="144" t="s">
        <v>1696</v>
      </c>
      <c r="D424" s="151" t="s">
        <v>602</v>
      </c>
      <c r="E424" s="151">
        <f>VLOOKUP(A424,'AFC Data details'!$B:$P,15,0)</f>
        <v>1.4430000000000001</v>
      </c>
      <c r="F424" s="151">
        <f>SUMIFS('AFC Data details'!C:C,'AFC Data details'!$B:$B,'Element wise-detail Summary'!$A424)</f>
        <v>1</v>
      </c>
      <c r="G424" s="151">
        <f>SUMIFS(Cast!$C:$C,Cast!$B:$B,'Element wise-detail Summary'!$A424)</f>
        <v>1</v>
      </c>
      <c r="H424" s="151">
        <f t="shared" si="31"/>
        <v>0</v>
      </c>
      <c r="I424" s="151">
        <f>SUMIFS(Del!$C:$C,Del!$B:$B,'Element wise-detail Summary'!$A424)</f>
        <v>0</v>
      </c>
      <c r="J424" s="151">
        <f t="shared" si="32"/>
        <v>1</v>
      </c>
      <c r="K424" s="151">
        <f t="shared" si="33"/>
        <v>1</v>
      </c>
      <c r="L424" s="151">
        <f>SUMIF(Ere!$B:$B,'Element wise-detail Summary'!$A424,Ere!$C:$C)</f>
        <v>0</v>
      </c>
      <c r="M424" s="151">
        <f t="shared" si="34"/>
        <v>1</v>
      </c>
      <c r="N424">
        <f t="shared" si="35"/>
        <v>0</v>
      </c>
    </row>
    <row r="425" spans="1:14" hidden="1" x14ac:dyDescent="0.25">
      <c r="A425" s="151" t="s">
        <v>1607</v>
      </c>
      <c r="B425" s="233" t="str">
        <f>VLOOKUP(A425,'AFC Data details'!$B:$E,4,0)</f>
        <v>V67</v>
      </c>
      <c r="C425" s="144" t="s">
        <v>1696</v>
      </c>
      <c r="D425" s="151" t="s">
        <v>602</v>
      </c>
      <c r="E425" s="151">
        <f>VLOOKUP(A425,'AFC Data details'!$B:$P,15,0)</f>
        <v>1.4430000000000001</v>
      </c>
      <c r="F425" s="151">
        <f>SUMIFS('AFC Data details'!C:C,'AFC Data details'!$B:$B,'Element wise-detail Summary'!$A425)</f>
        <v>1</v>
      </c>
      <c r="G425" s="151">
        <f>SUMIFS(Cast!$C:$C,Cast!$B:$B,'Element wise-detail Summary'!$A425)</f>
        <v>1</v>
      </c>
      <c r="H425" s="151">
        <f t="shared" si="31"/>
        <v>0</v>
      </c>
      <c r="I425" s="151">
        <f>SUMIFS(Del!$C:$C,Del!$B:$B,'Element wise-detail Summary'!$A425)</f>
        <v>0</v>
      </c>
      <c r="J425" s="151">
        <f t="shared" si="32"/>
        <v>1</v>
      </c>
      <c r="K425" s="151">
        <f t="shared" si="33"/>
        <v>1</v>
      </c>
      <c r="L425" s="151">
        <f>SUMIF(Ere!$B:$B,'Element wise-detail Summary'!$A425,Ere!$C:$C)</f>
        <v>0</v>
      </c>
      <c r="M425" s="151">
        <f t="shared" si="34"/>
        <v>1</v>
      </c>
      <c r="N425">
        <f t="shared" si="35"/>
        <v>0</v>
      </c>
    </row>
    <row r="426" spans="1:14" hidden="1" x14ac:dyDescent="0.25">
      <c r="A426" s="151" t="s">
        <v>1608</v>
      </c>
      <c r="B426" s="233" t="str">
        <f>VLOOKUP(A426,'AFC Data details'!$B:$E,4,0)</f>
        <v>V69</v>
      </c>
      <c r="C426" s="144" t="s">
        <v>1696</v>
      </c>
      <c r="D426" s="151" t="s">
        <v>602</v>
      </c>
      <c r="E426" s="151">
        <f>VLOOKUP(A426,'AFC Data details'!$B:$P,15,0)</f>
        <v>1.4430000000000001</v>
      </c>
      <c r="F426" s="151">
        <f>SUMIFS('AFC Data details'!C:C,'AFC Data details'!$B:$B,'Element wise-detail Summary'!$A426)</f>
        <v>1</v>
      </c>
      <c r="G426" s="151">
        <f>SUMIFS(Cast!$C:$C,Cast!$B:$B,'Element wise-detail Summary'!$A426)</f>
        <v>1</v>
      </c>
      <c r="H426" s="151">
        <f t="shared" si="31"/>
        <v>0</v>
      </c>
      <c r="I426" s="151">
        <f>SUMIFS(Del!$C:$C,Del!$B:$B,'Element wise-detail Summary'!$A426)</f>
        <v>0</v>
      </c>
      <c r="J426" s="151">
        <f t="shared" si="32"/>
        <v>1</v>
      </c>
      <c r="K426" s="151">
        <f t="shared" si="33"/>
        <v>1</v>
      </c>
      <c r="L426" s="151">
        <f>SUMIF(Ere!$B:$B,'Element wise-detail Summary'!$A426,Ere!$C:$C)</f>
        <v>0</v>
      </c>
      <c r="M426" s="151">
        <f t="shared" si="34"/>
        <v>1</v>
      </c>
      <c r="N426">
        <f t="shared" si="35"/>
        <v>0</v>
      </c>
    </row>
    <row r="427" spans="1:14" hidden="1" x14ac:dyDescent="0.25">
      <c r="A427" s="151" t="s">
        <v>1609</v>
      </c>
      <c r="B427" s="233" t="str">
        <f>VLOOKUP(A427,'AFC Data details'!$B:$E,4,0)</f>
        <v>V64</v>
      </c>
      <c r="C427" s="144" t="s">
        <v>1696</v>
      </c>
      <c r="D427" s="151" t="s">
        <v>602</v>
      </c>
      <c r="E427" s="151">
        <f>VLOOKUP(A427,'AFC Data details'!$B:$P,15,0)</f>
        <v>2.0470000000000002</v>
      </c>
      <c r="F427" s="151">
        <f>SUMIFS('AFC Data details'!C:C,'AFC Data details'!$B:$B,'Element wise-detail Summary'!$A427)</f>
        <v>1</v>
      </c>
      <c r="G427" s="151">
        <f>SUMIFS(Cast!$C:$C,Cast!$B:$B,'Element wise-detail Summary'!$A427)</f>
        <v>1</v>
      </c>
      <c r="H427" s="151">
        <f t="shared" si="31"/>
        <v>0</v>
      </c>
      <c r="I427" s="151">
        <f>SUMIFS(Del!$C:$C,Del!$B:$B,'Element wise-detail Summary'!$A427)</f>
        <v>0</v>
      </c>
      <c r="J427" s="151">
        <f t="shared" si="32"/>
        <v>1</v>
      </c>
      <c r="K427" s="151">
        <f t="shared" si="33"/>
        <v>1</v>
      </c>
      <c r="L427" s="151">
        <f>SUMIF(Ere!$B:$B,'Element wise-detail Summary'!$A427,Ere!$C:$C)</f>
        <v>0</v>
      </c>
      <c r="M427" s="151">
        <f t="shared" si="34"/>
        <v>1</v>
      </c>
      <c r="N427">
        <f t="shared" si="35"/>
        <v>0</v>
      </c>
    </row>
    <row r="428" spans="1:14" hidden="1" x14ac:dyDescent="0.25">
      <c r="A428" s="151" t="s">
        <v>1610</v>
      </c>
      <c r="B428" s="233" t="str">
        <f>VLOOKUP(A428,'AFC Data details'!$B:$E,4,0)</f>
        <v>V64</v>
      </c>
      <c r="C428" s="144" t="s">
        <v>1696</v>
      </c>
      <c r="D428" s="151" t="s">
        <v>602</v>
      </c>
      <c r="E428" s="151">
        <f>VLOOKUP(A428,'AFC Data details'!$B:$P,15,0)</f>
        <v>2.0470000000000002</v>
      </c>
      <c r="F428" s="151">
        <f>SUMIFS('AFC Data details'!C:C,'AFC Data details'!$B:$B,'Element wise-detail Summary'!$A428)</f>
        <v>1</v>
      </c>
      <c r="G428" s="151">
        <f>SUMIFS(Cast!$C:$C,Cast!$B:$B,'Element wise-detail Summary'!$A428)</f>
        <v>1</v>
      </c>
      <c r="H428" s="151">
        <f t="shared" si="31"/>
        <v>0</v>
      </c>
      <c r="I428" s="151">
        <f>SUMIFS(Del!$C:$C,Del!$B:$B,'Element wise-detail Summary'!$A428)</f>
        <v>0</v>
      </c>
      <c r="J428" s="151">
        <f t="shared" si="32"/>
        <v>1</v>
      </c>
      <c r="K428" s="151">
        <f t="shared" si="33"/>
        <v>1</v>
      </c>
      <c r="L428" s="151">
        <f>SUMIF(Ere!$B:$B,'Element wise-detail Summary'!$A428,Ere!$C:$C)</f>
        <v>0</v>
      </c>
      <c r="M428" s="151">
        <f t="shared" si="34"/>
        <v>1</v>
      </c>
      <c r="N428">
        <f t="shared" si="35"/>
        <v>0</v>
      </c>
    </row>
    <row r="429" spans="1:14" hidden="1" x14ac:dyDescent="0.25">
      <c r="A429" s="151" t="s">
        <v>1611</v>
      </c>
      <c r="B429" s="233" t="str">
        <f>VLOOKUP(A429,'AFC Data details'!$B:$E,4,0)</f>
        <v>V64</v>
      </c>
      <c r="C429" s="144" t="s">
        <v>1696</v>
      </c>
      <c r="D429" s="151" t="s">
        <v>602</v>
      </c>
      <c r="E429" s="151">
        <f>VLOOKUP(A429,'AFC Data details'!$B:$P,15,0)</f>
        <v>2.0470000000000002</v>
      </c>
      <c r="F429" s="151">
        <f>SUMIFS('AFC Data details'!C:C,'AFC Data details'!$B:$B,'Element wise-detail Summary'!$A429)</f>
        <v>1</v>
      </c>
      <c r="G429" s="151">
        <f>SUMIFS(Cast!$C:$C,Cast!$B:$B,'Element wise-detail Summary'!$A429)</f>
        <v>1</v>
      </c>
      <c r="H429" s="151">
        <f t="shared" si="31"/>
        <v>0</v>
      </c>
      <c r="I429" s="151">
        <f>SUMIFS(Del!$C:$C,Del!$B:$B,'Element wise-detail Summary'!$A429)</f>
        <v>0</v>
      </c>
      <c r="J429" s="151">
        <f t="shared" si="32"/>
        <v>1</v>
      </c>
      <c r="K429" s="151">
        <f t="shared" si="33"/>
        <v>1</v>
      </c>
      <c r="L429" s="151">
        <f>SUMIF(Ere!$B:$B,'Element wise-detail Summary'!$A429,Ere!$C:$C)</f>
        <v>0</v>
      </c>
      <c r="M429" s="151">
        <f t="shared" si="34"/>
        <v>1</v>
      </c>
      <c r="N429">
        <f t="shared" si="35"/>
        <v>0</v>
      </c>
    </row>
    <row r="430" spans="1:14" hidden="1" x14ac:dyDescent="0.25">
      <c r="A430" s="151" t="s">
        <v>1612</v>
      </c>
      <c r="B430" s="233" t="str">
        <f>VLOOKUP(A430,'AFC Data details'!$B:$E,4,0)</f>
        <v>V65</v>
      </c>
      <c r="C430" s="144" t="s">
        <v>1696</v>
      </c>
      <c r="D430" s="151" t="s">
        <v>602</v>
      </c>
      <c r="E430" s="151">
        <f>VLOOKUP(A430,'AFC Data details'!$B:$P,15,0)</f>
        <v>2.0470000000000002</v>
      </c>
      <c r="F430" s="151">
        <f>SUMIFS('AFC Data details'!C:C,'AFC Data details'!$B:$B,'Element wise-detail Summary'!$A430)</f>
        <v>1</v>
      </c>
      <c r="G430" s="151">
        <f>SUMIFS(Cast!$C:$C,Cast!$B:$B,'Element wise-detail Summary'!$A430)</f>
        <v>1</v>
      </c>
      <c r="H430" s="151">
        <f t="shared" si="31"/>
        <v>0</v>
      </c>
      <c r="I430" s="151">
        <f>SUMIFS(Del!$C:$C,Del!$B:$B,'Element wise-detail Summary'!$A430)</f>
        <v>0</v>
      </c>
      <c r="J430" s="151">
        <f t="shared" si="32"/>
        <v>1</v>
      </c>
      <c r="K430" s="151">
        <f t="shared" si="33"/>
        <v>1</v>
      </c>
      <c r="L430" s="151">
        <f>SUMIF(Ere!$B:$B,'Element wise-detail Summary'!$A430,Ere!$C:$C)</f>
        <v>0</v>
      </c>
      <c r="M430" s="151">
        <f t="shared" si="34"/>
        <v>1</v>
      </c>
      <c r="N430">
        <f t="shared" si="35"/>
        <v>0</v>
      </c>
    </row>
    <row r="431" spans="1:14" hidden="1" x14ac:dyDescent="0.25">
      <c r="A431" s="151" t="s">
        <v>1613</v>
      </c>
      <c r="B431" s="233" t="str">
        <f>VLOOKUP(A431,'AFC Data details'!$B:$E,4,0)</f>
        <v>V65</v>
      </c>
      <c r="C431" s="144" t="s">
        <v>1696</v>
      </c>
      <c r="D431" s="151" t="s">
        <v>602</v>
      </c>
      <c r="E431" s="151">
        <f>VLOOKUP(A431,'AFC Data details'!$B:$P,15,0)</f>
        <v>2.0470000000000002</v>
      </c>
      <c r="F431" s="151">
        <f>SUMIFS('AFC Data details'!C:C,'AFC Data details'!$B:$B,'Element wise-detail Summary'!$A431)</f>
        <v>1</v>
      </c>
      <c r="G431" s="151">
        <f>SUMIFS(Cast!$C:$C,Cast!$B:$B,'Element wise-detail Summary'!$A431)</f>
        <v>1</v>
      </c>
      <c r="H431" s="151">
        <f t="shared" si="31"/>
        <v>0</v>
      </c>
      <c r="I431" s="151">
        <f>SUMIFS(Del!$C:$C,Del!$B:$B,'Element wise-detail Summary'!$A431)</f>
        <v>0</v>
      </c>
      <c r="J431" s="151">
        <f t="shared" si="32"/>
        <v>1</v>
      </c>
      <c r="K431" s="151">
        <f t="shared" si="33"/>
        <v>1</v>
      </c>
      <c r="L431" s="151">
        <f>SUMIF(Ere!$B:$B,'Element wise-detail Summary'!$A431,Ere!$C:$C)</f>
        <v>0</v>
      </c>
      <c r="M431" s="151">
        <f t="shared" si="34"/>
        <v>1</v>
      </c>
      <c r="N431">
        <f t="shared" si="35"/>
        <v>0</v>
      </c>
    </row>
    <row r="432" spans="1:14" hidden="1" x14ac:dyDescent="0.25">
      <c r="A432" s="151" t="s">
        <v>1614</v>
      </c>
      <c r="B432" s="233" t="str">
        <f>VLOOKUP(A432,'AFC Data details'!$B:$E,4,0)</f>
        <v>V65</v>
      </c>
      <c r="C432" s="144" t="s">
        <v>1696</v>
      </c>
      <c r="D432" s="151" t="s">
        <v>602</v>
      </c>
      <c r="E432" s="151">
        <f>VLOOKUP(A432,'AFC Data details'!$B:$P,15,0)</f>
        <v>2.0470000000000002</v>
      </c>
      <c r="F432" s="151">
        <f>SUMIFS('AFC Data details'!C:C,'AFC Data details'!$B:$B,'Element wise-detail Summary'!$A432)</f>
        <v>1</v>
      </c>
      <c r="G432" s="151">
        <f>SUMIFS(Cast!$C:$C,Cast!$B:$B,'Element wise-detail Summary'!$A432)</f>
        <v>1</v>
      </c>
      <c r="H432" s="151">
        <f t="shared" si="31"/>
        <v>0</v>
      </c>
      <c r="I432" s="151">
        <f>SUMIFS(Del!$C:$C,Del!$B:$B,'Element wise-detail Summary'!$A432)</f>
        <v>0</v>
      </c>
      <c r="J432" s="151">
        <f t="shared" si="32"/>
        <v>1</v>
      </c>
      <c r="K432" s="151">
        <f t="shared" si="33"/>
        <v>1</v>
      </c>
      <c r="L432" s="151">
        <f>SUMIF(Ere!$B:$B,'Element wise-detail Summary'!$A432,Ere!$C:$C)</f>
        <v>0</v>
      </c>
      <c r="M432" s="151">
        <f t="shared" si="34"/>
        <v>1</v>
      </c>
      <c r="N432">
        <f t="shared" si="35"/>
        <v>0</v>
      </c>
    </row>
    <row r="433" spans="1:14" hidden="1" x14ac:dyDescent="0.25">
      <c r="A433" s="151" t="s">
        <v>1615</v>
      </c>
      <c r="B433" s="233" t="str">
        <f>VLOOKUP(A433,'AFC Data details'!$B:$E,4,0)</f>
        <v>V68</v>
      </c>
      <c r="C433" s="144" t="s">
        <v>1696</v>
      </c>
      <c r="D433" s="151" t="s">
        <v>602</v>
      </c>
      <c r="E433" s="151">
        <f>VLOOKUP(A433,'AFC Data details'!$B:$P,15,0)</f>
        <v>2.0470000000000002</v>
      </c>
      <c r="F433" s="151">
        <f>SUMIFS('AFC Data details'!C:C,'AFC Data details'!$B:$B,'Element wise-detail Summary'!$A433)</f>
        <v>1</v>
      </c>
      <c r="G433" s="151">
        <f>SUMIFS(Cast!$C:$C,Cast!$B:$B,'Element wise-detail Summary'!$A433)</f>
        <v>1</v>
      </c>
      <c r="H433" s="151">
        <f t="shared" si="31"/>
        <v>0</v>
      </c>
      <c r="I433" s="151">
        <f>SUMIFS(Del!$C:$C,Del!$B:$B,'Element wise-detail Summary'!$A433)</f>
        <v>0</v>
      </c>
      <c r="J433" s="151">
        <f t="shared" si="32"/>
        <v>1</v>
      </c>
      <c r="K433" s="151">
        <f t="shared" si="33"/>
        <v>1</v>
      </c>
      <c r="L433" s="151">
        <f>SUMIF(Ere!$B:$B,'Element wise-detail Summary'!$A433,Ere!$C:$C)</f>
        <v>0</v>
      </c>
      <c r="M433" s="151">
        <f t="shared" si="34"/>
        <v>1</v>
      </c>
      <c r="N433">
        <f t="shared" si="35"/>
        <v>0</v>
      </c>
    </row>
    <row r="434" spans="1:14" hidden="1" x14ac:dyDescent="0.25">
      <c r="A434" s="151" t="s">
        <v>1616</v>
      </c>
      <c r="B434" s="233" t="str">
        <f>VLOOKUP(A434,'AFC Data details'!$B:$E,4,0)</f>
        <v>V68</v>
      </c>
      <c r="C434" s="144" t="s">
        <v>1696</v>
      </c>
      <c r="D434" s="151" t="s">
        <v>602</v>
      </c>
      <c r="E434" s="151">
        <f>VLOOKUP(A434,'AFC Data details'!$B:$P,15,0)</f>
        <v>2.0339999999999998</v>
      </c>
      <c r="F434" s="151">
        <f>SUMIFS('AFC Data details'!C:C,'AFC Data details'!$B:$B,'Element wise-detail Summary'!$A434)</f>
        <v>1</v>
      </c>
      <c r="G434" s="151">
        <f>SUMIFS(Cast!$C:$C,Cast!$B:$B,'Element wise-detail Summary'!$A434)</f>
        <v>1</v>
      </c>
      <c r="H434" s="151">
        <f t="shared" si="31"/>
        <v>0</v>
      </c>
      <c r="I434" s="151">
        <f>SUMIFS(Del!$C:$C,Del!$B:$B,'Element wise-detail Summary'!$A434)</f>
        <v>0</v>
      </c>
      <c r="J434" s="151">
        <f t="shared" si="32"/>
        <v>1</v>
      </c>
      <c r="K434" s="151">
        <f t="shared" si="33"/>
        <v>1</v>
      </c>
      <c r="L434" s="151">
        <f>SUMIF(Ere!$B:$B,'Element wise-detail Summary'!$A434,Ere!$C:$C)</f>
        <v>0</v>
      </c>
      <c r="M434" s="151">
        <f t="shared" si="34"/>
        <v>1</v>
      </c>
      <c r="N434">
        <f t="shared" si="35"/>
        <v>0</v>
      </c>
    </row>
    <row r="435" spans="1:14" hidden="1" x14ac:dyDescent="0.25">
      <c r="A435" s="151" t="s">
        <v>1617</v>
      </c>
      <c r="B435" s="233" t="str">
        <f>VLOOKUP(A435,'AFC Data details'!$B:$E,4,0)</f>
        <v>V68</v>
      </c>
      <c r="C435" s="144" t="s">
        <v>1696</v>
      </c>
      <c r="D435" s="151" t="s">
        <v>602</v>
      </c>
      <c r="E435" s="151">
        <f>VLOOKUP(A435,'AFC Data details'!$B:$P,15,0)</f>
        <v>2.0339999999999998</v>
      </c>
      <c r="F435" s="151">
        <f>SUMIFS('AFC Data details'!C:C,'AFC Data details'!$B:$B,'Element wise-detail Summary'!$A435)</f>
        <v>1</v>
      </c>
      <c r="G435" s="151">
        <f>SUMIFS(Cast!$C:$C,Cast!$B:$B,'Element wise-detail Summary'!$A435)</f>
        <v>1</v>
      </c>
      <c r="H435" s="151">
        <f t="shared" si="31"/>
        <v>0</v>
      </c>
      <c r="I435" s="151">
        <f>SUMIFS(Del!$C:$C,Del!$B:$B,'Element wise-detail Summary'!$A435)</f>
        <v>0</v>
      </c>
      <c r="J435" s="151">
        <f t="shared" si="32"/>
        <v>1</v>
      </c>
      <c r="K435" s="151">
        <f t="shared" si="33"/>
        <v>1</v>
      </c>
      <c r="L435" s="151">
        <f>SUMIF(Ere!$B:$B,'Element wise-detail Summary'!$A435,Ere!$C:$C)</f>
        <v>0</v>
      </c>
      <c r="M435" s="151">
        <f t="shared" si="34"/>
        <v>1</v>
      </c>
      <c r="N435">
        <f t="shared" si="35"/>
        <v>0</v>
      </c>
    </row>
    <row r="436" spans="1:14" hidden="1" x14ac:dyDescent="0.25">
      <c r="A436" s="151" t="s">
        <v>1618</v>
      </c>
      <c r="B436" s="233" t="str">
        <f>VLOOKUP(A436,'AFC Data details'!$B:$E,4,0)</f>
        <v>V69</v>
      </c>
      <c r="C436" s="144" t="s">
        <v>1696</v>
      </c>
      <c r="D436" s="151" t="s">
        <v>602</v>
      </c>
      <c r="E436" s="151">
        <f>VLOOKUP(A436,'AFC Data details'!$B:$P,15,0)</f>
        <v>2.0339999999999998</v>
      </c>
      <c r="F436" s="151">
        <f>SUMIFS('AFC Data details'!C:C,'AFC Data details'!$B:$B,'Element wise-detail Summary'!$A436)</f>
        <v>1</v>
      </c>
      <c r="G436" s="151">
        <f>SUMIFS(Cast!$C:$C,Cast!$B:$B,'Element wise-detail Summary'!$A436)</f>
        <v>1</v>
      </c>
      <c r="H436" s="151">
        <f t="shared" si="31"/>
        <v>0</v>
      </c>
      <c r="I436" s="151">
        <f>SUMIFS(Del!$C:$C,Del!$B:$B,'Element wise-detail Summary'!$A436)</f>
        <v>0</v>
      </c>
      <c r="J436" s="151">
        <f t="shared" si="32"/>
        <v>1</v>
      </c>
      <c r="K436" s="151">
        <f t="shared" si="33"/>
        <v>1</v>
      </c>
      <c r="L436" s="151">
        <f>SUMIF(Ere!$B:$B,'Element wise-detail Summary'!$A436,Ere!$C:$C)</f>
        <v>0</v>
      </c>
      <c r="M436" s="151">
        <f t="shared" si="34"/>
        <v>1</v>
      </c>
      <c r="N436">
        <f t="shared" si="35"/>
        <v>0</v>
      </c>
    </row>
    <row r="437" spans="1:14" hidden="1" x14ac:dyDescent="0.25">
      <c r="A437" s="151" t="s">
        <v>1619</v>
      </c>
      <c r="B437" s="233" t="str">
        <f>VLOOKUP(A437,'AFC Data details'!$B:$E,4,0)</f>
        <v>V69</v>
      </c>
      <c r="C437" s="144" t="s">
        <v>1696</v>
      </c>
      <c r="D437" s="151" t="s">
        <v>602</v>
      </c>
      <c r="E437" s="151">
        <f>VLOOKUP(A437,'AFC Data details'!$B:$P,15,0)</f>
        <v>2.0339999999999998</v>
      </c>
      <c r="F437" s="151">
        <f>SUMIFS('AFC Data details'!C:C,'AFC Data details'!$B:$B,'Element wise-detail Summary'!$A437)</f>
        <v>1</v>
      </c>
      <c r="G437" s="151">
        <f>SUMIFS(Cast!$C:$C,Cast!$B:$B,'Element wise-detail Summary'!$A437)</f>
        <v>1</v>
      </c>
      <c r="H437" s="151">
        <f t="shared" si="31"/>
        <v>0</v>
      </c>
      <c r="I437" s="151">
        <f>SUMIFS(Del!$C:$C,Del!$B:$B,'Element wise-detail Summary'!$A437)</f>
        <v>0</v>
      </c>
      <c r="J437" s="151">
        <f t="shared" si="32"/>
        <v>1</v>
      </c>
      <c r="K437" s="151">
        <f t="shared" si="33"/>
        <v>1</v>
      </c>
      <c r="L437" s="151">
        <f>SUMIF(Ere!$B:$B,'Element wise-detail Summary'!$A437,Ere!$C:$C)</f>
        <v>0</v>
      </c>
      <c r="M437" s="151">
        <f t="shared" si="34"/>
        <v>1</v>
      </c>
      <c r="N437">
        <f t="shared" si="35"/>
        <v>0</v>
      </c>
    </row>
    <row r="438" spans="1:14" hidden="1" x14ac:dyDescent="0.25">
      <c r="A438" s="151" t="s">
        <v>1620</v>
      </c>
      <c r="B438" s="233" t="str">
        <f>VLOOKUP(A438,'AFC Data details'!$B:$E,4,0)</f>
        <v>V68</v>
      </c>
      <c r="C438" s="144" t="s">
        <v>1696</v>
      </c>
      <c r="D438" s="151" t="s">
        <v>602</v>
      </c>
      <c r="E438" s="151">
        <f>VLOOKUP(A438,'AFC Data details'!$B:$P,15,0)</f>
        <v>2.0840000000000001</v>
      </c>
      <c r="F438" s="151">
        <f>SUMIFS('AFC Data details'!C:C,'AFC Data details'!$B:$B,'Element wise-detail Summary'!$A438)</f>
        <v>1</v>
      </c>
      <c r="G438" s="151">
        <f>SUMIFS(Cast!$C:$C,Cast!$B:$B,'Element wise-detail Summary'!$A438)</f>
        <v>1</v>
      </c>
      <c r="H438" s="151">
        <f t="shared" si="31"/>
        <v>0</v>
      </c>
      <c r="I438" s="151">
        <f>SUMIFS(Del!$C:$C,Del!$B:$B,'Element wise-detail Summary'!$A438)</f>
        <v>0</v>
      </c>
      <c r="J438" s="151">
        <f t="shared" si="32"/>
        <v>1</v>
      </c>
      <c r="K438" s="151">
        <f t="shared" si="33"/>
        <v>1</v>
      </c>
      <c r="L438" s="151">
        <f>SUMIF(Ere!$B:$B,'Element wise-detail Summary'!$A438,Ere!$C:$C)</f>
        <v>0</v>
      </c>
      <c r="M438" s="151">
        <f t="shared" si="34"/>
        <v>1</v>
      </c>
      <c r="N438">
        <f t="shared" si="35"/>
        <v>0</v>
      </c>
    </row>
    <row r="439" spans="1:14" hidden="1" x14ac:dyDescent="0.25">
      <c r="A439" s="151" t="s">
        <v>1621</v>
      </c>
      <c r="B439" s="233" t="str">
        <f>VLOOKUP(A439,'AFC Data details'!$B:$E,4,0)</f>
        <v>V68</v>
      </c>
      <c r="C439" s="144" t="s">
        <v>1696</v>
      </c>
      <c r="D439" s="151" t="s">
        <v>602</v>
      </c>
      <c r="E439" s="151">
        <f>VLOOKUP(A439,'AFC Data details'!$B:$P,15,0)</f>
        <v>2.0840000000000001</v>
      </c>
      <c r="F439" s="151">
        <f>SUMIFS('AFC Data details'!C:C,'AFC Data details'!$B:$B,'Element wise-detail Summary'!$A439)</f>
        <v>1</v>
      </c>
      <c r="G439" s="151">
        <f>SUMIFS(Cast!$C:$C,Cast!$B:$B,'Element wise-detail Summary'!$A439)</f>
        <v>1</v>
      </c>
      <c r="H439" s="151">
        <f t="shared" si="31"/>
        <v>0</v>
      </c>
      <c r="I439" s="151">
        <f>SUMIFS(Del!$C:$C,Del!$B:$B,'Element wise-detail Summary'!$A439)</f>
        <v>0</v>
      </c>
      <c r="J439" s="151">
        <f t="shared" si="32"/>
        <v>1</v>
      </c>
      <c r="K439" s="151">
        <f t="shared" si="33"/>
        <v>1</v>
      </c>
      <c r="L439" s="151">
        <f>SUMIF(Ere!$B:$B,'Element wise-detail Summary'!$A439,Ere!$C:$C)</f>
        <v>0</v>
      </c>
      <c r="M439" s="151">
        <f t="shared" si="34"/>
        <v>1</v>
      </c>
      <c r="N439">
        <f t="shared" si="35"/>
        <v>0</v>
      </c>
    </row>
    <row r="440" spans="1:14" hidden="1" x14ac:dyDescent="0.25">
      <c r="A440" s="151" t="s">
        <v>1622</v>
      </c>
      <c r="B440" s="233" t="str">
        <f>VLOOKUP(A440,'AFC Data details'!$B:$E,4,0)</f>
        <v>V69</v>
      </c>
      <c r="C440" s="144" t="s">
        <v>1696</v>
      </c>
      <c r="D440" s="151" t="s">
        <v>602</v>
      </c>
      <c r="E440" s="151">
        <f>VLOOKUP(A440,'AFC Data details'!$B:$P,15,0)</f>
        <v>2.0840000000000001</v>
      </c>
      <c r="F440" s="151">
        <f>SUMIFS('AFC Data details'!C:C,'AFC Data details'!$B:$B,'Element wise-detail Summary'!$A440)</f>
        <v>1</v>
      </c>
      <c r="G440" s="151">
        <f>SUMIFS(Cast!$C:$C,Cast!$B:$B,'Element wise-detail Summary'!$A440)</f>
        <v>1</v>
      </c>
      <c r="H440" s="151">
        <f t="shared" si="31"/>
        <v>0</v>
      </c>
      <c r="I440" s="151">
        <f>SUMIFS(Del!$C:$C,Del!$B:$B,'Element wise-detail Summary'!$A440)</f>
        <v>0</v>
      </c>
      <c r="J440" s="151">
        <f t="shared" si="32"/>
        <v>1</v>
      </c>
      <c r="K440" s="151">
        <f t="shared" si="33"/>
        <v>1</v>
      </c>
      <c r="L440" s="151">
        <f>SUMIF(Ere!$B:$B,'Element wise-detail Summary'!$A440,Ere!$C:$C)</f>
        <v>0</v>
      </c>
      <c r="M440" s="151">
        <f t="shared" si="34"/>
        <v>1</v>
      </c>
      <c r="N440">
        <f t="shared" si="35"/>
        <v>0</v>
      </c>
    </row>
    <row r="441" spans="1:14" hidden="1" x14ac:dyDescent="0.25">
      <c r="A441" s="151" t="s">
        <v>1623</v>
      </c>
      <c r="B441" s="233" t="str">
        <f>VLOOKUP(A441,'AFC Data details'!$B:$E,4,0)</f>
        <v>V69</v>
      </c>
      <c r="C441" s="144" t="s">
        <v>1696</v>
      </c>
      <c r="D441" s="151" t="s">
        <v>602</v>
      </c>
      <c r="E441" s="151">
        <f>VLOOKUP(A441,'AFC Data details'!$B:$P,15,0)</f>
        <v>2.0840000000000001</v>
      </c>
      <c r="F441" s="151">
        <f>SUMIFS('AFC Data details'!C:C,'AFC Data details'!$B:$B,'Element wise-detail Summary'!$A441)</f>
        <v>1</v>
      </c>
      <c r="G441" s="151">
        <f>SUMIFS(Cast!$C:$C,Cast!$B:$B,'Element wise-detail Summary'!$A441)</f>
        <v>1</v>
      </c>
      <c r="H441" s="151">
        <f t="shared" si="31"/>
        <v>0</v>
      </c>
      <c r="I441" s="151">
        <f>SUMIFS(Del!$C:$C,Del!$B:$B,'Element wise-detail Summary'!$A441)</f>
        <v>0</v>
      </c>
      <c r="J441" s="151">
        <f t="shared" si="32"/>
        <v>1</v>
      </c>
      <c r="K441" s="151">
        <f t="shared" si="33"/>
        <v>1</v>
      </c>
      <c r="L441" s="151">
        <f>SUMIF(Ere!$B:$B,'Element wise-detail Summary'!$A441,Ere!$C:$C)</f>
        <v>0</v>
      </c>
      <c r="M441" s="151">
        <f t="shared" si="34"/>
        <v>1</v>
      </c>
      <c r="N441">
        <f t="shared" si="35"/>
        <v>0</v>
      </c>
    </row>
    <row r="442" spans="1:14" hidden="1" x14ac:dyDescent="0.25">
      <c r="A442" s="151" t="s">
        <v>1624</v>
      </c>
      <c r="B442" s="233" t="str">
        <f>VLOOKUP(A442,'AFC Data details'!$B:$E,4,0)</f>
        <v>V68</v>
      </c>
      <c r="C442" s="144" t="s">
        <v>1696</v>
      </c>
      <c r="D442" s="151" t="s">
        <v>602</v>
      </c>
      <c r="E442" s="151">
        <f>VLOOKUP(A442,'AFC Data details'!$B:$P,15,0)</f>
        <v>2.0840000000000001</v>
      </c>
      <c r="F442" s="151">
        <f>SUMIFS('AFC Data details'!C:C,'AFC Data details'!$B:$B,'Element wise-detail Summary'!$A442)</f>
        <v>1</v>
      </c>
      <c r="G442" s="151">
        <f>SUMIFS(Cast!$C:$C,Cast!$B:$B,'Element wise-detail Summary'!$A442)</f>
        <v>1</v>
      </c>
      <c r="H442" s="151">
        <f t="shared" si="31"/>
        <v>0</v>
      </c>
      <c r="I442" s="151">
        <f>SUMIFS(Del!$C:$C,Del!$B:$B,'Element wise-detail Summary'!$A442)</f>
        <v>0</v>
      </c>
      <c r="J442" s="151">
        <f t="shared" si="32"/>
        <v>1</v>
      </c>
      <c r="K442" s="151">
        <f t="shared" si="33"/>
        <v>1</v>
      </c>
      <c r="L442" s="151">
        <f>SUMIF(Ere!$B:$B,'Element wise-detail Summary'!$A442,Ere!$C:$C)</f>
        <v>0</v>
      </c>
      <c r="M442" s="151">
        <f t="shared" si="34"/>
        <v>1</v>
      </c>
      <c r="N442">
        <f t="shared" si="35"/>
        <v>0</v>
      </c>
    </row>
    <row r="443" spans="1:14" hidden="1" x14ac:dyDescent="0.25">
      <c r="A443" s="151" t="s">
        <v>1625</v>
      </c>
      <c r="B443" s="233" t="str">
        <f>VLOOKUP(A443,'AFC Data details'!$B:$E,4,0)</f>
        <v>V69</v>
      </c>
      <c r="C443" s="144" t="s">
        <v>1696</v>
      </c>
      <c r="D443" s="151" t="s">
        <v>602</v>
      </c>
      <c r="E443" s="151">
        <f>VLOOKUP(A443,'AFC Data details'!$B:$P,15,0)</f>
        <v>2.0470000000000002</v>
      </c>
      <c r="F443" s="151">
        <f>SUMIFS('AFC Data details'!C:C,'AFC Data details'!$B:$B,'Element wise-detail Summary'!$A443)</f>
        <v>1</v>
      </c>
      <c r="G443" s="151">
        <f>SUMIFS(Cast!$C:$C,Cast!$B:$B,'Element wise-detail Summary'!$A443)</f>
        <v>1</v>
      </c>
      <c r="H443" s="151">
        <f t="shared" si="31"/>
        <v>0</v>
      </c>
      <c r="I443" s="151">
        <f>SUMIFS(Del!$C:$C,Del!$B:$B,'Element wise-detail Summary'!$A443)</f>
        <v>0</v>
      </c>
      <c r="J443" s="151">
        <f t="shared" si="32"/>
        <v>1</v>
      </c>
      <c r="K443" s="151">
        <f t="shared" si="33"/>
        <v>1</v>
      </c>
      <c r="L443" s="151">
        <f>SUMIF(Ere!$B:$B,'Element wise-detail Summary'!$A443,Ere!$C:$C)</f>
        <v>0</v>
      </c>
      <c r="M443" s="151">
        <f t="shared" si="34"/>
        <v>1</v>
      </c>
      <c r="N443">
        <f t="shared" si="35"/>
        <v>0</v>
      </c>
    </row>
    <row r="444" spans="1:14" hidden="1" x14ac:dyDescent="0.25">
      <c r="A444" s="151" t="s">
        <v>1626</v>
      </c>
      <c r="B444" s="233" t="str">
        <f>VLOOKUP(A444,'AFC Data details'!$B:$E,4,0)</f>
        <v>V69</v>
      </c>
      <c r="C444" s="144" t="s">
        <v>1696</v>
      </c>
      <c r="D444" s="151" t="s">
        <v>602</v>
      </c>
      <c r="E444" s="151">
        <f>VLOOKUP(A444,'AFC Data details'!$B:$P,15,0)</f>
        <v>2.0840000000000001</v>
      </c>
      <c r="F444" s="151">
        <f>SUMIFS('AFC Data details'!C:C,'AFC Data details'!$B:$B,'Element wise-detail Summary'!$A444)</f>
        <v>1</v>
      </c>
      <c r="G444" s="151">
        <f>SUMIFS(Cast!$C:$C,Cast!$B:$B,'Element wise-detail Summary'!$A444)</f>
        <v>1</v>
      </c>
      <c r="H444" s="151">
        <f t="shared" si="31"/>
        <v>0</v>
      </c>
      <c r="I444" s="151">
        <f>SUMIFS(Del!$C:$C,Del!$B:$B,'Element wise-detail Summary'!$A444)</f>
        <v>0</v>
      </c>
      <c r="J444" s="151">
        <f t="shared" si="32"/>
        <v>1</v>
      </c>
      <c r="K444" s="151">
        <f t="shared" si="33"/>
        <v>1</v>
      </c>
      <c r="L444" s="151">
        <f>SUMIF(Ere!$B:$B,'Element wise-detail Summary'!$A444,Ere!$C:$C)</f>
        <v>0</v>
      </c>
      <c r="M444" s="151">
        <f t="shared" si="34"/>
        <v>1</v>
      </c>
      <c r="N444">
        <f t="shared" si="35"/>
        <v>0</v>
      </c>
    </row>
    <row r="445" spans="1:14" hidden="1" x14ac:dyDescent="0.25">
      <c r="A445" s="151" t="s">
        <v>1627</v>
      </c>
      <c r="B445" s="233" t="str">
        <f>VLOOKUP(A445,'AFC Data details'!$B:$E,4,0)</f>
        <v>V70</v>
      </c>
      <c r="C445" s="144" t="s">
        <v>1696</v>
      </c>
      <c r="D445" s="151" t="s">
        <v>602</v>
      </c>
      <c r="E445" s="151">
        <f>VLOOKUP(A445,'AFC Data details'!$B:$P,15,0)</f>
        <v>2.052</v>
      </c>
      <c r="F445" s="151">
        <f>SUMIFS('AFC Data details'!C:C,'AFC Data details'!$B:$B,'Element wise-detail Summary'!$A445)</f>
        <v>1</v>
      </c>
      <c r="G445" s="151">
        <f>SUMIFS(Cast!$C:$C,Cast!$B:$B,'Element wise-detail Summary'!$A445)</f>
        <v>1</v>
      </c>
      <c r="H445" s="151">
        <f t="shared" si="31"/>
        <v>0</v>
      </c>
      <c r="I445" s="151">
        <f>SUMIFS(Del!$C:$C,Del!$B:$B,'Element wise-detail Summary'!$A445)</f>
        <v>0</v>
      </c>
      <c r="J445" s="151">
        <f t="shared" si="32"/>
        <v>1</v>
      </c>
      <c r="K445" s="151">
        <f t="shared" si="33"/>
        <v>1</v>
      </c>
      <c r="L445" s="151">
        <f>SUMIF(Ere!$B:$B,'Element wise-detail Summary'!$A445,Ere!$C:$C)</f>
        <v>0</v>
      </c>
      <c r="M445" s="151">
        <f t="shared" si="34"/>
        <v>1</v>
      </c>
      <c r="N445">
        <f t="shared" si="35"/>
        <v>0</v>
      </c>
    </row>
    <row r="446" spans="1:14" hidden="1" x14ac:dyDescent="0.25">
      <c r="A446" s="151" t="s">
        <v>1628</v>
      </c>
      <c r="B446" s="233" t="str">
        <f>VLOOKUP(A446,'AFC Data details'!$B:$E,4,0)</f>
        <v>V70</v>
      </c>
      <c r="C446" s="144" t="s">
        <v>1696</v>
      </c>
      <c r="D446" s="151" t="s">
        <v>602</v>
      </c>
      <c r="E446" s="151">
        <f>VLOOKUP(A446,'AFC Data details'!$B:$P,15,0)</f>
        <v>2.052</v>
      </c>
      <c r="F446" s="151">
        <f>SUMIFS('AFC Data details'!C:C,'AFC Data details'!$B:$B,'Element wise-detail Summary'!$A446)</f>
        <v>1</v>
      </c>
      <c r="G446" s="151">
        <f>SUMIFS(Cast!$C:$C,Cast!$B:$B,'Element wise-detail Summary'!$A446)</f>
        <v>1</v>
      </c>
      <c r="H446" s="151">
        <f t="shared" si="31"/>
        <v>0</v>
      </c>
      <c r="I446" s="151">
        <f>SUMIFS(Del!$C:$C,Del!$B:$B,'Element wise-detail Summary'!$A446)</f>
        <v>0</v>
      </c>
      <c r="J446" s="151">
        <f t="shared" si="32"/>
        <v>1</v>
      </c>
      <c r="K446" s="151">
        <f t="shared" si="33"/>
        <v>1</v>
      </c>
      <c r="L446" s="151">
        <f>SUMIF(Ere!$B:$B,'Element wise-detail Summary'!$A446,Ere!$C:$C)</f>
        <v>0</v>
      </c>
      <c r="M446" s="151">
        <f t="shared" si="34"/>
        <v>1</v>
      </c>
      <c r="N446">
        <f t="shared" si="35"/>
        <v>0</v>
      </c>
    </row>
    <row r="447" spans="1:14" hidden="1" x14ac:dyDescent="0.25">
      <c r="A447" s="151" t="s">
        <v>1629</v>
      </c>
      <c r="B447" s="233" t="str">
        <f>VLOOKUP(A447,'AFC Data details'!$B:$E,4,0)</f>
        <v>V70</v>
      </c>
      <c r="C447" s="144" t="s">
        <v>1696</v>
      </c>
      <c r="D447" s="151" t="s">
        <v>602</v>
      </c>
      <c r="E447" s="151">
        <f>VLOOKUP(A447,'AFC Data details'!$B:$P,15,0)</f>
        <v>2.052</v>
      </c>
      <c r="F447" s="151">
        <f>SUMIFS('AFC Data details'!C:C,'AFC Data details'!$B:$B,'Element wise-detail Summary'!$A447)</f>
        <v>1</v>
      </c>
      <c r="G447" s="151">
        <f>SUMIFS(Cast!$C:$C,Cast!$B:$B,'Element wise-detail Summary'!$A447)</f>
        <v>1</v>
      </c>
      <c r="H447" s="151">
        <f t="shared" si="31"/>
        <v>0</v>
      </c>
      <c r="I447" s="151">
        <f>SUMIFS(Del!$C:$C,Del!$B:$B,'Element wise-detail Summary'!$A447)</f>
        <v>0</v>
      </c>
      <c r="J447" s="151">
        <f t="shared" si="32"/>
        <v>1</v>
      </c>
      <c r="K447" s="151">
        <f t="shared" si="33"/>
        <v>1</v>
      </c>
      <c r="L447" s="151">
        <f>SUMIF(Ere!$B:$B,'Element wise-detail Summary'!$A447,Ere!$C:$C)</f>
        <v>0</v>
      </c>
      <c r="M447" s="151">
        <f t="shared" si="34"/>
        <v>1</v>
      </c>
      <c r="N447">
        <f t="shared" si="35"/>
        <v>0</v>
      </c>
    </row>
    <row r="448" spans="1:14" hidden="1" x14ac:dyDescent="0.25">
      <c r="A448" s="151" t="s">
        <v>1630</v>
      </c>
      <c r="B448" s="233" t="str">
        <f>VLOOKUP(A448,'AFC Data details'!$B:$E,4,0)</f>
        <v>V70</v>
      </c>
      <c r="C448" s="144" t="s">
        <v>1696</v>
      </c>
      <c r="D448" s="151" t="s">
        <v>602</v>
      </c>
      <c r="E448" s="151">
        <f>VLOOKUP(A448,'AFC Data details'!$B:$P,15,0)</f>
        <v>2.052</v>
      </c>
      <c r="F448" s="151">
        <f>SUMIFS('AFC Data details'!C:C,'AFC Data details'!$B:$B,'Element wise-detail Summary'!$A448)</f>
        <v>1</v>
      </c>
      <c r="G448" s="151">
        <f>SUMIFS(Cast!$C:$C,Cast!$B:$B,'Element wise-detail Summary'!$A448)</f>
        <v>1</v>
      </c>
      <c r="H448" s="151">
        <f t="shared" si="31"/>
        <v>0</v>
      </c>
      <c r="I448" s="151">
        <f>SUMIFS(Del!$C:$C,Del!$B:$B,'Element wise-detail Summary'!$A448)</f>
        <v>0</v>
      </c>
      <c r="J448" s="151">
        <f t="shared" si="32"/>
        <v>1</v>
      </c>
      <c r="K448" s="151">
        <f t="shared" si="33"/>
        <v>1</v>
      </c>
      <c r="L448" s="151">
        <f>SUMIF(Ere!$B:$B,'Element wise-detail Summary'!$A448,Ere!$C:$C)</f>
        <v>0</v>
      </c>
      <c r="M448" s="151">
        <f t="shared" si="34"/>
        <v>1</v>
      </c>
      <c r="N448">
        <f t="shared" si="35"/>
        <v>0</v>
      </c>
    </row>
    <row r="449" spans="1:14" hidden="1" x14ac:dyDescent="0.25">
      <c r="A449" s="151" t="s">
        <v>1631</v>
      </c>
      <c r="B449" s="233" t="str">
        <f>VLOOKUP(A449,'AFC Data details'!$B:$E,4,0)</f>
        <v>V70</v>
      </c>
      <c r="C449" s="144" t="s">
        <v>1696</v>
      </c>
      <c r="D449" s="151" t="s">
        <v>602</v>
      </c>
      <c r="E449" s="151">
        <f>VLOOKUP(A449,'AFC Data details'!$B:$P,15,0)</f>
        <v>2.052</v>
      </c>
      <c r="F449" s="151">
        <f>SUMIFS('AFC Data details'!C:C,'AFC Data details'!$B:$B,'Element wise-detail Summary'!$A449)</f>
        <v>1</v>
      </c>
      <c r="G449" s="151">
        <f>SUMIFS(Cast!$C:$C,Cast!$B:$B,'Element wise-detail Summary'!$A449)</f>
        <v>1</v>
      </c>
      <c r="H449" s="151">
        <f t="shared" si="31"/>
        <v>0</v>
      </c>
      <c r="I449" s="151">
        <f>SUMIFS(Del!$C:$C,Del!$B:$B,'Element wise-detail Summary'!$A449)</f>
        <v>0</v>
      </c>
      <c r="J449" s="151">
        <f t="shared" si="32"/>
        <v>1</v>
      </c>
      <c r="K449" s="151">
        <f t="shared" si="33"/>
        <v>1</v>
      </c>
      <c r="L449" s="151">
        <f>SUMIF(Ere!$B:$B,'Element wise-detail Summary'!$A449,Ere!$C:$C)</f>
        <v>0</v>
      </c>
      <c r="M449" s="151">
        <f t="shared" si="34"/>
        <v>1</v>
      </c>
      <c r="N449">
        <f t="shared" si="35"/>
        <v>0</v>
      </c>
    </row>
    <row r="450" spans="1:14" hidden="1" x14ac:dyDescent="0.25">
      <c r="A450" s="151" t="s">
        <v>1632</v>
      </c>
      <c r="B450" s="233" t="str">
        <f>VLOOKUP(A450,'AFC Data details'!$B:$E,4,0)</f>
        <v>V70</v>
      </c>
      <c r="C450" s="144" t="s">
        <v>1696</v>
      </c>
      <c r="D450" s="151" t="s">
        <v>602</v>
      </c>
      <c r="E450" s="151">
        <f>VLOOKUP(A450,'AFC Data details'!$B:$P,15,0)</f>
        <v>2.2290000000000001</v>
      </c>
      <c r="F450" s="151">
        <f>SUMIFS('AFC Data details'!C:C,'AFC Data details'!$B:$B,'Element wise-detail Summary'!$A450)</f>
        <v>1</v>
      </c>
      <c r="G450" s="151">
        <f>SUMIFS(Cast!$C:$C,Cast!$B:$B,'Element wise-detail Summary'!$A450)</f>
        <v>1</v>
      </c>
      <c r="H450" s="151">
        <f t="shared" si="31"/>
        <v>0</v>
      </c>
      <c r="I450" s="151">
        <f>SUMIFS(Del!$C:$C,Del!$B:$B,'Element wise-detail Summary'!$A450)</f>
        <v>0</v>
      </c>
      <c r="J450" s="151">
        <f t="shared" si="32"/>
        <v>1</v>
      </c>
      <c r="K450" s="151">
        <f t="shared" si="33"/>
        <v>1</v>
      </c>
      <c r="L450" s="151">
        <f>SUMIF(Ere!$B:$B,'Element wise-detail Summary'!$A450,Ere!$C:$C)</f>
        <v>0</v>
      </c>
      <c r="M450" s="151">
        <f t="shared" si="34"/>
        <v>1</v>
      </c>
      <c r="N450">
        <f t="shared" si="35"/>
        <v>0</v>
      </c>
    </row>
    <row r="451" spans="1:14" hidden="1" x14ac:dyDescent="0.25">
      <c r="A451" s="151" t="s">
        <v>1633</v>
      </c>
      <c r="B451" s="233" t="str">
        <f>VLOOKUP(A451,'AFC Data details'!$B:$E,4,0)</f>
        <v>V55</v>
      </c>
      <c r="C451" s="144" t="s">
        <v>1696</v>
      </c>
      <c r="D451" s="151" t="s">
        <v>602</v>
      </c>
      <c r="E451" s="151">
        <f>VLOOKUP(A451,'AFC Data details'!$B:$P,15,0)</f>
        <v>1.087</v>
      </c>
      <c r="F451" s="151">
        <f>SUMIFS('AFC Data details'!C:C,'AFC Data details'!$B:$B,'Element wise-detail Summary'!$A451)</f>
        <v>1</v>
      </c>
      <c r="G451" s="151">
        <f>SUMIFS(Cast!$C:$C,Cast!$B:$B,'Element wise-detail Summary'!$A451)</f>
        <v>1</v>
      </c>
      <c r="H451" s="151">
        <f t="shared" si="31"/>
        <v>0</v>
      </c>
      <c r="I451" s="151">
        <f>SUMIFS(Del!$C:$C,Del!$B:$B,'Element wise-detail Summary'!$A451)</f>
        <v>0</v>
      </c>
      <c r="J451" s="151">
        <f t="shared" si="32"/>
        <v>1</v>
      </c>
      <c r="K451" s="151">
        <f t="shared" si="33"/>
        <v>1</v>
      </c>
      <c r="L451" s="151">
        <f>SUMIF(Ere!$B:$B,'Element wise-detail Summary'!$A451,Ere!$C:$C)</f>
        <v>0</v>
      </c>
      <c r="M451" s="151">
        <f t="shared" si="34"/>
        <v>1</v>
      </c>
      <c r="N451">
        <f t="shared" si="35"/>
        <v>0</v>
      </c>
    </row>
    <row r="452" spans="1:14" hidden="1" x14ac:dyDescent="0.25">
      <c r="A452" s="151" t="s">
        <v>1634</v>
      </c>
      <c r="B452" s="233" t="str">
        <f>VLOOKUP(A452,'AFC Data details'!$B:$E,4,0)</f>
        <v>V55</v>
      </c>
      <c r="C452" s="144" t="s">
        <v>1696</v>
      </c>
      <c r="D452" s="151" t="s">
        <v>602</v>
      </c>
      <c r="E452" s="151">
        <f>VLOOKUP(A452,'AFC Data details'!$B:$P,15,0)</f>
        <v>1.877</v>
      </c>
      <c r="F452" s="151">
        <f>SUMIFS('AFC Data details'!C:C,'AFC Data details'!$B:$B,'Element wise-detail Summary'!$A452)</f>
        <v>1</v>
      </c>
      <c r="G452" s="151">
        <f>SUMIFS(Cast!$C:$C,Cast!$B:$B,'Element wise-detail Summary'!$A452)</f>
        <v>1</v>
      </c>
      <c r="H452" s="151">
        <f t="shared" ref="H452:H508" si="36">F452-G452</f>
        <v>0</v>
      </c>
      <c r="I452" s="151">
        <f>SUMIFS(Del!$C:$C,Del!$B:$B,'Element wise-detail Summary'!$A452)</f>
        <v>0</v>
      </c>
      <c r="J452" s="151">
        <f t="shared" ref="J452:J508" si="37">F452-I452</f>
        <v>1</v>
      </c>
      <c r="K452" s="151">
        <f t="shared" ref="K452:K508" si="38">G452-I452</f>
        <v>1</v>
      </c>
      <c r="L452" s="151">
        <f>SUMIF(Ere!$B:$B,'Element wise-detail Summary'!$A452,Ere!$C:$C)</f>
        <v>0</v>
      </c>
      <c r="M452" s="151">
        <f t="shared" ref="M452:M508" si="39">F452-L452</f>
        <v>1</v>
      </c>
      <c r="N452">
        <f t="shared" ref="N452:N515" si="40">I452*E452</f>
        <v>0</v>
      </c>
    </row>
    <row r="453" spans="1:14" hidden="1" x14ac:dyDescent="0.25">
      <c r="A453" s="151" t="s">
        <v>1635</v>
      </c>
      <c r="B453" s="233" t="str">
        <f>VLOOKUP(A453,'AFC Data details'!$B:$E,4,0)</f>
        <v>V55</v>
      </c>
      <c r="C453" s="144" t="s">
        <v>1696</v>
      </c>
      <c r="D453" s="151" t="s">
        <v>602</v>
      </c>
      <c r="E453" s="151">
        <f>VLOOKUP(A453,'AFC Data details'!$B:$P,15,0)</f>
        <v>1.8120000000000001</v>
      </c>
      <c r="F453" s="151">
        <f>SUMIFS('AFC Data details'!C:C,'AFC Data details'!$B:$B,'Element wise-detail Summary'!$A453)</f>
        <v>1</v>
      </c>
      <c r="G453" s="151">
        <f>SUMIFS(Cast!$C:$C,Cast!$B:$B,'Element wise-detail Summary'!$A453)</f>
        <v>1</v>
      </c>
      <c r="H453" s="151">
        <f t="shared" si="36"/>
        <v>0</v>
      </c>
      <c r="I453" s="151">
        <f>SUMIFS(Del!$C:$C,Del!$B:$B,'Element wise-detail Summary'!$A453)</f>
        <v>0</v>
      </c>
      <c r="J453" s="151">
        <f t="shared" si="37"/>
        <v>1</v>
      </c>
      <c r="K453" s="151">
        <f t="shared" si="38"/>
        <v>1</v>
      </c>
      <c r="L453" s="151">
        <f>SUMIF(Ere!$B:$B,'Element wise-detail Summary'!$A453,Ere!$C:$C)</f>
        <v>0</v>
      </c>
      <c r="M453" s="151">
        <f t="shared" si="39"/>
        <v>1</v>
      </c>
      <c r="N453">
        <f t="shared" si="40"/>
        <v>0</v>
      </c>
    </row>
    <row r="454" spans="1:14" hidden="1" x14ac:dyDescent="0.25">
      <c r="A454" s="151" t="s">
        <v>1636</v>
      </c>
      <c r="B454" s="233" t="str">
        <f>VLOOKUP(A454,'AFC Data details'!$B:$E,4,0)</f>
        <v>V55</v>
      </c>
      <c r="C454" s="144" t="s">
        <v>1696</v>
      </c>
      <c r="D454" s="151" t="s">
        <v>602</v>
      </c>
      <c r="E454" s="151">
        <f>VLOOKUP(A454,'AFC Data details'!$B:$P,15,0)</f>
        <v>2.2919999999999998</v>
      </c>
      <c r="F454" s="151">
        <f>SUMIFS('AFC Data details'!C:C,'AFC Data details'!$B:$B,'Element wise-detail Summary'!$A454)</f>
        <v>1</v>
      </c>
      <c r="G454" s="151">
        <f>SUMIFS(Cast!$C:$C,Cast!$B:$B,'Element wise-detail Summary'!$A454)</f>
        <v>1</v>
      </c>
      <c r="H454" s="151">
        <f t="shared" si="36"/>
        <v>0</v>
      </c>
      <c r="I454" s="151">
        <f>SUMIFS(Del!$C:$C,Del!$B:$B,'Element wise-detail Summary'!$A454)</f>
        <v>0</v>
      </c>
      <c r="J454" s="151">
        <f t="shared" si="37"/>
        <v>1</v>
      </c>
      <c r="K454" s="151">
        <f t="shared" si="38"/>
        <v>1</v>
      </c>
      <c r="L454" s="151">
        <f>SUMIF(Ere!$B:$B,'Element wise-detail Summary'!$A454,Ere!$C:$C)</f>
        <v>0</v>
      </c>
      <c r="M454" s="151">
        <f t="shared" si="39"/>
        <v>1</v>
      </c>
      <c r="N454">
        <f t="shared" si="40"/>
        <v>0</v>
      </c>
    </row>
    <row r="455" spans="1:14" hidden="1" x14ac:dyDescent="0.25">
      <c r="A455" s="151" t="s">
        <v>1637</v>
      </c>
      <c r="B455" s="233" t="str">
        <f>VLOOKUP(A455,'AFC Data details'!$B:$E,4,0)</f>
        <v>V55</v>
      </c>
      <c r="C455" s="144" t="s">
        <v>1696</v>
      </c>
      <c r="D455" s="151" t="s">
        <v>602</v>
      </c>
      <c r="E455" s="151">
        <f>VLOOKUP(A455,'AFC Data details'!$B:$P,15,0)</f>
        <v>2.2919999999999998</v>
      </c>
      <c r="F455" s="151">
        <f>SUMIFS('AFC Data details'!C:C,'AFC Data details'!$B:$B,'Element wise-detail Summary'!$A455)</f>
        <v>1</v>
      </c>
      <c r="G455" s="151">
        <f>SUMIFS(Cast!$C:$C,Cast!$B:$B,'Element wise-detail Summary'!$A455)</f>
        <v>1</v>
      </c>
      <c r="H455" s="151">
        <f t="shared" si="36"/>
        <v>0</v>
      </c>
      <c r="I455" s="151">
        <f>SUMIFS(Del!$C:$C,Del!$B:$B,'Element wise-detail Summary'!$A455)</f>
        <v>0</v>
      </c>
      <c r="J455" s="151">
        <f t="shared" si="37"/>
        <v>1</v>
      </c>
      <c r="K455" s="151">
        <f t="shared" si="38"/>
        <v>1</v>
      </c>
      <c r="L455" s="151">
        <f>SUMIF(Ere!$B:$B,'Element wise-detail Summary'!$A455,Ere!$C:$C)</f>
        <v>0</v>
      </c>
      <c r="M455" s="151">
        <f t="shared" si="39"/>
        <v>1</v>
      </c>
      <c r="N455">
        <f t="shared" si="40"/>
        <v>0</v>
      </c>
    </row>
    <row r="456" spans="1:14" hidden="1" x14ac:dyDescent="0.25">
      <c r="A456" s="151" t="s">
        <v>1638</v>
      </c>
      <c r="B456" s="233" t="str">
        <f>VLOOKUP(A456,'AFC Data details'!$B:$E,4,0)</f>
        <v>V55</v>
      </c>
      <c r="C456" s="144" t="s">
        <v>1696</v>
      </c>
      <c r="D456" s="151" t="s">
        <v>602</v>
      </c>
      <c r="E456" s="151">
        <f>VLOOKUP(A456,'AFC Data details'!$B:$P,15,0)</f>
        <v>2.2410000000000001</v>
      </c>
      <c r="F456" s="151">
        <f>SUMIFS('AFC Data details'!C:C,'AFC Data details'!$B:$B,'Element wise-detail Summary'!$A456)</f>
        <v>1</v>
      </c>
      <c r="G456" s="151">
        <f>SUMIFS(Cast!$C:$C,Cast!$B:$B,'Element wise-detail Summary'!$A456)</f>
        <v>1</v>
      </c>
      <c r="H456" s="151">
        <f t="shared" si="36"/>
        <v>0</v>
      </c>
      <c r="I456" s="151">
        <f>SUMIFS(Del!$C:$C,Del!$B:$B,'Element wise-detail Summary'!$A456)</f>
        <v>0</v>
      </c>
      <c r="J456" s="151">
        <f t="shared" si="37"/>
        <v>1</v>
      </c>
      <c r="K456" s="151">
        <f t="shared" si="38"/>
        <v>1</v>
      </c>
      <c r="L456" s="151">
        <f>SUMIF(Ere!$B:$B,'Element wise-detail Summary'!$A456,Ere!$C:$C)</f>
        <v>0</v>
      </c>
      <c r="M456" s="151">
        <f t="shared" si="39"/>
        <v>1</v>
      </c>
      <c r="N456">
        <f t="shared" si="40"/>
        <v>0</v>
      </c>
    </row>
    <row r="457" spans="1:14" hidden="1" x14ac:dyDescent="0.25">
      <c r="A457" s="151" t="s">
        <v>1639</v>
      </c>
      <c r="B457" s="233" t="str">
        <f>VLOOKUP(A457,'AFC Data details'!$B:$E,4,0)</f>
        <v>V55</v>
      </c>
      <c r="C457" s="144" t="s">
        <v>1696</v>
      </c>
      <c r="D457" s="151" t="s">
        <v>602</v>
      </c>
      <c r="E457" s="151">
        <f>VLOOKUP(A457,'AFC Data details'!$B:$P,15,0)</f>
        <v>2.1019999999999999</v>
      </c>
      <c r="F457" s="151">
        <f>SUMIFS('AFC Data details'!C:C,'AFC Data details'!$B:$B,'Element wise-detail Summary'!$A457)</f>
        <v>1</v>
      </c>
      <c r="G457" s="151">
        <f>SUMIFS(Cast!$C:$C,Cast!$B:$B,'Element wise-detail Summary'!$A457)</f>
        <v>1</v>
      </c>
      <c r="H457" s="151">
        <f t="shared" si="36"/>
        <v>0</v>
      </c>
      <c r="I457" s="151">
        <f>SUMIFS(Del!$C:$C,Del!$B:$B,'Element wise-detail Summary'!$A457)</f>
        <v>0</v>
      </c>
      <c r="J457" s="151">
        <f t="shared" si="37"/>
        <v>1</v>
      </c>
      <c r="K457" s="151">
        <f t="shared" si="38"/>
        <v>1</v>
      </c>
      <c r="L457" s="151">
        <f>SUMIF(Ere!$B:$B,'Element wise-detail Summary'!$A457,Ere!$C:$C)</f>
        <v>0</v>
      </c>
      <c r="M457" s="151">
        <f t="shared" si="39"/>
        <v>1</v>
      </c>
      <c r="N457">
        <f t="shared" si="40"/>
        <v>0</v>
      </c>
    </row>
    <row r="458" spans="1:14" hidden="1" x14ac:dyDescent="0.25">
      <c r="A458" s="151" t="s">
        <v>1640</v>
      </c>
      <c r="B458" s="233" t="str">
        <f>VLOOKUP(A458,'AFC Data details'!$B:$E,4,0)</f>
        <v>V55</v>
      </c>
      <c r="C458" s="144" t="s">
        <v>1696</v>
      </c>
      <c r="D458" s="151" t="s">
        <v>602</v>
      </c>
      <c r="E458" s="151">
        <f>VLOOKUP(A458,'AFC Data details'!$B:$P,15,0)</f>
        <v>2.1019999999999999</v>
      </c>
      <c r="F458" s="151">
        <f>SUMIFS('AFC Data details'!C:C,'AFC Data details'!$B:$B,'Element wise-detail Summary'!$A458)</f>
        <v>1</v>
      </c>
      <c r="G458" s="151">
        <f>SUMIFS(Cast!$C:$C,Cast!$B:$B,'Element wise-detail Summary'!$A458)</f>
        <v>1</v>
      </c>
      <c r="H458" s="151">
        <f t="shared" si="36"/>
        <v>0</v>
      </c>
      <c r="I458" s="151">
        <f>SUMIFS(Del!$C:$C,Del!$B:$B,'Element wise-detail Summary'!$A458)</f>
        <v>0</v>
      </c>
      <c r="J458" s="151">
        <f t="shared" si="37"/>
        <v>1</v>
      </c>
      <c r="K458" s="151">
        <f t="shared" si="38"/>
        <v>1</v>
      </c>
      <c r="L458" s="151">
        <f>SUMIF(Ere!$B:$B,'Element wise-detail Summary'!$A458,Ere!$C:$C)</f>
        <v>0</v>
      </c>
      <c r="M458" s="151">
        <f t="shared" si="39"/>
        <v>1</v>
      </c>
      <c r="N458">
        <f t="shared" si="40"/>
        <v>0</v>
      </c>
    </row>
    <row r="459" spans="1:14" hidden="1" x14ac:dyDescent="0.25">
      <c r="A459" s="151" t="s">
        <v>1641</v>
      </c>
      <c r="B459" s="233" t="str">
        <f>VLOOKUP(A459,'AFC Data details'!$B:$E,4,0)</f>
        <v>V55</v>
      </c>
      <c r="C459" s="144" t="s">
        <v>1696</v>
      </c>
      <c r="D459" s="151" t="s">
        <v>602</v>
      </c>
      <c r="E459" s="151">
        <f>VLOOKUP(A459,'AFC Data details'!$B:$P,15,0)</f>
        <v>2.1429999999999998</v>
      </c>
      <c r="F459" s="151">
        <f>SUMIFS('AFC Data details'!C:C,'AFC Data details'!$B:$B,'Element wise-detail Summary'!$A459)</f>
        <v>1</v>
      </c>
      <c r="G459" s="151">
        <f>SUMIFS(Cast!$C:$C,Cast!$B:$B,'Element wise-detail Summary'!$A459)</f>
        <v>1</v>
      </c>
      <c r="H459" s="151">
        <f t="shared" si="36"/>
        <v>0</v>
      </c>
      <c r="I459" s="151">
        <f>SUMIFS(Del!$C:$C,Del!$B:$B,'Element wise-detail Summary'!$A459)</f>
        <v>0</v>
      </c>
      <c r="J459" s="151">
        <f t="shared" si="37"/>
        <v>1</v>
      </c>
      <c r="K459" s="151">
        <f t="shared" si="38"/>
        <v>1</v>
      </c>
      <c r="L459" s="151">
        <f>SUMIF(Ere!$B:$B,'Element wise-detail Summary'!$A459,Ere!$C:$C)</f>
        <v>0</v>
      </c>
      <c r="M459" s="151">
        <f t="shared" si="39"/>
        <v>1</v>
      </c>
      <c r="N459">
        <f t="shared" si="40"/>
        <v>0</v>
      </c>
    </row>
    <row r="460" spans="1:14" hidden="1" x14ac:dyDescent="0.25">
      <c r="A460" s="151" t="s">
        <v>1642</v>
      </c>
      <c r="B460" s="233" t="str">
        <f>VLOOKUP(A460,'AFC Data details'!$B:$E,4,0)</f>
        <v>V55</v>
      </c>
      <c r="C460" s="144" t="s">
        <v>1696</v>
      </c>
      <c r="D460" s="151" t="s">
        <v>602</v>
      </c>
      <c r="E460" s="151">
        <f>VLOOKUP(A460,'AFC Data details'!$B:$P,15,0)</f>
        <v>2.1819999999999999</v>
      </c>
      <c r="F460" s="151">
        <f>SUMIFS('AFC Data details'!C:C,'AFC Data details'!$B:$B,'Element wise-detail Summary'!$A460)</f>
        <v>1</v>
      </c>
      <c r="G460" s="151">
        <f>SUMIFS(Cast!$C:$C,Cast!$B:$B,'Element wise-detail Summary'!$A460)</f>
        <v>1</v>
      </c>
      <c r="H460" s="151">
        <f t="shared" si="36"/>
        <v>0</v>
      </c>
      <c r="I460" s="151">
        <f>SUMIFS(Del!$C:$C,Del!$B:$B,'Element wise-detail Summary'!$A460)</f>
        <v>0</v>
      </c>
      <c r="J460" s="151">
        <f t="shared" si="37"/>
        <v>1</v>
      </c>
      <c r="K460" s="151">
        <f t="shared" si="38"/>
        <v>1</v>
      </c>
      <c r="L460" s="151">
        <f>SUMIF(Ere!$B:$B,'Element wise-detail Summary'!$A460,Ere!$C:$C)</f>
        <v>0</v>
      </c>
      <c r="M460" s="151">
        <f t="shared" si="39"/>
        <v>1</v>
      </c>
      <c r="N460">
        <f t="shared" si="40"/>
        <v>0</v>
      </c>
    </row>
    <row r="461" spans="1:14" hidden="1" x14ac:dyDescent="0.25">
      <c r="A461" s="151" t="s">
        <v>1643</v>
      </c>
      <c r="B461" s="233" t="str">
        <f>VLOOKUP(A461,'AFC Data details'!$B:$E,4,0)</f>
        <v>V55</v>
      </c>
      <c r="C461" s="144" t="s">
        <v>1696</v>
      </c>
      <c r="D461" s="151" t="s">
        <v>602</v>
      </c>
      <c r="E461" s="151">
        <f>VLOOKUP(A461,'AFC Data details'!$B:$P,15,0)</f>
        <v>2.1800000000000002</v>
      </c>
      <c r="F461" s="151">
        <f>SUMIFS('AFC Data details'!C:C,'AFC Data details'!$B:$B,'Element wise-detail Summary'!$A461)</f>
        <v>1</v>
      </c>
      <c r="G461" s="151">
        <f>SUMIFS(Cast!$C:$C,Cast!$B:$B,'Element wise-detail Summary'!$A461)</f>
        <v>1</v>
      </c>
      <c r="H461" s="151">
        <f t="shared" si="36"/>
        <v>0</v>
      </c>
      <c r="I461" s="151">
        <f>SUMIFS(Del!$C:$C,Del!$B:$B,'Element wise-detail Summary'!$A461)</f>
        <v>0</v>
      </c>
      <c r="J461" s="151">
        <f t="shared" si="37"/>
        <v>1</v>
      </c>
      <c r="K461" s="151">
        <f t="shared" si="38"/>
        <v>1</v>
      </c>
      <c r="L461" s="151">
        <f>SUMIF(Ere!$B:$B,'Element wise-detail Summary'!$A461,Ere!$C:$C)</f>
        <v>0</v>
      </c>
      <c r="M461" s="151">
        <f t="shared" si="39"/>
        <v>1</v>
      </c>
      <c r="N461">
        <f t="shared" si="40"/>
        <v>0</v>
      </c>
    </row>
    <row r="462" spans="1:14" hidden="1" x14ac:dyDescent="0.25">
      <c r="A462" s="151" t="s">
        <v>1644</v>
      </c>
      <c r="B462" s="233" t="str">
        <f>VLOOKUP(A462,'AFC Data details'!$B:$E,4,0)</f>
        <v>V55</v>
      </c>
      <c r="C462" s="144" t="s">
        <v>1696</v>
      </c>
      <c r="D462" s="151" t="s">
        <v>602</v>
      </c>
      <c r="E462" s="151">
        <f>VLOOKUP(A462,'AFC Data details'!$B:$P,15,0)</f>
        <v>1.39</v>
      </c>
      <c r="F462" s="151">
        <f>SUMIFS('AFC Data details'!C:C,'AFC Data details'!$B:$B,'Element wise-detail Summary'!$A462)</f>
        <v>1</v>
      </c>
      <c r="G462" s="151">
        <f>SUMIFS(Cast!$C:$C,Cast!$B:$B,'Element wise-detail Summary'!$A462)</f>
        <v>1</v>
      </c>
      <c r="H462" s="151">
        <f t="shared" si="36"/>
        <v>0</v>
      </c>
      <c r="I462" s="151">
        <f>SUMIFS(Del!$C:$C,Del!$B:$B,'Element wise-detail Summary'!$A462)</f>
        <v>1</v>
      </c>
      <c r="J462" s="151">
        <f t="shared" si="37"/>
        <v>0</v>
      </c>
      <c r="K462" s="151">
        <f t="shared" si="38"/>
        <v>0</v>
      </c>
      <c r="L462" s="151">
        <f>SUMIF(Ere!$B:$B,'Element wise-detail Summary'!$A462,Ere!$C:$C)</f>
        <v>0</v>
      </c>
      <c r="M462" s="151">
        <f t="shared" si="39"/>
        <v>1</v>
      </c>
      <c r="N462">
        <f t="shared" si="40"/>
        <v>1.39</v>
      </c>
    </row>
    <row r="463" spans="1:14" hidden="1" x14ac:dyDescent="0.25">
      <c r="A463" s="151" t="s">
        <v>1645</v>
      </c>
      <c r="B463" s="233" t="str">
        <f>VLOOKUP(A463,'AFC Data details'!$B:$E,4,0)</f>
        <v>V55</v>
      </c>
      <c r="C463" s="144" t="s">
        <v>1696</v>
      </c>
      <c r="D463" s="151" t="s">
        <v>602</v>
      </c>
      <c r="E463" s="151">
        <f>VLOOKUP(A463,'AFC Data details'!$B:$P,15,0)</f>
        <v>1.5129999999999999</v>
      </c>
      <c r="F463" s="151">
        <f>SUMIFS('AFC Data details'!C:C,'AFC Data details'!$B:$B,'Element wise-detail Summary'!$A463)</f>
        <v>1</v>
      </c>
      <c r="G463" s="151">
        <f>SUMIFS(Cast!$C:$C,Cast!$B:$B,'Element wise-detail Summary'!$A463)</f>
        <v>1</v>
      </c>
      <c r="H463" s="151">
        <f t="shared" si="36"/>
        <v>0</v>
      </c>
      <c r="I463" s="151">
        <f>SUMIFS(Del!$C:$C,Del!$B:$B,'Element wise-detail Summary'!$A463)</f>
        <v>1</v>
      </c>
      <c r="J463" s="151">
        <f t="shared" si="37"/>
        <v>0</v>
      </c>
      <c r="K463" s="151">
        <f t="shared" si="38"/>
        <v>0</v>
      </c>
      <c r="L463" s="151">
        <f>SUMIF(Ere!$B:$B,'Element wise-detail Summary'!$A463,Ere!$C:$C)</f>
        <v>1</v>
      </c>
      <c r="M463" s="151">
        <f t="shared" si="39"/>
        <v>0</v>
      </c>
      <c r="N463">
        <f t="shared" si="40"/>
        <v>1.5129999999999999</v>
      </c>
    </row>
    <row r="464" spans="1:14" hidden="1" x14ac:dyDescent="0.25">
      <c r="A464" s="151" t="s">
        <v>1646</v>
      </c>
      <c r="B464" s="233" t="str">
        <f>VLOOKUP(A464,'AFC Data details'!$B:$E,4,0)</f>
        <v>V56</v>
      </c>
      <c r="C464" s="144" t="s">
        <v>1696</v>
      </c>
      <c r="D464" s="151" t="s">
        <v>602</v>
      </c>
      <c r="E464" s="151">
        <f>VLOOKUP(A464,'AFC Data details'!$B:$P,15,0)</f>
        <v>1.589</v>
      </c>
      <c r="F464" s="151">
        <f>SUMIFS('AFC Data details'!C:C,'AFC Data details'!$B:$B,'Element wise-detail Summary'!$A464)</f>
        <v>1</v>
      </c>
      <c r="G464" s="151">
        <f>SUMIFS(Cast!$C:$C,Cast!$B:$B,'Element wise-detail Summary'!$A464)</f>
        <v>1</v>
      </c>
      <c r="H464" s="151">
        <f t="shared" si="36"/>
        <v>0</v>
      </c>
      <c r="I464" s="151">
        <f>SUMIFS(Del!$C:$C,Del!$B:$B,'Element wise-detail Summary'!$A464)</f>
        <v>1</v>
      </c>
      <c r="J464" s="151">
        <f t="shared" si="37"/>
        <v>0</v>
      </c>
      <c r="K464" s="151">
        <f t="shared" si="38"/>
        <v>0</v>
      </c>
      <c r="L464" s="151">
        <f>SUMIF(Ere!$B:$B,'Element wise-detail Summary'!$A464,Ere!$C:$C)</f>
        <v>1</v>
      </c>
      <c r="M464" s="151">
        <f t="shared" si="39"/>
        <v>0</v>
      </c>
      <c r="N464">
        <f t="shared" si="40"/>
        <v>1.589</v>
      </c>
    </row>
    <row r="465" spans="1:14" hidden="1" x14ac:dyDescent="0.25">
      <c r="A465" s="151" t="s">
        <v>1647</v>
      </c>
      <c r="B465" s="233" t="str">
        <f>VLOOKUP(A465,'AFC Data details'!$B:$E,4,0)</f>
        <v>V56</v>
      </c>
      <c r="C465" s="144" t="s">
        <v>1696</v>
      </c>
      <c r="D465" s="151" t="s">
        <v>602</v>
      </c>
      <c r="E465" s="151">
        <f>VLOOKUP(A465,'AFC Data details'!$B:$P,15,0)</f>
        <v>1.417</v>
      </c>
      <c r="F465" s="151">
        <f>SUMIFS('AFC Data details'!C:C,'AFC Data details'!$B:$B,'Element wise-detail Summary'!$A465)</f>
        <v>1</v>
      </c>
      <c r="G465" s="151">
        <f>SUMIFS(Cast!$C:$C,Cast!$B:$B,'Element wise-detail Summary'!$A465)</f>
        <v>1</v>
      </c>
      <c r="H465" s="151">
        <f t="shared" si="36"/>
        <v>0</v>
      </c>
      <c r="I465" s="151">
        <f>SUMIFS(Del!$C:$C,Del!$B:$B,'Element wise-detail Summary'!$A465)</f>
        <v>1</v>
      </c>
      <c r="J465" s="151">
        <f t="shared" si="37"/>
        <v>0</v>
      </c>
      <c r="K465" s="151">
        <f t="shared" si="38"/>
        <v>0</v>
      </c>
      <c r="L465" s="151">
        <f>SUMIF(Ere!$B:$B,'Element wise-detail Summary'!$A465,Ere!$C:$C)</f>
        <v>1</v>
      </c>
      <c r="M465" s="151">
        <f t="shared" si="39"/>
        <v>0</v>
      </c>
      <c r="N465">
        <f t="shared" si="40"/>
        <v>1.417</v>
      </c>
    </row>
    <row r="466" spans="1:14" hidden="1" x14ac:dyDescent="0.25">
      <c r="A466" s="151" t="s">
        <v>1648</v>
      </c>
      <c r="B466" s="233" t="str">
        <f>VLOOKUP(A466,'AFC Data details'!$B:$E,4,0)</f>
        <v>V57</v>
      </c>
      <c r="C466" s="144" t="s">
        <v>1696</v>
      </c>
      <c r="D466" s="151" t="s">
        <v>602</v>
      </c>
      <c r="E466" s="151">
        <f>VLOOKUP(A466,'AFC Data details'!$B:$P,15,0)</f>
        <v>1.0780000000000001</v>
      </c>
      <c r="F466" s="151">
        <f>SUMIFS('AFC Data details'!C:C,'AFC Data details'!$B:$B,'Element wise-detail Summary'!$A466)</f>
        <v>1</v>
      </c>
      <c r="G466" s="151">
        <f>SUMIFS(Cast!$C:$C,Cast!$B:$B,'Element wise-detail Summary'!$A466)</f>
        <v>1</v>
      </c>
      <c r="H466" s="151">
        <f t="shared" si="36"/>
        <v>0</v>
      </c>
      <c r="I466" s="151">
        <f>SUMIFS(Del!$C:$C,Del!$B:$B,'Element wise-detail Summary'!$A466)</f>
        <v>1</v>
      </c>
      <c r="J466" s="151">
        <f t="shared" si="37"/>
        <v>0</v>
      </c>
      <c r="K466" s="151">
        <f t="shared" si="38"/>
        <v>0</v>
      </c>
      <c r="L466" s="151">
        <f>SUMIF(Ere!$B:$B,'Element wise-detail Summary'!$A466,Ere!$C:$C)</f>
        <v>1</v>
      </c>
      <c r="M466" s="151">
        <f t="shared" si="39"/>
        <v>0</v>
      </c>
      <c r="N466">
        <f t="shared" si="40"/>
        <v>1.0780000000000001</v>
      </c>
    </row>
    <row r="467" spans="1:14" hidden="1" x14ac:dyDescent="0.25">
      <c r="A467" s="151" t="s">
        <v>1649</v>
      </c>
      <c r="B467" s="233" t="str">
        <f>VLOOKUP(A467,'AFC Data details'!$B:$E,4,0)</f>
        <v>V57</v>
      </c>
      <c r="C467" s="144" t="s">
        <v>1696</v>
      </c>
      <c r="D467" s="151" t="s">
        <v>602</v>
      </c>
      <c r="E467" s="151">
        <f>VLOOKUP(A467,'AFC Data details'!$B:$P,15,0)</f>
        <v>1.4430000000000001</v>
      </c>
      <c r="F467" s="151">
        <f>SUMIFS('AFC Data details'!C:C,'AFC Data details'!$B:$B,'Element wise-detail Summary'!$A467)</f>
        <v>1</v>
      </c>
      <c r="G467" s="151">
        <f>SUMIFS(Cast!$C:$C,Cast!$B:$B,'Element wise-detail Summary'!$A467)</f>
        <v>1</v>
      </c>
      <c r="H467" s="151">
        <f t="shared" si="36"/>
        <v>0</v>
      </c>
      <c r="I467" s="151">
        <f>SUMIFS(Del!$C:$C,Del!$B:$B,'Element wise-detail Summary'!$A467)</f>
        <v>1</v>
      </c>
      <c r="J467" s="151">
        <f t="shared" si="37"/>
        <v>0</v>
      </c>
      <c r="K467" s="151">
        <f t="shared" si="38"/>
        <v>0</v>
      </c>
      <c r="L467" s="151">
        <f>SUMIF(Ere!$B:$B,'Element wise-detail Summary'!$A467,Ere!$C:$C)</f>
        <v>0</v>
      </c>
      <c r="M467" s="151">
        <f t="shared" si="39"/>
        <v>1</v>
      </c>
      <c r="N467">
        <f t="shared" si="40"/>
        <v>1.4430000000000001</v>
      </c>
    </row>
    <row r="468" spans="1:14" hidden="1" x14ac:dyDescent="0.25">
      <c r="A468" s="151" t="s">
        <v>1650</v>
      </c>
      <c r="B468" s="233" t="str">
        <f>VLOOKUP(A468,'AFC Data details'!$B:$E,4,0)</f>
        <v>V57</v>
      </c>
      <c r="C468" s="144" t="s">
        <v>1696</v>
      </c>
      <c r="D468" s="151" t="s">
        <v>602</v>
      </c>
      <c r="E468" s="151">
        <f>VLOOKUP(A468,'AFC Data details'!$B:$P,15,0)</f>
        <v>1.4</v>
      </c>
      <c r="F468" s="151">
        <f>SUMIFS('AFC Data details'!C:C,'AFC Data details'!$B:$B,'Element wise-detail Summary'!$A468)</f>
        <v>1</v>
      </c>
      <c r="G468" s="151">
        <f>SUMIFS(Cast!$C:$C,Cast!$B:$B,'Element wise-detail Summary'!$A468)</f>
        <v>1</v>
      </c>
      <c r="H468" s="151">
        <f t="shared" si="36"/>
        <v>0</v>
      </c>
      <c r="I468" s="151">
        <f>SUMIFS(Del!$C:$C,Del!$B:$B,'Element wise-detail Summary'!$A468)</f>
        <v>1</v>
      </c>
      <c r="J468" s="151">
        <f t="shared" si="37"/>
        <v>0</v>
      </c>
      <c r="K468" s="151">
        <f t="shared" si="38"/>
        <v>0</v>
      </c>
      <c r="L468" s="151">
        <f>SUMIF(Ere!$B:$B,'Element wise-detail Summary'!$A468,Ere!$C:$C)</f>
        <v>1</v>
      </c>
      <c r="M468" s="151">
        <f t="shared" si="39"/>
        <v>0</v>
      </c>
      <c r="N468">
        <f t="shared" si="40"/>
        <v>1.4</v>
      </c>
    </row>
    <row r="469" spans="1:14" hidden="1" x14ac:dyDescent="0.25">
      <c r="A469" s="151" t="s">
        <v>1651</v>
      </c>
      <c r="B469" s="233" t="str">
        <f>VLOOKUP(A469,'AFC Data details'!$B:$E,4,0)</f>
        <v>V57</v>
      </c>
      <c r="C469" s="144" t="s">
        <v>1696</v>
      </c>
      <c r="D469" s="151" t="s">
        <v>602</v>
      </c>
      <c r="E469" s="151">
        <f>VLOOKUP(A469,'AFC Data details'!$B:$P,15,0)</f>
        <v>1.5960000000000001</v>
      </c>
      <c r="F469" s="151">
        <f>SUMIFS('AFC Data details'!C:C,'AFC Data details'!$B:$B,'Element wise-detail Summary'!$A469)</f>
        <v>1</v>
      </c>
      <c r="G469" s="151">
        <f>SUMIFS(Cast!$C:$C,Cast!$B:$B,'Element wise-detail Summary'!$A469)</f>
        <v>1</v>
      </c>
      <c r="H469" s="151">
        <f t="shared" si="36"/>
        <v>0</v>
      </c>
      <c r="I469" s="151">
        <f>SUMIFS(Del!$C:$C,Del!$B:$B,'Element wise-detail Summary'!$A469)</f>
        <v>1</v>
      </c>
      <c r="J469" s="151">
        <f t="shared" si="37"/>
        <v>0</v>
      </c>
      <c r="K469" s="151">
        <f t="shared" si="38"/>
        <v>0</v>
      </c>
      <c r="L469" s="151">
        <f>SUMIF(Ere!$B:$B,'Element wise-detail Summary'!$A469,Ere!$C:$C)</f>
        <v>1</v>
      </c>
      <c r="M469" s="151">
        <f t="shared" si="39"/>
        <v>0</v>
      </c>
      <c r="N469">
        <f t="shared" si="40"/>
        <v>1.5960000000000001</v>
      </c>
    </row>
    <row r="470" spans="1:14" hidden="1" x14ac:dyDescent="0.25">
      <c r="A470" s="151" t="s">
        <v>1652</v>
      </c>
      <c r="B470" s="233" t="str">
        <f>VLOOKUP(A470,'AFC Data details'!$B:$E,4,0)</f>
        <v>V58</v>
      </c>
      <c r="C470" s="144" t="s">
        <v>1696</v>
      </c>
      <c r="D470" s="151" t="s">
        <v>602</v>
      </c>
      <c r="E470" s="151">
        <f>VLOOKUP(A470,'AFC Data details'!$B:$P,15,0)</f>
        <v>1.573</v>
      </c>
      <c r="F470" s="151">
        <f>SUMIFS('AFC Data details'!C:C,'AFC Data details'!$B:$B,'Element wise-detail Summary'!$A470)</f>
        <v>1</v>
      </c>
      <c r="G470" s="151">
        <f>SUMIFS(Cast!$C:$C,Cast!$B:$B,'Element wise-detail Summary'!$A470)</f>
        <v>1</v>
      </c>
      <c r="H470" s="151">
        <f t="shared" si="36"/>
        <v>0</v>
      </c>
      <c r="I470" s="151">
        <f>SUMIFS(Del!$C:$C,Del!$B:$B,'Element wise-detail Summary'!$A470)</f>
        <v>1</v>
      </c>
      <c r="J470" s="151">
        <f t="shared" si="37"/>
        <v>0</v>
      </c>
      <c r="K470" s="151">
        <f t="shared" si="38"/>
        <v>0</v>
      </c>
      <c r="L470" s="151">
        <f>SUMIF(Ere!$B:$B,'Element wise-detail Summary'!$A470,Ere!$C:$C)</f>
        <v>1</v>
      </c>
      <c r="M470" s="151">
        <f t="shared" si="39"/>
        <v>0</v>
      </c>
      <c r="N470">
        <f t="shared" si="40"/>
        <v>1.573</v>
      </c>
    </row>
    <row r="471" spans="1:14" hidden="1" x14ac:dyDescent="0.25">
      <c r="A471" s="151" t="s">
        <v>1653</v>
      </c>
      <c r="B471" s="233" t="str">
        <f>VLOOKUP(A471,'AFC Data details'!$B:$E,4,0)</f>
        <v>V58</v>
      </c>
      <c r="C471" s="144" t="s">
        <v>1696</v>
      </c>
      <c r="D471" s="151" t="s">
        <v>602</v>
      </c>
      <c r="E471" s="151">
        <f>VLOOKUP(A471,'AFC Data details'!$B:$P,15,0)</f>
        <v>1.4</v>
      </c>
      <c r="F471" s="151">
        <f>SUMIFS('AFC Data details'!C:C,'AFC Data details'!$B:$B,'Element wise-detail Summary'!$A471)</f>
        <v>1</v>
      </c>
      <c r="G471" s="151">
        <f>SUMIFS(Cast!$C:$C,Cast!$B:$B,'Element wise-detail Summary'!$A471)</f>
        <v>1</v>
      </c>
      <c r="H471" s="151">
        <f t="shared" si="36"/>
        <v>0</v>
      </c>
      <c r="I471" s="151">
        <f>SUMIFS(Del!$C:$C,Del!$B:$B,'Element wise-detail Summary'!$A471)</f>
        <v>1</v>
      </c>
      <c r="J471" s="151">
        <f t="shared" si="37"/>
        <v>0</v>
      </c>
      <c r="K471" s="151">
        <f t="shared" si="38"/>
        <v>0</v>
      </c>
      <c r="L471" s="151">
        <f>SUMIF(Ere!$B:$B,'Element wise-detail Summary'!$A471,Ere!$C:$C)</f>
        <v>1</v>
      </c>
      <c r="M471" s="151">
        <f t="shared" si="39"/>
        <v>0</v>
      </c>
      <c r="N471">
        <f t="shared" si="40"/>
        <v>1.4</v>
      </c>
    </row>
    <row r="472" spans="1:14" hidden="1" x14ac:dyDescent="0.25">
      <c r="A472" s="151" t="s">
        <v>1654</v>
      </c>
      <c r="B472" s="233" t="str">
        <f>VLOOKUP(A472,'AFC Data details'!$B:$E,4,0)</f>
        <v>V59</v>
      </c>
      <c r="C472" s="144" t="s">
        <v>1696</v>
      </c>
      <c r="D472" s="151" t="s">
        <v>602</v>
      </c>
      <c r="E472" s="151">
        <f>VLOOKUP(A472,'AFC Data details'!$B:$P,15,0)</f>
        <v>1.046</v>
      </c>
      <c r="F472" s="151">
        <f>SUMIFS('AFC Data details'!C:C,'AFC Data details'!$B:$B,'Element wise-detail Summary'!$A472)</f>
        <v>1</v>
      </c>
      <c r="G472" s="151">
        <f>SUMIFS(Cast!$C:$C,Cast!$B:$B,'Element wise-detail Summary'!$A472)</f>
        <v>1</v>
      </c>
      <c r="H472" s="151">
        <f t="shared" si="36"/>
        <v>0</v>
      </c>
      <c r="I472" s="151">
        <f>SUMIFS(Del!$C:$C,Del!$B:$B,'Element wise-detail Summary'!$A472)</f>
        <v>1</v>
      </c>
      <c r="J472" s="151">
        <f t="shared" si="37"/>
        <v>0</v>
      </c>
      <c r="K472" s="151">
        <f t="shared" si="38"/>
        <v>0</v>
      </c>
      <c r="L472" s="151">
        <f>SUMIF(Ere!$B:$B,'Element wise-detail Summary'!$A472,Ere!$C:$C)</f>
        <v>1</v>
      </c>
      <c r="M472" s="151">
        <f t="shared" si="39"/>
        <v>0</v>
      </c>
      <c r="N472">
        <f t="shared" si="40"/>
        <v>1.046</v>
      </c>
    </row>
    <row r="473" spans="1:14" hidden="1" x14ac:dyDescent="0.25">
      <c r="A473" s="151" t="s">
        <v>1655</v>
      </c>
      <c r="B473" s="233" t="str">
        <f>VLOOKUP(A473,'AFC Data details'!$B:$E,4,0)</f>
        <v>V59</v>
      </c>
      <c r="C473" s="144" t="s">
        <v>1696</v>
      </c>
      <c r="D473" s="151" t="s">
        <v>602</v>
      </c>
      <c r="E473" s="151">
        <f>VLOOKUP(A473,'AFC Data details'!$B:$P,15,0)</f>
        <v>1.4430000000000001</v>
      </c>
      <c r="F473" s="151">
        <f>SUMIFS('AFC Data details'!C:C,'AFC Data details'!$B:$B,'Element wise-detail Summary'!$A473)</f>
        <v>1</v>
      </c>
      <c r="G473" s="151">
        <f>SUMIFS(Cast!$C:$C,Cast!$B:$B,'Element wise-detail Summary'!$A473)</f>
        <v>1</v>
      </c>
      <c r="H473" s="151">
        <f t="shared" si="36"/>
        <v>0</v>
      </c>
      <c r="I473" s="151">
        <f>SUMIFS(Del!$C:$C,Del!$B:$B,'Element wise-detail Summary'!$A473)</f>
        <v>1</v>
      </c>
      <c r="J473" s="151">
        <f t="shared" si="37"/>
        <v>0</v>
      </c>
      <c r="K473" s="151">
        <f t="shared" si="38"/>
        <v>0</v>
      </c>
      <c r="L473" s="151">
        <f>SUMIF(Ere!$B:$B,'Element wise-detail Summary'!$A473,Ere!$C:$C)</f>
        <v>2</v>
      </c>
      <c r="M473" s="151">
        <f t="shared" si="39"/>
        <v>-1</v>
      </c>
      <c r="N473">
        <f t="shared" si="40"/>
        <v>1.4430000000000001</v>
      </c>
    </row>
    <row r="474" spans="1:14" hidden="1" x14ac:dyDescent="0.25">
      <c r="A474" s="151" t="s">
        <v>1656</v>
      </c>
      <c r="B474" s="233" t="str">
        <f>VLOOKUP(A474,'AFC Data details'!$B:$E,4,0)</f>
        <v>V59</v>
      </c>
      <c r="C474" s="144" t="s">
        <v>1696</v>
      </c>
      <c r="D474" s="151" t="s">
        <v>602</v>
      </c>
      <c r="E474" s="151">
        <f>VLOOKUP(A474,'AFC Data details'!$B:$P,15,0)</f>
        <v>1.3360000000000001</v>
      </c>
      <c r="F474" s="151">
        <f>SUMIFS('AFC Data details'!C:C,'AFC Data details'!$B:$B,'Element wise-detail Summary'!$A474)</f>
        <v>1</v>
      </c>
      <c r="G474" s="151">
        <f>SUMIFS(Cast!$C:$C,Cast!$B:$B,'Element wise-detail Summary'!$A474)</f>
        <v>1</v>
      </c>
      <c r="H474" s="151">
        <f t="shared" si="36"/>
        <v>0</v>
      </c>
      <c r="I474" s="151">
        <f>SUMIFS(Del!$C:$C,Del!$B:$B,'Element wise-detail Summary'!$A474)</f>
        <v>1</v>
      </c>
      <c r="J474" s="151">
        <f t="shared" si="37"/>
        <v>0</v>
      </c>
      <c r="K474" s="151">
        <f t="shared" si="38"/>
        <v>0</v>
      </c>
      <c r="L474" s="151">
        <f>SUMIF(Ere!$B:$B,'Element wise-detail Summary'!$A474,Ere!$C:$C)</f>
        <v>0</v>
      </c>
      <c r="M474" s="151">
        <f t="shared" si="39"/>
        <v>1</v>
      </c>
      <c r="N474">
        <f t="shared" si="40"/>
        <v>1.3360000000000001</v>
      </c>
    </row>
    <row r="475" spans="1:14" hidden="1" x14ac:dyDescent="0.25">
      <c r="A475" s="151" t="s">
        <v>1657</v>
      </c>
      <c r="B475" s="233" t="str">
        <f>VLOOKUP(A475,'AFC Data details'!$B:$E,4,0)</f>
        <v>V59</v>
      </c>
      <c r="C475" s="144" t="s">
        <v>1696</v>
      </c>
      <c r="D475" s="151" t="s">
        <v>602</v>
      </c>
      <c r="E475" s="151">
        <f>VLOOKUP(A475,'AFC Data details'!$B:$P,15,0)</f>
        <v>1.5249999999999999</v>
      </c>
      <c r="F475" s="151">
        <f>SUMIFS('AFC Data details'!C:C,'AFC Data details'!$B:$B,'Element wise-detail Summary'!$A475)</f>
        <v>1</v>
      </c>
      <c r="G475" s="151">
        <f>SUMIFS(Cast!$C:$C,Cast!$B:$B,'Element wise-detail Summary'!$A475)</f>
        <v>1</v>
      </c>
      <c r="H475" s="151">
        <f t="shared" si="36"/>
        <v>0</v>
      </c>
      <c r="I475" s="151">
        <f>SUMIFS(Del!$C:$C,Del!$B:$B,'Element wise-detail Summary'!$A475)</f>
        <v>1</v>
      </c>
      <c r="J475" s="151">
        <f t="shared" si="37"/>
        <v>0</v>
      </c>
      <c r="K475" s="151">
        <f t="shared" si="38"/>
        <v>0</v>
      </c>
      <c r="L475" s="151">
        <f>SUMIF(Ere!$B:$B,'Element wise-detail Summary'!$A475,Ere!$C:$C)</f>
        <v>1</v>
      </c>
      <c r="M475" s="151">
        <f t="shared" si="39"/>
        <v>0</v>
      </c>
      <c r="N475">
        <f t="shared" si="40"/>
        <v>1.5249999999999999</v>
      </c>
    </row>
    <row r="476" spans="1:14" hidden="1" x14ac:dyDescent="0.25">
      <c r="A476" s="151" t="s">
        <v>1658</v>
      </c>
      <c r="B476" s="233" t="str">
        <f>VLOOKUP(A476,'AFC Data details'!$B:$E,4,0)</f>
        <v>V60</v>
      </c>
      <c r="C476" s="144" t="s">
        <v>1696</v>
      </c>
      <c r="D476" s="151" t="s">
        <v>602</v>
      </c>
      <c r="E476" s="151">
        <f>VLOOKUP(A476,'AFC Data details'!$B:$P,15,0)</f>
        <v>1.5620000000000001</v>
      </c>
      <c r="F476" s="151">
        <f>SUMIFS('AFC Data details'!C:C,'AFC Data details'!$B:$B,'Element wise-detail Summary'!$A476)</f>
        <v>1</v>
      </c>
      <c r="G476" s="151">
        <f>SUMIFS(Cast!$C:$C,Cast!$B:$B,'Element wise-detail Summary'!$A476)</f>
        <v>1</v>
      </c>
      <c r="H476" s="151">
        <f t="shared" si="36"/>
        <v>0</v>
      </c>
      <c r="I476" s="151">
        <f>SUMIFS(Del!$C:$C,Del!$B:$B,'Element wise-detail Summary'!$A476)</f>
        <v>1</v>
      </c>
      <c r="J476" s="151">
        <f t="shared" si="37"/>
        <v>0</v>
      </c>
      <c r="K476" s="151">
        <f t="shared" si="38"/>
        <v>0</v>
      </c>
      <c r="L476" s="151">
        <f>SUMIF(Ere!$B:$B,'Element wise-detail Summary'!$A476,Ere!$C:$C)</f>
        <v>2</v>
      </c>
      <c r="M476" s="151">
        <f t="shared" si="39"/>
        <v>-1</v>
      </c>
      <c r="N476">
        <f t="shared" si="40"/>
        <v>1.5620000000000001</v>
      </c>
    </row>
    <row r="477" spans="1:14" hidden="1" x14ac:dyDescent="0.25">
      <c r="A477" s="151" t="s">
        <v>1659</v>
      </c>
      <c r="B477" s="233" t="str">
        <f>VLOOKUP(A477,'AFC Data details'!$B:$E,4,0)</f>
        <v>V60</v>
      </c>
      <c r="C477" s="144" t="s">
        <v>1696</v>
      </c>
      <c r="D477" s="151" t="s">
        <v>602</v>
      </c>
      <c r="E477" s="151">
        <f>VLOOKUP(A477,'AFC Data details'!$B:$P,15,0)</f>
        <v>1.3360000000000001</v>
      </c>
      <c r="F477" s="151">
        <f>SUMIFS('AFC Data details'!C:C,'AFC Data details'!$B:$B,'Element wise-detail Summary'!$A477)</f>
        <v>1</v>
      </c>
      <c r="G477" s="151">
        <f>SUMIFS(Cast!$C:$C,Cast!$B:$B,'Element wise-detail Summary'!$A477)</f>
        <v>1</v>
      </c>
      <c r="H477" s="151">
        <f t="shared" si="36"/>
        <v>0</v>
      </c>
      <c r="I477" s="151">
        <f>SUMIFS(Del!$C:$C,Del!$B:$B,'Element wise-detail Summary'!$A477)</f>
        <v>1</v>
      </c>
      <c r="J477" s="151">
        <f t="shared" si="37"/>
        <v>0</v>
      </c>
      <c r="K477" s="151">
        <f t="shared" si="38"/>
        <v>0</v>
      </c>
      <c r="L477" s="151">
        <f>SUMIF(Ere!$B:$B,'Element wise-detail Summary'!$A477,Ere!$C:$C)</f>
        <v>0</v>
      </c>
      <c r="M477" s="151">
        <f t="shared" si="39"/>
        <v>1</v>
      </c>
      <c r="N477">
        <f t="shared" si="40"/>
        <v>1.3360000000000001</v>
      </c>
    </row>
    <row r="478" spans="1:14" hidden="1" x14ac:dyDescent="0.25">
      <c r="A478" s="151" t="s">
        <v>1660</v>
      </c>
      <c r="B478" s="233" t="str">
        <f>VLOOKUP(A478,'AFC Data details'!$B:$E,4,0)</f>
        <v>V60</v>
      </c>
      <c r="C478" s="144" t="s">
        <v>1696</v>
      </c>
      <c r="D478" s="151" t="s">
        <v>602</v>
      </c>
      <c r="E478" s="151">
        <f>VLOOKUP(A478,'AFC Data details'!$B:$P,15,0)</f>
        <v>2.1760000000000002</v>
      </c>
      <c r="F478" s="151">
        <f>SUMIFS('AFC Data details'!C:C,'AFC Data details'!$B:$B,'Element wise-detail Summary'!$A478)</f>
        <v>1</v>
      </c>
      <c r="G478" s="151">
        <f>SUMIFS(Cast!$C:$C,Cast!$B:$B,'Element wise-detail Summary'!$A478)</f>
        <v>1</v>
      </c>
      <c r="H478" s="151">
        <f t="shared" si="36"/>
        <v>0</v>
      </c>
      <c r="I478" s="151">
        <f>SUMIFS(Del!$C:$C,Del!$B:$B,'Element wise-detail Summary'!$A478)</f>
        <v>0</v>
      </c>
      <c r="J478" s="151">
        <f t="shared" si="37"/>
        <v>1</v>
      </c>
      <c r="K478" s="151">
        <f t="shared" si="38"/>
        <v>1</v>
      </c>
      <c r="L478" s="151">
        <f>SUMIF(Ere!$B:$B,'Element wise-detail Summary'!$A478,Ere!$C:$C)</f>
        <v>0</v>
      </c>
      <c r="M478" s="151">
        <f t="shared" si="39"/>
        <v>1</v>
      </c>
      <c r="N478">
        <f t="shared" si="40"/>
        <v>0</v>
      </c>
    </row>
    <row r="479" spans="1:14" hidden="1" x14ac:dyDescent="0.25">
      <c r="A479" s="151" t="s">
        <v>1661</v>
      </c>
      <c r="B479" s="233" t="str">
        <f>VLOOKUP(A479,'AFC Data details'!$B:$E,4,0)</f>
        <v>V60</v>
      </c>
      <c r="C479" s="144" t="s">
        <v>1696</v>
      </c>
      <c r="D479" s="151" t="s">
        <v>602</v>
      </c>
      <c r="E479" s="151">
        <f>VLOOKUP(A479,'AFC Data details'!$B:$P,15,0)</f>
        <v>2.0299999999999998</v>
      </c>
      <c r="F479" s="151">
        <f>SUMIFS('AFC Data details'!C:C,'AFC Data details'!$B:$B,'Element wise-detail Summary'!$A479)</f>
        <v>1</v>
      </c>
      <c r="G479" s="151">
        <f>SUMIFS(Cast!$C:$C,Cast!$B:$B,'Element wise-detail Summary'!$A479)</f>
        <v>1</v>
      </c>
      <c r="H479" s="151">
        <f t="shared" si="36"/>
        <v>0</v>
      </c>
      <c r="I479" s="151">
        <f>SUMIFS(Del!$C:$C,Del!$B:$B,'Element wise-detail Summary'!$A479)</f>
        <v>0</v>
      </c>
      <c r="J479" s="151">
        <f t="shared" si="37"/>
        <v>1</v>
      </c>
      <c r="K479" s="151">
        <f t="shared" si="38"/>
        <v>1</v>
      </c>
      <c r="L479" s="151">
        <f>SUMIF(Ere!$B:$B,'Element wise-detail Summary'!$A479,Ere!$C:$C)</f>
        <v>0</v>
      </c>
      <c r="M479" s="151">
        <f t="shared" si="39"/>
        <v>1</v>
      </c>
      <c r="N479">
        <f t="shared" si="40"/>
        <v>0</v>
      </c>
    </row>
    <row r="480" spans="1:14" hidden="1" x14ac:dyDescent="0.25">
      <c r="A480" s="151" t="s">
        <v>1662</v>
      </c>
      <c r="B480" s="233" t="str">
        <f>VLOOKUP(A480,'AFC Data details'!$B:$E,4,0)</f>
        <v>V60</v>
      </c>
      <c r="C480" s="144" t="s">
        <v>1696</v>
      </c>
      <c r="D480" s="151" t="s">
        <v>602</v>
      </c>
      <c r="E480" s="151">
        <f>VLOOKUP(A480,'AFC Data details'!$B:$P,15,0)</f>
        <v>2.0299999999999998</v>
      </c>
      <c r="F480" s="151">
        <f>SUMIFS('AFC Data details'!C:C,'AFC Data details'!$B:$B,'Element wise-detail Summary'!$A480)</f>
        <v>1</v>
      </c>
      <c r="G480" s="151">
        <f>SUMIFS(Cast!$C:$C,Cast!$B:$B,'Element wise-detail Summary'!$A480)</f>
        <v>1</v>
      </c>
      <c r="H480" s="151">
        <f t="shared" si="36"/>
        <v>0</v>
      </c>
      <c r="I480" s="151">
        <f>SUMIFS(Del!$C:$C,Del!$B:$B,'Element wise-detail Summary'!$A480)</f>
        <v>0</v>
      </c>
      <c r="J480" s="151">
        <f t="shared" si="37"/>
        <v>1</v>
      </c>
      <c r="K480" s="151">
        <f t="shared" si="38"/>
        <v>1</v>
      </c>
      <c r="L480" s="151">
        <f>SUMIF(Ere!$B:$B,'Element wise-detail Summary'!$A480,Ere!$C:$C)</f>
        <v>0</v>
      </c>
      <c r="M480" s="151">
        <f t="shared" si="39"/>
        <v>1</v>
      </c>
      <c r="N480">
        <f t="shared" si="40"/>
        <v>0</v>
      </c>
    </row>
    <row r="481" spans="1:14" hidden="1" x14ac:dyDescent="0.25">
      <c r="A481" s="151" t="s">
        <v>1663</v>
      </c>
      <c r="B481" s="233" t="str">
        <f>VLOOKUP(A481,'AFC Data details'!$B:$E,4,0)</f>
        <v>V60</v>
      </c>
      <c r="C481" s="144" t="s">
        <v>1696</v>
      </c>
      <c r="D481" s="151" t="s">
        <v>602</v>
      </c>
      <c r="E481" s="151">
        <f>VLOOKUP(A481,'AFC Data details'!$B:$P,15,0)</f>
        <v>1.97</v>
      </c>
      <c r="F481" s="151">
        <f>SUMIFS('AFC Data details'!C:C,'AFC Data details'!$B:$B,'Element wise-detail Summary'!$A481)</f>
        <v>1</v>
      </c>
      <c r="G481" s="151">
        <f>SUMIFS(Cast!$C:$C,Cast!$B:$B,'Element wise-detail Summary'!$A481)</f>
        <v>1</v>
      </c>
      <c r="H481" s="151">
        <f t="shared" si="36"/>
        <v>0</v>
      </c>
      <c r="I481" s="151">
        <f>SUMIFS(Del!$C:$C,Del!$B:$B,'Element wise-detail Summary'!$A481)</f>
        <v>0</v>
      </c>
      <c r="J481" s="151">
        <f t="shared" si="37"/>
        <v>1</v>
      </c>
      <c r="K481" s="151">
        <f t="shared" si="38"/>
        <v>1</v>
      </c>
      <c r="L481" s="151">
        <f>SUMIF(Ere!$B:$B,'Element wise-detail Summary'!$A481,Ere!$C:$C)</f>
        <v>0</v>
      </c>
      <c r="M481" s="151">
        <f t="shared" si="39"/>
        <v>1</v>
      </c>
      <c r="N481">
        <f t="shared" si="40"/>
        <v>0</v>
      </c>
    </row>
    <row r="482" spans="1:14" hidden="1" x14ac:dyDescent="0.25">
      <c r="A482" s="151" t="s">
        <v>1664</v>
      </c>
      <c r="B482" s="233" t="str">
        <f>VLOOKUP(A482,'AFC Data details'!$B:$E,4,0)</f>
        <v>V60</v>
      </c>
      <c r="C482" s="144" t="s">
        <v>1696</v>
      </c>
      <c r="D482" s="151" t="s">
        <v>602</v>
      </c>
      <c r="E482" s="151">
        <f>VLOOKUP(A482,'AFC Data details'!$B:$P,15,0)</f>
        <v>1.9710000000000001</v>
      </c>
      <c r="F482" s="151">
        <f>SUMIFS('AFC Data details'!C:C,'AFC Data details'!$B:$B,'Element wise-detail Summary'!$A482)</f>
        <v>1</v>
      </c>
      <c r="G482" s="151">
        <f>SUMIFS(Cast!$C:$C,Cast!$B:$B,'Element wise-detail Summary'!$A482)</f>
        <v>1</v>
      </c>
      <c r="H482" s="151">
        <f t="shared" si="36"/>
        <v>0</v>
      </c>
      <c r="I482" s="151">
        <f>SUMIFS(Del!$C:$C,Del!$B:$B,'Element wise-detail Summary'!$A482)</f>
        <v>0</v>
      </c>
      <c r="J482" s="151">
        <f t="shared" si="37"/>
        <v>1</v>
      </c>
      <c r="K482" s="151">
        <f t="shared" si="38"/>
        <v>1</v>
      </c>
      <c r="L482" s="151">
        <f>SUMIF(Ere!$B:$B,'Element wise-detail Summary'!$A482,Ere!$C:$C)</f>
        <v>0</v>
      </c>
      <c r="M482" s="151">
        <f t="shared" si="39"/>
        <v>1</v>
      </c>
      <c r="N482">
        <f t="shared" si="40"/>
        <v>0</v>
      </c>
    </row>
    <row r="483" spans="1:14" hidden="1" x14ac:dyDescent="0.25">
      <c r="A483" s="151" t="s">
        <v>1665</v>
      </c>
      <c r="B483" s="233" t="str">
        <f>VLOOKUP(A483,'AFC Data details'!$B:$E,4,0)</f>
        <v>V60</v>
      </c>
      <c r="C483" s="144" t="s">
        <v>1696</v>
      </c>
      <c r="D483" s="151" t="s">
        <v>602</v>
      </c>
      <c r="E483" s="151">
        <f>VLOOKUP(A483,'AFC Data details'!$B:$P,15,0)</f>
        <v>2.1760000000000002</v>
      </c>
      <c r="F483" s="151">
        <f>SUMIFS('AFC Data details'!C:C,'AFC Data details'!$B:$B,'Element wise-detail Summary'!$A483)</f>
        <v>1</v>
      </c>
      <c r="G483" s="151">
        <f>SUMIFS(Cast!$C:$C,Cast!$B:$B,'Element wise-detail Summary'!$A483)</f>
        <v>1</v>
      </c>
      <c r="H483" s="151">
        <f t="shared" si="36"/>
        <v>0</v>
      </c>
      <c r="I483" s="151">
        <f>SUMIFS(Del!$C:$C,Del!$B:$B,'Element wise-detail Summary'!$A483)</f>
        <v>0</v>
      </c>
      <c r="J483" s="151">
        <f t="shared" si="37"/>
        <v>1</v>
      </c>
      <c r="K483" s="151">
        <f t="shared" si="38"/>
        <v>1</v>
      </c>
      <c r="L483" s="151">
        <f>SUMIF(Ere!$B:$B,'Element wise-detail Summary'!$A483,Ere!$C:$C)</f>
        <v>0</v>
      </c>
      <c r="M483" s="151">
        <f t="shared" si="39"/>
        <v>1</v>
      </c>
      <c r="N483">
        <f t="shared" si="40"/>
        <v>0</v>
      </c>
    </row>
    <row r="484" spans="1:14" hidden="1" x14ac:dyDescent="0.25">
      <c r="A484" s="151" t="s">
        <v>1666</v>
      </c>
      <c r="B484" s="233" t="str">
        <f>VLOOKUP(A484,'AFC Data details'!$B:$E,4,0)</f>
        <v>V61</v>
      </c>
      <c r="C484" s="144" t="s">
        <v>1696</v>
      </c>
      <c r="D484" s="151" t="s">
        <v>602</v>
      </c>
      <c r="E484" s="151">
        <f>VLOOKUP(A484,'AFC Data details'!$B:$P,15,0)</f>
        <v>1.48</v>
      </c>
      <c r="F484" s="151">
        <f>SUMIFS('AFC Data details'!C:C,'AFC Data details'!$B:$B,'Element wise-detail Summary'!$A484)</f>
        <v>1</v>
      </c>
      <c r="G484" s="151">
        <f>SUMIFS(Cast!$C:$C,Cast!$B:$B,'Element wise-detail Summary'!$A484)</f>
        <v>1</v>
      </c>
      <c r="H484" s="151">
        <f t="shared" si="36"/>
        <v>0</v>
      </c>
      <c r="I484" s="151">
        <f>SUMIFS(Del!$C:$C,Del!$B:$B,'Element wise-detail Summary'!$A484)</f>
        <v>1</v>
      </c>
      <c r="J484" s="151">
        <f t="shared" si="37"/>
        <v>0</v>
      </c>
      <c r="K484" s="151">
        <f t="shared" si="38"/>
        <v>0</v>
      </c>
      <c r="L484" s="151">
        <f>SUMIF(Ere!$B:$B,'Element wise-detail Summary'!$A484,Ere!$C:$C)</f>
        <v>1</v>
      </c>
      <c r="M484" s="151">
        <f t="shared" si="39"/>
        <v>0</v>
      </c>
      <c r="N484">
        <f t="shared" si="40"/>
        <v>1.48</v>
      </c>
    </row>
    <row r="485" spans="1:14" hidden="1" x14ac:dyDescent="0.25">
      <c r="A485" s="151" t="s">
        <v>1667</v>
      </c>
      <c r="B485" s="233" t="str">
        <f>VLOOKUP(A485,'AFC Data details'!$B:$E,4,0)</f>
        <v>V61</v>
      </c>
      <c r="C485" s="144" t="s">
        <v>1696</v>
      </c>
      <c r="D485" s="151" t="s">
        <v>602</v>
      </c>
      <c r="E485" s="151">
        <f>VLOOKUP(A485,'AFC Data details'!$B:$P,15,0)</f>
        <v>1.2749999999999999</v>
      </c>
      <c r="F485" s="151">
        <f>SUMIFS('AFC Data details'!C:C,'AFC Data details'!$B:$B,'Element wise-detail Summary'!$A485)</f>
        <v>1</v>
      </c>
      <c r="G485" s="151">
        <f>SUMIFS(Cast!$C:$C,Cast!$B:$B,'Element wise-detail Summary'!$A485)</f>
        <v>1</v>
      </c>
      <c r="H485" s="151">
        <f t="shared" si="36"/>
        <v>0</v>
      </c>
      <c r="I485" s="151">
        <f>SUMIFS(Del!$C:$C,Del!$B:$B,'Element wise-detail Summary'!$A485)</f>
        <v>1</v>
      </c>
      <c r="J485" s="151">
        <f t="shared" si="37"/>
        <v>0</v>
      </c>
      <c r="K485" s="151">
        <f t="shared" si="38"/>
        <v>0</v>
      </c>
      <c r="L485" s="151">
        <f>SUMIF(Ere!$B:$B,'Element wise-detail Summary'!$A485,Ere!$C:$C)</f>
        <v>1</v>
      </c>
      <c r="M485" s="151">
        <f t="shared" si="39"/>
        <v>0</v>
      </c>
      <c r="N485">
        <f t="shared" si="40"/>
        <v>1.2749999999999999</v>
      </c>
    </row>
    <row r="486" spans="1:14" hidden="1" x14ac:dyDescent="0.25">
      <c r="A486" s="151" t="s">
        <v>1668</v>
      </c>
      <c r="B486" s="233" t="str">
        <f>VLOOKUP(A486,'AFC Data details'!$B:$E,4,0)</f>
        <v>V62</v>
      </c>
      <c r="C486" s="144" t="s">
        <v>1696</v>
      </c>
      <c r="D486" s="151" t="s">
        <v>602</v>
      </c>
      <c r="E486" s="151">
        <f>VLOOKUP(A486,'AFC Data details'!$B:$P,15,0)</f>
        <v>1.032</v>
      </c>
      <c r="F486" s="151">
        <f>SUMIFS('AFC Data details'!C:C,'AFC Data details'!$B:$B,'Element wise-detail Summary'!$A486)</f>
        <v>1</v>
      </c>
      <c r="G486" s="151">
        <f>SUMIFS(Cast!$C:$C,Cast!$B:$B,'Element wise-detail Summary'!$A486)</f>
        <v>1</v>
      </c>
      <c r="H486" s="151">
        <f t="shared" si="36"/>
        <v>0</v>
      </c>
      <c r="I486" s="151">
        <f>SUMIFS(Del!$C:$C,Del!$B:$B,'Element wise-detail Summary'!$A486)</f>
        <v>1</v>
      </c>
      <c r="J486" s="151">
        <f t="shared" si="37"/>
        <v>0</v>
      </c>
      <c r="K486" s="151">
        <f t="shared" si="38"/>
        <v>0</v>
      </c>
      <c r="L486" s="151">
        <f>SUMIF(Ere!$B:$B,'Element wise-detail Summary'!$A486,Ere!$C:$C)</f>
        <v>1</v>
      </c>
      <c r="M486" s="151">
        <f t="shared" si="39"/>
        <v>0</v>
      </c>
      <c r="N486">
        <f t="shared" si="40"/>
        <v>1.032</v>
      </c>
    </row>
    <row r="487" spans="1:14" hidden="1" x14ac:dyDescent="0.25">
      <c r="A487" s="151" t="s">
        <v>1669</v>
      </c>
      <c r="B487" s="233" t="str">
        <f>VLOOKUP(A487,'AFC Data details'!$B:$E,4,0)</f>
        <v>V62</v>
      </c>
      <c r="C487" s="144" t="s">
        <v>1696</v>
      </c>
      <c r="D487" s="151" t="s">
        <v>602</v>
      </c>
      <c r="E487" s="151">
        <f>VLOOKUP(A487,'AFC Data details'!$B:$P,15,0)</f>
        <v>1.3069999999999999</v>
      </c>
      <c r="F487" s="151">
        <f>SUMIFS('AFC Data details'!C:C,'AFC Data details'!$B:$B,'Element wise-detail Summary'!$A487)</f>
        <v>1</v>
      </c>
      <c r="G487" s="151">
        <f>SUMIFS(Cast!$C:$C,Cast!$B:$B,'Element wise-detail Summary'!$A487)</f>
        <v>1</v>
      </c>
      <c r="H487" s="151">
        <f t="shared" si="36"/>
        <v>0</v>
      </c>
      <c r="I487" s="151">
        <f>SUMIFS(Del!$C:$C,Del!$B:$B,'Element wise-detail Summary'!$A487)</f>
        <v>1</v>
      </c>
      <c r="J487" s="151">
        <f t="shared" si="37"/>
        <v>0</v>
      </c>
      <c r="K487" s="151">
        <f t="shared" si="38"/>
        <v>0</v>
      </c>
      <c r="L487" s="151">
        <f>SUMIF(Ere!$B:$B,'Element wise-detail Summary'!$A487,Ere!$C:$C)</f>
        <v>1</v>
      </c>
      <c r="M487" s="151">
        <f t="shared" si="39"/>
        <v>0</v>
      </c>
      <c r="N487">
        <f t="shared" si="40"/>
        <v>1.3069999999999999</v>
      </c>
    </row>
    <row r="488" spans="1:14" hidden="1" x14ac:dyDescent="0.25">
      <c r="A488" s="151" t="s">
        <v>1670</v>
      </c>
      <c r="B488" s="233" t="str">
        <f>VLOOKUP(A488,'AFC Data details'!$B:$E,4,0)</f>
        <v>V62</v>
      </c>
      <c r="C488" s="144" t="s">
        <v>1696</v>
      </c>
      <c r="D488" s="151" t="s">
        <v>602</v>
      </c>
      <c r="E488" s="151">
        <f>VLOOKUP(A488,'AFC Data details'!$B:$P,15,0)</f>
        <v>1.4890000000000001</v>
      </c>
      <c r="F488" s="151">
        <f>SUMIFS('AFC Data details'!C:C,'AFC Data details'!$B:$B,'Element wise-detail Summary'!$A488)</f>
        <v>1</v>
      </c>
      <c r="G488" s="151">
        <f>SUMIFS(Cast!$C:$C,Cast!$B:$B,'Element wise-detail Summary'!$A488)</f>
        <v>1</v>
      </c>
      <c r="H488" s="151">
        <f t="shared" si="36"/>
        <v>0</v>
      </c>
      <c r="I488" s="151">
        <f>SUMIFS(Del!$C:$C,Del!$B:$B,'Element wise-detail Summary'!$A488)</f>
        <v>1</v>
      </c>
      <c r="J488" s="151">
        <f t="shared" si="37"/>
        <v>0</v>
      </c>
      <c r="K488" s="151">
        <f t="shared" si="38"/>
        <v>0</v>
      </c>
      <c r="L488" s="151">
        <f>SUMIF(Ere!$B:$B,'Element wise-detail Summary'!$A488,Ere!$C:$C)</f>
        <v>1</v>
      </c>
      <c r="M488" s="151">
        <f t="shared" si="39"/>
        <v>0</v>
      </c>
      <c r="N488">
        <f t="shared" si="40"/>
        <v>1.4890000000000001</v>
      </c>
    </row>
    <row r="489" spans="1:14" hidden="1" x14ac:dyDescent="0.25">
      <c r="A489" s="151" t="s">
        <v>1671</v>
      </c>
      <c r="B489" s="233" t="str">
        <f>VLOOKUP(A489,'AFC Data details'!$B:$E,4,0)</f>
        <v>V63</v>
      </c>
      <c r="C489" s="144" t="s">
        <v>1696</v>
      </c>
      <c r="D489" s="151" t="s">
        <v>602</v>
      </c>
      <c r="E489" s="151">
        <f>VLOOKUP(A489,'AFC Data details'!$B:$P,15,0)</f>
        <v>1.52</v>
      </c>
      <c r="F489" s="151">
        <f>SUMIFS('AFC Data details'!C:C,'AFC Data details'!$B:$B,'Element wise-detail Summary'!$A489)</f>
        <v>1</v>
      </c>
      <c r="G489" s="151">
        <f>SUMIFS(Cast!$C:$C,Cast!$B:$B,'Element wise-detail Summary'!$A489)</f>
        <v>1</v>
      </c>
      <c r="H489" s="151">
        <f t="shared" si="36"/>
        <v>0</v>
      </c>
      <c r="I489" s="151">
        <f>SUMIFS(Del!$C:$C,Del!$B:$B,'Element wise-detail Summary'!$A489)</f>
        <v>0</v>
      </c>
      <c r="J489" s="151">
        <f t="shared" si="37"/>
        <v>1</v>
      </c>
      <c r="K489" s="151">
        <f t="shared" si="38"/>
        <v>1</v>
      </c>
      <c r="L489" s="151">
        <f>SUMIF(Ere!$B:$B,'Element wise-detail Summary'!$A489,Ere!$C:$C)</f>
        <v>0</v>
      </c>
      <c r="M489" s="151">
        <f t="shared" si="39"/>
        <v>1</v>
      </c>
      <c r="N489">
        <f t="shared" si="40"/>
        <v>0</v>
      </c>
    </row>
    <row r="490" spans="1:14" hidden="1" x14ac:dyDescent="0.25">
      <c r="A490" s="151" t="s">
        <v>1672</v>
      </c>
      <c r="B490" s="233" t="str">
        <f>VLOOKUP(A490,'AFC Data details'!$B:$E,4,0)</f>
        <v>V63</v>
      </c>
      <c r="C490" s="144" t="s">
        <v>1696</v>
      </c>
      <c r="D490" s="151" t="s">
        <v>602</v>
      </c>
      <c r="E490" s="151">
        <f>VLOOKUP(A490,'AFC Data details'!$B:$P,15,0)</f>
        <v>1.347</v>
      </c>
      <c r="F490" s="151">
        <f>SUMIFS('AFC Data details'!C:C,'AFC Data details'!$B:$B,'Element wise-detail Summary'!$A490)</f>
        <v>1</v>
      </c>
      <c r="G490" s="151">
        <f>SUMIFS(Cast!$C:$C,Cast!$B:$B,'Element wise-detail Summary'!$A490)</f>
        <v>1</v>
      </c>
      <c r="H490" s="151">
        <f t="shared" si="36"/>
        <v>0</v>
      </c>
      <c r="I490" s="151">
        <f>SUMIFS(Del!$C:$C,Del!$B:$B,'Element wise-detail Summary'!$A490)</f>
        <v>0</v>
      </c>
      <c r="J490" s="151">
        <f t="shared" si="37"/>
        <v>1</v>
      </c>
      <c r="K490" s="151">
        <f t="shared" si="38"/>
        <v>1</v>
      </c>
      <c r="L490" s="151">
        <f>SUMIF(Ere!$B:$B,'Element wise-detail Summary'!$A490,Ere!$C:$C)</f>
        <v>0</v>
      </c>
      <c r="M490" s="151">
        <f t="shared" si="39"/>
        <v>1</v>
      </c>
      <c r="N490">
        <f t="shared" si="40"/>
        <v>0</v>
      </c>
    </row>
    <row r="491" spans="1:14" hidden="1" x14ac:dyDescent="0.25">
      <c r="A491" s="151" t="s">
        <v>1673</v>
      </c>
      <c r="B491" s="233" t="str">
        <f>VLOOKUP(A491,'AFC Data details'!$B:$E,4,0)</f>
        <v>V64</v>
      </c>
      <c r="C491" s="144" t="s">
        <v>1696</v>
      </c>
      <c r="D491" s="151" t="s">
        <v>602</v>
      </c>
      <c r="E491" s="151">
        <f>VLOOKUP(A491,'AFC Data details'!$B:$P,15,0)</f>
        <v>1.052</v>
      </c>
      <c r="F491" s="151">
        <f>SUMIFS('AFC Data details'!C:C,'AFC Data details'!$B:$B,'Element wise-detail Summary'!$A491)</f>
        <v>1</v>
      </c>
      <c r="G491" s="151">
        <f>SUMIFS(Cast!$C:$C,Cast!$B:$B,'Element wise-detail Summary'!$A491)</f>
        <v>1</v>
      </c>
      <c r="H491" s="151">
        <f t="shared" si="36"/>
        <v>0</v>
      </c>
      <c r="I491" s="151">
        <f>SUMIFS(Del!$C:$C,Del!$B:$B,'Element wise-detail Summary'!$A491)</f>
        <v>0</v>
      </c>
      <c r="J491" s="151">
        <f t="shared" si="37"/>
        <v>1</v>
      </c>
      <c r="K491" s="151">
        <f t="shared" si="38"/>
        <v>1</v>
      </c>
      <c r="L491" s="151">
        <f>SUMIF(Ere!$B:$B,'Element wise-detail Summary'!$A491,Ere!$C:$C)</f>
        <v>0</v>
      </c>
      <c r="M491" s="151">
        <f t="shared" si="39"/>
        <v>1</v>
      </c>
      <c r="N491">
        <f t="shared" si="40"/>
        <v>0</v>
      </c>
    </row>
    <row r="492" spans="1:14" hidden="1" x14ac:dyDescent="0.25">
      <c r="A492" s="151" t="s">
        <v>1674</v>
      </c>
      <c r="B492" s="233" t="str">
        <f>VLOOKUP(A492,'AFC Data details'!$B:$E,4,0)</f>
        <v>V64</v>
      </c>
      <c r="C492" s="144" t="s">
        <v>1696</v>
      </c>
      <c r="D492" s="151" t="s">
        <v>602</v>
      </c>
      <c r="E492" s="151">
        <f>VLOOKUP(A492,'AFC Data details'!$B:$P,15,0)</f>
        <v>1.347</v>
      </c>
      <c r="F492" s="151">
        <f>SUMIFS('AFC Data details'!C:C,'AFC Data details'!$B:$B,'Element wise-detail Summary'!$A492)</f>
        <v>1</v>
      </c>
      <c r="G492" s="151">
        <f>SUMIFS(Cast!$C:$C,Cast!$B:$B,'Element wise-detail Summary'!$A492)</f>
        <v>1</v>
      </c>
      <c r="H492" s="151">
        <f t="shared" si="36"/>
        <v>0</v>
      </c>
      <c r="I492" s="151">
        <f>SUMIFS(Del!$C:$C,Del!$B:$B,'Element wise-detail Summary'!$A492)</f>
        <v>0</v>
      </c>
      <c r="J492" s="151">
        <f t="shared" si="37"/>
        <v>1</v>
      </c>
      <c r="K492" s="151">
        <f t="shared" si="38"/>
        <v>1</v>
      </c>
      <c r="L492" s="151">
        <f>SUMIF(Ere!$B:$B,'Element wise-detail Summary'!$A492,Ere!$C:$C)</f>
        <v>0</v>
      </c>
      <c r="M492" s="151">
        <f t="shared" si="39"/>
        <v>1</v>
      </c>
      <c r="N492">
        <f t="shared" si="40"/>
        <v>0</v>
      </c>
    </row>
    <row r="493" spans="1:14" hidden="1" x14ac:dyDescent="0.25">
      <c r="A493" s="151" t="s">
        <v>1675</v>
      </c>
      <c r="B493" s="233" t="str">
        <f>VLOOKUP(A493,'AFC Data details'!$B:$E,4,0)</f>
        <v>V64</v>
      </c>
      <c r="C493" s="144" t="s">
        <v>1696</v>
      </c>
      <c r="D493" s="151" t="s">
        <v>602</v>
      </c>
      <c r="E493" s="151">
        <f>VLOOKUP(A493,'AFC Data details'!$B:$P,15,0)</f>
        <v>1.5289999999999999</v>
      </c>
      <c r="F493" s="151">
        <f>SUMIFS('AFC Data details'!C:C,'AFC Data details'!$B:$B,'Element wise-detail Summary'!$A493)</f>
        <v>1</v>
      </c>
      <c r="G493" s="151">
        <f>SUMIFS(Cast!$C:$C,Cast!$B:$B,'Element wise-detail Summary'!$A493)</f>
        <v>1</v>
      </c>
      <c r="H493" s="151">
        <f t="shared" si="36"/>
        <v>0</v>
      </c>
      <c r="I493" s="151">
        <f>SUMIFS(Del!$C:$C,Del!$B:$B,'Element wise-detail Summary'!$A493)</f>
        <v>0</v>
      </c>
      <c r="J493" s="151">
        <f t="shared" si="37"/>
        <v>1</v>
      </c>
      <c r="K493" s="151">
        <f t="shared" si="38"/>
        <v>1</v>
      </c>
      <c r="L493" s="151">
        <f>SUMIF(Ere!$B:$B,'Element wise-detail Summary'!$A493,Ere!$C:$C)</f>
        <v>0</v>
      </c>
      <c r="M493" s="151">
        <f t="shared" si="39"/>
        <v>1</v>
      </c>
      <c r="N493">
        <f t="shared" si="40"/>
        <v>0</v>
      </c>
    </row>
    <row r="494" spans="1:14" hidden="1" x14ac:dyDescent="0.25">
      <c r="A494" s="151" t="s">
        <v>1676</v>
      </c>
      <c r="B494" s="233" t="str">
        <f>VLOOKUP(A494,'AFC Data details'!$B:$E,4,0)</f>
        <v>V65</v>
      </c>
      <c r="C494" s="144" t="s">
        <v>1696</v>
      </c>
      <c r="D494" s="151" t="s">
        <v>602</v>
      </c>
      <c r="E494" s="151">
        <f>VLOOKUP(A494,'AFC Data details'!$B:$P,15,0)</f>
        <v>1.5549999999999999</v>
      </c>
      <c r="F494" s="151">
        <f>SUMIFS('AFC Data details'!C:C,'AFC Data details'!$B:$B,'Element wise-detail Summary'!$A494)</f>
        <v>1</v>
      </c>
      <c r="G494" s="151">
        <f>SUMIFS(Cast!$C:$C,Cast!$B:$B,'Element wise-detail Summary'!$A494)</f>
        <v>1</v>
      </c>
      <c r="H494" s="151">
        <f t="shared" si="36"/>
        <v>0</v>
      </c>
      <c r="I494" s="151">
        <f>SUMIFS(Del!$C:$C,Del!$B:$B,'Element wise-detail Summary'!$A494)</f>
        <v>0</v>
      </c>
      <c r="J494" s="151">
        <f t="shared" si="37"/>
        <v>1</v>
      </c>
      <c r="K494" s="151">
        <f t="shared" si="38"/>
        <v>1</v>
      </c>
      <c r="L494" s="151">
        <f>SUMIF(Ere!$B:$B,'Element wise-detail Summary'!$A494,Ere!$C:$C)</f>
        <v>0</v>
      </c>
      <c r="M494" s="151">
        <f t="shared" si="39"/>
        <v>1</v>
      </c>
      <c r="N494">
        <f t="shared" si="40"/>
        <v>0</v>
      </c>
    </row>
    <row r="495" spans="1:14" hidden="1" x14ac:dyDescent="0.25">
      <c r="A495" s="151" t="s">
        <v>1677</v>
      </c>
      <c r="B495" s="233" t="str">
        <f>VLOOKUP(A495,'AFC Data details'!$B:$E,4,0)</f>
        <v>V65</v>
      </c>
      <c r="C495" s="144" t="s">
        <v>1696</v>
      </c>
      <c r="D495" s="151" t="s">
        <v>602</v>
      </c>
      <c r="E495" s="151">
        <f>VLOOKUP(A495,'AFC Data details'!$B:$P,15,0)</f>
        <v>1.3819999999999999</v>
      </c>
      <c r="F495" s="151">
        <f>SUMIFS('AFC Data details'!C:C,'AFC Data details'!$B:$B,'Element wise-detail Summary'!$A495)</f>
        <v>1</v>
      </c>
      <c r="G495" s="151">
        <f>SUMIFS(Cast!$C:$C,Cast!$B:$B,'Element wise-detail Summary'!$A495)</f>
        <v>1</v>
      </c>
      <c r="H495" s="151">
        <f t="shared" si="36"/>
        <v>0</v>
      </c>
      <c r="I495" s="151">
        <f>SUMIFS(Del!$C:$C,Del!$B:$B,'Element wise-detail Summary'!$A495)</f>
        <v>0</v>
      </c>
      <c r="J495" s="151">
        <f t="shared" si="37"/>
        <v>1</v>
      </c>
      <c r="K495" s="151">
        <f t="shared" si="38"/>
        <v>1</v>
      </c>
      <c r="L495" s="151">
        <f>SUMIF(Ere!$B:$B,'Element wise-detail Summary'!$A495,Ere!$C:$C)</f>
        <v>0</v>
      </c>
      <c r="M495" s="151">
        <f t="shared" si="39"/>
        <v>1</v>
      </c>
      <c r="N495">
        <f t="shared" si="40"/>
        <v>0</v>
      </c>
    </row>
    <row r="496" spans="1:14" hidden="1" x14ac:dyDescent="0.25">
      <c r="A496" s="151" t="s">
        <v>1678</v>
      </c>
      <c r="B496" s="233" t="str">
        <f>VLOOKUP(A496,'AFC Data details'!$B:$E,4,0)</f>
        <v>V66</v>
      </c>
      <c r="C496" s="144" t="s">
        <v>1696</v>
      </c>
      <c r="D496" s="151" t="s">
        <v>602</v>
      </c>
      <c r="E496" s="151">
        <f>VLOOKUP(A496,'AFC Data details'!$B:$P,15,0)</f>
        <v>1.069</v>
      </c>
      <c r="F496" s="151">
        <f>SUMIFS('AFC Data details'!C:C,'AFC Data details'!$B:$B,'Element wise-detail Summary'!$A496)</f>
        <v>1</v>
      </c>
      <c r="G496" s="151">
        <f>SUMIFS(Cast!$C:$C,Cast!$B:$B,'Element wise-detail Summary'!$A496)</f>
        <v>1</v>
      </c>
      <c r="H496" s="151">
        <f t="shared" si="36"/>
        <v>0</v>
      </c>
      <c r="I496" s="151">
        <f>SUMIFS(Del!$C:$C,Del!$B:$B,'Element wise-detail Summary'!$A496)</f>
        <v>0</v>
      </c>
      <c r="J496" s="151">
        <f t="shared" si="37"/>
        <v>1</v>
      </c>
      <c r="K496" s="151">
        <f t="shared" si="38"/>
        <v>1</v>
      </c>
      <c r="L496" s="151">
        <f>SUMIF(Ere!$B:$B,'Element wise-detail Summary'!$A496,Ere!$C:$C)</f>
        <v>0</v>
      </c>
      <c r="M496" s="151">
        <f t="shared" si="39"/>
        <v>1</v>
      </c>
      <c r="N496">
        <f t="shared" si="40"/>
        <v>0</v>
      </c>
    </row>
    <row r="497" spans="1:14" hidden="1" x14ac:dyDescent="0.25">
      <c r="A497" s="151" t="s">
        <v>1679</v>
      </c>
      <c r="B497" s="233" t="str">
        <f>VLOOKUP(A497,'AFC Data details'!$B:$E,4,0)</f>
        <v>V66</v>
      </c>
      <c r="C497" s="144" t="s">
        <v>1696</v>
      </c>
      <c r="D497" s="151" t="s">
        <v>602</v>
      </c>
      <c r="E497" s="151">
        <f>VLOOKUP(A497,'AFC Data details'!$B:$P,15,0)</f>
        <v>1.3819999999999999</v>
      </c>
      <c r="F497" s="151">
        <f>SUMIFS('AFC Data details'!C:C,'AFC Data details'!$B:$B,'Element wise-detail Summary'!$A497)</f>
        <v>1</v>
      </c>
      <c r="G497" s="151">
        <f>SUMIFS(Cast!$C:$C,Cast!$B:$B,'Element wise-detail Summary'!$A497)</f>
        <v>1</v>
      </c>
      <c r="H497" s="151">
        <f t="shared" si="36"/>
        <v>0</v>
      </c>
      <c r="I497" s="151">
        <f>SUMIFS(Del!$C:$C,Del!$B:$B,'Element wise-detail Summary'!$A497)</f>
        <v>0</v>
      </c>
      <c r="J497" s="151">
        <f t="shared" si="37"/>
        <v>1</v>
      </c>
      <c r="K497" s="151">
        <f t="shared" si="38"/>
        <v>1</v>
      </c>
      <c r="L497" s="151">
        <f>SUMIF(Ere!$B:$B,'Element wise-detail Summary'!$A497,Ere!$C:$C)</f>
        <v>0</v>
      </c>
      <c r="M497" s="151">
        <f t="shared" si="39"/>
        <v>1</v>
      </c>
      <c r="N497">
        <f t="shared" si="40"/>
        <v>0</v>
      </c>
    </row>
    <row r="498" spans="1:14" hidden="1" x14ac:dyDescent="0.25">
      <c r="A498" s="151" t="s">
        <v>1680</v>
      </c>
      <c r="B498" s="233" t="str">
        <f>VLOOKUP(A498,'AFC Data details'!$B:$E,4,0)</f>
        <v>V66</v>
      </c>
      <c r="C498" s="144" t="s">
        <v>1696</v>
      </c>
      <c r="D498" s="151" t="s">
        <v>602</v>
      </c>
      <c r="E498" s="151">
        <f>VLOOKUP(A498,'AFC Data details'!$B:$P,15,0)</f>
        <v>1.5649999999999999</v>
      </c>
      <c r="F498" s="151">
        <f>SUMIFS('AFC Data details'!C:C,'AFC Data details'!$B:$B,'Element wise-detail Summary'!$A498)</f>
        <v>1</v>
      </c>
      <c r="G498" s="151">
        <f>SUMIFS(Cast!$C:$C,Cast!$B:$B,'Element wise-detail Summary'!$A498)</f>
        <v>1</v>
      </c>
      <c r="H498" s="151">
        <f t="shared" si="36"/>
        <v>0</v>
      </c>
      <c r="I498" s="151">
        <f>SUMIFS(Del!$C:$C,Del!$B:$B,'Element wise-detail Summary'!$A498)</f>
        <v>0</v>
      </c>
      <c r="J498" s="151">
        <f t="shared" si="37"/>
        <v>1</v>
      </c>
      <c r="K498" s="151">
        <f t="shared" si="38"/>
        <v>1</v>
      </c>
      <c r="L498" s="151">
        <f>SUMIF(Ere!$B:$B,'Element wise-detail Summary'!$A498,Ere!$C:$C)</f>
        <v>0</v>
      </c>
      <c r="M498" s="151">
        <f t="shared" si="39"/>
        <v>1</v>
      </c>
      <c r="N498">
        <f t="shared" si="40"/>
        <v>0</v>
      </c>
    </row>
    <row r="499" spans="1:14" hidden="1" x14ac:dyDescent="0.25">
      <c r="A499" s="151" t="s">
        <v>1681</v>
      </c>
      <c r="B499" s="233" t="str">
        <f>VLOOKUP(A499,'AFC Data details'!$B:$E,4,0)</f>
        <v>V67</v>
      </c>
      <c r="C499" s="144" t="s">
        <v>1696</v>
      </c>
      <c r="D499" s="151" t="s">
        <v>602</v>
      </c>
      <c r="E499" s="151">
        <f>VLOOKUP(A499,'AFC Data details'!$B:$P,15,0)</f>
        <v>1.5960000000000001</v>
      </c>
      <c r="F499" s="151">
        <f>SUMIFS('AFC Data details'!C:C,'AFC Data details'!$B:$B,'Element wise-detail Summary'!$A499)</f>
        <v>1</v>
      </c>
      <c r="G499" s="151">
        <f>SUMIFS(Cast!$C:$C,Cast!$B:$B,'Element wise-detail Summary'!$A499)</f>
        <v>1</v>
      </c>
      <c r="H499" s="151">
        <f t="shared" si="36"/>
        <v>0</v>
      </c>
      <c r="I499" s="151">
        <f>SUMIFS(Del!$C:$C,Del!$B:$B,'Element wise-detail Summary'!$A499)</f>
        <v>0</v>
      </c>
      <c r="J499" s="151">
        <f t="shared" si="37"/>
        <v>1</v>
      </c>
      <c r="K499" s="151">
        <f t="shared" si="38"/>
        <v>1</v>
      </c>
      <c r="L499" s="151">
        <f>SUMIF(Ere!$B:$B,'Element wise-detail Summary'!$A499,Ere!$C:$C)</f>
        <v>0</v>
      </c>
      <c r="M499" s="151">
        <f t="shared" si="39"/>
        <v>1</v>
      </c>
      <c r="N499">
        <f t="shared" si="40"/>
        <v>0</v>
      </c>
    </row>
    <row r="500" spans="1:14" hidden="1" x14ac:dyDescent="0.25">
      <c r="A500" s="151" t="s">
        <v>1682</v>
      </c>
      <c r="B500" s="233" t="str">
        <f>VLOOKUP(A500,'AFC Data details'!$B:$E,4,0)</f>
        <v>V67</v>
      </c>
      <c r="C500" s="144" t="s">
        <v>1696</v>
      </c>
      <c r="D500" s="151" t="s">
        <v>602</v>
      </c>
      <c r="E500" s="151">
        <f>VLOOKUP(A500,'AFC Data details'!$B:$P,15,0)</f>
        <v>1.423</v>
      </c>
      <c r="F500" s="151">
        <f>SUMIFS('AFC Data details'!C:C,'AFC Data details'!$B:$B,'Element wise-detail Summary'!$A500)</f>
        <v>1</v>
      </c>
      <c r="G500" s="151">
        <f>SUMIFS(Cast!$C:$C,Cast!$B:$B,'Element wise-detail Summary'!$A500)</f>
        <v>1</v>
      </c>
      <c r="H500" s="151">
        <f t="shared" si="36"/>
        <v>0</v>
      </c>
      <c r="I500" s="151">
        <f>SUMIFS(Del!$C:$C,Del!$B:$B,'Element wise-detail Summary'!$A500)</f>
        <v>0</v>
      </c>
      <c r="J500" s="151">
        <f t="shared" si="37"/>
        <v>1</v>
      </c>
      <c r="K500" s="151">
        <f t="shared" si="38"/>
        <v>1</v>
      </c>
      <c r="L500" s="151">
        <f>SUMIF(Ere!$B:$B,'Element wise-detail Summary'!$A500,Ere!$C:$C)</f>
        <v>0</v>
      </c>
      <c r="M500" s="151">
        <f t="shared" si="39"/>
        <v>1</v>
      </c>
      <c r="N500">
        <f t="shared" si="40"/>
        <v>0</v>
      </c>
    </row>
    <row r="501" spans="1:14" hidden="1" x14ac:dyDescent="0.25">
      <c r="A501" s="151" t="s">
        <v>1683</v>
      </c>
      <c r="B501" s="233" t="str">
        <f>VLOOKUP(A501,'AFC Data details'!$B:$E,4,0)</f>
        <v>V68</v>
      </c>
      <c r="C501" s="144" t="s">
        <v>1696</v>
      </c>
      <c r="D501" s="151" t="s">
        <v>602</v>
      </c>
      <c r="E501" s="151">
        <f>VLOOKUP(A501,'AFC Data details'!$B:$P,15,0)</f>
        <v>1.089</v>
      </c>
      <c r="F501" s="151">
        <f>SUMIFS('AFC Data details'!C:C,'AFC Data details'!$B:$B,'Element wise-detail Summary'!$A501)</f>
        <v>1</v>
      </c>
      <c r="G501" s="151">
        <f>SUMIFS(Cast!$C:$C,Cast!$B:$B,'Element wise-detail Summary'!$A501)</f>
        <v>1</v>
      </c>
      <c r="H501" s="151">
        <f t="shared" si="36"/>
        <v>0</v>
      </c>
      <c r="I501" s="151">
        <f>SUMIFS(Del!$C:$C,Del!$B:$B,'Element wise-detail Summary'!$A501)</f>
        <v>0</v>
      </c>
      <c r="J501" s="151">
        <f t="shared" si="37"/>
        <v>1</v>
      </c>
      <c r="K501" s="151">
        <f t="shared" si="38"/>
        <v>1</v>
      </c>
      <c r="L501" s="151">
        <f>SUMIF(Ere!$B:$B,'Element wise-detail Summary'!$A501,Ere!$C:$C)</f>
        <v>0</v>
      </c>
      <c r="M501" s="151">
        <f t="shared" si="39"/>
        <v>1</v>
      </c>
      <c r="N501">
        <f t="shared" si="40"/>
        <v>0</v>
      </c>
    </row>
    <row r="502" spans="1:14" hidden="1" x14ac:dyDescent="0.25">
      <c r="A502" s="151" t="s">
        <v>1684</v>
      </c>
      <c r="B502" s="233" t="str">
        <f>VLOOKUP(A502,'AFC Data details'!$B:$E,4,0)</f>
        <v>V68</v>
      </c>
      <c r="C502" s="144" t="s">
        <v>1696</v>
      </c>
      <c r="D502" s="151" t="s">
        <v>602</v>
      </c>
      <c r="E502" s="151">
        <f>VLOOKUP(A502,'AFC Data details'!$B:$P,15,0)</f>
        <v>1.423</v>
      </c>
      <c r="F502" s="151">
        <f>SUMIFS('AFC Data details'!C:C,'AFC Data details'!$B:$B,'Element wise-detail Summary'!$A502)</f>
        <v>1</v>
      </c>
      <c r="G502" s="151">
        <f>SUMIFS(Cast!$C:$C,Cast!$B:$B,'Element wise-detail Summary'!$A502)</f>
        <v>1</v>
      </c>
      <c r="H502" s="151">
        <f t="shared" si="36"/>
        <v>0</v>
      </c>
      <c r="I502" s="151">
        <f>SUMIFS(Del!$C:$C,Del!$B:$B,'Element wise-detail Summary'!$A502)</f>
        <v>0</v>
      </c>
      <c r="J502" s="151">
        <f t="shared" si="37"/>
        <v>1</v>
      </c>
      <c r="K502" s="151">
        <f t="shared" si="38"/>
        <v>1</v>
      </c>
      <c r="L502" s="151">
        <f>SUMIF(Ere!$B:$B,'Element wise-detail Summary'!$A502,Ere!$C:$C)</f>
        <v>0</v>
      </c>
      <c r="M502" s="151">
        <f t="shared" si="39"/>
        <v>1</v>
      </c>
      <c r="N502">
        <f t="shared" si="40"/>
        <v>0</v>
      </c>
    </row>
    <row r="503" spans="1:14" hidden="1" x14ac:dyDescent="0.25">
      <c r="A503" s="151" t="s">
        <v>1685</v>
      </c>
      <c r="B503" s="233" t="str">
        <f>VLOOKUP(A503,'AFC Data details'!$B:$E,4,0)</f>
        <v>V68</v>
      </c>
      <c r="C503" s="144" t="s">
        <v>1696</v>
      </c>
      <c r="D503" s="151" t="s">
        <v>602</v>
      </c>
      <c r="E503" s="151">
        <f>VLOOKUP(A503,'AFC Data details'!$B:$P,15,0)</f>
        <v>1.5960000000000001</v>
      </c>
      <c r="F503" s="151">
        <f>SUMIFS('AFC Data details'!C:C,'AFC Data details'!$B:$B,'Element wise-detail Summary'!$A503)</f>
        <v>1</v>
      </c>
      <c r="G503" s="151">
        <f>SUMIFS(Cast!$C:$C,Cast!$B:$B,'Element wise-detail Summary'!$A503)</f>
        <v>1</v>
      </c>
      <c r="H503" s="151">
        <f t="shared" si="36"/>
        <v>0</v>
      </c>
      <c r="I503" s="151">
        <f>SUMIFS(Del!$C:$C,Del!$B:$B,'Element wise-detail Summary'!$A503)</f>
        <v>0</v>
      </c>
      <c r="J503" s="151">
        <f t="shared" si="37"/>
        <v>1</v>
      </c>
      <c r="K503" s="151">
        <f t="shared" si="38"/>
        <v>1</v>
      </c>
      <c r="L503" s="151">
        <f>SUMIF(Ere!$B:$B,'Element wise-detail Summary'!$A503,Ere!$C:$C)</f>
        <v>0</v>
      </c>
      <c r="M503" s="151">
        <f t="shared" si="39"/>
        <v>1</v>
      </c>
      <c r="N503">
        <f t="shared" si="40"/>
        <v>0</v>
      </c>
    </row>
    <row r="504" spans="1:14" hidden="1" x14ac:dyDescent="0.25">
      <c r="A504" s="151" t="s">
        <v>1686</v>
      </c>
      <c r="B504" s="233" t="str">
        <f>VLOOKUP(A504,'AFC Data details'!$B:$E,4,0)</f>
        <v>V69</v>
      </c>
      <c r="C504" s="144" t="s">
        <v>1696</v>
      </c>
      <c r="D504" s="151" t="s">
        <v>602</v>
      </c>
      <c r="E504" s="151">
        <f>VLOOKUP(A504,'AFC Data details'!$B:$P,15,0)</f>
        <v>1.613</v>
      </c>
      <c r="F504" s="151">
        <f>SUMIFS('AFC Data details'!C:C,'AFC Data details'!$B:$B,'Element wise-detail Summary'!$A504)</f>
        <v>1</v>
      </c>
      <c r="G504" s="151">
        <f>SUMIFS(Cast!$C:$C,Cast!$B:$B,'Element wise-detail Summary'!$A504)</f>
        <v>1</v>
      </c>
      <c r="H504" s="151">
        <f t="shared" si="36"/>
        <v>0</v>
      </c>
      <c r="I504" s="151">
        <f>SUMIFS(Del!$C:$C,Del!$B:$B,'Element wise-detail Summary'!$A504)</f>
        <v>0</v>
      </c>
      <c r="J504" s="151">
        <f t="shared" si="37"/>
        <v>1</v>
      </c>
      <c r="K504" s="151">
        <f t="shared" si="38"/>
        <v>1</v>
      </c>
      <c r="L504" s="151">
        <f>SUMIF(Ere!$B:$B,'Element wise-detail Summary'!$A504,Ere!$C:$C)</f>
        <v>0</v>
      </c>
      <c r="M504" s="151">
        <f t="shared" si="39"/>
        <v>1</v>
      </c>
      <c r="N504">
        <f t="shared" si="40"/>
        <v>0</v>
      </c>
    </row>
    <row r="505" spans="1:14" hidden="1" x14ac:dyDescent="0.25">
      <c r="A505" s="151" t="s">
        <v>1687</v>
      </c>
      <c r="B505" s="233" t="str">
        <f>VLOOKUP(A505,'AFC Data details'!$B:$E,4,0)</f>
        <v>V69</v>
      </c>
      <c r="C505" s="144" t="s">
        <v>1696</v>
      </c>
      <c r="D505" s="151" t="s">
        <v>602</v>
      </c>
      <c r="E505" s="151">
        <f>VLOOKUP(A505,'AFC Data details'!$B:$P,15,0)</f>
        <v>1.4350000000000001</v>
      </c>
      <c r="F505" s="151">
        <f>SUMIFS('AFC Data details'!C:C,'AFC Data details'!$B:$B,'Element wise-detail Summary'!$A505)</f>
        <v>1</v>
      </c>
      <c r="G505" s="151">
        <f>SUMIFS(Cast!$C:$C,Cast!$B:$B,'Element wise-detail Summary'!$A505)</f>
        <v>1</v>
      </c>
      <c r="H505" s="151">
        <f t="shared" si="36"/>
        <v>0</v>
      </c>
      <c r="I505" s="151">
        <f>SUMIFS(Del!$C:$C,Del!$B:$B,'Element wise-detail Summary'!$A505)</f>
        <v>0</v>
      </c>
      <c r="J505" s="151">
        <f t="shared" si="37"/>
        <v>1</v>
      </c>
      <c r="K505" s="151">
        <f t="shared" si="38"/>
        <v>1</v>
      </c>
      <c r="L505" s="151">
        <f>SUMIF(Ere!$B:$B,'Element wise-detail Summary'!$A505,Ere!$C:$C)</f>
        <v>0</v>
      </c>
      <c r="M505" s="151">
        <f t="shared" si="39"/>
        <v>1</v>
      </c>
      <c r="N505">
        <f t="shared" si="40"/>
        <v>0</v>
      </c>
    </row>
    <row r="506" spans="1:14" hidden="1" x14ac:dyDescent="0.25">
      <c r="A506" s="151" t="s">
        <v>1688</v>
      </c>
      <c r="B506" s="233" t="str">
        <f>VLOOKUP(A506,'AFC Data details'!$B:$E,4,0)</f>
        <v>V70</v>
      </c>
      <c r="C506" s="144" t="s">
        <v>1696</v>
      </c>
      <c r="D506" s="151" t="s">
        <v>602</v>
      </c>
      <c r="E506" s="151">
        <f>VLOOKUP(A506,'AFC Data details'!$B:$P,15,0)</f>
        <v>1.095</v>
      </c>
      <c r="F506" s="151">
        <f>SUMIFS('AFC Data details'!C:C,'AFC Data details'!$B:$B,'Element wise-detail Summary'!$A506)</f>
        <v>1</v>
      </c>
      <c r="G506" s="151">
        <f>SUMIFS(Cast!$C:$C,Cast!$B:$B,'Element wise-detail Summary'!$A506)</f>
        <v>1</v>
      </c>
      <c r="H506" s="151">
        <f t="shared" si="36"/>
        <v>0</v>
      </c>
      <c r="I506" s="151">
        <f>SUMIFS(Del!$C:$C,Del!$B:$B,'Element wise-detail Summary'!$A506)</f>
        <v>0</v>
      </c>
      <c r="J506" s="151">
        <f t="shared" si="37"/>
        <v>1</v>
      </c>
      <c r="K506" s="151">
        <f t="shared" si="38"/>
        <v>1</v>
      </c>
      <c r="L506" s="151">
        <f>SUMIF(Ere!$B:$B,'Element wise-detail Summary'!$A506,Ere!$C:$C)</f>
        <v>0</v>
      </c>
      <c r="M506" s="151">
        <f t="shared" si="39"/>
        <v>1</v>
      </c>
      <c r="N506">
        <f t="shared" si="40"/>
        <v>0</v>
      </c>
    </row>
    <row r="507" spans="1:14" hidden="1" x14ac:dyDescent="0.25">
      <c r="A507" s="151" t="s">
        <v>1689</v>
      </c>
      <c r="B507" s="233" t="str">
        <f>VLOOKUP(A507,'AFC Data details'!$B:$E,4,0)</f>
        <v>V70</v>
      </c>
      <c r="C507" s="144" t="s">
        <v>1696</v>
      </c>
      <c r="D507" s="151" t="s">
        <v>602</v>
      </c>
      <c r="E507" s="151">
        <f>VLOOKUP(A507,'AFC Data details'!$B:$P,15,0)</f>
        <v>1.4410000000000001</v>
      </c>
      <c r="F507" s="151">
        <f>SUMIFS('AFC Data details'!C:C,'AFC Data details'!$B:$B,'Element wise-detail Summary'!$A507)</f>
        <v>1</v>
      </c>
      <c r="G507" s="151">
        <f>SUMIFS(Cast!$C:$C,Cast!$B:$B,'Element wise-detail Summary'!$A507)</f>
        <v>1</v>
      </c>
      <c r="H507" s="151">
        <f t="shared" si="36"/>
        <v>0</v>
      </c>
      <c r="I507" s="151">
        <f>SUMIFS(Del!$C:$C,Del!$B:$B,'Element wise-detail Summary'!$A507)</f>
        <v>0</v>
      </c>
      <c r="J507" s="151">
        <f t="shared" si="37"/>
        <v>1</v>
      </c>
      <c r="K507" s="151">
        <f t="shared" si="38"/>
        <v>1</v>
      </c>
      <c r="L507" s="151">
        <f>SUMIF(Ere!$B:$B,'Element wise-detail Summary'!$A507,Ere!$C:$C)</f>
        <v>0</v>
      </c>
      <c r="M507" s="151">
        <f t="shared" si="39"/>
        <v>1</v>
      </c>
      <c r="N507">
        <f t="shared" si="40"/>
        <v>0</v>
      </c>
    </row>
    <row r="508" spans="1:14" hidden="1" x14ac:dyDescent="0.25">
      <c r="A508" s="151" t="s">
        <v>1690</v>
      </c>
      <c r="B508" s="233" t="str">
        <f>VLOOKUP(A508,'AFC Data details'!$B:$E,4,0)</f>
        <v>V70</v>
      </c>
      <c r="C508" s="144" t="s">
        <v>1696</v>
      </c>
      <c r="D508" s="151" t="s">
        <v>602</v>
      </c>
      <c r="E508" s="151">
        <f>VLOOKUP(A508,'AFC Data details'!$B:$P,15,0)</f>
        <v>1.5620000000000001</v>
      </c>
      <c r="F508" s="151">
        <f>SUMIFS('AFC Data details'!C:C,'AFC Data details'!$B:$B,'Element wise-detail Summary'!$A508)</f>
        <v>1</v>
      </c>
      <c r="G508" s="151">
        <f>SUMIFS(Cast!$C:$C,Cast!$B:$B,'Element wise-detail Summary'!$A508)</f>
        <v>1</v>
      </c>
      <c r="H508" s="151">
        <f t="shared" si="36"/>
        <v>0</v>
      </c>
      <c r="I508" s="151">
        <f>SUMIFS(Del!$C:$C,Del!$B:$B,'Element wise-detail Summary'!$A508)</f>
        <v>0</v>
      </c>
      <c r="J508" s="151">
        <f t="shared" si="37"/>
        <v>1</v>
      </c>
      <c r="K508" s="151">
        <f t="shared" si="38"/>
        <v>1</v>
      </c>
      <c r="L508" s="151">
        <f>SUMIF(Ere!$B:$B,'Element wise-detail Summary'!$A508,Ere!$C:$C)</f>
        <v>0</v>
      </c>
      <c r="M508" s="151">
        <f t="shared" si="39"/>
        <v>1</v>
      </c>
      <c r="N508">
        <f t="shared" si="40"/>
        <v>0</v>
      </c>
    </row>
    <row r="509" spans="1:14" hidden="1" x14ac:dyDescent="0.25">
      <c r="A509" s="145" t="s">
        <v>1716</v>
      </c>
      <c r="B509" s="233" t="str">
        <f>VLOOKUP(A509,'AFC Data details'!$B:$E,4,0)</f>
        <v>V44</v>
      </c>
      <c r="C509" s="145" t="s">
        <v>1695</v>
      </c>
      <c r="D509" s="151" t="s">
        <v>602</v>
      </c>
      <c r="E509" s="151">
        <f>VLOOKUP(A509,'AFC Data details'!$B:$P,15,0)</f>
        <v>2.097</v>
      </c>
      <c r="F509" s="151">
        <f>SUMIFS('AFC Data details'!C:C,'AFC Data details'!$B:$B,'Element wise-detail Summary'!$A509)</f>
        <v>1</v>
      </c>
      <c r="G509" s="151">
        <f>SUMIFS(Cast!$C:$C,Cast!$B:$B,'Element wise-detail Summary'!$A509)</f>
        <v>1</v>
      </c>
      <c r="H509" s="151">
        <f t="shared" ref="H509:H513" si="41">F509-G509</f>
        <v>0</v>
      </c>
      <c r="I509" s="151">
        <f>SUMIFS(Del!$C:$C,Del!$B:$B,'Element wise-detail Summary'!$A509)</f>
        <v>0</v>
      </c>
      <c r="J509" s="151">
        <f t="shared" ref="J509:J513" si="42">F509-I509</f>
        <v>1</v>
      </c>
      <c r="K509" s="151">
        <f t="shared" ref="K509:K513" si="43">G509-I509</f>
        <v>1</v>
      </c>
      <c r="L509" s="151">
        <f>SUMIF(Ere!$B:$B,'Element wise-detail Summary'!$A509,Ere!$C:$C)</f>
        <v>0</v>
      </c>
      <c r="M509" s="151">
        <f t="shared" ref="M509:M513" si="44">F509-L509</f>
        <v>1</v>
      </c>
      <c r="N509">
        <f t="shared" si="40"/>
        <v>0</v>
      </c>
    </row>
    <row r="510" spans="1:14" hidden="1" x14ac:dyDescent="0.25">
      <c r="A510" s="145" t="s">
        <v>1715</v>
      </c>
      <c r="B510" s="233" t="str">
        <f>VLOOKUP(A510,'AFC Data details'!$B:$E,4,0)</f>
        <v>V45</v>
      </c>
      <c r="C510" s="145" t="s">
        <v>1695</v>
      </c>
      <c r="D510" s="151" t="s">
        <v>602</v>
      </c>
      <c r="E510" s="151">
        <f>VLOOKUP(A510,'AFC Data details'!$B:$P,15,0)</f>
        <v>2.097</v>
      </c>
      <c r="F510" s="151">
        <f>SUMIFS('AFC Data details'!C:C,'AFC Data details'!$B:$B,'Element wise-detail Summary'!$A510)</f>
        <v>1</v>
      </c>
      <c r="G510" s="151">
        <f>SUMIFS(Cast!$C:$C,Cast!$B:$B,'Element wise-detail Summary'!$A510)</f>
        <v>1</v>
      </c>
      <c r="H510" s="151">
        <f t="shared" si="41"/>
        <v>0</v>
      </c>
      <c r="I510" s="151">
        <f>SUMIFS(Del!$C:$C,Del!$B:$B,'Element wise-detail Summary'!$A510)</f>
        <v>0</v>
      </c>
      <c r="J510" s="151">
        <f t="shared" si="42"/>
        <v>1</v>
      </c>
      <c r="K510" s="151">
        <f t="shared" si="43"/>
        <v>1</v>
      </c>
      <c r="L510" s="151">
        <f>SUMIF(Ere!$B:$B,'Element wise-detail Summary'!$A510,Ere!$C:$C)</f>
        <v>0</v>
      </c>
      <c r="M510" s="151">
        <f t="shared" si="44"/>
        <v>1</v>
      </c>
      <c r="N510">
        <f t="shared" si="40"/>
        <v>0</v>
      </c>
    </row>
    <row r="511" spans="1:14" hidden="1" x14ac:dyDescent="0.25">
      <c r="A511" s="145" t="s">
        <v>1714</v>
      </c>
      <c r="B511" s="233" t="str">
        <f>VLOOKUP(A511,'AFC Data details'!$B:$E,4,0)</f>
        <v>V45</v>
      </c>
      <c r="C511" s="145" t="s">
        <v>1695</v>
      </c>
      <c r="D511" s="151" t="s">
        <v>602</v>
      </c>
      <c r="E511" s="151">
        <f>VLOOKUP(A511,'AFC Data details'!$B:$P,15,0)</f>
        <v>2.097</v>
      </c>
      <c r="F511" s="151">
        <f>SUMIFS('AFC Data details'!C:C,'AFC Data details'!$B:$B,'Element wise-detail Summary'!$A511)</f>
        <v>1</v>
      </c>
      <c r="G511" s="151">
        <f>SUMIFS(Cast!$C:$C,Cast!$B:$B,'Element wise-detail Summary'!$A511)</f>
        <v>1</v>
      </c>
      <c r="H511" s="151">
        <f t="shared" si="41"/>
        <v>0</v>
      </c>
      <c r="I511" s="151">
        <f>SUMIFS(Del!$C:$C,Del!$B:$B,'Element wise-detail Summary'!$A511)</f>
        <v>0</v>
      </c>
      <c r="J511" s="151">
        <f t="shared" si="42"/>
        <v>1</v>
      </c>
      <c r="K511" s="151">
        <f t="shared" si="43"/>
        <v>1</v>
      </c>
      <c r="L511" s="151">
        <f>SUMIF(Ere!$B:$B,'Element wise-detail Summary'!$A511,Ere!$C:$C)</f>
        <v>0</v>
      </c>
      <c r="M511" s="151">
        <f t="shared" si="44"/>
        <v>1</v>
      </c>
      <c r="N511">
        <f t="shared" si="40"/>
        <v>0</v>
      </c>
    </row>
    <row r="512" spans="1:14" hidden="1" x14ac:dyDescent="0.25">
      <c r="A512" s="145" t="s">
        <v>1713</v>
      </c>
      <c r="B512" s="233" t="str">
        <f>VLOOKUP(A512,'AFC Data details'!$B:$E,4,0)</f>
        <v>V46</v>
      </c>
      <c r="C512" s="145" t="s">
        <v>1695</v>
      </c>
      <c r="D512" s="151" t="s">
        <v>602</v>
      </c>
      <c r="E512" s="151">
        <f>VLOOKUP(A512,'AFC Data details'!$B:$P,15,0)</f>
        <v>2.097</v>
      </c>
      <c r="F512" s="151">
        <f>SUMIFS('AFC Data details'!C:C,'AFC Data details'!$B:$B,'Element wise-detail Summary'!$A512)</f>
        <v>1</v>
      </c>
      <c r="G512" s="151">
        <f>SUMIFS(Cast!$C:$C,Cast!$B:$B,'Element wise-detail Summary'!$A512)</f>
        <v>1</v>
      </c>
      <c r="H512" s="151">
        <f t="shared" si="41"/>
        <v>0</v>
      </c>
      <c r="I512" s="151">
        <f>SUMIFS(Del!$C:$C,Del!$B:$B,'Element wise-detail Summary'!$A512)</f>
        <v>0</v>
      </c>
      <c r="J512" s="151">
        <f t="shared" si="42"/>
        <v>1</v>
      </c>
      <c r="K512" s="151">
        <f t="shared" si="43"/>
        <v>1</v>
      </c>
      <c r="L512" s="151">
        <f>SUMIF(Ere!$B:$B,'Element wise-detail Summary'!$A512,Ere!$C:$C)</f>
        <v>0</v>
      </c>
      <c r="M512" s="151">
        <f t="shared" si="44"/>
        <v>1</v>
      </c>
      <c r="N512">
        <f t="shared" si="40"/>
        <v>0</v>
      </c>
    </row>
    <row r="513" spans="1:14" hidden="1" x14ac:dyDescent="0.25">
      <c r="A513" s="145" t="s">
        <v>1755</v>
      </c>
      <c r="B513" s="233" t="str">
        <f>VLOOKUP(A513,'AFC Data details'!$B:$E,4,0)</f>
        <v>V47</v>
      </c>
      <c r="C513" s="145" t="s">
        <v>1695</v>
      </c>
      <c r="D513" s="151" t="s">
        <v>602</v>
      </c>
      <c r="E513" s="151">
        <f>VLOOKUP(A513,'AFC Data details'!$B:$P,15,0)</f>
        <v>2.097</v>
      </c>
      <c r="F513" s="151">
        <f>SUMIFS('AFC Data details'!C:C,'AFC Data details'!$B:$B,'Element wise-detail Summary'!$A513)</f>
        <v>1</v>
      </c>
      <c r="G513" s="151">
        <f>SUMIFS(Cast!$C:$C,Cast!$B:$B,'Element wise-detail Summary'!$A513)</f>
        <v>1</v>
      </c>
      <c r="H513" s="151">
        <f t="shared" si="41"/>
        <v>0</v>
      </c>
      <c r="I513" s="151">
        <f>SUMIFS(Del!$C:$C,Del!$B:$B,'Element wise-detail Summary'!$A513)</f>
        <v>0</v>
      </c>
      <c r="J513" s="151">
        <f t="shared" si="42"/>
        <v>1</v>
      </c>
      <c r="K513" s="151">
        <f t="shared" si="43"/>
        <v>1</v>
      </c>
      <c r="L513" s="151">
        <f>SUMIF(Ere!$B:$B,'Element wise-detail Summary'!$A513,Ere!$C:$C)</f>
        <v>0</v>
      </c>
      <c r="M513" s="151">
        <f t="shared" si="44"/>
        <v>1</v>
      </c>
      <c r="N513">
        <f t="shared" si="40"/>
        <v>0</v>
      </c>
    </row>
    <row r="514" spans="1:14" hidden="1" x14ac:dyDescent="0.25">
      <c r="A514" s="151" t="s">
        <v>1754</v>
      </c>
      <c r="B514" s="233" t="str">
        <f>VLOOKUP(A514,'AFC Data details'!$B:$E,4,0)</f>
        <v>V46</v>
      </c>
      <c r="C514" s="145" t="s">
        <v>1695</v>
      </c>
      <c r="D514" s="151" t="s">
        <v>602</v>
      </c>
      <c r="E514" s="151">
        <f>VLOOKUP(A514,'AFC Data details'!$B:$P,15,0)</f>
        <v>2.097</v>
      </c>
      <c r="F514" s="151">
        <f>SUMIFS('AFC Data details'!C:C,'AFC Data details'!$B:$B,'Element wise-detail Summary'!$A514)</f>
        <v>1</v>
      </c>
      <c r="G514" s="151">
        <f>SUMIFS(Cast!$C:$C,Cast!$B:$B,'Element wise-detail Summary'!$A514)</f>
        <v>1</v>
      </c>
      <c r="H514" s="151">
        <f t="shared" ref="H514:H515" si="45">F514-G514</f>
        <v>0</v>
      </c>
      <c r="I514" s="151">
        <f>SUMIFS(Del!$C:$C,Del!$B:$B,'Element wise-detail Summary'!$A514)</f>
        <v>0</v>
      </c>
      <c r="J514" s="151">
        <f t="shared" ref="J514:J515" si="46">F514-I514</f>
        <v>1</v>
      </c>
      <c r="K514" s="151">
        <f t="shared" ref="K514:K515" si="47">G514-I514</f>
        <v>1</v>
      </c>
      <c r="L514" s="151">
        <f>SUMIF(Ere!$B:$B,'Element wise-detail Summary'!$A514,Ere!$C:$C)</f>
        <v>0</v>
      </c>
      <c r="M514" s="151">
        <f t="shared" ref="M514:M515" si="48">F514-L514</f>
        <v>1</v>
      </c>
      <c r="N514">
        <f t="shared" si="40"/>
        <v>0</v>
      </c>
    </row>
    <row r="515" spans="1:14" hidden="1" x14ac:dyDescent="0.25">
      <c r="A515" s="151" t="s">
        <v>1717</v>
      </c>
      <c r="B515" s="233" t="str">
        <f>VLOOKUP(A515,'AFC Data details'!$B:$E,4,0)</f>
        <v>V47</v>
      </c>
      <c r="C515" s="145" t="s">
        <v>1695</v>
      </c>
      <c r="D515" s="151" t="s">
        <v>602</v>
      </c>
      <c r="E515" s="151">
        <f>VLOOKUP(A515,'AFC Data details'!$B:$P,15,0)</f>
        <v>2.097</v>
      </c>
      <c r="F515" s="151">
        <f>SUMIFS('AFC Data details'!C:C,'AFC Data details'!$B:$B,'Element wise-detail Summary'!$A515)</f>
        <v>1</v>
      </c>
      <c r="G515" s="151">
        <f>SUMIFS(Cast!$C:$C,Cast!$B:$B,'Element wise-detail Summary'!$A515)</f>
        <v>1</v>
      </c>
      <c r="H515" s="151">
        <f t="shared" si="45"/>
        <v>0</v>
      </c>
      <c r="I515" s="151">
        <f>SUMIFS(Del!$C:$C,Del!$B:$B,'Element wise-detail Summary'!$A515)</f>
        <v>0</v>
      </c>
      <c r="J515" s="151">
        <f t="shared" si="46"/>
        <v>1</v>
      </c>
      <c r="K515" s="151">
        <f t="shared" si="47"/>
        <v>1</v>
      </c>
      <c r="L515" s="151">
        <f>SUMIF(Ere!$B:$B,'Element wise-detail Summary'!$A515,Ere!$C:$C)</f>
        <v>0</v>
      </c>
      <c r="M515" s="151">
        <f t="shared" si="48"/>
        <v>1</v>
      </c>
      <c r="N515">
        <f t="shared" si="40"/>
        <v>0</v>
      </c>
    </row>
    <row r="516" spans="1:14" hidden="1" x14ac:dyDescent="0.25">
      <c r="A516" s="151" t="s">
        <v>1780</v>
      </c>
      <c r="B516" s="233" t="str">
        <f>VLOOKUP(A516,'AFC Data details'!$B:$E,4,0)</f>
        <v>V03</v>
      </c>
      <c r="C516" s="144" t="s">
        <v>1698</v>
      </c>
      <c r="D516" s="151" t="s">
        <v>602</v>
      </c>
      <c r="E516" s="151">
        <f>VLOOKUP(A516,'AFC Data details'!$B:$P,15,0)</f>
        <v>1.3640000000000001</v>
      </c>
      <c r="F516" s="151">
        <f>SUMIFS('AFC Data details'!C:C,'AFC Data details'!$B:$B,'Element wise-detail Summary'!$A516)</f>
        <v>1</v>
      </c>
      <c r="G516" s="151">
        <f>SUMIFS(Cast!$C:$C,Cast!$B:$B,'Element wise-detail Summary'!$A516)</f>
        <v>1</v>
      </c>
      <c r="H516" s="151">
        <f t="shared" ref="H516:H569" si="49">F516-G516</f>
        <v>0</v>
      </c>
      <c r="I516" s="151">
        <f>SUMIFS(Del!$C:$C,Del!$B:$B,'Element wise-detail Summary'!$A516)</f>
        <v>1</v>
      </c>
      <c r="J516" s="151">
        <f t="shared" ref="J516:J569" si="50">F516-I516</f>
        <v>0</v>
      </c>
      <c r="K516" s="151">
        <f t="shared" ref="K516:K569" si="51">G516-I516</f>
        <v>0</v>
      </c>
      <c r="L516" s="151">
        <f>SUMIF(Ere!$B:$B,'Element wise-detail Summary'!$A516,Ere!$C:$C)</f>
        <v>1</v>
      </c>
      <c r="M516" s="151">
        <f t="shared" ref="M516:M569" si="52">F516-L516</f>
        <v>0</v>
      </c>
      <c r="N516">
        <f t="shared" ref="N516:N579" si="53">I516*E516</f>
        <v>1.3640000000000001</v>
      </c>
    </row>
    <row r="517" spans="1:14" hidden="1" x14ac:dyDescent="0.25">
      <c r="A517" s="151" t="s">
        <v>1782</v>
      </c>
      <c r="B517" s="233" t="str">
        <f>VLOOKUP(A517,'AFC Data details'!$B:$E,4,0)</f>
        <v>V03</v>
      </c>
      <c r="C517" s="144" t="s">
        <v>1698</v>
      </c>
      <c r="D517" s="151" t="s">
        <v>602</v>
      </c>
      <c r="E517" s="151">
        <f>VLOOKUP(A517,'AFC Data details'!$B:$P,15,0)</f>
        <v>1.3879999999999999</v>
      </c>
      <c r="F517" s="151">
        <f>SUMIFS('AFC Data details'!C:C,'AFC Data details'!$B:$B,'Element wise-detail Summary'!$A517)</f>
        <v>1</v>
      </c>
      <c r="G517" s="151">
        <f>SUMIFS(Cast!$C:$C,Cast!$B:$B,'Element wise-detail Summary'!$A517)</f>
        <v>1</v>
      </c>
      <c r="H517" s="151">
        <f t="shared" si="49"/>
        <v>0</v>
      </c>
      <c r="I517" s="151">
        <f>SUMIFS(Del!$C:$C,Del!$B:$B,'Element wise-detail Summary'!$A517)</f>
        <v>1</v>
      </c>
      <c r="J517" s="151">
        <f t="shared" si="50"/>
        <v>0</v>
      </c>
      <c r="K517" s="151">
        <f t="shared" si="51"/>
        <v>0</v>
      </c>
      <c r="L517" s="151">
        <f>SUMIF(Ere!$B:$B,'Element wise-detail Summary'!$A517,Ere!$C:$C)</f>
        <v>1</v>
      </c>
      <c r="M517" s="151">
        <f t="shared" si="52"/>
        <v>0</v>
      </c>
      <c r="N517">
        <f t="shared" si="53"/>
        <v>1.3879999999999999</v>
      </c>
    </row>
    <row r="518" spans="1:14" hidden="1" x14ac:dyDescent="0.25">
      <c r="A518" s="151" t="s">
        <v>1783</v>
      </c>
      <c r="B518" s="233" t="str">
        <f>VLOOKUP(A518,'AFC Data details'!$B:$E,4,0)</f>
        <v>V04</v>
      </c>
      <c r="C518" s="144" t="s">
        <v>1698</v>
      </c>
      <c r="D518" s="151" t="s">
        <v>602</v>
      </c>
      <c r="E518" s="151">
        <f>VLOOKUP(A518,'AFC Data details'!$B:$P,15,0)</f>
        <v>1.1240000000000001</v>
      </c>
      <c r="F518" s="151">
        <f>SUMIFS('AFC Data details'!C:C,'AFC Data details'!$B:$B,'Element wise-detail Summary'!$A518)</f>
        <v>1</v>
      </c>
      <c r="G518" s="151">
        <f>SUMIFS(Cast!$C:$C,Cast!$B:$B,'Element wise-detail Summary'!$A518)</f>
        <v>1</v>
      </c>
      <c r="H518" s="151">
        <f t="shared" si="49"/>
        <v>0</v>
      </c>
      <c r="I518" s="151">
        <f>SUMIFS(Del!$C:$C,Del!$B:$B,'Element wise-detail Summary'!$A518)</f>
        <v>1</v>
      </c>
      <c r="J518" s="151">
        <f t="shared" si="50"/>
        <v>0</v>
      </c>
      <c r="K518" s="151">
        <f t="shared" si="51"/>
        <v>0</v>
      </c>
      <c r="L518" s="151">
        <f>SUMIF(Ere!$B:$B,'Element wise-detail Summary'!$A518,Ere!$C:$C)</f>
        <v>1</v>
      </c>
      <c r="M518" s="151">
        <f t="shared" si="52"/>
        <v>0</v>
      </c>
      <c r="N518">
        <f t="shared" si="53"/>
        <v>1.1240000000000001</v>
      </c>
    </row>
    <row r="519" spans="1:14" hidden="1" x14ac:dyDescent="0.25">
      <c r="A519" s="151" t="s">
        <v>1785</v>
      </c>
      <c r="B519" s="233" t="str">
        <f>VLOOKUP(A519,'AFC Data details'!$B:$E,4,0)</f>
        <v>V04</v>
      </c>
      <c r="C519" s="144" t="s">
        <v>1698</v>
      </c>
      <c r="D519" s="151" t="s">
        <v>602</v>
      </c>
      <c r="E519" s="151">
        <f>VLOOKUP(A519,'AFC Data details'!$B:$P,15,0)</f>
        <v>1.611</v>
      </c>
      <c r="F519" s="151">
        <f>SUMIFS('AFC Data details'!C:C,'AFC Data details'!$B:$B,'Element wise-detail Summary'!$A519)</f>
        <v>1</v>
      </c>
      <c r="G519" s="151">
        <f>SUMIFS(Cast!$C:$C,Cast!$B:$B,'Element wise-detail Summary'!$A519)</f>
        <v>1</v>
      </c>
      <c r="H519" s="151">
        <f t="shared" si="49"/>
        <v>0</v>
      </c>
      <c r="I519" s="151">
        <f>SUMIFS(Del!$C:$C,Del!$B:$B,'Element wise-detail Summary'!$A519)</f>
        <v>1</v>
      </c>
      <c r="J519" s="151">
        <f t="shared" si="50"/>
        <v>0</v>
      </c>
      <c r="K519" s="151">
        <f t="shared" si="51"/>
        <v>0</v>
      </c>
      <c r="L519" s="151">
        <f>SUMIF(Ere!$B:$B,'Element wise-detail Summary'!$A519,Ere!$C:$C)</f>
        <v>1</v>
      </c>
      <c r="M519" s="151">
        <f t="shared" si="52"/>
        <v>0</v>
      </c>
      <c r="N519">
        <f t="shared" si="53"/>
        <v>1.611</v>
      </c>
    </row>
    <row r="520" spans="1:14" hidden="1" x14ac:dyDescent="0.25">
      <c r="A520" s="151" t="s">
        <v>1786</v>
      </c>
      <c r="B520" s="233" t="str">
        <f>VLOOKUP(A520,'AFC Data details'!$B:$E,4,0)</f>
        <v>V04</v>
      </c>
      <c r="C520" s="144" t="s">
        <v>1698</v>
      </c>
      <c r="D520" s="151" t="s">
        <v>602</v>
      </c>
      <c r="E520" s="151">
        <f>VLOOKUP(A520,'AFC Data details'!$B:$P,15,0)</f>
        <v>1.758</v>
      </c>
      <c r="F520" s="151">
        <f>SUMIFS('AFC Data details'!C:C,'AFC Data details'!$B:$B,'Element wise-detail Summary'!$A520)</f>
        <v>1</v>
      </c>
      <c r="G520" s="151">
        <f>SUMIFS(Cast!$C:$C,Cast!$B:$B,'Element wise-detail Summary'!$A520)</f>
        <v>1</v>
      </c>
      <c r="H520" s="151">
        <f t="shared" si="49"/>
        <v>0</v>
      </c>
      <c r="I520" s="151">
        <f>SUMIFS(Del!$C:$C,Del!$B:$B,'Element wise-detail Summary'!$A520)</f>
        <v>1</v>
      </c>
      <c r="J520" s="151">
        <f t="shared" si="50"/>
        <v>0</v>
      </c>
      <c r="K520" s="151">
        <f t="shared" si="51"/>
        <v>0</v>
      </c>
      <c r="L520" s="151">
        <f>SUMIF(Ere!$B:$B,'Element wise-detail Summary'!$A520,Ere!$C:$C)</f>
        <v>1</v>
      </c>
      <c r="M520" s="151">
        <f t="shared" si="52"/>
        <v>0</v>
      </c>
      <c r="N520">
        <f t="shared" si="53"/>
        <v>1.758</v>
      </c>
    </row>
    <row r="521" spans="1:14" hidden="1" x14ac:dyDescent="0.25">
      <c r="A521" s="151" t="s">
        <v>1787</v>
      </c>
      <c r="B521" s="233" t="str">
        <f>VLOOKUP(A521,'AFC Data details'!$B:$E,4,0)</f>
        <v>V04</v>
      </c>
      <c r="C521" s="144" t="s">
        <v>1698</v>
      </c>
      <c r="D521" s="151" t="s">
        <v>602</v>
      </c>
      <c r="E521" s="151">
        <f>VLOOKUP(A521,'AFC Data details'!$B:$P,15,0)</f>
        <v>2.2559999999999998</v>
      </c>
      <c r="F521" s="151">
        <f>SUMIFS('AFC Data details'!C:C,'AFC Data details'!$B:$B,'Element wise-detail Summary'!$A521)</f>
        <v>1</v>
      </c>
      <c r="G521" s="151">
        <f>SUMIFS(Cast!$C:$C,Cast!$B:$B,'Element wise-detail Summary'!$A521)</f>
        <v>1</v>
      </c>
      <c r="H521" s="151">
        <f t="shared" si="49"/>
        <v>0</v>
      </c>
      <c r="I521" s="151">
        <f>SUMIFS(Del!$C:$C,Del!$B:$B,'Element wise-detail Summary'!$A521)</f>
        <v>1</v>
      </c>
      <c r="J521" s="151">
        <f t="shared" si="50"/>
        <v>0</v>
      </c>
      <c r="K521" s="151">
        <f t="shared" si="51"/>
        <v>0</v>
      </c>
      <c r="L521" s="151">
        <f>SUMIF(Ere!$B:$B,'Element wise-detail Summary'!$A521,Ere!$C:$C)</f>
        <v>1</v>
      </c>
      <c r="M521" s="151">
        <f t="shared" si="52"/>
        <v>0</v>
      </c>
      <c r="N521">
        <f t="shared" si="53"/>
        <v>2.2559999999999998</v>
      </c>
    </row>
    <row r="522" spans="1:14" hidden="1" x14ac:dyDescent="0.25">
      <c r="A522" s="151" t="s">
        <v>1788</v>
      </c>
      <c r="B522" s="233" t="str">
        <f>VLOOKUP(A522,'AFC Data details'!$B:$E,4,0)</f>
        <v>V05</v>
      </c>
      <c r="C522" s="144" t="s">
        <v>1698</v>
      </c>
      <c r="D522" s="151" t="s">
        <v>602</v>
      </c>
      <c r="E522" s="151">
        <f>VLOOKUP(A522,'AFC Data details'!$B:$P,15,0)</f>
        <v>1.5940000000000001</v>
      </c>
      <c r="F522" s="151">
        <f>SUMIFS('AFC Data details'!C:C,'AFC Data details'!$B:$B,'Element wise-detail Summary'!$A522)</f>
        <v>1</v>
      </c>
      <c r="G522" s="151">
        <f>SUMIFS(Cast!$C:$C,Cast!$B:$B,'Element wise-detail Summary'!$A522)</f>
        <v>1</v>
      </c>
      <c r="H522" s="151">
        <f t="shared" si="49"/>
        <v>0</v>
      </c>
      <c r="I522" s="151">
        <f>SUMIFS(Del!$C:$C,Del!$B:$B,'Element wise-detail Summary'!$A522)</f>
        <v>1</v>
      </c>
      <c r="J522" s="151">
        <f t="shared" si="50"/>
        <v>0</v>
      </c>
      <c r="K522" s="151">
        <f t="shared" si="51"/>
        <v>0</v>
      </c>
      <c r="L522" s="151">
        <f>SUMIF(Ere!$B:$B,'Element wise-detail Summary'!$A522,Ere!$C:$C)</f>
        <v>1</v>
      </c>
      <c r="M522" s="151">
        <f t="shared" si="52"/>
        <v>0</v>
      </c>
      <c r="N522">
        <f t="shared" si="53"/>
        <v>1.5940000000000001</v>
      </c>
    </row>
    <row r="523" spans="1:14" hidden="1" x14ac:dyDescent="0.25">
      <c r="A523" s="151" t="s">
        <v>1790</v>
      </c>
      <c r="B523" s="233" t="str">
        <f>VLOOKUP(A523,'AFC Data details'!$B:$E,4,0)</f>
        <v>V05</v>
      </c>
      <c r="C523" s="144" t="s">
        <v>1698</v>
      </c>
      <c r="D523" s="151" t="s">
        <v>602</v>
      </c>
      <c r="E523" s="151">
        <f>VLOOKUP(A523,'AFC Data details'!$B:$P,15,0)</f>
        <v>1.3680000000000001</v>
      </c>
      <c r="F523" s="151">
        <f>SUMIFS('AFC Data details'!C:C,'AFC Data details'!$B:$B,'Element wise-detail Summary'!$A523)</f>
        <v>1</v>
      </c>
      <c r="G523" s="151">
        <f>SUMIFS(Cast!$C:$C,Cast!$B:$B,'Element wise-detail Summary'!$A523)</f>
        <v>1</v>
      </c>
      <c r="H523" s="151">
        <f t="shared" si="49"/>
        <v>0</v>
      </c>
      <c r="I523" s="151">
        <f>SUMIFS(Del!$C:$C,Del!$B:$B,'Element wise-detail Summary'!$A523)</f>
        <v>1</v>
      </c>
      <c r="J523" s="151">
        <f t="shared" si="50"/>
        <v>0</v>
      </c>
      <c r="K523" s="151">
        <f t="shared" si="51"/>
        <v>0</v>
      </c>
      <c r="L523" s="151">
        <f>SUMIF(Ere!$B:$B,'Element wise-detail Summary'!$A523,Ere!$C:$C)</f>
        <v>1</v>
      </c>
      <c r="M523" s="151">
        <f t="shared" si="52"/>
        <v>0</v>
      </c>
      <c r="N523">
        <f t="shared" si="53"/>
        <v>1.3680000000000001</v>
      </c>
    </row>
    <row r="524" spans="1:14" hidden="1" x14ac:dyDescent="0.25">
      <c r="A524" s="151" t="s">
        <v>1791</v>
      </c>
      <c r="B524" s="233" t="str">
        <f>VLOOKUP(A524,'AFC Data details'!$B:$E,4,0)</f>
        <v>V05</v>
      </c>
      <c r="C524" s="144" t="s">
        <v>1698</v>
      </c>
      <c r="D524" s="151" t="s">
        <v>602</v>
      </c>
      <c r="E524" s="151">
        <f>VLOOKUP(A524,'AFC Data details'!$B:$P,15,0)</f>
        <v>1.431</v>
      </c>
      <c r="F524" s="151">
        <f>SUMIFS('AFC Data details'!C:C,'AFC Data details'!$B:$B,'Element wise-detail Summary'!$A524)</f>
        <v>1</v>
      </c>
      <c r="G524" s="151">
        <f>SUMIFS(Cast!$C:$C,Cast!$B:$B,'Element wise-detail Summary'!$A524)</f>
        <v>1</v>
      </c>
      <c r="H524" s="151">
        <f t="shared" si="49"/>
        <v>0</v>
      </c>
      <c r="I524" s="151">
        <f>SUMIFS(Del!$C:$C,Del!$B:$B,'Element wise-detail Summary'!$A524)</f>
        <v>1</v>
      </c>
      <c r="J524" s="151">
        <f t="shared" si="50"/>
        <v>0</v>
      </c>
      <c r="K524" s="151">
        <f t="shared" si="51"/>
        <v>0</v>
      </c>
      <c r="L524" s="151">
        <f>SUMIF(Ere!$B:$B,'Element wise-detail Summary'!$A524,Ere!$C:$C)</f>
        <v>1</v>
      </c>
      <c r="M524" s="151">
        <f t="shared" si="52"/>
        <v>0</v>
      </c>
      <c r="N524">
        <f t="shared" si="53"/>
        <v>1.431</v>
      </c>
    </row>
    <row r="525" spans="1:14" hidden="1" x14ac:dyDescent="0.25">
      <c r="A525" s="151" t="s">
        <v>1983</v>
      </c>
      <c r="B525" s="233" t="str">
        <f>VLOOKUP(A525,'AFC Data details'!$B:$E,4,0)</f>
        <v>V05</v>
      </c>
      <c r="C525" s="144" t="s">
        <v>1698</v>
      </c>
      <c r="D525" s="151" t="s">
        <v>602</v>
      </c>
      <c r="E525" s="151">
        <f>VLOOKUP(A525,'AFC Data details'!$B:$P,15,0)</f>
        <v>1.431</v>
      </c>
      <c r="F525" s="151">
        <f>SUMIFS('AFC Data details'!C:C,'AFC Data details'!$B:$B,'Element wise-detail Summary'!$A525)</f>
        <v>1</v>
      </c>
      <c r="G525" s="151">
        <f>SUMIFS(Cast!$C:$C,Cast!$B:$B,'Element wise-detail Summary'!$A525)</f>
        <v>1</v>
      </c>
      <c r="H525" s="151">
        <f t="shared" si="49"/>
        <v>0</v>
      </c>
      <c r="I525" s="151">
        <f>SUMIFS(Del!$C:$C,Del!$B:$B,'Element wise-detail Summary'!$A525)</f>
        <v>1</v>
      </c>
      <c r="J525" s="151">
        <f t="shared" si="50"/>
        <v>0</v>
      </c>
      <c r="K525" s="151">
        <f t="shared" si="51"/>
        <v>0</v>
      </c>
      <c r="L525" s="151">
        <f>SUMIF(Ere!$B:$B,'Element wise-detail Summary'!$A525,Ere!$C:$C)</f>
        <v>1</v>
      </c>
      <c r="M525" s="151">
        <f t="shared" si="52"/>
        <v>0</v>
      </c>
      <c r="N525">
        <f t="shared" si="53"/>
        <v>1.431</v>
      </c>
    </row>
    <row r="526" spans="1:14" hidden="1" x14ac:dyDescent="0.25">
      <c r="A526" s="151" t="s">
        <v>1792</v>
      </c>
      <c r="B526" s="233" t="str">
        <f>VLOOKUP(A526,'AFC Data details'!$B:$E,4,0)</f>
        <v>V06</v>
      </c>
      <c r="C526" s="144" t="s">
        <v>1698</v>
      </c>
      <c r="D526" s="151" t="s">
        <v>602</v>
      </c>
      <c r="E526" s="151">
        <f>VLOOKUP(A526,'AFC Data details'!$B:$P,15,0)</f>
        <v>1.423</v>
      </c>
      <c r="F526" s="151">
        <f>SUMIFS('AFC Data details'!C:C,'AFC Data details'!$B:$B,'Element wise-detail Summary'!$A526)</f>
        <v>1</v>
      </c>
      <c r="G526" s="151">
        <f>SUMIFS(Cast!$C:$C,Cast!$B:$B,'Element wise-detail Summary'!$A526)</f>
        <v>1</v>
      </c>
      <c r="H526" s="151">
        <f t="shared" si="49"/>
        <v>0</v>
      </c>
      <c r="I526" s="151">
        <f>SUMIFS(Del!$C:$C,Del!$B:$B,'Element wise-detail Summary'!$A526)</f>
        <v>1</v>
      </c>
      <c r="J526" s="151">
        <f t="shared" si="50"/>
        <v>0</v>
      </c>
      <c r="K526" s="151">
        <f t="shared" si="51"/>
        <v>0</v>
      </c>
      <c r="L526" s="151">
        <f>SUMIF(Ere!$B:$B,'Element wise-detail Summary'!$A526,Ere!$C:$C)</f>
        <v>1</v>
      </c>
      <c r="M526" s="151">
        <f t="shared" si="52"/>
        <v>0</v>
      </c>
      <c r="N526">
        <f t="shared" si="53"/>
        <v>1.423</v>
      </c>
    </row>
    <row r="527" spans="1:14" hidden="1" x14ac:dyDescent="0.25">
      <c r="A527" s="151" t="s">
        <v>1794</v>
      </c>
      <c r="B527" s="233" t="str">
        <f>VLOOKUP(A527,'AFC Data details'!$B:$E,4,0)</f>
        <v>V06</v>
      </c>
      <c r="C527" s="144" t="s">
        <v>1698</v>
      </c>
      <c r="D527" s="151" t="s">
        <v>602</v>
      </c>
      <c r="E527" s="151">
        <f>VLOOKUP(A527,'AFC Data details'!$B:$P,15,0)</f>
        <v>1.4950000000000001</v>
      </c>
      <c r="F527" s="151">
        <f>SUMIFS('AFC Data details'!C:C,'AFC Data details'!$B:$B,'Element wise-detail Summary'!$A527)</f>
        <v>1</v>
      </c>
      <c r="G527" s="151">
        <f>SUMIFS(Cast!$C:$C,Cast!$B:$B,'Element wise-detail Summary'!$A527)</f>
        <v>1</v>
      </c>
      <c r="H527" s="151">
        <f t="shared" si="49"/>
        <v>0</v>
      </c>
      <c r="I527" s="151">
        <f>SUMIFS(Del!$C:$C,Del!$B:$B,'Element wise-detail Summary'!$A527)</f>
        <v>1</v>
      </c>
      <c r="J527" s="151">
        <f t="shared" si="50"/>
        <v>0</v>
      </c>
      <c r="K527" s="151">
        <f t="shared" si="51"/>
        <v>0</v>
      </c>
      <c r="L527" s="151">
        <f>SUMIF(Ere!$B:$B,'Element wise-detail Summary'!$A527,Ere!$C:$C)</f>
        <v>1</v>
      </c>
      <c r="M527" s="151">
        <f t="shared" si="52"/>
        <v>0</v>
      </c>
      <c r="N527">
        <f t="shared" si="53"/>
        <v>1.4950000000000001</v>
      </c>
    </row>
    <row r="528" spans="1:14" hidden="1" x14ac:dyDescent="0.25">
      <c r="A528" s="151" t="s">
        <v>1795</v>
      </c>
      <c r="B528" s="233" t="str">
        <f>VLOOKUP(A528,'AFC Data details'!$B:$E,4,0)</f>
        <v>V06</v>
      </c>
      <c r="C528" s="144" t="s">
        <v>1698</v>
      </c>
      <c r="D528" s="151" t="s">
        <v>602</v>
      </c>
      <c r="E528" s="151">
        <f>VLOOKUP(A528,'AFC Data details'!$B:$P,15,0)</f>
        <v>1.631</v>
      </c>
      <c r="F528" s="151">
        <f>SUMIFS('AFC Data details'!C:C,'AFC Data details'!$B:$B,'Element wise-detail Summary'!$A528)</f>
        <v>1</v>
      </c>
      <c r="G528" s="151">
        <f>SUMIFS(Cast!$C:$C,Cast!$B:$B,'Element wise-detail Summary'!$A528)</f>
        <v>1</v>
      </c>
      <c r="H528" s="151">
        <f t="shared" si="49"/>
        <v>0</v>
      </c>
      <c r="I528" s="151">
        <f>SUMIFS(Del!$C:$C,Del!$B:$B,'Element wise-detail Summary'!$A528)</f>
        <v>1</v>
      </c>
      <c r="J528" s="151">
        <f t="shared" si="50"/>
        <v>0</v>
      </c>
      <c r="K528" s="151">
        <f t="shared" si="51"/>
        <v>0</v>
      </c>
      <c r="L528" s="151">
        <f>SUMIF(Ere!$B:$B,'Element wise-detail Summary'!$A528,Ere!$C:$C)</f>
        <v>1</v>
      </c>
      <c r="M528" s="151">
        <f t="shared" si="52"/>
        <v>0</v>
      </c>
      <c r="N528">
        <f t="shared" si="53"/>
        <v>1.631</v>
      </c>
    </row>
    <row r="529" spans="1:14" hidden="1" x14ac:dyDescent="0.25">
      <c r="A529" s="151" t="s">
        <v>1796</v>
      </c>
      <c r="B529" s="233" t="str">
        <f>VLOOKUP(A529,'AFC Data details'!$B:$E,4,0)</f>
        <v>V06</v>
      </c>
      <c r="C529" s="144" t="s">
        <v>1698</v>
      </c>
      <c r="D529" s="151" t="s">
        <v>602</v>
      </c>
      <c r="E529" s="151">
        <f>VLOOKUP(A529,'AFC Data details'!$B:$P,15,0)</f>
        <v>1.6930000000000001</v>
      </c>
      <c r="F529" s="151">
        <f>SUMIFS('AFC Data details'!C:C,'AFC Data details'!$B:$B,'Element wise-detail Summary'!$A529)</f>
        <v>1</v>
      </c>
      <c r="G529" s="151">
        <f>SUMIFS(Cast!$C:$C,Cast!$B:$B,'Element wise-detail Summary'!$A529)</f>
        <v>1</v>
      </c>
      <c r="H529" s="151">
        <f t="shared" si="49"/>
        <v>0</v>
      </c>
      <c r="I529" s="151">
        <f>SUMIFS(Del!$C:$C,Del!$B:$B,'Element wise-detail Summary'!$A529)</f>
        <v>1</v>
      </c>
      <c r="J529" s="151">
        <f t="shared" si="50"/>
        <v>0</v>
      </c>
      <c r="K529" s="151">
        <f t="shared" si="51"/>
        <v>0</v>
      </c>
      <c r="L529" s="151">
        <f>SUMIF(Ere!$B:$B,'Element wise-detail Summary'!$A529,Ere!$C:$C)</f>
        <v>1</v>
      </c>
      <c r="M529" s="151">
        <f t="shared" si="52"/>
        <v>0</v>
      </c>
      <c r="N529">
        <f t="shared" si="53"/>
        <v>1.6930000000000001</v>
      </c>
    </row>
    <row r="530" spans="1:14" hidden="1" x14ac:dyDescent="0.25">
      <c r="A530" s="151" t="s">
        <v>1797</v>
      </c>
      <c r="B530" s="233" t="str">
        <f>VLOOKUP(A530,'AFC Data details'!$B:$E,4,0)</f>
        <v>V06</v>
      </c>
      <c r="C530" s="144" t="s">
        <v>1698</v>
      </c>
      <c r="D530" s="151" t="s">
        <v>602</v>
      </c>
      <c r="E530" s="151">
        <f>VLOOKUP(A530,'AFC Data details'!$B:$P,15,0)</f>
        <v>1.8560000000000001</v>
      </c>
      <c r="F530" s="151">
        <f>SUMIFS('AFC Data details'!C:C,'AFC Data details'!$B:$B,'Element wise-detail Summary'!$A530)</f>
        <v>1</v>
      </c>
      <c r="G530" s="151">
        <f>SUMIFS(Cast!$C:$C,Cast!$B:$B,'Element wise-detail Summary'!$A530)</f>
        <v>1</v>
      </c>
      <c r="H530" s="151">
        <f t="shared" si="49"/>
        <v>0</v>
      </c>
      <c r="I530" s="151">
        <f>SUMIFS(Del!$C:$C,Del!$B:$B,'Element wise-detail Summary'!$A530)</f>
        <v>1</v>
      </c>
      <c r="J530" s="151">
        <f t="shared" si="50"/>
        <v>0</v>
      </c>
      <c r="K530" s="151">
        <f t="shared" si="51"/>
        <v>0</v>
      </c>
      <c r="L530" s="151">
        <f>SUMIF(Ere!$B:$B,'Element wise-detail Summary'!$A530,Ere!$C:$C)</f>
        <v>1</v>
      </c>
      <c r="M530" s="151">
        <f t="shared" si="52"/>
        <v>0</v>
      </c>
      <c r="N530">
        <f t="shared" si="53"/>
        <v>1.8560000000000001</v>
      </c>
    </row>
    <row r="531" spans="1:14" hidden="1" x14ac:dyDescent="0.25">
      <c r="A531" s="151" t="s">
        <v>1798</v>
      </c>
      <c r="B531" s="233" t="str">
        <f>VLOOKUP(A531,'AFC Data details'!$B:$E,4,0)</f>
        <v>V07</v>
      </c>
      <c r="C531" s="144" t="s">
        <v>1698</v>
      </c>
      <c r="D531" s="151" t="s">
        <v>602</v>
      </c>
      <c r="E531" s="151">
        <f>VLOOKUP(A531,'AFC Data details'!$B:$P,15,0)</f>
        <v>1.855</v>
      </c>
      <c r="F531" s="151">
        <f>SUMIFS('AFC Data details'!C:C,'AFC Data details'!$B:$B,'Element wise-detail Summary'!$A531)</f>
        <v>1</v>
      </c>
      <c r="G531" s="151">
        <f>SUMIFS(Cast!$C:$C,Cast!$B:$B,'Element wise-detail Summary'!$A531)</f>
        <v>1</v>
      </c>
      <c r="H531" s="151">
        <f t="shared" si="49"/>
        <v>0</v>
      </c>
      <c r="I531" s="151">
        <f>SUMIFS(Del!$C:$C,Del!$B:$B,'Element wise-detail Summary'!$A531)</f>
        <v>1</v>
      </c>
      <c r="J531" s="151">
        <f t="shared" si="50"/>
        <v>0</v>
      </c>
      <c r="K531" s="151">
        <f t="shared" si="51"/>
        <v>0</v>
      </c>
      <c r="L531" s="151">
        <f>SUMIF(Ere!$B:$B,'Element wise-detail Summary'!$A531,Ere!$C:$C)</f>
        <v>1</v>
      </c>
      <c r="M531" s="151">
        <f t="shared" si="52"/>
        <v>0</v>
      </c>
      <c r="N531">
        <f t="shared" si="53"/>
        <v>1.855</v>
      </c>
    </row>
    <row r="532" spans="1:14" hidden="1" x14ac:dyDescent="0.25">
      <c r="A532" s="151" t="s">
        <v>1800</v>
      </c>
      <c r="B532" s="233" t="str">
        <f>VLOOKUP(A532,'AFC Data details'!$B:$E,4,0)</f>
        <v>V07</v>
      </c>
      <c r="C532" s="144" t="s">
        <v>1698</v>
      </c>
      <c r="D532" s="151" t="s">
        <v>602</v>
      </c>
      <c r="E532" s="151">
        <f>VLOOKUP(A532,'AFC Data details'!$B:$P,15,0)</f>
        <v>1.657</v>
      </c>
      <c r="F532" s="151">
        <f>SUMIFS('AFC Data details'!C:C,'AFC Data details'!$B:$B,'Element wise-detail Summary'!$A532)</f>
        <v>1</v>
      </c>
      <c r="G532" s="151">
        <f>SUMIFS(Cast!$C:$C,Cast!$B:$B,'Element wise-detail Summary'!$A532)</f>
        <v>1</v>
      </c>
      <c r="H532" s="151">
        <f t="shared" si="49"/>
        <v>0</v>
      </c>
      <c r="I532" s="151">
        <f>SUMIFS(Del!$C:$C,Del!$B:$B,'Element wise-detail Summary'!$A532)</f>
        <v>1</v>
      </c>
      <c r="J532" s="151">
        <f t="shared" si="50"/>
        <v>0</v>
      </c>
      <c r="K532" s="151">
        <f t="shared" si="51"/>
        <v>0</v>
      </c>
      <c r="L532" s="151">
        <f>SUMIF(Ere!$B:$B,'Element wise-detail Summary'!$A532,Ere!$C:$C)</f>
        <v>1</v>
      </c>
      <c r="M532" s="151">
        <f t="shared" si="52"/>
        <v>0</v>
      </c>
      <c r="N532">
        <f t="shared" si="53"/>
        <v>1.657</v>
      </c>
    </row>
    <row r="533" spans="1:14" hidden="1" x14ac:dyDescent="0.25">
      <c r="A533" s="151" t="s">
        <v>1801</v>
      </c>
      <c r="B533" s="233" t="str">
        <f>VLOOKUP(A533,'AFC Data details'!$B:$E,4,0)</f>
        <v>V07</v>
      </c>
      <c r="C533" s="144" t="s">
        <v>1698</v>
      </c>
      <c r="D533" s="151" t="s">
        <v>602</v>
      </c>
      <c r="E533" s="151">
        <f>VLOOKUP(A533,'AFC Data details'!$B:$P,15,0)</f>
        <v>1.6819999999999999</v>
      </c>
      <c r="F533" s="151">
        <f>SUMIFS('AFC Data details'!C:C,'AFC Data details'!$B:$B,'Element wise-detail Summary'!$A533)</f>
        <v>1</v>
      </c>
      <c r="G533" s="151">
        <f>SUMIFS(Cast!$C:$C,Cast!$B:$B,'Element wise-detail Summary'!$A533)</f>
        <v>1</v>
      </c>
      <c r="H533" s="151">
        <f t="shared" si="49"/>
        <v>0</v>
      </c>
      <c r="I533" s="151">
        <f>SUMIFS(Del!$C:$C,Del!$B:$B,'Element wise-detail Summary'!$A533)</f>
        <v>1</v>
      </c>
      <c r="J533" s="151">
        <f t="shared" si="50"/>
        <v>0</v>
      </c>
      <c r="K533" s="151">
        <f t="shared" si="51"/>
        <v>0</v>
      </c>
      <c r="L533" s="151">
        <f>SUMIF(Ere!$B:$B,'Element wise-detail Summary'!$A533,Ere!$C:$C)</f>
        <v>1</v>
      </c>
      <c r="M533" s="151">
        <f t="shared" si="52"/>
        <v>0</v>
      </c>
      <c r="N533">
        <f t="shared" si="53"/>
        <v>1.6819999999999999</v>
      </c>
    </row>
    <row r="534" spans="1:14" hidden="1" x14ac:dyDescent="0.25">
      <c r="A534" s="151" t="s">
        <v>1984</v>
      </c>
      <c r="B534" s="233" t="str">
        <f>VLOOKUP(A534,'AFC Data details'!$B:$E,4,0)</f>
        <v>V07</v>
      </c>
      <c r="C534" s="144" t="s">
        <v>1698</v>
      </c>
      <c r="D534" s="151" t="s">
        <v>602</v>
      </c>
      <c r="E534" s="151">
        <f>VLOOKUP(A534,'AFC Data details'!$B:$P,15,0)</f>
        <v>1.6819999999999999</v>
      </c>
      <c r="F534" s="151">
        <f>SUMIFS('AFC Data details'!C:C,'AFC Data details'!$B:$B,'Element wise-detail Summary'!$A534)</f>
        <v>1</v>
      </c>
      <c r="G534" s="151">
        <f>SUMIFS(Cast!$C:$C,Cast!$B:$B,'Element wise-detail Summary'!$A534)</f>
        <v>1</v>
      </c>
      <c r="H534" s="151">
        <f t="shared" si="49"/>
        <v>0</v>
      </c>
      <c r="I534" s="151">
        <f>SUMIFS(Del!$C:$C,Del!$B:$B,'Element wise-detail Summary'!$A534)</f>
        <v>1</v>
      </c>
      <c r="J534" s="151">
        <f t="shared" si="50"/>
        <v>0</v>
      </c>
      <c r="K534" s="151">
        <f t="shared" si="51"/>
        <v>0</v>
      </c>
      <c r="L534" s="151">
        <f>SUMIF(Ere!$B:$B,'Element wise-detail Summary'!$A534,Ere!$C:$C)</f>
        <v>1</v>
      </c>
      <c r="M534" s="151">
        <f t="shared" si="52"/>
        <v>0</v>
      </c>
      <c r="N534">
        <f t="shared" si="53"/>
        <v>1.6819999999999999</v>
      </c>
    </row>
    <row r="535" spans="1:14" hidden="1" x14ac:dyDescent="0.25">
      <c r="A535" s="151" t="s">
        <v>1802</v>
      </c>
      <c r="B535" s="233" t="str">
        <f>VLOOKUP(A535,'AFC Data details'!$B:$E,4,0)</f>
        <v>V07</v>
      </c>
      <c r="C535" s="144" t="s">
        <v>1698</v>
      </c>
      <c r="D535" s="151" t="s">
        <v>602</v>
      </c>
      <c r="E535" s="151">
        <f>VLOOKUP(A535,'AFC Data details'!$B:$P,15,0)</f>
        <v>1.6819999999999999</v>
      </c>
      <c r="F535" s="151">
        <f>SUMIFS('AFC Data details'!C:C,'AFC Data details'!$B:$B,'Element wise-detail Summary'!$A535)</f>
        <v>1</v>
      </c>
      <c r="G535" s="151">
        <f>SUMIFS(Cast!$C:$C,Cast!$B:$B,'Element wise-detail Summary'!$A535)</f>
        <v>1</v>
      </c>
      <c r="H535" s="151">
        <f t="shared" si="49"/>
        <v>0</v>
      </c>
      <c r="I535" s="151">
        <f>SUMIFS(Del!$C:$C,Del!$B:$B,'Element wise-detail Summary'!$A535)</f>
        <v>1</v>
      </c>
      <c r="J535" s="151">
        <f t="shared" si="50"/>
        <v>0</v>
      </c>
      <c r="K535" s="151">
        <f t="shared" si="51"/>
        <v>0</v>
      </c>
      <c r="L535" s="151">
        <f>SUMIF(Ere!$B:$B,'Element wise-detail Summary'!$A535,Ere!$C:$C)</f>
        <v>1</v>
      </c>
      <c r="M535" s="151">
        <f t="shared" si="52"/>
        <v>0</v>
      </c>
      <c r="N535">
        <f t="shared" si="53"/>
        <v>1.6819999999999999</v>
      </c>
    </row>
    <row r="536" spans="1:14" hidden="1" x14ac:dyDescent="0.25">
      <c r="A536" s="151" t="s">
        <v>1803</v>
      </c>
      <c r="B536" s="233" t="str">
        <f>VLOOKUP(A536,'AFC Data details'!$B:$E,4,0)</f>
        <v>V08</v>
      </c>
      <c r="C536" s="144" t="s">
        <v>1698</v>
      </c>
      <c r="D536" s="151" t="s">
        <v>602</v>
      </c>
      <c r="E536" s="151">
        <f>VLOOKUP(A536,'AFC Data details'!$B:$P,15,0)</f>
        <v>1.4119999999999999</v>
      </c>
      <c r="F536" s="151">
        <f>SUMIFS('AFC Data details'!C:C,'AFC Data details'!$B:$B,'Element wise-detail Summary'!$A536)</f>
        <v>1</v>
      </c>
      <c r="G536" s="151">
        <f>SUMIFS(Cast!$C:$C,Cast!$B:$B,'Element wise-detail Summary'!$A536)</f>
        <v>1</v>
      </c>
      <c r="H536" s="151">
        <f t="shared" si="49"/>
        <v>0</v>
      </c>
      <c r="I536" s="151">
        <f>SUMIFS(Del!$C:$C,Del!$B:$B,'Element wise-detail Summary'!$A536)</f>
        <v>1</v>
      </c>
      <c r="J536" s="151">
        <f t="shared" si="50"/>
        <v>0</v>
      </c>
      <c r="K536" s="151">
        <f t="shared" si="51"/>
        <v>0</v>
      </c>
      <c r="L536" s="151">
        <f>SUMIF(Ere!$B:$B,'Element wise-detail Summary'!$A536,Ere!$C:$C)</f>
        <v>1</v>
      </c>
      <c r="M536" s="151">
        <f t="shared" si="52"/>
        <v>0</v>
      </c>
      <c r="N536">
        <f t="shared" si="53"/>
        <v>1.4119999999999999</v>
      </c>
    </row>
    <row r="537" spans="1:14" hidden="1" x14ac:dyDescent="0.25">
      <c r="A537" s="151" t="s">
        <v>1805</v>
      </c>
      <c r="B537" s="233" t="str">
        <f>VLOOKUP(A537,'AFC Data details'!$B:$E,4,0)</f>
        <v>V08</v>
      </c>
      <c r="C537" s="144" t="s">
        <v>1698</v>
      </c>
      <c r="D537" s="151" t="s">
        <v>602</v>
      </c>
      <c r="E537" s="151">
        <f>VLOOKUP(A537,'AFC Data details'!$B:$P,15,0)</f>
        <v>1.448</v>
      </c>
      <c r="F537" s="151">
        <f>SUMIFS('AFC Data details'!C:C,'AFC Data details'!$B:$B,'Element wise-detail Summary'!$A537)</f>
        <v>1</v>
      </c>
      <c r="G537" s="151">
        <f>SUMIFS(Cast!$C:$C,Cast!$B:$B,'Element wise-detail Summary'!$A537)</f>
        <v>1</v>
      </c>
      <c r="H537" s="151">
        <f t="shared" si="49"/>
        <v>0</v>
      </c>
      <c r="I537" s="151">
        <f>SUMIFS(Del!$C:$C,Del!$B:$B,'Element wise-detail Summary'!$A537)</f>
        <v>1</v>
      </c>
      <c r="J537" s="151">
        <f t="shared" si="50"/>
        <v>0</v>
      </c>
      <c r="K537" s="151">
        <f t="shared" si="51"/>
        <v>0</v>
      </c>
      <c r="L537" s="151">
        <f>SUMIF(Ere!$B:$B,'Element wise-detail Summary'!$A537,Ere!$C:$C)</f>
        <v>1</v>
      </c>
      <c r="M537" s="151">
        <f t="shared" si="52"/>
        <v>0</v>
      </c>
      <c r="N537">
        <f t="shared" si="53"/>
        <v>1.448</v>
      </c>
    </row>
    <row r="538" spans="1:14" hidden="1" x14ac:dyDescent="0.25">
      <c r="A538" s="151" t="s">
        <v>1806</v>
      </c>
      <c r="B538" s="233" t="str">
        <f>VLOOKUP(A538,'AFC Data details'!$B:$E,4,0)</f>
        <v>V08</v>
      </c>
      <c r="C538" s="144" t="s">
        <v>1698</v>
      </c>
      <c r="D538" s="151" t="s">
        <v>602</v>
      </c>
      <c r="E538" s="151">
        <f>VLOOKUP(A538,'AFC Data details'!$B:$P,15,0)</f>
        <v>1.448</v>
      </c>
      <c r="F538" s="151">
        <f>SUMIFS('AFC Data details'!C:C,'AFC Data details'!$B:$B,'Element wise-detail Summary'!$A538)</f>
        <v>1</v>
      </c>
      <c r="G538" s="151">
        <f>SUMIFS(Cast!$C:$C,Cast!$B:$B,'Element wise-detail Summary'!$A538)</f>
        <v>1</v>
      </c>
      <c r="H538" s="151">
        <f t="shared" si="49"/>
        <v>0</v>
      </c>
      <c r="I538" s="151">
        <f>SUMIFS(Del!$C:$C,Del!$B:$B,'Element wise-detail Summary'!$A538)</f>
        <v>1</v>
      </c>
      <c r="J538" s="151">
        <f t="shared" si="50"/>
        <v>0</v>
      </c>
      <c r="K538" s="151">
        <f t="shared" si="51"/>
        <v>0</v>
      </c>
      <c r="L538" s="151">
        <f>SUMIF(Ere!$B:$B,'Element wise-detail Summary'!$A538,Ere!$C:$C)</f>
        <v>1</v>
      </c>
      <c r="M538" s="151">
        <f t="shared" si="52"/>
        <v>0</v>
      </c>
      <c r="N538">
        <f t="shared" si="53"/>
        <v>1.448</v>
      </c>
    </row>
    <row r="539" spans="1:14" hidden="1" x14ac:dyDescent="0.25">
      <c r="A539" s="151" t="s">
        <v>1807</v>
      </c>
      <c r="B539" s="233" t="str">
        <f>VLOOKUP(A539,'AFC Data details'!$B:$E,4,0)</f>
        <v>V08</v>
      </c>
      <c r="C539" s="144" t="s">
        <v>1698</v>
      </c>
      <c r="D539" s="151" t="s">
        <v>602</v>
      </c>
      <c r="E539" s="151">
        <f>VLOOKUP(A539,'AFC Data details'!$B:$P,15,0)</f>
        <v>1.37</v>
      </c>
      <c r="F539" s="151">
        <f>SUMIFS('AFC Data details'!C:C,'AFC Data details'!$B:$B,'Element wise-detail Summary'!$A539)</f>
        <v>1</v>
      </c>
      <c r="G539" s="151">
        <f>SUMIFS(Cast!$C:$C,Cast!$B:$B,'Element wise-detail Summary'!$A539)</f>
        <v>1</v>
      </c>
      <c r="H539" s="151">
        <f t="shared" si="49"/>
        <v>0</v>
      </c>
      <c r="I539" s="151">
        <f>SUMIFS(Del!$C:$C,Del!$B:$B,'Element wise-detail Summary'!$A539)</f>
        <v>1</v>
      </c>
      <c r="J539" s="151">
        <f t="shared" si="50"/>
        <v>0</v>
      </c>
      <c r="K539" s="151">
        <f t="shared" si="51"/>
        <v>0</v>
      </c>
      <c r="L539" s="151">
        <f>SUMIF(Ere!$B:$B,'Element wise-detail Summary'!$A539,Ere!$C:$C)</f>
        <v>1</v>
      </c>
      <c r="M539" s="151">
        <f t="shared" si="52"/>
        <v>0</v>
      </c>
      <c r="N539">
        <f t="shared" si="53"/>
        <v>1.37</v>
      </c>
    </row>
    <row r="540" spans="1:14" hidden="1" x14ac:dyDescent="0.25">
      <c r="A540" s="151" t="s">
        <v>1985</v>
      </c>
      <c r="B540" s="233" t="str">
        <f>VLOOKUP(A540,'AFC Data details'!$B:$E,4,0)</f>
        <v>V08</v>
      </c>
      <c r="C540" s="144" t="s">
        <v>1698</v>
      </c>
      <c r="D540" s="151" t="s">
        <v>602</v>
      </c>
      <c r="E540" s="151">
        <f>VLOOKUP(A540,'AFC Data details'!$B:$P,15,0)</f>
        <v>1.37</v>
      </c>
      <c r="F540" s="151">
        <f>SUMIFS('AFC Data details'!C:C,'AFC Data details'!$B:$B,'Element wise-detail Summary'!$A540)</f>
        <v>1</v>
      </c>
      <c r="G540" s="151">
        <f>SUMIFS(Cast!$C:$C,Cast!$B:$B,'Element wise-detail Summary'!$A540)</f>
        <v>1</v>
      </c>
      <c r="H540" s="151">
        <f t="shared" si="49"/>
        <v>0</v>
      </c>
      <c r="I540" s="151">
        <f>SUMIFS(Del!$C:$C,Del!$B:$B,'Element wise-detail Summary'!$A540)</f>
        <v>1</v>
      </c>
      <c r="J540" s="151">
        <f t="shared" si="50"/>
        <v>0</v>
      </c>
      <c r="K540" s="151">
        <f t="shared" si="51"/>
        <v>0</v>
      </c>
      <c r="L540" s="151">
        <f>SUMIF(Ere!$B:$B,'Element wise-detail Summary'!$A540,Ere!$C:$C)</f>
        <v>1</v>
      </c>
      <c r="M540" s="151">
        <f t="shared" si="52"/>
        <v>0</v>
      </c>
      <c r="N540">
        <f t="shared" si="53"/>
        <v>1.37</v>
      </c>
    </row>
    <row r="541" spans="1:14" hidden="1" x14ac:dyDescent="0.25">
      <c r="A541" s="151" t="s">
        <v>1808</v>
      </c>
      <c r="B541" s="233" t="str">
        <f>VLOOKUP(A541,'AFC Data details'!$B:$E,4,0)</f>
        <v>V08</v>
      </c>
      <c r="C541" s="144" t="s">
        <v>1698</v>
      </c>
      <c r="D541" s="151" t="s">
        <v>602</v>
      </c>
      <c r="E541" s="151">
        <f>VLOOKUP(A541,'AFC Data details'!$B:$P,15,0)</f>
        <v>1.569</v>
      </c>
      <c r="F541" s="151">
        <f>SUMIFS('AFC Data details'!C:C,'AFC Data details'!$B:$B,'Element wise-detail Summary'!$A541)</f>
        <v>1</v>
      </c>
      <c r="G541" s="151">
        <f>SUMIFS(Cast!$C:$C,Cast!$B:$B,'Element wise-detail Summary'!$A541)</f>
        <v>1</v>
      </c>
      <c r="H541" s="151">
        <f t="shared" si="49"/>
        <v>0</v>
      </c>
      <c r="I541" s="151">
        <f>SUMIFS(Del!$C:$C,Del!$B:$B,'Element wise-detail Summary'!$A541)</f>
        <v>1</v>
      </c>
      <c r="J541" s="151">
        <f t="shared" si="50"/>
        <v>0</v>
      </c>
      <c r="K541" s="151">
        <f t="shared" si="51"/>
        <v>0</v>
      </c>
      <c r="L541" s="151">
        <f>SUMIF(Ere!$B:$B,'Element wise-detail Summary'!$A541,Ere!$C:$C)</f>
        <v>1</v>
      </c>
      <c r="M541" s="151">
        <f t="shared" si="52"/>
        <v>0</v>
      </c>
      <c r="N541">
        <f t="shared" si="53"/>
        <v>1.569</v>
      </c>
    </row>
    <row r="542" spans="1:14" hidden="1" x14ac:dyDescent="0.25">
      <c r="A542" s="151" t="s">
        <v>1809</v>
      </c>
      <c r="B542" s="233" t="str">
        <f>VLOOKUP(A542,'AFC Data details'!$B:$E,4,0)</f>
        <v>V09</v>
      </c>
      <c r="C542" s="144" t="s">
        <v>1698</v>
      </c>
      <c r="D542" s="151" t="s">
        <v>602</v>
      </c>
      <c r="E542" s="151">
        <f>VLOOKUP(A542,'AFC Data details'!$B:$P,15,0)</f>
        <v>1.141</v>
      </c>
      <c r="F542" s="151">
        <f>SUMIFS('AFC Data details'!C:C,'AFC Data details'!$B:$B,'Element wise-detail Summary'!$A542)</f>
        <v>1</v>
      </c>
      <c r="G542" s="151">
        <f>SUMIFS(Cast!$C:$C,Cast!$B:$B,'Element wise-detail Summary'!$A542)</f>
        <v>1</v>
      </c>
      <c r="H542" s="151">
        <f t="shared" si="49"/>
        <v>0</v>
      </c>
      <c r="I542" s="151">
        <f>SUMIFS(Del!$C:$C,Del!$B:$B,'Element wise-detail Summary'!$A542)</f>
        <v>1</v>
      </c>
      <c r="J542" s="151">
        <f t="shared" si="50"/>
        <v>0</v>
      </c>
      <c r="K542" s="151">
        <f t="shared" si="51"/>
        <v>0</v>
      </c>
      <c r="L542" s="151">
        <f>SUMIF(Ere!$B:$B,'Element wise-detail Summary'!$A542,Ere!$C:$C)</f>
        <v>1</v>
      </c>
      <c r="M542" s="151">
        <f t="shared" si="52"/>
        <v>0</v>
      </c>
      <c r="N542">
        <f t="shared" si="53"/>
        <v>1.141</v>
      </c>
    </row>
    <row r="543" spans="1:14" hidden="1" x14ac:dyDescent="0.25">
      <c r="A543" s="151" t="s">
        <v>1811</v>
      </c>
      <c r="B543" s="233" t="str">
        <f>VLOOKUP(A543,'AFC Data details'!$B:$E,4,0)</f>
        <v>V09</v>
      </c>
      <c r="C543" s="144" t="s">
        <v>1698</v>
      </c>
      <c r="D543" s="151" t="s">
        <v>602</v>
      </c>
      <c r="E543" s="151">
        <f>VLOOKUP(A543,'AFC Data details'!$B:$P,15,0)</f>
        <v>1.851</v>
      </c>
      <c r="F543" s="151">
        <f>SUMIFS('AFC Data details'!C:C,'AFC Data details'!$B:$B,'Element wise-detail Summary'!$A543)</f>
        <v>1</v>
      </c>
      <c r="G543" s="151">
        <f>SUMIFS(Cast!$C:$C,Cast!$B:$B,'Element wise-detail Summary'!$A543)</f>
        <v>1</v>
      </c>
      <c r="H543" s="151">
        <f t="shared" si="49"/>
        <v>0</v>
      </c>
      <c r="I543" s="151">
        <f>SUMIFS(Del!$C:$C,Del!$B:$B,'Element wise-detail Summary'!$A543)</f>
        <v>1</v>
      </c>
      <c r="J543" s="151">
        <f t="shared" si="50"/>
        <v>0</v>
      </c>
      <c r="K543" s="151">
        <f t="shared" si="51"/>
        <v>0</v>
      </c>
      <c r="L543" s="151">
        <f>SUMIF(Ere!$B:$B,'Element wise-detail Summary'!$A543,Ere!$C:$C)</f>
        <v>1</v>
      </c>
      <c r="M543" s="151">
        <f t="shared" si="52"/>
        <v>0</v>
      </c>
      <c r="N543">
        <f t="shared" si="53"/>
        <v>1.851</v>
      </c>
    </row>
    <row r="544" spans="1:14" hidden="1" x14ac:dyDescent="0.25">
      <c r="A544" s="151" t="s">
        <v>1812</v>
      </c>
      <c r="B544" s="233" t="str">
        <f>VLOOKUP(A544,'AFC Data details'!$B:$E,4,0)</f>
        <v>V09</v>
      </c>
      <c r="C544" s="144" t="s">
        <v>1698</v>
      </c>
      <c r="D544" s="151" t="s">
        <v>602</v>
      </c>
      <c r="E544" s="151">
        <f>VLOOKUP(A544,'AFC Data details'!$B:$P,15,0)</f>
        <v>1.679</v>
      </c>
      <c r="F544" s="151">
        <f>SUMIFS('AFC Data details'!C:C,'AFC Data details'!$B:$B,'Element wise-detail Summary'!$A544)</f>
        <v>1</v>
      </c>
      <c r="G544" s="151">
        <f>SUMIFS(Cast!$C:$C,Cast!$B:$B,'Element wise-detail Summary'!$A544)</f>
        <v>1</v>
      </c>
      <c r="H544" s="151">
        <f t="shared" si="49"/>
        <v>0</v>
      </c>
      <c r="I544" s="151">
        <f>SUMIFS(Del!$C:$C,Del!$B:$B,'Element wise-detail Summary'!$A544)</f>
        <v>1</v>
      </c>
      <c r="J544" s="151">
        <f t="shared" si="50"/>
        <v>0</v>
      </c>
      <c r="K544" s="151">
        <f t="shared" si="51"/>
        <v>0</v>
      </c>
      <c r="L544" s="151">
        <f>SUMIF(Ere!$B:$B,'Element wise-detail Summary'!$A544,Ere!$C:$C)</f>
        <v>1</v>
      </c>
      <c r="M544" s="151">
        <f t="shared" si="52"/>
        <v>0</v>
      </c>
      <c r="N544">
        <f t="shared" si="53"/>
        <v>1.679</v>
      </c>
    </row>
    <row r="545" spans="1:14" hidden="1" x14ac:dyDescent="0.25">
      <c r="A545" s="151" t="s">
        <v>1813</v>
      </c>
      <c r="B545" s="233" t="str">
        <f>VLOOKUP(A545,'AFC Data details'!$B:$E,4,0)</f>
        <v>V10</v>
      </c>
      <c r="C545" s="144" t="s">
        <v>1698</v>
      </c>
      <c r="D545" s="151" t="s">
        <v>602</v>
      </c>
      <c r="E545" s="151">
        <f>VLOOKUP(A545,'AFC Data details'!$B:$P,15,0)</f>
        <v>1.595</v>
      </c>
      <c r="F545" s="151">
        <f>SUMIFS('AFC Data details'!C:C,'AFC Data details'!$B:$B,'Element wise-detail Summary'!$A545)</f>
        <v>1</v>
      </c>
      <c r="G545" s="151">
        <f>SUMIFS(Cast!$C:$C,Cast!$B:$B,'Element wise-detail Summary'!$A545)</f>
        <v>1</v>
      </c>
      <c r="H545" s="151">
        <f t="shared" si="49"/>
        <v>0</v>
      </c>
      <c r="I545" s="151">
        <f>SUMIFS(Del!$C:$C,Del!$B:$B,'Element wise-detail Summary'!$A545)</f>
        <v>1</v>
      </c>
      <c r="J545" s="151">
        <f t="shared" si="50"/>
        <v>0</v>
      </c>
      <c r="K545" s="151">
        <f t="shared" si="51"/>
        <v>0</v>
      </c>
      <c r="L545" s="151">
        <f>SUMIF(Ere!$B:$B,'Element wise-detail Summary'!$A545,Ere!$C:$C)</f>
        <v>1</v>
      </c>
      <c r="M545" s="151">
        <f t="shared" si="52"/>
        <v>0</v>
      </c>
      <c r="N545">
        <f t="shared" si="53"/>
        <v>1.595</v>
      </c>
    </row>
    <row r="546" spans="1:14" hidden="1" x14ac:dyDescent="0.25">
      <c r="A546" s="151" t="s">
        <v>1815</v>
      </c>
      <c r="B546" s="233" t="str">
        <f>VLOOKUP(A546,'AFC Data details'!$B:$E,4,0)</f>
        <v>V10</v>
      </c>
      <c r="C546" s="144" t="s">
        <v>1698</v>
      </c>
      <c r="D546" s="151" t="s">
        <v>602</v>
      </c>
      <c r="E546" s="151">
        <f>VLOOKUP(A546,'AFC Data details'!$B:$P,15,0)</f>
        <v>1.4059999999999999</v>
      </c>
      <c r="F546" s="151">
        <f>SUMIFS('AFC Data details'!C:C,'AFC Data details'!$B:$B,'Element wise-detail Summary'!$A546)</f>
        <v>1</v>
      </c>
      <c r="G546" s="151">
        <f>SUMIFS(Cast!$C:$C,Cast!$B:$B,'Element wise-detail Summary'!$A546)</f>
        <v>1</v>
      </c>
      <c r="H546" s="151">
        <f t="shared" si="49"/>
        <v>0</v>
      </c>
      <c r="I546" s="151">
        <f>SUMIFS(Del!$C:$C,Del!$B:$B,'Element wise-detail Summary'!$A546)</f>
        <v>1</v>
      </c>
      <c r="J546" s="151">
        <f t="shared" si="50"/>
        <v>0</v>
      </c>
      <c r="K546" s="151">
        <f t="shared" si="51"/>
        <v>0</v>
      </c>
      <c r="L546" s="151">
        <f>SUMIF(Ere!$B:$B,'Element wise-detail Summary'!$A546,Ere!$C:$C)</f>
        <v>1</v>
      </c>
      <c r="M546" s="151">
        <f t="shared" si="52"/>
        <v>0</v>
      </c>
      <c r="N546">
        <f t="shared" si="53"/>
        <v>1.4059999999999999</v>
      </c>
    </row>
    <row r="547" spans="1:14" hidden="1" x14ac:dyDescent="0.25">
      <c r="A547" s="151" t="s">
        <v>1816</v>
      </c>
      <c r="B547" s="233" t="str">
        <f>VLOOKUP(A547,'AFC Data details'!$B:$E,4,0)</f>
        <v>V11</v>
      </c>
      <c r="C547" s="144" t="s">
        <v>1698</v>
      </c>
      <c r="D547" s="151" t="s">
        <v>602</v>
      </c>
      <c r="E547" s="151">
        <f>VLOOKUP(A547,'AFC Data details'!$B:$P,15,0)</f>
        <v>1.8160000000000001</v>
      </c>
      <c r="F547" s="151">
        <f>SUMIFS('AFC Data details'!C:C,'AFC Data details'!$B:$B,'Element wise-detail Summary'!$A547)</f>
        <v>1</v>
      </c>
      <c r="G547" s="151">
        <f>SUMIFS(Cast!$C:$C,Cast!$B:$B,'Element wise-detail Summary'!$A547)</f>
        <v>1</v>
      </c>
      <c r="H547" s="151">
        <f t="shared" si="49"/>
        <v>0</v>
      </c>
      <c r="I547" s="151">
        <f>SUMIFS(Del!$C:$C,Del!$B:$B,'Element wise-detail Summary'!$A547)</f>
        <v>1</v>
      </c>
      <c r="J547" s="151">
        <f t="shared" si="50"/>
        <v>0</v>
      </c>
      <c r="K547" s="151">
        <f t="shared" si="51"/>
        <v>0</v>
      </c>
      <c r="L547" s="151">
        <f>SUMIF(Ere!$B:$B,'Element wise-detail Summary'!$A547,Ere!$C:$C)</f>
        <v>1</v>
      </c>
      <c r="M547" s="151">
        <f t="shared" si="52"/>
        <v>0</v>
      </c>
      <c r="N547">
        <f t="shared" si="53"/>
        <v>1.8160000000000001</v>
      </c>
    </row>
    <row r="548" spans="1:14" hidden="1" x14ac:dyDescent="0.25">
      <c r="A548" s="151" t="s">
        <v>1818</v>
      </c>
      <c r="B548" s="233" t="str">
        <f>VLOOKUP(A548,'AFC Data details'!$B:$E,4,0)</f>
        <v>V11</v>
      </c>
      <c r="C548" s="144" t="s">
        <v>1698</v>
      </c>
      <c r="D548" s="151" t="s">
        <v>602</v>
      </c>
      <c r="E548" s="151">
        <f>VLOOKUP(A548,'AFC Data details'!$B:$P,15,0)</f>
        <v>1.6439999999999999</v>
      </c>
      <c r="F548" s="151">
        <f>SUMIFS('AFC Data details'!C:C,'AFC Data details'!$B:$B,'Element wise-detail Summary'!$A548)</f>
        <v>1</v>
      </c>
      <c r="G548" s="151">
        <f>SUMIFS(Cast!$C:$C,Cast!$B:$B,'Element wise-detail Summary'!$A548)</f>
        <v>1</v>
      </c>
      <c r="H548" s="151">
        <f t="shared" si="49"/>
        <v>0</v>
      </c>
      <c r="I548" s="151">
        <f>SUMIFS(Del!$C:$C,Del!$B:$B,'Element wise-detail Summary'!$A548)</f>
        <v>1</v>
      </c>
      <c r="J548" s="151">
        <f t="shared" si="50"/>
        <v>0</v>
      </c>
      <c r="K548" s="151">
        <f t="shared" si="51"/>
        <v>0</v>
      </c>
      <c r="L548" s="151">
        <f>SUMIF(Ere!$B:$B,'Element wise-detail Summary'!$A548,Ere!$C:$C)</f>
        <v>1</v>
      </c>
      <c r="M548" s="151">
        <f t="shared" si="52"/>
        <v>0</v>
      </c>
      <c r="N548">
        <f t="shared" si="53"/>
        <v>1.6439999999999999</v>
      </c>
    </row>
    <row r="549" spans="1:14" hidden="1" x14ac:dyDescent="0.25">
      <c r="A549" s="151" t="s">
        <v>1819</v>
      </c>
      <c r="B549" s="233" t="str">
        <f>VLOOKUP(A549,'AFC Data details'!$B:$E,4,0)</f>
        <v>V12</v>
      </c>
      <c r="C549" s="144" t="s">
        <v>1698</v>
      </c>
      <c r="D549" s="151" t="s">
        <v>602</v>
      </c>
      <c r="E549" s="151">
        <f>VLOOKUP(A549,'AFC Data details'!$B:$P,15,0)</f>
        <v>1.1240000000000001</v>
      </c>
      <c r="F549" s="151">
        <f>SUMIFS('AFC Data details'!C:C,'AFC Data details'!$B:$B,'Element wise-detail Summary'!$A549)</f>
        <v>1</v>
      </c>
      <c r="G549" s="151">
        <f>SUMIFS(Cast!$C:$C,Cast!$B:$B,'Element wise-detail Summary'!$A549)</f>
        <v>1</v>
      </c>
      <c r="H549" s="151">
        <f t="shared" si="49"/>
        <v>0</v>
      </c>
      <c r="I549" s="151">
        <f>SUMIFS(Del!$C:$C,Del!$B:$B,'Element wise-detail Summary'!$A549)</f>
        <v>1</v>
      </c>
      <c r="J549" s="151">
        <f t="shared" si="50"/>
        <v>0</v>
      </c>
      <c r="K549" s="151">
        <f t="shared" si="51"/>
        <v>0</v>
      </c>
      <c r="L549" s="151">
        <f>SUMIF(Ere!$B:$B,'Element wise-detail Summary'!$A549,Ere!$C:$C)</f>
        <v>1</v>
      </c>
      <c r="M549" s="151">
        <f t="shared" si="52"/>
        <v>0</v>
      </c>
      <c r="N549">
        <f t="shared" si="53"/>
        <v>1.1240000000000001</v>
      </c>
    </row>
    <row r="550" spans="1:14" hidden="1" x14ac:dyDescent="0.25">
      <c r="A550" s="151" t="s">
        <v>1821</v>
      </c>
      <c r="B550" s="233" t="str">
        <f>VLOOKUP(A550,'AFC Data details'!$B:$E,4,0)</f>
        <v>V12</v>
      </c>
      <c r="C550" s="144" t="s">
        <v>1698</v>
      </c>
      <c r="D550" s="151" t="s">
        <v>602</v>
      </c>
      <c r="E550" s="151">
        <f>VLOOKUP(A550,'AFC Data details'!$B:$P,15,0)</f>
        <v>1.5760000000000001</v>
      </c>
      <c r="F550" s="151">
        <f>SUMIFS('AFC Data details'!C:C,'AFC Data details'!$B:$B,'Element wise-detail Summary'!$A550)</f>
        <v>1</v>
      </c>
      <c r="G550" s="151">
        <f>SUMIFS(Cast!$C:$C,Cast!$B:$B,'Element wise-detail Summary'!$A550)</f>
        <v>1</v>
      </c>
      <c r="H550" s="151">
        <f t="shared" si="49"/>
        <v>0</v>
      </c>
      <c r="I550" s="151">
        <f>SUMIFS(Del!$C:$C,Del!$B:$B,'Element wise-detail Summary'!$A550)</f>
        <v>1</v>
      </c>
      <c r="J550" s="151">
        <f t="shared" si="50"/>
        <v>0</v>
      </c>
      <c r="K550" s="151">
        <f t="shared" si="51"/>
        <v>0</v>
      </c>
      <c r="L550" s="151">
        <f>SUMIF(Ere!$B:$B,'Element wise-detail Summary'!$A550,Ere!$C:$C)</f>
        <v>1</v>
      </c>
      <c r="M550" s="151">
        <f t="shared" si="52"/>
        <v>0</v>
      </c>
      <c r="N550">
        <f t="shared" si="53"/>
        <v>1.5760000000000001</v>
      </c>
    </row>
    <row r="551" spans="1:14" hidden="1" x14ac:dyDescent="0.25">
      <c r="A551" s="151" t="s">
        <v>1822</v>
      </c>
      <c r="B551" s="233" t="str">
        <f>VLOOKUP(A551,'AFC Data details'!$B:$E,4,0)</f>
        <v>V12</v>
      </c>
      <c r="C551" s="144" t="s">
        <v>1698</v>
      </c>
      <c r="D551" s="151" t="s">
        <v>602</v>
      </c>
      <c r="E551" s="151">
        <f>VLOOKUP(A551,'AFC Data details'!$B:$P,15,0)</f>
        <v>1.389</v>
      </c>
      <c r="F551" s="151">
        <f>SUMIFS('AFC Data details'!C:C,'AFC Data details'!$B:$B,'Element wise-detail Summary'!$A551)</f>
        <v>1</v>
      </c>
      <c r="G551" s="151">
        <f>SUMIFS(Cast!$C:$C,Cast!$B:$B,'Element wise-detail Summary'!$A551)</f>
        <v>1</v>
      </c>
      <c r="H551" s="151">
        <f t="shared" si="49"/>
        <v>0</v>
      </c>
      <c r="I551" s="151">
        <f>SUMIFS(Del!$C:$C,Del!$B:$B,'Element wise-detail Summary'!$A551)</f>
        <v>1</v>
      </c>
      <c r="J551" s="151">
        <f t="shared" si="50"/>
        <v>0</v>
      </c>
      <c r="K551" s="151">
        <f t="shared" si="51"/>
        <v>0</v>
      </c>
      <c r="L551" s="151">
        <f>SUMIF(Ere!$B:$B,'Element wise-detail Summary'!$A551,Ere!$C:$C)</f>
        <v>1</v>
      </c>
      <c r="M551" s="151">
        <f t="shared" si="52"/>
        <v>0</v>
      </c>
      <c r="N551">
        <f t="shared" si="53"/>
        <v>1.389</v>
      </c>
    </row>
    <row r="552" spans="1:14" hidden="1" x14ac:dyDescent="0.25">
      <c r="A552" s="151" t="s">
        <v>1823</v>
      </c>
      <c r="B552" s="233" t="str">
        <f>VLOOKUP(A552,'AFC Data details'!$B:$E,4,0)</f>
        <v>V13</v>
      </c>
      <c r="C552" s="144" t="s">
        <v>1698</v>
      </c>
      <c r="D552" s="151" t="s">
        <v>602</v>
      </c>
      <c r="E552" s="151">
        <f>VLOOKUP(A552,'AFC Data details'!$B:$P,15,0)</f>
        <v>1.7929999999999999</v>
      </c>
      <c r="F552" s="151">
        <f>SUMIFS('AFC Data details'!C:C,'AFC Data details'!$B:$B,'Element wise-detail Summary'!$A552)</f>
        <v>1</v>
      </c>
      <c r="G552" s="151">
        <f>SUMIFS(Cast!$C:$C,Cast!$B:$B,'Element wise-detail Summary'!$A552)</f>
        <v>1</v>
      </c>
      <c r="H552" s="151">
        <f t="shared" si="49"/>
        <v>0</v>
      </c>
      <c r="I552" s="151">
        <f>SUMIFS(Del!$C:$C,Del!$B:$B,'Element wise-detail Summary'!$A552)</f>
        <v>1</v>
      </c>
      <c r="J552" s="151">
        <f t="shared" si="50"/>
        <v>0</v>
      </c>
      <c r="K552" s="151">
        <f t="shared" si="51"/>
        <v>0</v>
      </c>
      <c r="L552" s="151">
        <f>SUMIF(Ere!$B:$B,'Element wise-detail Summary'!$A552,Ere!$C:$C)</f>
        <v>1</v>
      </c>
      <c r="M552" s="151">
        <f t="shared" si="52"/>
        <v>0</v>
      </c>
      <c r="N552">
        <f t="shared" si="53"/>
        <v>1.7929999999999999</v>
      </c>
    </row>
    <row r="553" spans="1:14" hidden="1" x14ac:dyDescent="0.25">
      <c r="A553" s="151" t="s">
        <v>1825</v>
      </c>
      <c r="B553" s="233" t="str">
        <f>VLOOKUP(A553,'AFC Data details'!$B:$E,4,0)</f>
        <v>V13</v>
      </c>
      <c r="C553" s="144" t="s">
        <v>1698</v>
      </c>
      <c r="D553" s="151" t="s">
        <v>602</v>
      </c>
      <c r="E553" s="151">
        <f>VLOOKUP(A553,'AFC Data details'!$B:$P,15,0)</f>
        <v>1.621</v>
      </c>
      <c r="F553" s="151">
        <f>SUMIFS('AFC Data details'!C:C,'AFC Data details'!$B:$B,'Element wise-detail Summary'!$A553)</f>
        <v>1</v>
      </c>
      <c r="G553" s="151">
        <f>SUMIFS(Cast!$C:$C,Cast!$B:$B,'Element wise-detail Summary'!$A553)</f>
        <v>1</v>
      </c>
      <c r="H553" s="151">
        <f t="shared" si="49"/>
        <v>0</v>
      </c>
      <c r="I553" s="151">
        <f>SUMIFS(Del!$C:$C,Del!$B:$B,'Element wise-detail Summary'!$A553)</f>
        <v>1</v>
      </c>
      <c r="J553" s="151">
        <f t="shared" si="50"/>
        <v>0</v>
      </c>
      <c r="K553" s="151">
        <f t="shared" si="51"/>
        <v>0</v>
      </c>
      <c r="L553" s="151">
        <f>SUMIF(Ere!$B:$B,'Element wise-detail Summary'!$A553,Ere!$C:$C)</f>
        <v>1</v>
      </c>
      <c r="M553" s="151">
        <f t="shared" si="52"/>
        <v>0</v>
      </c>
      <c r="N553">
        <f t="shared" si="53"/>
        <v>1.621</v>
      </c>
    </row>
    <row r="554" spans="1:14" hidden="1" x14ac:dyDescent="0.25">
      <c r="A554" s="151" t="s">
        <v>1826</v>
      </c>
      <c r="B554" s="233" t="str">
        <f>VLOOKUP(A554,'AFC Data details'!$B:$E,4,0)</f>
        <v>V14</v>
      </c>
      <c r="C554" s="144" t="s">
        <v>1698</v>
      </c>
      <c r="D554" s="151" t="s">
        <v>602</v>
      </c>
      <c r="E554" s="151">
        <f>VLOOKUP(A554,'AFC Data details'!$B:$P,15,0)</f>
        <v>1.0780000000000001</v>
      </c>
      <c r="F554" s="151">
        <f>SUMIFS('AFC Data details'!C:C,'AFC Data details'!$B:$B,'Element wise-detail Summary'!$A554)</f>
        <v>1</v>
      </c>
      <c r="G554" s="151">
        <f>SUMIFS(Cast!$C:$C,Cast!$B:$B,'Element wise-detail Summary'!$A554)</f>
        <v>1</v>
      </c>
      <c r="H554" s="151">
        <f t="shared" si="49"/>
        <v>0</v>
      </c>
      <c r="I554" s="151">
        <f>SUMIFS(Del!$C:$C,Del!$B:$B,'Element wise-detail Summary'!$A554)</f>
        <v>1</v>
      </c>
      <c r="J554" s="151">
        <f t="shared" si="50"/>
        <v>0</v>
      </c>
      <c r="K554" s="151">
        <f t="shared" si="51"/>
        <v>0</v>
      </c>
      <c r="L554" s="151">
        <f>SUMIF(Ere!$B:$B,'Element wise-detail Summary'!$A554,Ere!$C:$C)</f>
        <v>1</v>
      </c>
      <c r="M554" s="151">
        <f t="shared" si="52"/>
        <v>0</v>
      </c>
      <c r="N554">
        <f t="shared" si="53"/>
        <v>1.0780000000000001</v>
      </c>
    </row>
    <row r="555" spans="1:14" hidden="1" x14ac:dyDescent="0.25">
      <c r="A555" s="151" t="s">
        <v>1828</v>
      </c>
      <c r="B555" s="233" t="str">
        <f>VLOOKUP(A555,'AFC Data details'!$B:$E,4,0)</f>
        <v>V14</v>
      </c>
      <c r="C555" s="144" t="s">
        <v>1698</v>
      </c>
      <c r="D555" s="151" t="s">
        <v>602</v>
      </c>
      <c r="E555" s="151">
        <f>VLOOKUP(A555,'AFC Data details'!$B:$P,15,0)</f>
        <v>1.575</v>
      </c>
      <c r="F555" s="151">
        <f>SUMIFS('AFC Data details'!C:C,'AFC Data details'!$B:$B,'Element wise-detail Summary'!$A555)</f>
        <v>1</v>
      </c>
      <c r="G555" s="151">
        <f>SUMIFS(Cast!$C:$C,Cast!$B:$B,'Element wise-detail Summary'!$A555)</f>
        <v>1</v>
      </c>
      <c r="H555" s="151">
        <f t="shared" si="49"/>
        <v>0</v>
      </c>
      <c r="I555" s="151">
        <f>SUMIFS(Del!$C:$C,Del!$B:$B,'Element wise-detail Summary'!$A555)</f>
        <v>1</v>
      </c>
      <c r="J555" s="151">
        <f t="shared" si="50"/>
        <v>0</v>
      </c>
      <c r="K555" s="151">
        <f t="shared" si="51"/>
        <v>0</v>
      </c>
      <c r="L555" s="151">
        <f>SUMIF(Ere!$B:$B,'Element wise-detail Summary'!$A555,Ere!$C:$C)</f>
        <v>1</v>
      </c>
      <c r="M555" s="151">
        <f t="shared" si="52"/>
        <v>0</v>
      </c>
      <c r="N555">
        <f t="shared" si="53"/>
        <v>1.575</v>
      </c>
    </row>
    <row r="556" spans="1:14" hidden="1" x14ac:dyDescent="0.25">
      <c r="A556" s="151" t="s">
        <v>1829</v>
      </c>
      <c r="B556" s="233" t="str">
        <f>VLOOKUP(A556,'AFC Data details'!$B:$E,4,0)</f>
        <v>V14</v>
      </c>
      <c r="C556" s="144" t="s">
        <v>1698</v>
      </c>
      <c r="D556" s="151" t="s">
        <v>602</v>
      </c>
      <c r="E556" s="151">
        <f>VLOOKUP(A556,'AFC Data details'!$B:$P,15,0)</f>
        <v>1.375</v>
      </c>
      <c r="F556" s="151">
        <f>SUMIFS('AFC Data details'!C:C,'AFC Data details'!$B:$B,'Element wise-detail Summary'!$A556)</f>
        <v>1</v>
      </c>
      <c r="G556" s="151">
        <f>SUMIFS(Cast!$C:$C,Cast!$B:$B,'Element wise-detail Summary'!$A556)</f>
        <v>1</v>
      </c>
      <c r="H556" s="151">
        <f t="shared" si="49"/>
        <v>0</v>
      </c>
      <c r="I556" s="151">
        <f>SUMIFS(Del!$C:$C,Del!$B:$B,'Element wise-detail Summary'!$A556)</f>
        <v>1</v>
      </c>
      <c r="J556" s="151">
        <f t="shared" si="50"/>
        <v>0</v>
      </c>
      <c r="K556" s="151">
        <f t="shared" si="51"/>
        <v>0</v>
      </c>
      <c r="L556" s="151">
        <f>SUMIF(Ere!$B:$B,'Element wise-detail Summary'!$A556,Ere!$C:$C)</f>
        <v>1</v>
      </c>
      <c r="M556" s="151">
        <f t="shared" si="52"/>
        <v>0</v>
      </c>
      <c r="N556">
        <f t="shared" si="53"/>
        <v>1.375</v>
      </c>
    </row>
    <row r="557" spans="1:14" hidden="1" x14ac:dyDescent="0.25">
      <c r="A557" s="151" t="s">
        <v>1830</v>
      </c>
      <c r="B557" s="233" t="str">
        <f>VLOOKUP(A557,'AFC Data details'!$B:$E,4,0)</f>
        <v>V15</v>
      </c>
      <c r="C557" s="144" t="s">
        <v>1698</v>
      </c>
      <c r="D557" s="151" t="s">
        <v>602</v>
      </c>
      <c r="E557" s="151">
        <f>VLOOKUP(A557,'AFC Data details'!$B:$P,15,0)</f>
        <v>1.5760000000000001</v>
      </c>
      <c r="F557" s="151">
        <f>SUMIFS('AFC Data details'!C:C,'AFC Data details'!$B:$B,'Element wise-detail Summary'!$A557)</f>
        <v>1</v>
      </c>
      <c r="G557" s="151">
        <f>SUMIFS(Cast!$C:$C,Cast!$B:$B,'Element wise-detail Summary'!$A557)</f>
        <v>1</v>
      </c>
      <c r="H557" s="151">
        <f t="shared" si="49"/>
        <v>0</v>
      </c>
      <c r="I557" s="151">
        <f>SUMIFS(Del!$C:$C,Del!$B:$B,'Element wise-detail Summary'!$A557)</f>
        <v>1</v>
      </c>
      <c r="J557" s="151">
        <f t="shared" si="50"/>
        <v>0</v>
      </c>
      <c r="K557" s="151">
        <f t="shared" si="51"/>
        <v>0</v>
      </c>
      <c r="L557" s="151">
        <f>SUMIF(Ere!$B:$B,'Element wise-detail Summary'!$A557,Ere!$C:$C)</f>
        <v>1</v>
      </c>
      <c r="M557" s="151">
        <f t="shared" si="52"/>
        <v>0</v>
      </c>
      <c r="N557">
        <f t="shared" si="53"/>
        <v>1.5760000000000001</v>
      </c>
    </row>
    <row r="558" spans="1:14" hidden="1" x14ac:dyDescent="0.25">
      <c r="A558" s="151" t="s">
        <v>1832</v>
      </c>
      <c r="B558" s="233" t="str">
        <f>VLOOKUP(A558,'AFC Data details'!$B:$E,4,0)</f>
        <v>V15</v>
      </c>
      <c r="C558" s="144" t="s">
        <v>1698</v>
      </c>
      <c r="D558" s="151" t="s">
        <v>602</v>
      </c>
      <c r="E558" s="151">
        <f>VLOOKUP(A558,'AFC Data details'!$B:$P,15,0)</f>
        <v>1.403</v>
      </c>
      <c r="F558" s="151">
        <f>SUMIFS('AFC Data details'!C:C,'AFC Data details'!$B:$B,'Element wise-detail Summary'!$A558)</f>
        <v>1</v>
      </c>
      <c r="G558" s="151">
        <f>SUMIFS(Cast!$C:$C,Cast!$B:$B,'Element wise-detail Summary'!$A558)</f>
        <v>1</v>
      </c>
      <c r="H558" s="151">
        <f t="shared" si="49"/>
        <v>0</v>
      </c>
      <c r="I558" s="151">
        <f>SUMIFS(Del!$C:$C,Del!$B:$B,'Element wise-detail Summary'!$A558)</f>
        <v>1</v>
      </c>
      <c r="J558" s="151">
        <f t="shared" si="50"/>
        <v>0</v>
      </c>
      <c r="K558" s="151">
        <f t="shared" si="51"/>
        <v>0</v>
      </c>
      <c r="L558" s="151">
        <f>SUMIF(Ere!$B:$B,'Element wise-detail Summary'!$A558,Ere!$C:$C)</f>
        <v>1</v>
      </c>
      <c r="M558" s="151">
        <f t="shared" si="52"/>
        <v>0</v>
      </c>
      <c r="N558">
        <f t="shared" si="53"/>
        <v>1.403</v>
      </c>
    </row>
    <row r="559" spans="1:14" hidden="1" x14ac:dyDescent="0.25">
      <c r="A559" s="151" t="s">
        <v>1833</v>
      </c>
      <c r="B559" s="233" t="str">
        <f>VLOOKUP(A559,'AFC Data details'!$B:$E,4,0)</f>
        <v>V16</v>
      </c>
      <c r="C559" s="144" t="s">
        <v>1698</v>
      </c>
      <c r="D559" s="151" t="s">
        <v>602</v>
      </c>
      <c r="E559" s="151">
        <f>VLOOKUP(A559,'AFC Data details'!$B:$P,15,0)</f>
        <v>1.0580000000000001</v>
      </c>
      <c r="F559" s="151">
        <f>SUMIFS('AFC Data details'!C:C,'AFC Data details'!$B:$B,'Element wise-detail Summary'!$A559)</f>
        <v>1</v>
      </c>
      <c r="G559" s="151">
        <f>SUMIFS(Cast!$C:$C,Cast!$B:$B,'Element wise-detail Summary'!$A559)</f>
        <v>1</v>
      </c>
      <c r="H559" s="151">
        <f t="shared" si="49"/>
        <v>0</v>
      </c>
      <c r="I559" s="151">
        <f>SUMIFS(Del!$C:$C,Del!$B:$B,'Element wise-detail Summary'!$A559)</f>
        <v>1</v>
      </c>
      <c r="J559" s="151">
        <f t="shared" si="50"/>
        <v>0</v>
      </c>
      <c r="K559" s="151">
        <f t="shared" si="51"/>
        <v>0</v>
      </c>
      <c r="L559" s="151">
        <f>SUMIF(Ere!$B:$B,'Element wise-detail Summary'!$A559,Ere!$C:$C)</f>
        <v>1</v>
      </c>
      <c r="M559" s="151">
        <f t="shared" si="52"/>
        <v>0</v>
      </c>
      <c r="N559">
        <f t="shared" si="53"/>
        <v>1.0580000000000001</v>
      </c>
    </row>
    <row r="560" spans="1:14" hidden="1" x14ac:dyDescent="0.25">
      <c r="A560" s="151" t="s">
        <v>1835</v>
      </c>
      <c r="B560" s="233" t="str">
        <f>VLOOKUP(A560,'AFC Data details'!$B:$E,4,0)</f>
        <v>V16</v>
      </c>
      <c r="C560" s="144" t="s">
        <v>1698</v>
      </c>
      <c r="D560" s="151" t="s">
        <v>602</v>
      </c>
      <c r="E560" s="151">
        <f>VLOOKUP(A560,'AFC Data details'!$B:$P,15,0)</f>
        <v>2.0299999999999998</v>
      </c>
      <c r="F560" s="151">
        <f>SUMIFS('AFC Data details'!C:C,'AFC Data details'!$B:$B,'Element wise-detail Summary'!$A560)</f>
        <v>1</v>
      </c>
      <c r="G560" s="151">
        <f>SUMIFS(Cast!$C:$C,Cast!$B:$B,'Element wise-detail Summary'!$A560)</f>
        <v>1</v>
      </c>
      <c r="H560" s="151">
        <f t="shared" si="49"/>
        <v>0</v>
      </c>
      <c r="I560" s="151">
        <f>SUMIFS(Del!$C:$C,Del!$B:$B,'Element wise-detail Summary'!$A560)</f>
        <v>1</v>
      </c>
      <c r="J560" s="151">
        <f t="shared" si="50"/>
        <v>0</v>
      </c>
      <c r="K560" s="151">
        <f t="shared" si="51"/>
        <v>0</v>
      </c>
      <c r="L560" s="151">
        <f>SUMIF(Ere!$B:$B,'Element wise-detail Summary'!$A560,Ere!$C:$C)</f>
        <v>1</v>
      </c>
      <c r="M560" s="151">
        <f t="shared" si="52"/>
        <v>0</v>
      </c>
      <c r="N560">
        <f t="shared" si="53"/>
        <v>2.0299999999999998</v>
      </c>
    </row>
    <row r="561" spans="1:14" hidden="1" x14ac:dyDescent="0.25">
      <c r="A561" s="151" t="s">
        <v>1836</v>
      </c>
      <c r="B561" s="233" t="str">
        <f>VLOOKUP(A561,'AFC Data details'!$B:$E,4,0)</f>
        <v>V16</v>
      </c>
      <c r="C561" s="144" t="s">
        <v>1698</v>
      </c>
      <c r="D561" s="151" t="s">
        <v>602</v>
      </c>
      <c r="E561" s="151">
        <f>VLOOKUP(A561,'AFC Data details'!$B:$P,15,0)</f>
        <v>1.9359999999999999</v>
      </c>
      <c r="F561" s="151">
        <f>SUMIFS('AFC Data details'!C:C,'AFC Data details'!$B:$B,'Element wise-detail Summary'!$A561)</f>
        <v>1</v>
      </c>
      <c r="G561" s="151">
        <f>SUMIFS(Cast!$C:$C,Cast!$B:$B,'Element wise-detail Summary'!$A561)</f>
        <v>1</v>
      </c>
      <c r="H561" s="151">
        <f t="shared" si="49"/>
        <v>0</v>
      </c>
      <c r="I561" s="151">
        <f>SUMIFS(Del!$C:$C,Del!$B:$B,'Element wise-detail Summary'!$A561)</f>
        <v>1</v>
      </c>
      <c r="J561" s="151">
        <f t="shared" si="50"/>
        <v>0</v>
      </c>
      <c r="K561" s="151">
        <f t="shared" si="51"/>
        <v>0</v>
      </c>
      <c r="L561" s="151">
        <f>SUMIF(Ere!$B:$B,'Element wise-detail Summary'!$A561,Ere!$C:$C)</f>
        <v>1</v>
      </c>
      <c r="M561" s="151">
        <f t="shared" si="52"/>
        <v>0</v>
      </c>
      <c r="N561">
        <f t="shared" si="53"/>
        <v>1.9359999999999999</v>
      </c>
    </row>
    <row r="562" spans="1:14" hidden="1" x14ac:dyDescent="0.25">
      <c r="A562" s="151" t="s">
        <v>1986</v>
      </c>
      <c r="B562" s="233" t="str">
        <f>VLOOKUP(A562,'AFC Data details'!$B:$E,4,0)</f>
        <v>V16</v>
      </c>
      <c r="C562" s="144" t="s">
        <v>1698</v>
      </c>
      <c r="D562" s="151" t="s">
        <v>602</v>
      </c>
      <c r="E562" s="151">
        <f>VLOOKUP(A562,'AFC Data details'!$B:$P,15,0)</f>
        <v>1.9359999999999999</v>
      </c>
      <c r="F562" s="151">
        <f>SUMIFS('AFC Data details'!C:C,'AFC Data details'!$B:$B,'Element wise-detail Summary'!$A562)</f>
        <v>1</v>
      </c>
      <c r="G562" s="151">
        <f>SUMIFS(Cast!$C:$C,Cast!$B:$B,'Element wise-detail Summary'!$A562)</f>
        <v>1</v>
      </c>
      <c r="H562" s="151">
        <f t="shared" si="49"/>
        <v>0</v>
      </c>
      <c r="I562" s="151">
        <f>SUMIFS(Del!$C:$C,Del!$B:$B,'Element wise-detail Summary'!$A562)</f>
        <v>1</v>
      </c>
      <c r="J562" s="151">
        <f t="shared" si="50"/>
        <v>0</v>
      </c>
      <c r="K562" s="151">
        <f t="shared" si="51"/>
        <v>0</v>
      </c>
      <c r="L562" s="151">
        <f>SUMIF(Ere!$B:$B,'Element wise-detail Summary'!$A562,Ere!$C:$C)</f>
        <v>1</v>
      </c>
      <c r="M562" s="151">
        <f t="shared" si="52"/>
        <v>0</v>
      </c>
      <c r="N562">
        <f t="shared" si="53"/>
        <v>1.9359999999999999</v>
      </c>
    </row>
    <row r="563" spans="1:14" hidden="1" x14ac:dyDescent="0.25">
      <c r="A563" s="151" t="s">
        <v>1987</v>
      </c>
      <c r="B563" s="233" t="str">
        <f>VLOOKUP(A563,'AFC Data details'!$B:$E,4,0)</f>
        <v>V16</v>
      </c>
      <c r="C563" s="144" t="s">
        <v>1698</v>
      </c>
      <c r="D563" s="151" t="s">
        <v>602</v>
      </c>
      <c r="E563" s="151">
        <f>VLOOKUP(A563,'AFC Data details'!$B:$P,15,0)</f>
        <v>1.9359999999999999</v>
      </c>
      <c r="F563" s="151">
        <f>SUMIFS('AFC Data details'!C:C,'AFC Data details'!$B:$B,'Element wise-detail Summary'!$A563)</f>
        <v>1</v>
      </c>
      <c r="G563" s="151">
        <f>SUMIFS(Cast!$C:$C,Cast!$B:$B,'Element wise-detail Summary'!$A563)</f>
        <v>1</v>
      </c>
      <c r="H563" s="151">
        <f t="shared" si="49"/>
        <v>0</v>
      </c>
      <c r="I563" s="151">
        <f>SUMIFS(Del!$C:$C,Del!$B:$B,'Element wise-detail Summary'!$A563)</f>
        <v>1</v>
      </c>
      <c r="J563" s="151">
        <f t="shared" si="50"/>
        <v>0</v>
      </c>
      <c r="K563" s="151">
        <f t="shared" si="51"/>
        <v>0</v>
      </c>
      <c r="L563" s="151">
        <f>SUMIF(Ere!$B:$B,'Element wise-detail Summary'!$A563,Ere!$C:$C)</f>
        <v>1</v>
      </c>
      <c r="M563" s="151">
        <f t="shared" si="52"/>
        <v>0</v>
      </c>
      <c r="N563">
        <f t="shared" si="53"/>
        <v>1.9359999999999999</v>
      </c>
    </row>
    <row r="564" spans="1:14" hidden="1" x14ac:dyDescent="0.25">
      <c r="A564" s="151" t="s">
        <v>1837</v>
      </c>
      <c r="B564" s="233" t="str">
        <f>VLOOKUP(A564,'AFC Data details'!$B:$E,4,0)</f>
        <v>V16</v>
      </c>
      <c r="C564" s="144" t="s">
        <v>1698</v>
      </c>
      <c r="D564" s="151" t="s">
        <v>602</v>
      </c>
      <c r="E564" s="151">
        <f>VLOOKUP(A564,'AFC Data details'!$B:$P,15,0)</f>
        <v>1.9359999999999999</v>
      </c>
      <c r="F564" s="151">
        <f>SUMIFS('AFC Data details'!C:C,'AFC Data details'!$B:$B,'Element wise-detail Summary'!$A564)</f>
        <v>1</v>
      </c>
      <c r="G564" s="151">
        <f>SUMIFS(Cast!$C:$C,Cast!$B:$B,'Element wise-detail Summary'!$A564)</f>
        <v>1</v>
      </c>
      <c r="H564" s="151">
        <f t="shared" si="49"/>
        <v>0</v>
      </c>
      <c r="I564" s="151">
        <f>SUMIFS(Del!$C:$C,Del!$B:$B,'Element wise-detail Summary'!$A564)</f>
        <v>0</v>
      </c>
      <c r="J564" s="151">
        <f t="shared" si="50"/>
        <v>1</v>
      </c>
      <c r="K564" s="151">
        <f t="shared" si="51"/>
        <v>1</v>
      </c>
      <c r="L564" s="151">
        <f>SUMIF(Ere!$B:$B,'Element wise-detail Summary'!$A564,Ere!$C:$C)</f>
        <v>1</v>
      </c>
      <c r="M564" s="151">
        <f t="shared" si="52"/>
        <v>0</v>
      </c>
      <c r="N564">
        <f t="shared" si="53"/>
        <v>0</v>
      </c>
    </row>
    <row r="565" spans="1:14" hidden="1" x14ac:dyDescent="0.25">
      <c r="A565" s="151" t="s">
        <v>1838</v>
      </c>
      <c r="B565" s="233" t="str">
        <f>VLOOKUP(A565,'AFC Data details'!$B:$E,4,0)</f>
        <v>V16</v>
      </c>
      <c r="C565" s="144" t="s">
        <v>1698</v>
      </c>
      <c r="D565" s="151" t="s">
        <v>602</v>
      </c>
      <c r="E565" s="151">
        <f>VLOOKUP(A565,'AFC Data details'!$B:$P,15,0)</f>
        <v>2.194</v>
      </c>
      <c r="F565" s="151">
        <f>SUMIFS('AFC Data details'!C:C,'AFC Data details'!$B:$B,'Element wise-detail Summary'!$A565)</f>
        <v>1</v>
      </c>
      <c r="G565" s="151">
        <f>SUMIFS(Cast!$C:$C,Cast!$B:$B,'Element wise-detail Summary'!$A565)</f>
        <v>1</v>
      </c>
      <c r="H565" s="151">
        <f t="shared" si="49"/>
        <v>0</v>
      </c>
      <c r="I565" s="151">
        <f>SUMIFS(Del!$C:$C,Del!$B:$B,'Element wise-detail Summary'!$A565)</f>
        <v>1</v>
      </c>
      <c r="J565" s="151">
        <f t="shared" si="50"/>
        <v>0</v>
      </c>
      <c r="K565" s="151">
        <f t="shared" si="51"/>
        <v>0</v>
      </c>
      <c r="L565" s="151">
        <f>SUMIF(Ere!$B:$B,'Element wise-detail Summary'!$A565,Ere!$C:$C)</f>
        <v>1</v>
      </c>
      <c r="M565" s="151">
        <f t="shared" si="52"/>
        <v>0</v>
      </c>
      <c r="N565">
        <f t="shared" si="53"/>
        <v>2.194</v>
      </c>
    </row>
    <row r="566" spans="1:14" hidden="1" x14ac:dyDescent="0.25">
      <c r="A566" s="151" t="s">
        <v>1839</v>
      </c>
      <c r="B566" s="233" t="str">
        <f>VLOOKUP(A566,'AFC Data details'!$B:$E,4,0)</f>
        <v>V16</v>
      </c>
      <c r="C566" s="144" t="s">
        <v>1698</v>
      </c>
      <c r="D566" s="151" t="s">
        <v>602</v>
      </c>
      <c r="E566" s="151">
        <f>VLOOKUP(A566,'AFC Data details'!$B:$P,15,0)</f>
        <v>1.335</v>
      </c>
      <c r="F566" s="151">
        <f>SUMIFS('AFC Data details'!C:C,'AFC Data details'!$B:$B,'Element wise-detail Summary'!$A566)</f>
        <v>1</v>
      </c>
      <c r="G566" s="151">
        <f>SUMIFS(Cast!$C:$C,Cast!$B:$B,'Element wise-detail Summary'!$A566)</f>
        <v>1</v>
      </c>
      <c r="H566" s="151">
        <f t="shared" si="49"/>
        <v>0</v>
      </c>
      <c r="I566" s="151">
        <f>SUMIFS(Del!$C:$C,Del!$B:$B,'Element wise-detail Summary'!$A566)</f>
        <v>1</v>
      </c>
      <c r="J566" s="151">
        <f t="shared" si="50"/>
        <v>0</v>
      </c>
      <c r="K566" s="151">
        <f t="shared" si="51"/>
        <v>0</v>
      </c>
      <c r="L566" s="151">
        <f>SUMIF(Ere!$B:$B,'Element wise-detail Summary'!$A566,Ere!$C:$C)</f>
        <v>1</v>
      </c>
      <c r="M566" s="151">
        <f t="shared" si="52"/>
        <v>0</v>
      </c>
      <c r="N566">
        <f t="shared" si="53"/>
        <v>1.335</v>
      </c>
    </row>
    <row r="567" spans="1:14" hidden="1" x14ac:dyDescent="0.25">
      <c r="A567" s="151" t="s">
        <v>1840</v>
      </c>
      <c r="B567" s="233" t="str">
        <f>VLOOKUP(A567,'AFC Data details'!$B:$E,4,0)</f>
        <v>V16</v>
      </c>
      <c r="C567" s="144" t="s">
        <v>1698</v>
      </c>
      <c r="D567" s="151" t="s">
        <v>602</v>
      </c>
      <c r="E567" s="151">
        <f>VLOOKUP(A567,'AFC Data details'!$B:$P,15,0)</f>
        <v>1.508</v>
      </c>
      <c r="F567" s="151">
        <f>SUMIFS('AFC Data details'!C:C,'AFC Data details'!$B:$B,'Element wise-detail Summary'!$A567)</f>
        <v>1</v>
      </c>
      <c r="G567" s="151">
        <f>SUMIFS(Cast!$C:$C,Cast!$B:$B,'Element wise-detail Summary'!$A567)</f>
        <v>1</v>
      </c>
      <c r="H567" s="151">
        <f t="shared" si="49"/>
        <v>0</v>
      </c>
      <c r="I567" s="151">
        <f>SUMIFS(Del!$C:$C,Del!$B:$B,'Element wise-detail Summary'!$A567)</f>
        <v>1</v>
      </c>
      <c r="J567" s="151">
        <f t="shared" si="50"/>
        <v>0</v>
      </c>
      <c r="K567" s="151">
        <f t="shared" si="51"/>
        <v>0</v>
      </c>
      <c r="L567" s="151">
        <f>SUMIF(Ere!$B:$B,'Element wise-detail Summary'!$A567,Ere!$C:$C)</f>
        <v>1</v>
      </c>
      <c r="M567" s="151">
        <f t="shared" si="52"/>
        <v>0</v>
      </c>
      <c r="N567">
        <f t="shared" si="53"/>
        <v>1.508</v>
      </c>
    </row>
    <row r="568" spans="1:14" hidden="1" x14ac:dyDescent="0.25">
      <c r="A568" s="151" t="s">
        <v>1841</v>
      </c>
      <c r="B568" s="233" t="str">
        <f>VLOOKUP(A568,'AFC Data details'!$B:$E,4,0)</f>
        <v>V04</v>
      </c>
      <c r="C568" s="144" t="s">
        <v>1698</v>
      </c>
      <c r="D568" s="151" t="s">
        <v>602</v>
      </c>
      <c r="E568" s="151">
        <f>VLOOKUP(A568,'AFC Data details'!$B:$P,15,0)</f>
        <v>2.2530000000000001</v>
      </c>
      <c r="F568" s="151">
        <f>SUMIFS('AFC Data details'!C:C,'AFC Data details'!$B:$B,'Element wise-detail Summary'!$A568)</f>
        <v>1</v>
      </c>
      <c r="G568" s="151">
        <f>SUMIFS(Cast!$C:$C,Cast!$B:$B,'Element wise-detail Summary'!$A568)</f>
        <v>1</v>
      </c>
      <c r="H568" s="151">
        <f t="shared" si="49"/>
        <v>0</v>
      </c>
      <c r="I568" s="151">
        <f>SUMIFS(Del!$C:$C,Del!$B:$B,'Element wise-detail Summary'!$A568)</f>
        <v>1</v>
      </c>
      <c r="J568" s="151">
        <f t="shared" si="50"/>
        <v>0</v>
      </c>
      <c r="K568" s="151">
        <f t="shared" si="51"/>
        <v>0</v>
      </c>
      <c r="L568" s="151">
        <f>SUMIF(Ere!$B:$B,'Element wise-detail Summary'!$A568,Ere!$C:$C)</f>
        <v>1</v>
      </c>
      <c r="M568" s="151">
        <f t="shared" si="52"/>
        <v>0</v>
      </c>
      <c r="N568">
        <f t="shared" si="53"/>
        <v>2.2530000000000001</v>
      </c>
    </row>
    <row r="569" spans="1:14" hidden="1" x14ac:dyDescent="0.25">
      <c r="A569" s="151" t="s">
        <v>1842</v>
      </c>
      <c r="B569" s="233" t="str">
        <f>VLOOKUP(A569,'AFC Data details'!$B:$E,4,0)</f>
        <v>V04</v>
      </c>
      <c r="C569" s="144" t="s">
        <v>1698</v>
      </c>
      <c r="D569" s="151" t="s">
        <v>602</v>
      </c>
      <c r="E569" s="151">
        <f>VLOOKUP(A569,'AFC Data details'!$B:$P,15,0)</f>
        <v>2.2530000000000001</v>
      </c>
      <c r="F569" s="151">
        <f>SUMIFS('AFC Data details'!C:C,'AFC Data details'!$B:$B,'Element wise-detail Summary'!$A569)</f>
        <v>1</v>
      </c>
      <c r="G569" s="151">
        <f>SUMIFS(Cast!$C:$C,Cast!$B:$B,'Element wise-detail Summary'!$A569)</f>
        <v>1</v>
      </c>
      <c r="H569" s="151">
        <f t="shared" si="49"/>
        <v>0</v>
      </c>
      <c r="I569" s="151">
        <f>SUMIFS(Del!$C:$C,Del!$B:$B,'Element wise-detail Summary'!$A569)</f>
        <v>1</v>
      </c>
      <c r="J569" s="151">
        <f t="shared" si="50"/>
        <v>0</v>
      </c>
      <c r="K569" s="151">
        <f t="shared" si="51"/>
        <v>0</v>
      </c>
      <c r="L569" s="151">
        <f>SUMIF(Ere!$B:$B,'Element wise-detail Summary'!$A569,Ere!$C:$C)</f>
        <v>1</v>
      </c>
      <c r="M569" s="151">
        <f t="shared" si="52"/>
        <v>0</v>
      </c>
      <c r="N569">
        <f t="shared" si="53"/>
        <v>2.2530000000000001</v>
      </c>
    </row>
    <row r="570" spans="1:14" hidden="1" x14ac:dyDescent="0.25">
      <c r="A570" s="151" t="s">
        <v>1968</v>
      </c>
      <c r="B570" s="233" t="str">
        <f>VLOOKUP(A570,'AFC Data details'!$B:$E,4,0)</f>
        <v>V04</v>
      </c>
      <c r="C570" s="144" t="s">
        <v>1698</v>
      </c>
      <c r="D570" s="151" t="s">
        <v>602</v>
      </c>
      <c r="E570" s="151">
        <f>VLOOKUP(A570,'AFC Data details'!$B:$P,15,0)</f>
        <v>2.2530000000000001</v>
      </c>
      <c r="F570" s="151">
        <f>SUMIFS('AFC Data details'!C:C,'AFC Data details'!$B:$B,'Element wise-detail Summary'!$A570)</f>
        <v>1</v>
      </c>
      <c r="G570" s="151">
        <f>SUMIFS(Cast!$C:$C,Cast!$B:$B,'Element wise-detail Summary'!$A570)</f>
        <v>1</v>
      </c>
      <c r="H570" s="151">
        <f t="shared" ref="H570:H633" si="54">F570-G570</f>
        <v>0</v>
      </c>
      <c r="I570" s="151">
        <f>SUMIFS(Del!$C:$C,Del!$B:$B,'Element wise-detail Summary'!$A570)</f>
        <v>1</v>
      </c>
      <c r="J570" s="151">
        <f t="shared" ref="J570:J633" si="55">F570-I570</f>
        <v>0</v>
      </c>
      <c r="K570" s="151">
        <f t="shared" ref="K570:K633" si="56">G570-I570</f>
        <v>0</v>
      </c>
      <c r="L570" s="151">
        <f>SUMIF(Ere!$B:$B,'Element wise-detail Summary'!$A570,Ere!$C:$C)</f>
        <v>1</v>
      </c>
      <c r="M570" s="151">
        <f t="shared" ref="M570:M633" si="57">F570-L570</f>
        <v>0</v>
      </c>
      <c r="N570">
        <f t="shared" si="53"/>
        <v>2.2530000000000001</v>
      </c>
    </row>
    <row r="571" spans="1:14" hidden="1" x14ac:dyDescent="0.25">
      <c r="A571" s="151" t="s">
        <v>1969</v>
      </c>
      <c r="B571" s="233" t="str">
        <f>VLOOKUP(A571,'AFC Data details'!$B:$E,4,0)</f>
        <v>V05</v>
      </c>
      <c r="C571" s="144" t="s">
        <v>1698</v>
      </c>
      <c r="D571" s="151" t="s">
        <v>602</v>
      </c>
      <c r="E571" s="151">
        <f>VLOOKUP(A571,'AFC Data details'!$B:$P,15,0)</f>
        <v>2.2530000000000001</v>
      </c>
      <c r="F571" s="151">
        <f>SUMIFS('AFC Data details'!C:C,'AFC Data details'!$B:$B,'Element wise-detail Summary'!$A571)</f>
        <v>1</v>
      </c>
      <c r="G571" s="151">
        <f>SUMIFS(Cast!$C:$C,Cast!$B:$B,'Element wise-detail Summary'!$A571)</f>
        <v>1</v>
      </c>
      <c r="H571" s="151">
        <f t="shared" si="54"/>
        <v>0</v>
      </c>
      <c r="I571" s="151">
        <f>SUMIFS(Del!$C:$C,Del!$B:$B,'Element wise-detail Summary'!$A571)</f>
        <v>1</v>
      </c>
      <c r="J571" s="151">
        <f t="shared" si="55"/>
        <v>0</v>
      </c>
      <c r="K571" s="151">
        <f t="shared" si="56"/>
        <v>0</v>
      </c>
      <c r="L571" s="151">
        <f>SUMIF(Ere!$B:$B,'Element wise-detail Summary'!$A571,Ere!$C:$C)</f>
        <v>1</v>
      </c>
      <c r="M571" s="151">
        <f t="shared" si="57"/>
        <v>0</v>
      </c>
      <c r="N571">
        <f t="shared" si="53"/>
        <v>2.2530000000000001</v>
      </c>
    </row>
    <row r="572" spans="1:14" hidden="1" x14ac:dyDescent="0.25">
      <c r="A572" s="151" t="s">
        <v>1970</v>
      </c>
      <c r="B572" s="233" t="str">
        <f>VLOOKUP(A572,'AFC Data details'!$B:$E,4,0)</f>
        <v>V05</v>
      </c>
      <c r="C572" s="144" t="s">
        <v>1698</v>
      </c>
      <c r="D572" s="151" t="s">
        <v>602</v>
      </c>
      <c r="E572" s="151">
        <f>VLOOKUP(A572,'AFC Data details'!$B:$P,15,0)</f>
        <v>2.2530000000000001</v>
      </c>
      <c r="F572" s="151">
        <f>SUMIFS('AFC Data details'!C:C,'AFC Data details'!$B:$B,'Element wise-detail Summary'!$A572)</f>
        <v>1</v>
      </c>
      <c r="G572" s="151">
        <f>SUMIFS(Cast!$C:$C,Cast!$B:$B,'Element wise-detail Summary'!$A572)</f>
        <v>1</v>
      </c>
      <c r="H572" s="151">
        <f t="shared" si="54"/>
        <v>0</v>
      </c>
      <c r="I572" s="151">
        <f>SUMIFS(Del!$C:$C,Del!$B:$B,'Element wise-detail Summary'!$A572)</f>
        <v>1</v>
      </c>
      <c r="J572" s="151">
        <f t="shared" si="55"/>
        <v>0</v>
      </c>
      <c r="K572" s="151">
        <f t="shared" si="56"/>
        <v>0</v>
      </c>
      <c r="L572" s="151">
        <f>SUMIF(Ere!$B:$B,'Element wise-detail Summary'!$A572,Ere!$C:$C)</f>
        <v>1</v>
      </c>
      <c r="M572" s="151">
        <f t="shared" si="57"/>
        <v>0</v>
      </c>
      <c r="N572">
        <f t="shared" si="53"/>
        <v>2.2530000000000001</v>
      </c>
    </row>
    <row r="573" spans="1:14" hidden="1" x14ac:dyDescent="0.25">
      <c r="A573" s="151" t="s">
        <v>1843</v>
      </c>
      <c r="B573" s="233" t="str">
        <f>VLOOKUP(A573,'AFC Data details'!$B:$E,4,0)</f>
        <v>V04</v>
      </c>
      <c r="C573" s="144" t="s">
        <v>1698</v>
      </c>
      <c r="D573" s="151" t="s">
        <v>602</v>
      </c>
      <c r="E573" s="151">
        <f>VLOOKUP(A573,'AFC Data details'!$B:$P,15,0)</f>
        <v>2.2160000000000002</v>
      </c>
      <c r="F573" s="151">
        <f>SUMIFS('AFC Data details'!C:C,'AFC Data details'!$B:$B,'Element wise-detail Summary'!$A573)</f>
        <v>1</v>
      </c>
      <c r="G573" s="151">
        <f>SUMIFS(Cast!$C:$C,Cast!$B:$B,'Element wise-detail Summary'!$A573)</f>
        <v>1</v>
      </c>
      <c r="H573" s="151">
        <f t="shared" si="54"/>
        <v>0</v>
      </c>
      <c r="I573" s="151">
        <f>SUMIFS(Del!$C:$C,Del!$B:$B,'Element wise-detail Summary'!$A573)</f>
        <v>1</v>
      </c>
      <c r="J573" s="151">
        <f t="shared" si="55"/>
        <v>0</v>
      </c>
      <c r="K573" s="151">
        <f t="shared" si="56"/>
        <v>0</v>
      </c>
      <c r="L573" s="151">
        <f>SUMIF(Ere!$B:$B,'Element wise-detail Summary'!$A573,Ere!$C:$C)</f>
        <v>1</v>
      </c>
      <c r="M573" s="151">
        <f t="shared" si="57"/>
        <v>0</v>
      </c>
      <c r="N573">
        <f t="shared" si="53"/>
        <v>2.2160000000000002</v>
      </c>
    </row>
    <row r="574" spans="1:14" hidden="1" x14ac:dyDescent="0.25">
      <c r="A574" s="151" t="s">
        <v>1967</v>
      </c>
      <c r="B574" s="233" t="str">
        <f>VLOOKUP(A574,'AFC Data details'!$B:$E,4,0)</f>
        <v>V04</v>
      </c>
      <c r="C574" s="144" t="s">
        <v>1698</v>
      </c>
      <c r="D574" s="151" t="s">
        <v>602</v>
      </c>
      <c r="E574" s="151">
        <f>VLOOKUP(A574,'AFC Data details'!$B:$P,15,0)</f>
        <v>2.2160000000000002</v>
      </c>
      <c r="F574" s="151">
        <f>SUMIFS('AFC Data details'!C:C,'AFC Data details'!$B:$B,'Element wise-detail Summary'!$A574)</f>
        <v>1</v>
      </c>
      <c r="G574" s="151">
        <f>SUMIFS(Cast!$C:$C,Cast!$B:$B,'Element wise-detail Summary'!$A574)</f>
        <v>1</v>
      </c>
      <c r="H574" s="151">
        <f t="shared" si="54"/>
        <v>0</v>
      </c>
      <c r="I574" s="151">
        <f>SUMIFS(Del!$C:$C,Del!$B:$B,'Element wise-detail Summary'!$A574)</f>
        <v>1</v>
      </c>
      <c r="J574" s="151">
        <f t="shared" si="55"/>
        <v>0</v>
      </c>
      <c r="K574" s="151">
        <f t="shared" si="56"/>
        <v>0</v>
      </c>
      <c r="L574" s="151">
        <f>SUMIF(Ere!$B:$B,'Element wise-detail Summary'!$A574,Ere!$C:$C)</f>
        <v>1</v>
      </c>
      <c r="M574" s="151">
        <f t="shared" si="57"/>
        <v>0</v>
      </c>
      <c r="N574">
        <f t="shared" si="53"/>
        <v>2.2160000000000002</v>
      </c>
    </row>
    <row r="575" spans="1:14" hidden="1" x14ac:dyDescent="0.25">
      <c r="A575" s="151" t="s">
        <v>1991</v>
      </c>
      <c r="B575" s="233" t="str">
        <f>VLOOKUP(A575,'AFC Data details'!$B:$E,4,0)</f>
        <v>V05</v>
      </c>
      <c r="C575" s="144" t="s">
        <v>1698</v>
      </c>
      <c r="D575" s="151" t="s">
        <v>602</v>
      </c>
      <c r="E575" s="151">
        <f>VLOOKUP(A575,'AFC Data details'!$B:$P,15,0)</f>
        <v>2.2160000000000002</v>
      </c>
      <c r="F575" s="151">
        <f>SUMIFS('AFC Data details'!C:C,'AFC Data details'!$B:$B,'Element wise-detail Summary'!$A575)</f>
        <v>1</v>
      </c>
      <c r="G575" s="151">
        <f>SUMIFS(Cast!$C:$C,Cast!$B:$B,'Element wise-detail Summary'!$A575)</f>
        <v>1</v>
      </c>
      <c r="H575" s="151">
        <f t="shared" si="54"/>
        <v>0</v>
      </c>
      <c r="I575" s="151">
        <f>SUMIFS(Del!$C:$C,Del!$B:$B,'Element wise-detail Summary'!$A575)</f>
        <v>1</v>
      </c>
      <c r="J575" s="151">
        <f t="shared" si="55"/>
        <v>0</v>
      </c>
      <c r="K575" s="151">
        <f t="shared" si="56"/>
        <v>0</v>
      </c>
      <c r="L575" s="151">
        <f>SUMIF(Ere!$B:$B,'Element wise-detail Summary'!$A575,Ere!$C:$C)</f>
        <v>1</v>
      </c>
      <c r="M575" s="151">
        <f t="shared" si="57"/>
        <v>0</v>
      </c>
      <c r="N575">
        <f t="shared" si="53"/>
        <v>2.2160000000000002</v>
      </c>
    </row>
    <row r="576" spans="1:14" hidden="1" x14ac:dyDescent="0.25">
      <c r="A576" s="151" t="s">
        <v>1961</v>
      </c>
      <c r="B576" s="233" t="str">
        <f>VLOOKUP(A576,'AFC Data details'!$B:$E,4,0)</f>
        <v>V05</v>
      </c>
      <c r="C576" s="144" t="s">
        <v>1698</v>
      </c>
      <c r="D576" s="151" t="s">
        <v>602</v>
      </c>
      <c r="E576" s="151">
        <f>VLOOKUP(A576,'AFC Data details'!$B:$P,15,0)</f>
        <v>2.2160000000000002</v>
      </c>
      <c r="F576" s="151">
        <f>SUMIFS('AFC Data details'!C:C,'AFC Data details'!$B:$B,'Element wise-detail Summary'!$A576)</f>
        <v>1</v>
      </c>
      <c r="G576" s="151">
        <f>SUMIFS(Cast!$C:$C,Cast!$B:$B,'Element wise-detail Summary'!$A576)</f>
        <v>1</v>
      </c>
      <c r="H576" s="151">
        <f t="shared" si="54"/>
        <v>0</v>
      </c>
      <c r="I576" s="151">
        <f>SUMIFS(Del!$C:$C,Del!$B:$B,'Element wise-detail Summary'!$A576)</f>
        <v>1</v>
      </c>
      <c r="J576" s="151">
        <f t="shared" si="55"/>
        <v>0</v>
      </c>
      <c r="K576" s="151">
        <f t="shared" si="56"/>
        <v>0</v>
      </c>
      <c r="L576" s="151">
        <f>SUMIF(Ere!$B:$B,'Element wise-detail Summary'!$A576,Ere!$C:$C)</f>
        <v>1</v>
      </c>
      <c r="M576" s="151">
        <f t="shared" si="57"/>
        <v>0</v>
      </c>
      <c r="N576">
        <f t="shared" si="53"/>
        <v>2.2160000000000002</v>
      </c>
    </row>
    <row r="577" spans="1:14" hidden="1" x14ac:dyDescent="0.25">
      <c r="A577" s="151" t="s">
        <v>1844</v>
      </c>
      <c r="B577" s="233" t="str">
        <f>VLOOKUP(A577,'AFC Data details'!$B:$E,4,0)</f>
        <v>V04</v>
      </c>
      <c r="C577" s="144" t="s">
        <v>1698</v>
      </c>
      <c r="D577" s="151" t="s">
        <v>602</v>
      </c>
      <c r="E577" s="151">
        <f>VLOOKUP(A577,'AFC Data details'!$B:$P,15,0)</f>
        <v>2.2160000000000002</v>
      </c>
      <c r="F577" s="151">
        <f>SUMIFS('AFC Data details'!C:C,'AFC Data details'!$B:$B,'Element wise-detail Summary'!$A577)</f>
        <v>1</v>
      </c>
      <c r="G577" s="151">
        <f>SUMIFS(Cast!$C:$C,Cast!$B:$B,'Element wise-detail Summary'!$A577)</f>
        <v>1</v>
      </c>
      <c r="H577" s="151">
        <f t="shared" si="54"/>
        <v>0</v>
      </c>
      <c r="I577" s="151">
        <f>SUMIFS(Del!$C:$C,Del!$B:$B,'Element wise-detail Summary'!$A577)</f>
        <v>1</v>
      </c>
      <c r="J577" s="151">
        <f t="shared" si="55"/>
        <v>0</v>
      </c>
      <c r="K577" s="151">
        <f t="shared" si="56"/>
        <v>0</v>
      </c>
      <c r="L577" s="151">
        <f>SUMIF(Ere!$B:$B,'Element wise-detail Summary'!$A577,Ere!$C:$C)</f>
        <v>1</v>
      </c>
      <c r="M577" s="151">
        <f t="shared" si="57"/>
        <v>0</v>
      </c>
      <c r="N577">
        <f t="shared" si="53"/>
        <v>2.2160000000000002</v>
      </c>
    </row>
    <row r="578" spans="1:14" hidden="1" x14ac:dyDescent="0.25">
      <c r="A578" s="151" t="s">
        <v>1845</v>
      </c>
      <c r="B578" s="233" t="str">
        <f>VLOOKUP(A578,'AFC Data details'!$B:$E,4,0)</f>
        <v>V04</v>
      </c>
      <c r="C578" s="144" t="s">
        <v>1698</v>
      </c>
      <c r="D578" s="151" t="s">
        <v>602</v>
      </c>
      <c r="E578" s="151">
        <f>VLOOKUP(A578,'AFC Data details'!$B:$P,15,0)</f>
        <v>1.411</v>
      </c>
      <c r="F578" s="151">
        <f>SUMIFS('AFC Data details'!C:C,'AFC Data details'!$B:$B,'Element wise-detail Summary'!$A578)</f>
        <v>1</v>
      </c>
      <c r="G578" s="151">
        <f>SUMIFS(Cast!$C:$C,Cast!$B:$B,'Element wise-detail Summary'!$A578)</f>
        <v>1</v>
      </c>
      <c r="H578" s="151">
        <f t="shared" si="54"/>
        <v>0</v>
      </c>
      <c r="I578" s="151">
        <f>SUMIFS(Del!$C:$C,Del!$B:$B,'Element wise-detail Summary'!$A578)</f>
        <v>1</v>
      </c>
      <c r="J578" s="151">
        <f t="shared" si="55"/>
        <v>0</v>
      </c>
      <c r="K578" s="151">
        <f t="shared" si="56"/>
        <v>0</v>
      </c>
      <c r="L578" s="151">
        <f>SUMIF(Ere!$B:$B,'Element wise-detail Summary'!$A578,Ere!$C:$C)</f>
        <v>1</v>
      </c>
      <c r="M578" s="151">
        <f t="shared" si="57"/>
        <v>0</v>
      </c>
      <c r="N578">
        <f t="shared" si="53"/>
        <v>1.411</v>
      </c>
    </row>
    <row r="579" spans="1:14" hidden="1" x14ac:dyDescent="0.25">
      <c r="A579" s="151" t="s">
        <v>1846</v>
      </c>
      <c r="B579" s="233" t="str">
        <f>VLOOKUP(A579,'AFC Data details'!$B:$E,4,0)</f>
        <v>V05</v>
      </c>
      <c r="C579" s="144" t="s">
        <v>1698</v>
      </c>
      <c r="D579" s="151" t="s">
        <v>602</v>
      </c>
      <c r="E579" s="151">
        <f>VLOOKUP(A579,'AFC Data details'!$B:$P,15,0)</f>
        <v>2.2530000000000001</v>
      </c>
      <c r="F579" s="151">
        <f>SUMIFS('AFC Data details'!C:C,'AFC Data details'!$B:$B,'Element wise-detail Summary'!$A579)</f>
        <v>1</v>
      </c>
      <c r="G579" s="151">
        <f>SUMIFS(Cast!$C:$C,Cast!$B:$B,'Element wise-detail Summary'!$A579)</f>
        <v>1</v>
      </c>
      <c r="H579" s="151">
        <f t="shared" si="54"/>
        <v>0</v>
      </c>
      <c r="I579" s="151">
        <f>SUMIFS(Del!$C:$C,Del!$B:$B,'Element wise-detail Summary'!$A579)</f>
        <v>1</v>
      </c>
      <c r="J579" s="151">
        <f t="shared" si="55"/>
        <v>0</v>
      </c>
      <c r="K579" s="151">
        <f t="shared" si="56"/>
        <v>0</v>
      </c>
      <c r="L579" s="151">
        <f>SUMIF(Ere!$B:$B,'Element wise-detail Summary'!$A579,Ere!$C:$C)</f>
        <v>1</v>
      </c>
      <c r="M579" s="151">
        <f t="shared" si="57"/>
        <v>0</v>
      </c>
      <c r="N579">
        <f t="shared" si="53"/>
        <v>2.2530000000000001</v>
      </c>
    </row>
    <row r="580" spans="1:14" hidden="1" x14ac:dyDescent="0.25">
      <c r="A580" s="151" t="s">
        <v>1847</v>
      </c>
      <c r="B580" s="233" t="str">
        <f>VLOOKUP(A580,'AFC Data details'!$B:$E,4,0)</f>
        <v>V05</v>
      </c>
      <c r="C580" s="144" t="s">
        <v>1698</v>
      </c>
      <c r="D580" s="151" t="s">
        <v>602</v>
      </c>
      <c r="E580" s="151">
        <f>VLOOKUP(A580,'AFC Data details'!$B:$P,15,0)</f>
        <v>2.2160000000000002</v>
      </c>
      <c r="F580" s="151">
        <f>SUMIFS('AFC Data details'!C:C,'AFC Data details'!$B:$B,'Element wise-detail Summary'!$A580)</f>
        <v>1</v>
      </c>
      <c r="G580" s="151">
        <f>SUMIFS(Cast!$C:$C,Cast!$B:$B,'Element wise-detail Summary'!$A580)</f>
        <v>1</v>
      </c>
      <c r="H580" s="151">
        <f t="shared" si="54"/>
        <v>0</v>
      </c>
      <c r="I580" s="151">
        <f>SUMIFS(Del!$C:$C,Del!$B:$B,'Element wise-detail Summary'!$A580)</f>
        <v>1</v>
      </c>
      <c r="J580" s="151">
        <f t="shared" si="55"/>
        <v>0</v>
      </c>
      <c r="K580" s="151">
        <f t="shared" si="56"/>
        <v>0</v>
      </c>
      <c r="L580" s="151">
        <f>SUMIF(Ere!$B:$B,'Element wise-detail Summary'!$A580,Ere!$C:$C)</f>
        <v>1</v>
      </c>
      <c r="M580" s="151">
        <f t="shared" si="57"/>
        <v>0</v>
      </c>
      <c r="N580">
        <f t="shared" ref="N580:N643" si="58">I580*E580</f>
        <v>2.2160000000000002</v>
      </c>
    </row>
    <row r="581" spans="1:14" hidden="1" x14ac:dyDescent="0.25">
      <c r="A581" s="151" t="s">
        <v>1848</v>
      </c>
      <c r="B581" s="233" t="str">
        <f>VLOOKUP(A581,'AFC Data details'!$B:$E,4,0)</f>
        <v>V06</v>
      </c>
      <c r="C581" s="144" t="s">
        <v>1698</v>
      </c>
      <c r="D581" s="151" t="s">
        <v>602</v>
      </c>
      <c r="E581" s="151">
        <f>VLOOKUP(A581,'AFC Data details'!$B:$P,15,0)</f>
        <v>2.1219999999999999</v>
      </c>
      <c r="F581" s="151">
        <f>SUMIFS('AFC Data details'!C:C,'AFC Data details'!$B:$B,'Element wise-detail Summary'!$A581)</f>
        <v>1</v>
      </c>
      <c r="G581" s="151">
        <f>SUMIFS(Cast!$C:$C,Cast!$B:$B,'Element wise-detail Summary'!$A581)</f>
        <v>1</v>
      </c>
      <c r="H581" s="151">
        <f t="shared" si="54"/>
        <v>0</v>
      </c>
      <c r="I581" s="151">
        <f>SUMIFS(Del!$C:$C,Del!$B:$B,'Element wise-detail Summary'!$A581)</f>
        <v>1</v>
      </c>
      <c r="J581" s="151">
        <f t="shared" si="55"/>
        <v>0</v>
      </c>
      <c r="K581" s="151">
        <f t="shared" si="56"/>
        <v>0</v>
      </c>
      <c r="L581" s="151">
        <f>SUMIF(Ere!$B:$B,'Element wise-detail Summary'!$A581,Ere!$C:$C)</f>
        <v>1</v>
      </c>
      <c r="M581" s="151">
        <f t="shared" si="57"/>
        <v>0</v>
      </c>
      <c r="N581">
        <f t="shared" si="58"/>
        <v>2.1219999999999999</v>
      </c>
    </row>
    <row r="582" spans="1:14" hidden="1" x14ac:dyDescent="0.25">
      <c r="A582" s="151" t="s">
        <v>1849</v>
      </c>
      <c r="B582" s="233" t="str">
        <f>VLOOKUP(A582,'AFC Data details'!$B:$E,4,0)</f>
        <v>V06</v>
      </c>
      <c r="C582" s="144" t="s">
        <v>1698</v>
      </c>
      <c r="D582" s="151" t="s">
        <v>602</v>
      </c>
      <c r="E582" s="151">
        <f>VLOOKUP(A582,'AFC Data details'!$B:$P,15,0)</f>
        <v>2.141</v>
      </c>
      <c r="F582" s="151">
        <f>SUMIFS('AFC Data details'!C:C,'AFC Data details'!$B:$B,'Element wise-detail Summary'!$A582)</f>
        <v>1</v>
      </c>
      <c r="G582" s="151">
        <f>SUMIFS(Cast!$C:$C,Cast!$B:$B,'Element wise-detail Summary'!$A582)</f>
        <v>1</v>
      </c>
      <c r="H582" s="151">
        <f t="shared" si="54"/>
        <v>0</v>
      </c>
      <c r="I582" s="151">
        <f>SUMIFS(Del!$C:$C,Del!$B:$B,'Element wise-detail Summary'!$A582)</f>
        <v>1</v>
      </c>
      <c r="J582" s="151">
        <f t="shared" si="55"/>
        <v>0</v>
      </c>
      <c r="K582" s="151">
        <f t="shared" si="56"/>
        <v>0</v>
      </c>
      <c r="L582" s="151">
        <f>SUMIF(Ere!$B:$B,'Element wise-detail Summary'!$A582,Ere!$C:$C)</f>
        <v>1</v>
      </c>
      <c r="M582" s="151">
        <f t="shared" si="57"/>
        <v>0</v>
      </c>
      <c r="N582">
        <f t="shared" si="58"/>
        <v>2.141</v>
      </c>
    </row>
    <row r="583" spans="1:14" hidden="1" x14ac:dyDescent="0.25">
      <c r="A583" s="151" t="s">
        <v>1850</v>
      </c>
      <c r="B583" s="233" t="str">
        <f>VLOOKUP(A583,'AFC Data details'!$B:$E,4,0)</f>
        <v>V06</v>
      </c>
      <c r="C583" s="144" t="s">
        <v>1698</v>
      </c>
      <c r="D583" s="151" t="s">
        <v>602</v>
      </c>
      <c r="E583" s="151">
        <f>VLOOKUP(A583,'AFC Data details'!$B:$P,15,0)</f>
        <v>1.4139999999999999</v>
      </c>
      <c r="F583" s="151">
        <f>SUMIFS('AFC Data details'!C:C,'AFC Data details'!$B:$B,'Element wise-detail Summary'!$A583)</f>
        <v>1</v>
      </c>
      <c r="G583" s="151">
        <f>SUMIFS(Cast!$C:$C,Cast!$B:$B,'Element wise-detail Summary'!$A583)</f>
        <v>1</v>
      </c>
      <c r="H583" s="151">
        <f t="shared" si="54"/>
        <v>0</v>
      </c>
      <c r="I583" s="151">
        <f>SUMIFS(Del!$C:$C,Del!$B:$B,'Element wise-detail Summary'!$A583)</f>
        <v>1</v>
      </c>
      <c r="J583" s="151">
        <f t="shared" si="55"/>
        <v>0</v>
      </c>
      <c r="K583" s="151">
        <f t="shared" si="56"/>
        <v>0</v>
      </c>
      <c r="L583" s="151">
        <f>SUMIF(Ere!$B:$B,'Element wise-detail Summary'!$A583,Ere!$C:$C)</f>
        <v>1</v>
      </c>
      <c r="M583" s="151">
        <f t="shared" si="57"/>
        <v>0</v>
      </c>
      <c r="N583">
        <f t="shared" si="58"/>
        <v>1.4139999999999999</v>
      </c>
    </row>
    <row r="584" spans="1:14" hidden="1" x14ac:dyDescent="0.25">
      <c r="A584" s="151" t="s">
        <v>1851</v>
      </c>
      <c r="B584" s="233" t="str">
        <f>VLOOKUP(A584,'AFC Data details'!$B:$E,4,0)</f>
        <v>V07</v>
      </c>
      <c r="C584" s="144" t="s">
        <v>1698</v>
      </c>
      <c r="D584" s="151" t="s">
        <v>602</v>
      </c>
      <c r="E584" s="151">
        <f>VLOOKUP(A584,'AFC Data details'!$B:$P,15,0)</f>
        <v>2.1219999999999999</v>
      </c>
      <c r="F584" s="151">
        <f>SUMIFS('AFC Data details'!C:C,'AFC Data details'!$B:$B,'Element wise-detail Summary'!$A584)</f>
        <v>1</v>
      </c>
      <c r="G584" s="151">
        <f>SUMIFS(Cast!$C:$C,Cast!$B:$B,'Element wise-detail Summary'!$A584)</f>
        <v>1</v>
      </c>
      <c r="H584" s="151">
        <f t="shared" si="54"/>
        <v>0</v>
      </c>
      <c r="I584" s="151">
        <f>SUMIFS(Del!$C:$C,Del!$B:$B,'Element wise-detail Summary'!$A584)</f>
        <v>1</v>
      </c>
      <c r="J584" s="151">
        <f t="shared" si="55"/>
        <v>0</v>
      </c>
      <c r="K584" s="151">
        <f t="shared" si="56"/>
        <v>0</v>
      </c>
      <c r="L584" s="151">
        <f>SUMIF(Ere!$B:$B,'Element wise-detail Summary'!$A584,Ere!$C:$C)</f>
        <v>1</v>
      </c>
      <c r="M584" s="151">
        <f t="shared" si="57"/>
        <v>0</v>
      </c>
      <c r="N584">
        <f t="shared" si="58"/>
        <v>2.1219999999999999</v>
      </c>
    </row>
    <row r="585" spans="1:14" hidden="1" x14ac:dyDescent="0.25">
      <c r="A585" s="151" t="s">
        <v>1852</v>
      </c>
      <c r="B585" s="233" t="str">
        <f>VLOOKUP(A585,'AFC Data details'!$B:$E,4,0)</f>
        <v>V07</v>
      </c>
      <c r="C585" s="144" t="s">
        <v>1698</v>
      </c>
      <c r="D585" s="151" t="s">
        <v>602</v>
      </c>
      <c r="E585" s="151">
        <f>VLOOKUP(A585,'AFC Data details'!$B:$P,15,0)</f>
        <v>2.141</v>
      </c>
      <c r="F585" s="151">
        <f>SUMIFS('AFC Data details'!C:C,'AFC Data details'!$B:$B,'Element wise-detail Summary'!$A585)</f>
        <v>1</v>
      </c>
      <c r="G585" s="151">
        <f>SUMIFS(Cast!$C:$C,Cast!$B:$B,'Element wise-detail Summary'!$A585)</f>
        <v>1</v>
      </c>
      <c r="H585" s="151">
        <f t="shared" si="54"/>
        <v>0</v>
      </c>
      <c r="I585" s="151">
        <f>SUMIFS(Del!$C:$C,Del!$B:$B,'Element wise-detail Summary'!$A585)</f>
        <v>1</v>
      </c>
      <c r="J585" s="151">
        <f t="shared" si="55"/>
        <v>0</v>
      </c>
      <c r="K585" s="151">
        <f t="shared" si="56"/>
        <v>0</v>
      </c>
      <c r="L585" s="151">
        <f>SUMIF(Ere!$B:$B,'Element wise-detail Summary'!$A585,Ere!$C:$C)</f>
        <v>1</v>
      </c>
      <c r="M585" s="151">
        <f t="shared" si="57"/>
        <v>0</v>
      </c>
      <c r="N585">
        <f t="shared" si="58"/>
        <v>2.141</v>
      </c>
    </row>
    <row r="586" spans="1:14" hidden="1" x14ac:dyDescent="0.25">
      <c r="A586" s="151" t="s">
        <v>1853</v>
      </c>
      <c r="B586" s="233" t="str">
        <f>VLOOKUP(A586,'AFC Data details'!$B:$E,4,0)</f>
        <v>V08</v>
      </c>
      <c r="C586" s="144" t="s">
        <v>1698</v>
      </c>
      <c r="D586" s="151" t="s">
        <v>602</v>
      </c>
      <c r="E586" s="151">
        <f>VLOOKUP(A586,'AFC Data details'!$B:$P,15,0)</f>
        <v>2.141</v>
      </c>
      <c r="F586" s="151">
        <f>SUMIFS('AFC Data details'!C:C,'AFC Data details'!$B:$B,'Element wise-detail Summary'!$A586)</f>
        <v>1</v>
      </c>
      <c r="G586" s="151">
        <f>SUMIFS(Cast!$C:$C,Cast!$B:$B,'Element wise-detail Summary'!$A586)</f>
        <v>1</v>
      </c>
      <c r="H586" s="151">
        <f t="shared" si="54"/>
        <v>0</v>
      </c>
      <c r="I586" s="151">
        <f>SUMIFS(Del!$C:$C,Del!$B:$B,'Element wise-detail Summary'!$A586)</f>
        <v>1</v>
      </c>
      <c r="J586" s="151">
        <f t="shared" si="55"/>
        <v>0</v>
      </c>
      <c r="K586" s="151">
        <f t="shared" si="56"/>
        <v>0</v>
      </c>
      <c r="L586" s="151">
        <f>SUMIF(Ere!$B:$B,'Element wise-detail Summary'!$A586,Ere!$C:$C)</f>
        <v>1</v>
      </c>
      <c r="M586" s="151">
        <f t="shared" si="57"/>
        <v>0</v>
      </c>
      <c r="N586">
        <f t="shared" si="58"/>
        <v>2.141</v>
      </c>
    </row>
    <row r="587" spans="1:14" hidden="1" x14ac:dyDescent="0.25">
      <c r="A587" s="151" t="s">
        <v>1965</v>
      </c>
      <c r="B587" s="233" t="str">
        <f>VLOOKUP(A587,'AFC Data details'!$B:$E,4,0)</f>
        <v>V09</v>
      </c>
      <c r="C587" s="144" t="s">
        <v>1698</v>
      </c>
      <c r="D587" s="151" t="s">
        <v>602</v>
      </c>
      <c r="E587" s="151">
        <f>VLOOKUP(A587,'AFC Data details'!$B:$P,15,0)</f>
        <v>2.141</v>
      </c>
      <c r="F587" s="151">
        <f>SUMIFS('AFC Data details'!C:C,'AFC Data details'!$B:$B,'Element wise-detail Summary'!$A587)</f>
        <v>1</v>
      </c>
      <c r="G587" s="151">
        <f>SUMIFS(Cast!$C:$C,Cast!$B:$B,'Element wise-detail Summary'!$A587)</f>
        <v>1</v>
      </c>
      <c r="H587" s="151">
        <f t="shared" si="54"/>
        <v>0</v>
      </c>
      <c r="I587" s="151">
        <f>SUMIFS(Del!$C:$C,Del!$B:$B,'Element wise-detail Summary'!$A587)</f>
        <v>0</v>
      </c>
      <c r="J587" s="151">
        <f t="shared" si="55"/>
        <v>1</v>
      </c>
      <c r="K587" s="151">
        <f t="shared" si="56"/>
        <v>1</v>
      </c>
      <c r="L587" s="151">
        <f>SUMIF(Ere!$B:$B,'Element wise-detail Summary'!$A587,Ere!$C:$C)</f>
        <v>0</v>
      </c>
      <c r="M587" s="151">
        <f t="shared" si="57"/>
        <v>1</v>
      </c>
      <c r="N587">
        <f t="shared" si="58"/>
        <v>0</v>
      </c>
    </row>
    <row r="588" spans="1:14" hidden="1" x14ac:dyDescent="0.25">
      <c r="A588" s="151" t="s">
        <v>1854</v>
      </c>
      <c r="B588" s="233" t="str">
        <f>VLOOKUP(A588,'AFC Data details'!$B:$E,4,0)</f>
        <v>V08</v>
      </c>
      <c r="C588" s="144" t="s">
        <v>1698</v>
      </c>
      <c r="D588" s="151" t="s">
        <v>602</v>
      </c>
      <c r="E588" s="151">
        <f>VLOOKUP(A588,'AFC Data details'!$B:$P,15,0)</f>
        <v>2.141</v>
      </c>
      <c r="F588" s="151">
        <f>SUMIFS('AFC Data details'!C:C,'AFC Data details'!$B:$B,'Element wise-detail Summary'!$A588)</f>
        <v>1</v>
      </c>
      <c r="G588" s="151">
        <f>SUMIFS(Cast!$C:$C,Cast!$B:$B,'Element wise-detail Summary'!$A588)</f>
        <v>1</v>
      </c>
      <c r="H588" s="151">
        <f t="shared" si="54"/>
        <v>0</v>
      </c>
      <c r="I588" s="151">
        <f>SUMIFS(Del!$C:$C,Del!$B:$B,'Element wise-detail Summary'!$A588)</f>
        <v>1</v>
      </c>
      <c r="J588" s="151">
        <f t="shared" si="55"/>
        <v>0</v>
      </c>
      <c r="K588" s="151">
        <f t="shared" si="56"/>
        <v>0</v>
      </c>
      <c r="L588" s="151">
        <f>SUMIF(Ere!$B:$B,'Element wise-detail Summary'!$A588,Ere!$C:$C)</f>
        <v>1</v>
      </c>
      <c r="M588" s="151">
        <f t="shared" si="57"/>
        <v>0</v>
      </c>
      <c r="N588">
        <f t="shared" si="58"/>
        <v>2.141</v>
      </c>
    </row>
    <row r="589" spans="1:14" hidden="1" x14ac:dyDescent="0.25">
      <c r="A589" s="151" t="s">
        <v>1975</v>
      </c>
      <c r="B589" s="233" t="str">
        <f>VLOOKUP(A589,'AFC Data details'!$B:$E,4,0)</f>
        <v>V08</v>
      </c>
      <c r="C589" s="144" t="s">
        <v>1698</v>
      </c>
      <c r="D589" s="151" t="s">
        <v>602</v>
      </c>
      <c r="E589" s="151">
        <f>VLOOKUP(A589,'AFC Data details'!$B:$P,15,0)</f>
        <v>2.141</v>
      </c>
      <c r="F589" s="151">
        <f>SUMIFS('AFC Data details'!C:C,'AFC Data details'!$B:$B,'Element wise-detail Summary'!$A589)</f>
        <v>1</v>
      </c>
      <c r="G589" s="151">
        <f>SUMIFS(Cast!$C:$C,Cast!$B:$B,'Element wise-detail Summary'!$A589)</f>
        <v>1</v>
      </c>
      <c r="H589" s="151">
        <f t="shared" si="54"/>
        <v>0</v>
      </c>
      <c r="I589" s="151">
        <f>SUMIFS(Del!$C:$C,Del!$B:$B,'Element wise-detail Summary'!$A589)</f>
        <v>1</v>
      </c>
      <c r="J589" s="151">
        <f t="shared" si="55"/>
        <v>0</v>
      </c>
      <c r="K589" s="151">
        <f t="shared" si="56"/>
        <v>0</v>
      </c>
      <c r="L589" s="151">
        <f>SUMIF(Ere!$B:$B,'Element wise-detail Summary'!$A589,Ere!$C:$C)</f>
        <v>1</v>
      </c>
      <c r="M589" s="151">
        <f t="shared" si="57"/>
        <v>0</v>
      </c>
      <c r="N589">
        <f t="shared" si="58"/>
        <v>2.141</v>
      </c>
    </row>
    <row r="590" spans="1:14" hidden="1" x14ac:dyDescent="0.25">
      <c r="A590" s="151" t="s">
        <v>1992</v>
      </c>
      <c r="B590" s="233" t="str">
        <f>VLOOKUP(A590,'AFC Data details'!$B:$E,4,0)</f>
        <v>V08</v>
      </c>
      <c r="C590" s="144" t="s">
        <v>1698</v>
      </c>
      <c r="D590" s="151" t="s">
        <v>602</v>
      </c>
      <c r="E590" s="151">
        <f>VLOOKUP(A590,'AFC Data details'!$B:$P,15,0)</f>
        <v>2.141</v>
      </c>
      <c r="F590" s="151">
        <f>SUMIFS('AFC Data details'!C:C,'AFC Data details'!$B:$B,'Element wise-detail Summary'!$A590)</f>
        <v>1</v>
      </c>
      <c r="G590" s="151">
        <f>SUMIFS(Cast!$C:$C,Cast!$B:$B,'Element wise-detail Summary'!$A590)</f>
        <v>1</v>
      </c>
      <c r="H590" s="151">
        <f t="shared" si="54"/>
        <v>0</v>
      </c>
      <c r="I590" s="151">
        <f>SUMIFS(Del!$C:$C,Del!$B:$B,'Element wise-detail Summary'!$A590)</f>
        <v>1</v>
      </c>
      <c r="J590" s="151">
        <f t="shared" si="55"/>
        <v>0</v>
      </c>
      <c r="K590" s="151">
        <f t="shared" si="56"/>
        <v>0</v>
      </c>
      <c r="L590" s="151">
        <f>SUMIF(Ere!$B:$B,'Element wise-detail Summary'!$A590,Ere!$C:$C)</f>
        <v>1</v>
      </c>
      <c r="M590" s="151">
        <f t="shared" si="57"/>
        <v>0</v>
      </c>
      <c r="N590">
        <f t="shared" si="58"/>
        <v>2.141</v>
      </c>
    </row>
    <row r="591" spans="1:14" hidden="1" x14ac:dyDescent="0.25">
      <c r="A591" s="151" t="s">
        <v>1993</v>
      </c>
      <c r="B591" s="233" t="str">
        <f>VLOOKUP(A591,'AFC Data details'!$B:$E,4,0)</f>
        <v>V08</v>
      </c>
      <c r="C591" s="144" t="s">
        <v>1698</v>
      </c>
      <c r="D591" s="151" t="s">
        <v>602</v>
      </c>
      <c r="E591" s="151">
        <f>VLOOKUP(A591,'AFC Data details'!$B:$P,15,0)</f>
        <v>2.141</v>
      </c>
      <c r="F591" s="151">
        <f>SUMIFS('AFC Data details'!C:C,'AFC Data details'!$B:$B,'Element wise-detail Summary'!$A591)</f>
        <v>1</v>
      </c>
      <c r="G591" s="151">
        <f>SUMIFS(Cast!$C:$C,Cast!$B:$B,'Element wise-detail Summary'!$A591)</f>
        <v>1</v>
      </c>
      <c r="H591" s="151">
        <f t="shared" si="54"/>
        <v>0</v>
      </c>
      <c r="I591" s="151">
        <f>SUMIFS(Del!$C:$C,Del!$B:$B,'Element wise-detail Summary'!$A591)</f>
        <v>0</v>
      </c>
      <c r="J591" s="151">
        <f t="shared" si="55"/>
        <v>1</v>
      </c>
      <c r="K591" s="151">
        <f t="shared" si="56"/>
        <v>1</v>
      </c>
      <c r="L591" s="151">
        <f>SUMIF(Ere!$B:$B,'Element wise-detail Summary'!$A591,Ere!$C:$C)</f>
        <v>1</v>
      </c>
      <c r="M591" s="151">
        <f t="shared" si="57"/>
        <v>0</v>
      </c>
      <c r="N591">
        <f t="shared" si="58"/>
        <v>0</v>
      </c>
    </row>
    <row r="592" spans="1:14" hidden="1" x14ac:dyDescent="0.25">
      <c r="A592" s="151" t="s">
        <v>1994</v>
      </c>
      <c r="B592" s="233" t="str">
        <f>VLOOKUP(A592,'AFC Data details'!$B:$E,4,0)</f>
        <v>V09</v>
      </c>
      <c r="C592" s="144" t="s">
        <v>1698</v>
      </c>
      <c r="D592" s="151" t="s">
        <v>602</v>
      </c>
      <c r="E592" s="151">
        <f>VLOOKUP(A592,'AFC Data details'!$B:$P,15,0)</f>
        <v>2.141</v>
      </c>
      <c r="F592" s="151">
        <f>SUMIFS('AFC Data details'!C:C,'AFC Data details'!$B:$B,'Element wise-detail Summary'!$A592)</f>
        <v>1</v>
      </c>
      <c r="G592" s="151">
        <f>SUMIFS(Cast!$C:$C,Cast!$B:$B,'Element wise-detail Summary'!$A592)</f>
        <v>1</v>
      </c>
      <c r="H592" s="151">
        <f t="shared" si="54"/>
        <v>0</v>
      </c>
      <c r="I592" s="151">
        <f>SUMIFS(Del!$C:$C,Del!$B:$B,'Element wise-detail Summary'!$A592)</f>
        <v>1</v>
      </c>
      <c r="J592" s="151">
        <f t="shared" si="55"/>
        <v>0</v>
      </c>
      <c r="K592" s="151">
        <f t="shared" si="56"/>
        <v>0</v>
      </c>
      <c r="L592" s="151">
        <f>SUMIF(Ere!$B:$B,'Element wise-detail Summary'!$A592,Ere!$C:$C)</f>
        <v>1</v>
      </c>
      <c r="M592" s="151">
        <f t="shared" si="57"/>
        <v>0</v>
      </c>
      <c r="N592">
        <f t="shared" si="58"/>
        <v>2.141</v>
      </c>
    </row>
    <row r="593" spans="1:14" hidden="1" x14ac:dyDescent="0.25">
      <c r="A593" s="151" t="s">
        <v>1995</v>
      </c>
      <c r="B593" s="233" t="str">
        <f>VLOOKUP(A593,'AFC Data details'!$B:$E,4,0)</f>
        <v>V09</v>
      </c>
      <c r="C593" s="144" t="s">
        <v>1698</v>
      </c>
      <c r="D593" s="151" t="s">
        <v>602</v>
      </c>
      <c r="E593" s="151">
        <f>VLOOKUP(A593,'AFC Data details'!$B:$P,15,0)</f>
        <v>2.141</v>
      </c>
      <c r="F593" s="151">
        <f>SUMIFS('AFC Data details'!C:C,'AFC Data details'!$B:$B,'Element wise-detail Summary'!$A593)</f>
        <v>1</v>
      </c>
      <c r="G593" s="151">
        <f>SUMIFS(Cast!$C:$C,Cast!$B:$B,'Element wise-detail Summary'!$A593)</f>
        <v>1</v>
      </c>
      <c r="H593" s="151">
        <f t="shared" si="54"/>
        <v>0</v>
      </c>
      <c r="I593" s="151">
        <f>SUMIFS(Del!$C:$C,Del!$B:$B,'Element wise-detail Summary'!$A593)</f>
        <v>1</v>
      </c>
      <c r="J593" s="151">
        <f t="shared" si="55"/>
        <v>0</v>
      </c>
      <c r="K593" s="151">
        <f t="shared" si="56"/>
        <v>0</v>
      </c>
      <c r="L593" s="151">
        <f>SUMIF(Ere!$B:$B,'Element wise-detail Summary'!$A593,Ere!$C:$C)</f>
        <v>1</v>
      </c>
      <c r="M593" s="151">
        <f t="shared" si="57"/>
        <v>0</v>
      </c>
      <c r="N593">
        <f t="shared" si="58"/>
        <v>2.141</v>
      </c>
    </row>
    <row r="594" spans="1:14" hidden="1" x14ac:dyDescent="0.25">
      <c r="A594" s="151" t="s">
        <v>1963</v>
      </c>
      <c r="B594" s="233" t="str">
        <f>VLOOKUP(A594,'AFC Data details'!$B:$E,4,0)</f>
        <v>V09</v>
      </c>
      <c r="C594" s="144" t="s">
        <v>1698</v>
      </c>
      <c r="D594" s="151" t="s">
        <v>602</v>
      </c>
      <c r="E594" s="151">
        <f>VLOOKUP(A594,'AFC Data details'!$B:$P,15,0)</f>
        <v>2.141</v>
      </c>
      <c r="F594" s="151">
        <f>SUMIFS('AFC Data details'!C:C,'AFC Data details'!$B:$B,'Element wise-detail Summary'!$A594)</f>
        <v>1</v>
      </c>
      <c r="G594" s="151">
        <f>SUMIFS(Cast!$C:$C,Cast!$B:$B,'Element wise-detail Summary'!$A594)</f>
        <v>1</v>
      </c>
      <c r="H594" s="151">
        <f t="shared" si="54"/>
        <v>0</v>
      </c>
      <c r="I594" s="151">
        <f>SUMIFS(Del!$C:$C,Del!$B:$B,'Element wise-detail Summary'!$A594)</f>
        <v>1</v>
      </c>
      <c r="J594" s="151">
        <f t="shared" si="55"/>
        <v>0</v>
      </c>
      <c r="K594" s="151">
        <f t="shared" si="56"/>
        <v>0</v>
      </c>
      <c r="L594" s="151">
        <f>SUMIF(Ere!$B:$B,'Element wise-detail Summary'!$A594,Ere!$C:$C)</f>
        <v>0</v>
      </c>
      <c r="M594" s="151">
        <f t="shared" si="57"/>
        <v>1</v>
      </c>
      <c r="N594">
        <f t="shared" si="58"/>
        <v>2.141</v>
      </c>
    </row>
    <row r="595" spans="1:14" hidden="1" x14ac:dyDescent="0.25">
      <c r="A595" s="151" t="s">
        <v>1966</v>
      </c>
      <c r="B595" s="233" t="str">
        <f>VLOOKUP(A595,'AFC Data details'!$B:$E,4,0)</f>
        <v>V09</v>
      </c>
      <c r="C595" s="144" t="s">
        <v>1698</v>
      </c>
      <c r="D595" s="151" t="s">
        <v>602</v>
      </c>
      <c r="E595" s="151">
        <f>VLOOKUP(A595,'AFC Data details'!$B:$P,15,0)</f>
        <v>2.141</v>
      </c>
      <c r="F595" s="151">
        <f>SUMIFS('AFC Data details'!C:C,'AFC Data details'!$B:$B,'Element wise-detail Summary'!$A595)</f>
        <v>1</v>
      </c>
      <c r="G595" s="151">
        <f>SUMIFS(Cast!$C:$C,Cast!$B:$B,'Element wise-detail Summary'!$A595)</f>
        <v>1</v>
      </c>
      <c r="H595" s="151">
        <f t="shared" si="54"/>
        <v>0</v>
      </c>
      <c r="I595" s="151">
        <f>SUMIFS(Del!$C:$C,Del!$B:$B,'Element wise-detail Summary'!$A595)</f>
        <v>0</v>
      </c>
      <c r="J595" s="151">
        <f t="shared" si="55"/>
        <v>1</v>
      </c>
      <c r="K595" s="151">
        <f t="shared" si="56"/>
        <v>1</v>
      </c>
      <c r="L595" s="151">
        <f>SUMIF(Ere!$B:$B,'Element wise-detail Summary'!$A595,Ere!$C:$C)</f>
        <v>0</v>
      </c>
      <c r="M595" s="151">
        <f t="shared" si="57"/>
        <v>1</v>
      </c>
      <c r="N595">
        <f t="shared" si="58"/>
        <v>0</v>
      </c>
    </row>
    <row r="596" spans="1:14" hidden="1" x14ac:dyDescent="0.25">
      <c r="A596" s="151" t="s">
        <v>1976</v>
      </c>
      <c r="B596" s="233" t="str">
        <f>VLOOKUP(A596,'AFC Data details'!$B:$E,4,0)</f>
        <v>V06</v>
      </c>
      <c r="C596" s="144" t="s">
        <v>1698</v>
      </c>
      <c r="D596" s="151" t="s">
        <v>602</v>
      </c>
      <c r="E596" s="151">
        <f>VLOOKUP(A596,'AFC Data details'!$B:$P,15,0)</f>
        <v>2.141</v>
      </c>
      <c r="F596" s="151">
        <f>SUMIFS('AFC Data details'!C:C,'AFC Data details'!$B:$B,'Element wise-detail Summary'!$A596)</f>
        <v>1</v>
      </c>
      <c r="G596" s="151">
        <f>SUMIFS(Cast!$C:$C,Cast!$B:$B,'Element wise-detail Summary'!$A596)</f>
        <v>1</v>
      </c>
      <c r="H596" s="151">
        <f t="shared" si="54"/>
        <v>0</v>
      </c>
      <c r="I596" s="151">
        <f>SUMIFS(Del!$C:$C,Del!$B:$B,'Element wise-detail Summary'!$A596)</f>
        <v>1</v>
      </c>
      <c r="J596" s="151">
        <f t="shared" si="55"/>
        <v>0</v>
      </c>
      <c r="K596" s="151">
        <f t="shared" si="56"/>
        <v>0</v>
      </c>
      <c r="L596" s="151">
        <f>SUMIF(Ere!$B:$B,'Element wise-detail Summary'!$A596,Ere!$C:$C)</f>
        <v>1</v>
      </c>
      <c r="M596" s="151">
        <f t="shared" si="57"/>
        <v>0</v>
      </c>
      <c r="N596">
        <f t="shared" si="58"/>
        <v>2.141</v>
      </c>
    </row>
    <row r="597" spans="1:14" hidden="1" x14ac:dyDescent="0.25">
      <c r="A597" s="151" t="s">
        <v>1977</v>
      </c>
      <c r="B597" s="233" t="str">
        <f>VLOOKUP(A597,'AFC Data details'!$B:$E,4,0)</f>
        <v>V06</v>
      </c>
      <c r="C597" s="144" t="s">
        <v>1698</v>
      </c>
      <c r="D597" s="151" t="s">
        <v>602</v>
      </c>
      <c r="E597" s="151">
        <f>VLOOKUP(A597,'AFC Data details'!$B:$P,15,0)</f>
        <v>2.141</v>
      </c>
      <c r="F597" s="151">
        <f>SUMIFS('AFC Data details'!C:C,'AFC Data details'!$B:$B,'Element wise-detail Summary'!$A597)</f>
        <v>1</v>
      </c>
      <c r="G597" s="151">
        <f>SUMIFS(Cast!$C:$C,Cast!$B:$B,'Element wise-detail Summary'!$A597)</f>
        <v>1</v>
      </c>
      <c r="H597" s="151">
        <f t="shared" si="54"/>
        <v>0</v>
      </c>
      <c r="I597" s="151">
        <f>SUMIFS(Del!$C:$C,Del!$B:$B,'Element wise-detail Summary'!$A597)</f>
        <v>1</v>
      </c>
      <c r="J597" s="151">
        <f t="shared" si="55"/>
        <v>0</v>
      </c>
      <c r="K597" s="151">
        <f t="shared" si="56"/>
        <v>0</v>
      </c>
      <c r="L597" s="151">
        <f>SUMIF(Ere!$B:$B,'Element wise-detail Summary'!$A597,Ere!$C:$C)</f>
        <v>1</v>
      </c>
      <c r="M597" s="151">
        <f t="shared" si="57"/>
        <v>0</v>
      </c>
      <c r="N597">
        <f t="shared" si="58"/>
        <v>2.141</v>
      </c>
    </row>
    <row r="598" spans="1:14" hidden="1" x14ac:dyDescent="0.25">
      <c r="A598" s="151" t="s">
        <v>1996</v>
      </c>
      <c r="B598" s="233" t="str">
        <f>VLOOKUP(A598,'AFC Data details'!$B:$E,4,0)</f>
        <v>V06</v>
      </c>
      <c r="C598" s="144" t="s">
        <v>1698</v>
      </c>
      <c r="D598" s="151" t="s">
        <v>602</v>
      </c>
      <c r="E598" s="151">
        <f>VLOOKUP(A598,'AFC Data details'!$B:$P,15,0)</f>
        <v>2.141</v>
      </c>
      <c r="F598" s="151">
        <f>SUMIFS('AFC Data details'!C:C,'AFC Data details'!$B:$B,'Element wise-detail Summary'!$A598)</f>
        <v>1</v>
      </c>
      <c r="G598" s="151">
        <f>SUMIFS(Cast!$C:$C,Cast!$B:$B,'Element wise-detail Summary'!$A598)</f>
        <v>1</v>
      </c>
      <c r="H598" s="151">
        <f t="shared" si="54"/>
        <v>0</v>
      </c>
      <c r="I598" s="151">
        <f>SUMIFS(Del!$C:$C,Del!$B:$B,'Element wise-detail Summary'!$A598)</f>
        <v>1</v>
      </c>
      <c r="J598" s="151">
        <f t="shared" si="55"/>
        <v>0</v>
      </c>
      <c r="K598" s="151">
        <f t="shared" si="56"/>
        <v>0</v>
      </c>
      <c r="L598" s="151">
        <f>SUMIF(Ere!$B:$B,'Element wise-detail Summary'!$A598,Ere!$C:$C)</f>
        <v>1</v>
      </c>
      <c r="M598" s="151">
        <f t="shared" si="57"/>
        <v>0</v>
      </c>
      <c r="N598">
        <f t="shared" si="58"/>
        <v>2.141</v>
      </c>
    </row>
    <row r="599" spans="1:14" hidden="1" x14ac:dyDescent="0.25">
      <c r="A599" s="151" t="s">
        <v>1997</v>
      </c>
      <c r="B599" s="233" t="str">
        <f>VLOOKUP(A599,'AFC Data details'!$B:$E,4,0)</f>
        <v>V06</v>
      </c>
      <c r="C599" s="144" t="s">
        <v>1698</v>
      </c>
      <c r="D599" s="151" t="s">
        <v>602</v>
      </c>
      <c r="E599" s="151">
        <f>VLOOKUP(A599,'AFC Data details'!$B:$P,15,0)</f>
        <v>2.141</v>
      </c>
      <c r="F599" s="151">
        <f>SUMIFS('AFC Data details'!C:C,'AFC Data details'!$B:$B,'Element wise-detail Summary'!$A599)</f>
        <v>1</v>
      </c>
      <c r="G599" s="151">
        <f>SUMIFS(Cast!$C:$C,Cast!$B:$B,'Element wise-detail Summary'!$A599)</f>
        <v>1</v>
      </c>
      <c r="H599" s="151">
        <f t="shared" si="54"/>
        <v>0</v>
      </c>
      <c r="I599" s="151">
        <f>SUMIFS(Del!$C:$C,Del!$B:$B,'Element wise-detail Summary'!$A599)</f>
        <v>1</v>
      </c>
      <c r="J599" s="151">
        <f t="shared" si="55"/>
        <v>0</v>
      </c>
      <c r="K599" s="151">
        <f t="shared" si="56"/>
        <v>0</v>
      </c>
      <c r="L599" s="151">
        <f>SUMIF(Ere!$B:$B,'Element wise-detail Summary'!$A599,Ere!$C:$C)</f>
        <v>1</v>
      </c>
      <c r="M599" s="151">
        <f t="shared" si="57"/>
        <v>0</v>
      </c>
      <c r="N599">
        <f t="shared" si="58"/>
        <v>2.141</v>
      </c>
    </row>
    <row r="600" spans="1:14" hidden="1" x14ac:dyDescent="0.25">
      <c r="A600" s="151" t="s">
        <v>1998</v>
      </c>
      <c r="B600" s="233" t="str">
        <f>VLOOKUP(A600,'AFC Data details'!$B:$E,4,0)</f>
        <v>V07</v>
      </c>
      <c r="C600" s="144" t="s">
        <v>1698</v>
      </c>
      <c r="D600" s="151" t="s">
        <v>602</v>
      </c>
      <c r="E600" s="151">
        <f>VLOOKUP(A600,'AFC Data details'!$B:$P,15,0)</f>
        <v>2.141</v>
      </c>
      <c r="F600" s="151">
        <f>SUMIFS('AFC Data details'!C:C,'AFC Data details'!$B:$B,'Element wise-detail Summary'!$A600)</f>
        <v>1</v>
      </c>
      <c r="G600" s="151">
        <f>SUMIFS(Cast!$C:$C,Cast!$B:$B,'Element wise-detail Summary'!$A600)</f>
        <v>1</v>
      </c>
      <c r="H600" s="151">
        <f t="shared" si="54"/>
        <v>0</v>
      </c>
      <c r="I600" s="151">
        <f>SUMIFS(Del!$C:$C,Del!$B:$B,'Element wise-detail Summary'!$A600)</f>
        <v>1</v>
      </c>
      <c r="J600" s="151">
        <f t="shared" si="55"/>
        <v>0</v>
      </c>
      <c r="K600" s="151">
        <f t="shared" si="56"/>
        <v>0</v>
      </c>
      <c r="L600" s="151">
        <f>SUMIF(Ere!$B:$B,'Element wise-detail Summary'!$A600,Ere!$C:$C)</f>
        <v>1</v>
      </c>
      <c r="M600" s="151">
        <f t="shared" si="57"/>
        <v>0</v>
      </c>
      <c r="N600">
        <f t="shared" si="58"/>
        <v>2.141</v>
      </c>
    </row>
    <row r="601" spans="1:14" hidden="1" x14ac:dyDescent="0.25">
      <c r="A601" s="151" t="s">
        <v>1999</v>
      </c>
      <c r="B601" s="233" t="str">
        <f>VLOOKUP(A601,'AFC Data details'!$B:$E,4,0)</f>
        <v>V07</v>
      </c>
      <c r="C601" s="144" t="s">
        <v>1698</v>
      </c>
      <c r="D601" s="151" t="s">
        <v>602</v>
      </c>
      <c r="E601" s="151">
        <f>VLOOKUP(A601,'AFC Data details'!$B:$P,15,0)</f>
        <v>2.141</v>
      </c>
      <c r="F601" s="151">
        <f>SUMIFS('AFC Data details'!C:C,'AFC Data details'!$B:$B,'Element wise-detail Summary'!$A601)</f>
        <v>1</v>
      </c>
      <c r="G601" s="151">
        <f>SUMIFS(Cast!$C:$C,Cast!$B:$B,'Element wise-detail Summary'!$A601)</f>
        <v>1</v>
      </c>
      <c r="H601" s="151">
        <f t="shared" si="54"/>
        <v>0</v>
      </c>
      <c r="I601" s="151">
        <f>SUMIFS(Del!$C:$C,Del!$B:$B,'Element wise-detail Summary'!$A601)</f>
        <v>1</v>
      </c>
      <c r="J601" s="151">
        <f t="shared" si="55"/>
        <v>0</v>
      </c>
      <c r="K601" s="151">
        <f t="shared" si="56"/>
        <v>0</v>
      </c>
      <c r="L601" s="151">
        <f>SUMIF(Ere!$B:$B,'Element wise-detail Summary'!$A601,Ere!$C:$C)</f>
        <v>1</v>
      </c>
      <c r="M601" s="151">
        <f t="shared" si="57"/>
        <v>0</v>
      </c>
      <c r="N601">
        <f t="shared" si="58"/>
        <v>2.141</v>
      </c>
    </row>
    <row r="602" spans="1:14" hidden="1" x14ac:dyDescent="0.25">
      <c r="A602" s="151" t="s">
        <v>1960</v>
      </c>
      <c r="B602" s="233" t="str">
        <f>VLOOKUP(A602,'AFC Data details'!$B:$E,4,0)</f>
        <v>V07</v>
      </c>
      <c r="C602" s="144" t="s">
        <v>1698</v>
      </c>
      <c r="D602" s="151" t="s">
        <v>602</v>
      </c>
      <c r="E602" s="151">
        <f>VLOOKUP(A602,'AFC Data details'!$B:$P,15,0)</f>
        <v>2.141</v>
      </c>
      <c r="F602" s="151">
        <f>SUMIFS('AFC Data details'!C:C,'AFC Data details'!$B:$B,'Element wise-detail Summary'!$A602)</f>
        <v>1</v>
      </c>
      <c r="G602" s="151">
        <f>SUMIFS(Cast!$C:$C,Cast!$B:$B,'Element wise-detail Summary'!$A602)</f>
        <v>1</v>
      </c>
      <c r="H602" s="151">
        <f t="shared" si="54"/>
        <v>0</v>
      </c>
      <c r="I602" s="151">
        <f>SUMIFS(Del!$C:$C,Del!$B:$B,'Element wise-detail Summary'!$A602)</f>
        <v>1</v>
      </c>
      <c r="J602" s="151">
        <f t="shared" si="55"/>
        <v>0</v>
      </c>
      <c r="K602" s="151">
        <f t="shared" si="56"/>
        <v>0</v>
      </c>
      <c r="L602" s="151">
        <f>SUMIF(Ere!$B:$B,'Element wise-detail Summary'!$A602,Ere!$C:$C)</f>
        <v>1</v>
      </c>
      <c r="M602" s="151">
        <f t="shared" si="57"/>
        <v>0</v>
      </c>
      <c r="N602">
        <f t="shared" si="58"/>
        <v>2.141</v>
      </c>
    </row>
    <row r="603" spans="1:14" hidden="1" x14ac:dyDescent="0.25">
      <c r="A603" s="151" t="s">
        <v>1962</v>
      </c>
      <c r="B603" s="233" t="str">
        <f>VLOOKUP(A603,'AFC Data details'!$B:$E,4,0)</f>
        <v>V07</v>
      </c>
      <c r="C603" s="144" t="s">
        <v>1698</v>
      </c>
      <c r="D603" s="151" t="s">
        <v>602</v>
      </c>
      <c r="E603" s="151">
        <f>VLOOKUP(A603,'AFC Data details'!$B:$P,15,0)</f>
        <v>2.141</v>
      </c>
      <c r="F603" s="151">
        <f>SUMIFS('AFC Data details'!C:C,'AFC Data details'!$B:$B,'Element wise-detail Summary'!$A603)</f>
        <v>1</v>
      </c>
      <c r="G603" s="151">
        <f>SUMIFS(Cast!$C:$C,Cast!$B:$B,'Element wise-detail Summary'!$A603)</f>
        <v>1</v>
      </c>
      <c r="H603" s="151">
        <f t="shared" si="54"/>
        <v>0</v>
      </c>
      <c r="I603" s="151">
        <f>SUMIFS(Del!$C:$C,Del!$B:$B,'Element wise-detail Summary'!$A603)</f>
        <v>1</v>
      </c>
      <c r="J603" s="151">
        <f t="shared" si="55"/>
        <v>0</v>
      </c>
      <c r="K603" s="151">
        <f t="shared" si="56"/>
        <v>0</v>
      </c>
      <c r="L603" s="151">
        <f>SUMIF(Ere!$B:$B,'Element wise-detail Summary'!$A603,Ere!$C:$C)</f>
        <v>1</v>
      </c>
      <c r="M603" s="151">
        <f t="shared" si="57"/>
        <v>0</v>
      </c>
      <c r="N603">
        <f t="shared" si="58"/>
        <v>2.141</v>
      </c>
    </row>
    <row r="604" spans="1:14" hidden="1" x14ac:dyDescent="0.25">
      <c r="A604" s="151" t="s">
        <v>1855</v>
      </c>
      <c r="B604" s="233" t="str">
        <f>VLOOKUP(A604,'AFC Data details'!$B:$E,4,0)</f>
        <v>V08</v>
      </c>
      <c r="C604" s="144" t="s">
        <v>1698</v>
      </c>
      <c r="D604" s="151" t="s">
        <v>602</v>
      </c>
      <c r="E604" s="151">
        <f>VLOOKUP(A604,'AFC Data details'!$B:$P,15,0)</f>
        <v>1.361</v>
      </c>
      <c r="F604" s="151">
        <f>SUMIFS('AFC Data details'!C:C,'AFC Data details'!$B:$B,'Element wise-detail Summary'!$A604)</f>
        <v>1</v>
      </c>
      <c r="G604" s="151">
        <f>SUMIFS(Cast!$C:$C,Cast!$B:$B,'Element wise-detail Summary'!$A604)</f>
        <v>1</v>
      </c>
      <c r="H604" s="151">
        <f t="shared" si="54"/>
        <v>0</v>
      </c>
      <c r="I604" s="151">
        <f>SUMIFS(Del!$C:$C,Del!$B:$B,'Element wise-detail Summary'!$A604)</f>
        <v>1</v>
      </c>
      <c r="J604" s="151">
        <f t="shared" si="55"/>
        <v>0</v>
      </c>
      <c r="K604" s="151">
        <f t="shared" si="56"/>
        <v>0</v>
      </c>
      <c r="L604" s="151">
        <f>SUMIF(Ere!$B:$B,'Element wise-detail Summary'!$A604,Ere!$C:$C)</f>
        <v>1</v>
      </c>
      <c r="M604" s="151">
        <f t="shared" si="57"/>
        <v>0</v>
      </c>
      <c r="N604">
        <f t="shared" si="58"/>
        <v>1.361</v>
      </c>
    </row>
    <row r="605" spans="1:14" hidden="1" x14ac:dyDescent="0.25">
      <c r="A605" s="151" t="s">
        <v>1856</v>
      </c>
      <c r="B605" s="233" t="str">
        <f>VLOOKUP(A605,'AFC Data details'!$B:$E,4,0)</f>
        <v>V09</v>
      </c>
      <c r="C605" s="144" t="s">
        <v>1698</v>
      </c>
      <c r="D605" s="151" t="s">
        <v>602</v>
      </c>
      <c r="E605" s="151">
        <f>VLOOKUP(A605,'AFC Data details'!$B:$P,15,0)</f>
        <v>2.141</v>
      </c>
      <c r="F605" s="151">
        <f>SUMIFS('AFC Data details'!C:C,'AFC Data details'!$B:$B,'Element wise-detail Summary'!$A605)</f>
        <v>1</v>
      </c>
      <c r="G605" s="151">
        <f>SUMIFS(Cast!$C:$C,Cast!$B:$B,'Element wise-detail Summary'!$A605)</f>
        <v>1</v>
      </c>
      <c r="H605" s="151">
        <f t="shared" si="54"/>
        <v>0</v>
      </c>
      <c r="I605" s="151">
        <f>SUMIFS(Del!$C:$C,Del!$B:$B,'Element wise-detail Summary'!$A605)</f>
        <v>1</v>
      </c>
      <c r="J605" s="151">
        <f t="shared" si="55"/>
        <v>0</v>
      </c>
      <c r="K605" s="151">
        <f t="shared" si="56"/>
        <v>0</v>
      </c>
      <c r="L605" s="151">
        <f>SUMIF(Ere!$B:$B,'Element wise-detail Summary'!$A605,Ere!$C:$C)</f>
        <v>1</v>
      </c>
      <c r="M605" s="151">
        <f t="shared" si="57"/>
        <v>0</v>
      </c>
      <c r="N605">
        <f t="shared" si="58"/>
        <v>2.141</v>
      </c>
    </row>
    <row r="606" spans="1:14" hidden="1" x14ac:dyDescent="0.25">
      <c r="A606" s="151" t="s">
        <v>1971</v>
      </c>
      <c r="B606" s="233" t="str">
        <f>VLOOKUP(A606,'AFC Data details'!$B:$E,4,0)</f>
        <v>V08</v>
      </c>
      <c r="C606" s="144" t="s">
        <v>1698</v>
      </c>
      <c r="D606" s="151" t="s">
        <v>602</v>
      </c>
      <c r="E606" s="151">
        <f>VLOOKUP(A606,'AFC Data details'!$B:$P,15,0)</f>
        <v>2.141</v>
      </c>
      <c r="F606" s="151">
        <f>SUMIFS('AFC Data details'!C:C,'AFC Data details'!$B:$B,'Element wise-detail Summary'!$A606)</f>
        <v>1</v>
      </c>
      <c r="G606" s="151">
        <f>SUMIFS(Cast!$C:$C,Cast!$B:$B,'Element wise-detail Summary'!$A606)</f>
        <v>1</v>
      </c>
      <c r="H606" s="151">
        <f t="shared" si="54"/>
        <v>0</v>
      </c>
      <c r="I606" s="151">
        <f>SUMIFS(Del!$C:$C,Del!$B:$B,'Element wise-detail Summary'!$A606)</f>
        <v>1</v>
      </c>
      <c r="J606" s="151">
        <f t="shared" si="55"/>
        <v>0</v>
      </c>
      <c r="K606" s="151">
        <f t="shared" si="56"/>
        <v>0</v>
      </c>
      <c r="L606" s="151">
        <f>SUMIF(Ere!$B:$B,'Element wise-detail Summary'!$A606,Ere!$C:$C)</f>
        <v>1</v>
      </c>
      <c r="M606" s="151">
        <f t="shared" si="57"/>
        <v>0</v>
      </c>
      <c r="N606">
        <f t="shared" si="58"/>
        <v>2.141</v>
      </c>
    </row>
    <row r="607" spans="1:14" hidden="1" x14ac:dyDescent="0.25">
      <c r="A607" s="151" t="s">
        <v>1857</v>
      </c>
      <c r="B607" s="233" t="str">
        <f>VLOOKUP(A607,'AFC Data details'!$B:$E,4,0)</f>
        <v>V10</v>
      </c>
      <c r="C607" s="144" t="s">
        <v>1698</v>
      </c>
      <c r="D607" s="151" t="s">
        <v>602</v>
      </c>
      <c r="E607" s="151">
        <f>VLOOKUP(A607,'AFC Data details'!$B:$P,15,0)</f>
        <v>2.1909999999999998</v>
      </c>
      <c r="F607" s="151">
        <f>SUMIFS('AFC Data details'!C:C,'AFC Data details'!$B:$B,'Element wise-detail Summary'!$A607)</f>
        <v>1</v>
      </c>
      <c r="G607" s="151">
        <f>SUMIFS(Cast!$C:$C,Cast!$B:$B,'Element wise-detail Summary'!$A607)</f>
        <v>1</v>
      </c>
      <c r="H607" s="151">
        <f t="shared" si="54"/>
        <v>0</v>
      </c>
      <c r="I607" s="151">
        <f>SUMIFS(Del!$C:$C,Del!$B:$B,'Element wise-detail Summary'!$A607)</f>
        <v>1</v>
      </c>
      <c r="J607" s="151">
        <f t="shared" si="55"/>
        <v>0</v>
      </c>
      <c r="K607" s="151">
        <f t="shared" si="56"/>
        <v>0</v>
      </c>
      <c r="L607" s="151">
        <f>SUMIF(Ere!$B:$B,'Element wise-detail Summary'!$A607,Ere!$C:$C)</f>
        <v>1</v>
      </c>
      <c r="M607" s="151">
        <f t="shared" si="57"/>
        <v>0</v>
      </c>
      <c r="N607">
        <f t="shared" si="58"/>
        <v>2.1909999999999998</v>
      </c>
    </row>
    <row r="608" spans="1:14" hidden="1" x14ac:dyDescent="0.25">
      <c r="A608" s="151" t="s">
        <v>1978</v>
      </c>
      <c r="B608" s="233" t="str">
        <f>VLOOKUP(A608,'AFC Data details'!$B:$E,4,0)</f>
        <v>V11</v>
      </c>
      <c r="C608" s="144" t="s">
        <v>1698</v>
      </c>
      <c r="D608" s="151" t="s">
        <v>602</v>
      </c>
      <c r="E608" s="151">
        <f>VLOOKUP(A608,'AFC Data details'!$B:$P,15,0)</f>
        <v>2.1909999999999998</v>
      </c>
      <c r="F608" s="151">
        <f>SUMIFS('AFC Data details'!C:C,'AFC Data details'!$B:$B,'Element wise-detail Summary'!$A608)</f>
        <v>1</v>
      </c>
      <c r="G608" s="151">
        <f>SUMIFS(Cast!$C:$C,Cast!$B:$B,'Element wise-detail Summary'!$A608)</f>
        <v>1</v>
      </c>
      <c r="H608" s="151">
        <f t="shared" si="54"/>
        <v>0</v>
      </c>
      <c r="I608" s="151">
        <f>SUMIFS(Del!$C:$C,Del!$B:$B,'Element wise-detail Summary'!$A608)</f>
        <v>1</v>
      </c>
      <c r="J608" s="151">
        <f t="shared" si="55"/>
        <v>0</v>
      </c>
      <c r="K608" s="151">
        <f t="shared" si="56"/>
        <v>0</v>
      </c>
      <c r="L608" s="151">
        <f>SUMIF(Ere!$B:$B,'Element wise-detail Summary'!$A608,Ere!$C:$C)</f>
        <v>0</v>
      </c>
      <c r="M608" s="151">
        <f t="shared" si="57"/>
        <v>1</v>
      </c>
      <c r="N608">
        <f t="shared" si="58"/>
        <v>2.1909999999999998</v>
      </c>
    </row>
    <row r="609" spans="1:14" hidden="1" x14ac:dyDescent="0.25">
      <c r="A609" s="151" t="s">
        <v>1858</v>
      </c>
      <c r="B609" s="233" t="str">
        <f>VLOOKUP(A609,'AFC Data details'!$B:$E,4,0)</f>
        <v>V10</v>
      </c>
      <c r="C609" s="144" t="s">
        <v>1698</v>
      </c>
      <c r="D609" s="151" t="s">
        <v>602</v>
      </c>
      <c r="E609" s="151">
        <f>VLOOKUP(A609,'AFC Data details'!$B:$P,15,0)</f>
        <v>2.1909999999999998</v>
      </c>
      <c r="F609" s="151">
        <f>SUMIFS('AFC Data details'!C:C,'AFC Data details'!$B:$B,'Element wise-detail Summary'!$A609)</f>
        <v>1</v>
      </c>
      <c r="G609" s="151">
        <f>SUMIFS(Cast!$C:$C,Cast!$B:$B,'Element wise-detail Summary'!$A609)</f>
        <v>1</v>
      </c>
      <c r="H609" s="151">
        <f t="shared" si="54"/>
        <v>0</v>
      </c>
      <c r="I609" s="151">
        <f>SUMIFS(Del!$C:$C,Del!$B:$B,'Element wise-detail Summary'!$A609)</f>
        <v>1</v>
      </c>
      <c r="J609" s="151">
        <f t="shared" si="55"/>
        <v>0</v>
      </c>
      <c r="K609" s="151">
        <f t="shared" si="56"/>
        <v>0</v>
      </c>
      <c r="L609" s="151">
        <f>SUMIF(Ere!$B:$B,'Element wise-detail Summary'!$A609,Ere!$C:$C)</f>
        <v>1</v>
      </c>
      <c r="M609" s="151">
        <f t="shared" si="57"/>
        <v>0</v>
      </c>
      <c r="N609">
        <f t="shared" si="58"/>
        <v>2.1909999999999998</v>
      </c>
    </row>
    <row r="610" spans="1:14" hidden="1" x14ac:dyDescent="0.25">
      <c r="A610" s="151" t="s">
        <v>1979</v>
      </c>
      <c r="B610" s="233" t="str">
        <f>VLOOKUP(A610,'AFC Data details'!$B:$E,4,0)</f>
        <v>V10</v>
      </c>
      <c r="C610" s="144" t="s">
        <v>1698</v>
      </c>
      <c r="D610" s="151" t="s">
        <v>602</v>
      </c>
      <c r="E610" s="151">
        <f>VLOOKUP(A610,'AFC Data details'!$B:$P,15,0)</f>
        <v>2.1909999999999998</v>
      </c>
      <c r="F610" s="151">
        <f>SUMIFS('AFC Data details'!C:C,'AFC Data details'!$B:$B,'Element wise-detail Summary'!$A610)</f>
        <v>1</v>
      </c>
      <c r="G610" s="151">
        <f>SUMIFS(Cast!$C:$C,Cast!$B:$B,'Element wise-detail Summary'!$A610)</f>
        <v>1</v>
      </c>
      <c r="H610" s="151">
        <f t="shared" si="54"/>
        <v>0</v>
      </c>
      <c r="I610" s="151">
        <f>SUMIFS(Del!$C:$C,Del!$B:$B,'Element wise-detail Summary'!$A610)</f>
        <v>1</v>
      </c>
      <c r="J610" s="151">
        <f t="shared" si="55"/>
        <v>0</v>
      </c>
      <c r="K610" s="151">
        <f t="shared" si="56"/>
        <v>0</v>
      </c>
      <c r="L610" s="151">
        <f>SUMIF(Ere!$B:$B,'Element wise-detail Summary'!$A610,Ere!$C:$C)</f>
        <v>1</v>
      </c>
      <c r="M610" s="151">
        <f t="shared" si="57"/>
        <v>0</v>
      </c>
      <c r="N610">
        <f t="shared" si="58"/>
        <v>2.1909999999999998</v>
      </c>
    </row>
    <row r="611" spans="1:14" hidden="1" x14ac:dyDescent="0.25">
      <c r="A611" s="151" t="s">
        <v>2000</v>
      </c>
      <c r="B611" s="233" t="str">
        <f>VLOOKUP(A611,'AFC Data details'!$B:$E,4,0)</f>
        <v>V10</v>
      </c>
      <c r="C611" s="144" t="s">
        <v>1698</v>
      </c>
      <c r="D611" s="151" t="s">
        <v>602</v>
      </c>
      <c r="E611" s="151">
        <f>VLOOKUP(A611,'AFC Data details'!$B:$P,15,0)</f>
        <v>2.1909999999999998</v>
      </c>
      <c r="F611" s="151">
        <f>SUMIFS('AFC Data details'!C:C,'AFC Data details'!$B:$B,'Element wise-detail Summary'!$A611)</f>
        <v>1</v>
      </c>
      <c r="G611" s="151">
        <f>SUMIFS(Cast!$C:$C,Cast!$B:$B,'Element wise-detail Summary'!$A611)</f>
        <v>1</v>
      </c>
      <c r="H611" s="151">
        <f t="shared" si="54"/>
        <v>0</v>
      </c>
      <c r="I611" s="151">
        <f>SUMIFS(Del!$C:$C,Del!$B:$B,'Element wise-detail Summary'!$A611)</f>
        <v>1</v>
      </c>
      <c r="J611" s="151">
        <f t="shared" si="55"/>
        <v>0</v>
      </c>
      <c r="K611" s="151">
        <f t="shared" si="56"/>
        <v>0</v>
      </c>
      <c r="L611" s="151">
        <f>SUMIF(Ere!$B:$B,'Element wise-detail Summary'!$A611,Ere!$C:$C)</f>
        <v>1</v>
      </c>
      <c r="M611" s="151">
        <f t="shared" si="57"/>
        <v>0</v>
      </c>
      <c r="N611">
        <f t="shared" si="58"/>
        <v>2.1909999999999998</v>
      </c>
    </row>
    <row r="612" spans="1:14" hidden="1" x14ac:dyDescent="0.25">
      <c r="A612" s="151" t="s">
        <v>2001</v>
      </c>
      <c r="B612" s="233" t="str">
        <f>VLOOKUP(A612,'AFC Data details'!$B:$E,4,0)</f>
        <v>V10</v>
      </c>
      <c r="C612" s="144" t="s">
        <v>1698</v>
      </c>
      <c r="D612" s="151" t="s">
        <v>602</v>
      </c>
      <c r="E612" s="151">
        <f>VLOOKUP(A612,'AFC Data details'!$B:$P,15,0)</f>
        <v>2.1909999999999998</v>
      </c>
      <c r="F612" s="151">
        <f>SUMIFS('AFC Data details'!C:C,'AFC Data details'!$B:$B,'Element wise-detail Summary'!$A612)</f>
        <v>1</v>
      </c>
      <c r="G612" s="151">
        <f>SUMIFS(Cast!$C:$C,Cast!$B:$B,'Element wise-detail Summary'!$A612)</f>
        <v>1</v>
      </c>
      <c r="H612" s="151">
        <f t="shared" si="54"/>
        <v>0</v>
      </c>
      <c r="I612" s="151">
        <f>SUMIFS(Del!$C:$C,Del!$B:$B,'Element wise-detail Summary'!$A612)</f>
        <v>1</v>
      </c>
      <c r="J612" s="151">
        <f t="shared" si="55"/>
        <v>0</v>
      </c>
      <c r="K612" s="151">
        <f t="shared" si="56"/>
        <v>0</v>
      </c>
      <c r="L612" s="151">
        <f>SUMIF(Ere!$B:$B,'Element wise-detail Summary'!$A612,Ere!$C:$C)</f>
        <v>1</v>
      </c>
      <c r="M612" s="151">
        <f t="shared" si="57"/>
        <v>0</v>
      </c>
      <c r="N612">
        <f t="shared" si="58"/>
        <v>2.1909999999999998</v>
      </c>
    </row>
    <row r="613" spans="1:14" hidden="1" x14ac:dyDescent="0.25">
      <c r="A613" s="151" t="s">
        <v>2002</v>
      </c>
      <c r="B613" s="233" t="str">
        <f>VLOOKUP(A613,'AFC Data details'!$B:$E,4,0)</f>
        <v>V11</v>
      </c>
      <c r="C613" s="144" t="s">
        <v>1698</v>
      </c>
      <c r="D613" s="151" t="s">
        <v>602</v>
      </c>
      <c r="E613" s="151">
        <f>VLOOKUP(A613,'AFC Data details'!$B:$P,15,0)</f>
        <v>2.1909999999999998</v>
      </c>
      <c r="F613" s="151">
        <f>SUMIFS('AFC Data details'!C:C,'AFC Data details'!$B:$B,'Element wise-detail Summary'!$A613)</f>
        <v>1</v>
      </c>
      <c r="G613" s="151">
        <f>SUMIFS(Cast!$C:$C,Cast!$B:$B,'Element wise-detail Summary'!$A613)</f>
        <v>1</v>
      </c>
      <c r="H613" s="151">
        <f t="shared" si="54"/>
        <v>0</v>
      </c>
      <c r="I613" s="151">
        <f>SUMIFS(Del!$C:$C,Del!$B:$B,'Element wise-detail Summary'!$A613)</f>
        <v>1</v>
      </c>
      <c r="J613" s="151">
        <f t="shared" si="55"/>
        <v>0</v>
      </c>
      <c r="K613" s="151">
        <f t="shared" si="56"/>
        <v>0</v>
      </c>
      <c r="L613" s="151">
        <f>SUMIF(Ere!$B:$B,'Element wise-detail Summary'!$A613,Ere!$C:$C)</f>
        <v>1</v>
      </c>
      <c r="M613" s="151">
        <f t="shared" si="57"/>
        <v>0</v>
      </c>
      <c r="N613">
        <f t="shared" si="58"/>
        <v>2.1909999999999998</v>
      </c>
    </row>
    <row r="614" spans="1:14" hidden="1" x14ac:dyDescent="0.25">
      <c r="A614" s="151" t="s">
        <v>2003</v>
      </c>
      <c r="B614" s="233" t="str">
        <f>VLOOKUP(A614,'AFC Data details'!$B:$E,4,0)</f>
        <v>V11</v>
      </c>
      <c r="C614" s="144" t="s">
        <v>1698</v>
      </c>
      <c r="D614" s="151" t="s">
        <v>602</v>
      </c>
      <c r="E614" s="151">
        <f>VLOOKUP(A614,'AFC Data details'!$B:$P,15,0)</f>
        <v>2.1909999999999998</v>
      </c>
      <c r="F614" s="151">
        <f>SUMIFS('AFC Data details'!C:C,'AFC Data details'!$B:$B,'Element wise-detail Summary'!$A614)</f>
        <v>1</v>
      </c>
      <c r="G614" s="151">
        <f>SUMIFS(Cast!$C:$C,Cast!$B:$B,'Element wise-detail Summary'!$A614)</f>
        <v>1</v>
      </c>
      <c r="H614" s="151">
        <f t="shared" si="54"/>
        <v>0</v>
      </c>
      <c r="I614" s="151">
        <f>SUMIFS(Del!$C:$C,Del!$B:$B,'Element wise-detail Summary'!$A614)</f>
        <v>1</v>
      </c>
      <c r="J614" s="151">
        <f t="shared" si="55"/>
        <v>0</v>
      </c>
      <c r="K614" s="151">
        <f t="shared" si="56"/>
        <v>0</v>
      </c>
      <c r="L614" s="151">
        <f>SUMIF(Ere!$B:$B,'Element wise-detail Summary'!$A614,Ere!$C:$C)</f>
        <v>1</v>
      </c>
      <c r="M614" s="151">
        <f t="shared" si="57"/>
        <v>0</v>
      </c>
      <c r="N614">
        <f t="shared" si="58"/>
        <v>2.1909999999999998</v>
      </c>
    </row>
    <row r="615" spans="1:14" hidden="1" x14ac:dyDescent="0.25">
      <c r="A615" s="151" t="s">
        <v>2004</v>
      </c>
      <c r="B615" s="233" t="str">
        <f>VLOOKUP(A615,'AFC Data details'!$B:$E,4,0)</f>
        <v>V11</v>
      </c>
      <c r="C615" s="144" t="s">
        <v>1698</v>
      </c>
      <c r="D615" s="151" t="s">
        <v>602</v>
      </c>
      <c r="E615" s="151">
        <f>VLOOKUP(A615,'AFC Data details'!$B:$P,15,0)</f>
        <v>2.1909999999999998</v>
      </c>
      <c r="F615" s="151">
        <f>SUMIFS('AFC Data details'!C:C,'AFC Data details'!$B:$B,'Element wise-detail Summary'!$A615)</f>
        <v>1</v>
      </c>
      <c r="G615" s="151">
        <f>SUMIFS(Cast!$C:$C,Cast!$B:$B,'Element wise-detail Summary'!$A615)</f>
        <v>1</v>
      </c>
      <c r="H615" s="151">
        <f t="shared" si="54"/>
        <v>0</v>
      </c>
      <c r="I615" s="151">
        <f>SUMIFS(Del!$C:$C,Del!$B:$B,'Element wise-detail Summary'!$A615)</f>
        <v>1</v>
      </c>
      <c r="J615" s="151">
        <f t="shared" si="55"/>
        <v>0</v>
      </c>
      <c r="K615" s="151">
        <f t="shared" si="56"/>
        <v>0</v>
      </c>
      <c r="L615" s="151">
        <f>SUMIF(Ere!$B:$B,'Element wise-detail Summary'!$A615,Ere!$C:$C)</f>
        <v>0</v>
      </c>
      <c r="M615" s="151">
        <f t="shared" si="57"/>
        <v>1</v>
      </c>
      <c r="N615">
        <f t="shared" si="58"/>
        <v>2.1909999999999998</v>
      </c>
    </row>
    <row r="616" spans="1:14" hidden="1" x14ac:dyDescent="0.25">
      <c r="A616" s="151" t="s">
        <v>2005</v>
      </c>
      <c r="B616" s="233" t="str">
        <f>VLOOKUP(A616,'AFC Data details'!$B:$E,4,0)</f>
        <v>V11</v>
      </c>
      <c r="C616" s="144" t="s">
        <v>1698</v>
      </c>
      <c r="D616" s="151" t="s">
        <v>602</v>
      </c>
      <c r="E616" s="151">
        <f>VLOOKUP(A616,'AFC Data details'!$B:$P,15,0)</f>
        <v>2.1909999999999998</v>
      </c>
      <c r="F616" s="151">
        <f>SUMIFS('AFC Data details'!C:C,'AFC Data details'!$B:$B,'Element wise-detail Summary'!$A616)</f>
        <v>1</v>
      </c>
      <c r="G616" s="151">
        <f>SUMIFS(Cast!$C:$C,Cast!$B:$B,'Element wise-detail Summary'!$A616)</f>
        <v>1</v>
      </c>
      <c r="H616" s="151">
        <f t="shared" si="54"/>
        <v>0</v>
      </c>
      <c r="I616" s="151">
        <f>SUMIFS(Del!$C:$C,Del!$B:$B,'Element wise-detail Summary'!$A616)</f>
        <v>1</v>
      </c>
      <c r="J616" s="151">
        <f t="shared" si="55"/>
        <v>0</v>
      </c>
      <c r="K616" s="151">
        <f t="shared" si="56"/>
        <v>0</v>
      </c>
      <c r="L616" s="151">
        <f>SUMIF(Ere!$B:$B,'Element wise-detail Summary'!$A616,Ere!$C:$C)</f>
        <v>0</v>
      </c>
      <c r="M616" s="151">
        <f t="shared" si="57"/>
        <v>1</v>
      </c>
      <c r="N616">
        <f t="shared" si="58"/>
        <v>2.1909999999999998</v>
      </c>
    </row>
    <row r="617" spans="1:14" hidden="1" x14ac:dyDescent="0.25">
      <c r="A617" s="151" t="s">
        <v>1859</v>
      </c>
      <c r="B617" s="233" t="str">
        <f>VLOOKUP(A617,'AFC Data details'!$B:$E,4,0)</f>
        <v>V11</v>
      </c>
      <c r="C617" s="144" t="s">
        <v>1698</v>
      </c>
      <c r="D617" s="151" t="s">
        <v>602</v>
      </c>
      <c r="E617" s="151">
        <f>VLOOKUP(A617,'AFC Data details'!$B:$P,15,0)</f>
        <v>2.1909999999999998</v>
      </c>
      <c r="F617" s="151">
        <f>SUMIFS('AFC Data details'!C:C,'AFC Data details'!$B:$B,'Element wise-detail Summary'!$A617)</f>
        <v>1</v>
      </c>
      <c r="G617" s="151">
        <f>SUMIFS(Cast!$C:$C,Cast!$B:$B,'Element wise-detail Summary'!$A617)</f>
        <v>1</v>
      </c>
      <c r="H617" s="151">
        <f t="shared" si="54"/>
        <v>0</v>
      </c>
      <c r="I617" s="151">
        <f>SUMIFS(Del!$C:$C,Del!$B:$B,'Element wise-detail Summary'!$A617)</f>
        <v>1</v>
      </c>
      <c r="J617" s="151">
        <f t="shared" si="55"/>
        <v>0</v>
      </c>
      <c r="K617" s="151">
        <f t="shared" si="56"/>
        <v>0</v>
      </c>
      <c r="L617" s="151">
        <f>SUMIF(Ere!$B:$B,'Element wise-detail Summary'!$A617,Ere!$C:$C)</f>
        <v>1</v>
      </c>
      <c r="M617" s="151">
        <f t="shared" si="57"/>
        <v>0</v>
      </c>
      <c r="N617">
        <f t="shared" si="58"/>
        <v>2.1909999999999998</v>
      </c>
    </row>
    <row r="618" spans="1:14" hidden="1" x14ac:dyDescent="0.25">
      <c r="A618" s="151" t="s">
        <v>2006</v>
      </c>
      <c r="B618" s="233" t="str">
        <f>VLOOKUP(A618,'AFC Data details'!$B:$E,4,0)</f>
        <v>V10</v>
      </c>
      <c r="C618" s="144" t="s">
        <v>1698</v>
      </c>
      <c r="D618" s="151" t="s">
        <v>602</v>
      </c>
      <c r="E618" s="151">
        <f>VLOOKUP(A618,'AFC Data details'!$B:$P,15,0)</f>
        <v>2.1909999999999998</v>
      </c>
      <c r="F618" s="151">
        <f>SUMIFS('AFC Data details'!C:C,'AFC Data details'!$B:$B,'Element wise-detail Summary'!$A618)</f>
        <v>1</v>
      </c>
      <c r="G618" s="151">
        <f>SUMIFS(Cast!$C:$C,Cast!$B:$B,'Element wise-detail Summary'!$A618)</f>
        <v>1</v>
      </c>
      <c r="H618" s="151">
        <f t="shared" si="54"/>
        <v>0</v>
      </c>
      <c r="I618" s="151">
        <f>SUMIFS(Del!$C:$C,Del!$B:$B,'Element wise-detail Summary'!$A618)</f>
        <v>1</v>
      </c>
      <c r="J618" s="151">
        <f t="shared" si="55"/>
        <v>0</v>
      </c>
      <c r="K618" s="151">
        <f t="shared" si="56"/>
        <v>0</v>
      </c>
      <c r="L618" s="151">
        <f>SUMIF(Ere!$B:$B,'Element wise-detail Summary'!$A618,Ere!$C:$C)</f>
        <v>1</v>
      </c>
      <c r="M618" s="151">
        <f t="shared" si="57"/>
        <v>0</v>
      </c>
      <c r="N618">
        <f t="shared" si="58"/>
        <v>2.1909999999999998</v>
      </c>
    </row>
    <row r="619" spans="1:14" hidden="1" x14ac:dyDescent="0.25">
      <c r="A619" s="151" t="s">
        <v>1860</v>
      </c>
      <c r="B619" s="233" t="str">
        <f>VLOOKUP(A619,'AFC Data details'!$B:$E,4,0)</f>
        <v>V12</v>
      </c>
      <c r="C619" s="144" t="s">
        <v>1698</v>
      </c>
      <c r="D619" s="151" t="s">
        <v>602</v>
      </c>
      <c r="E619" s="151">
        <f>VLOOKUP(A619,'AFC Data details'!$B:$P,15,0)</f>
        <v>2.1840000000000002</v>
      </c>
      <c r="F619" s="151">
        <f>SUMIFS('AFC Data details'!C:C,'AFC Data details'!$B:$B,'Element wise-detail Summary'!$A619)</f>
        <v>1</v>
      </c>
      <c r="G619" s="151">
        <f>SUMIFS(Cast!$C:$C,Cast!$B:$B,'Element wise-detail Summary'!$A619)</f>
        <v>1</v>
      </c>
      <c r="H619" s="151">
        <f t="shared" si="54"/>
        <v>0</v>
      </c>
      <c r="I619" s="151">
        <f>SUMIFS(Del!$C:$C,Del!$B:$B,'Element wise-detail Summary'!$A619)</f>
        <v>1</v>
      </c>
      <c r="J619" s="151">
        <f t="shared" si="55"/>
        <v>0</v>
      </c>
      <c r="K619" s="151">
        <f t="shared" si="56"/>
        <v>0</v>
      </c>
      <c r="L619" s="151">
        <f>SUMIF(Ere!$B:$B,'Element wise-detail Summary'!$A619,Ere!$C:$C)</f>
        <v>1</v>
      </c>
      <c r="M619" s="151">
        <f t="shared" si="57"/>
        <v>0</v>
      </c>
      <c r="N619">
        <f t="shared" si="58"/>
        <v>2.1840000000000002</v>
      </c>
    </row>
    <row r="620" spans="1:14" hidden="1" x14ac:dyDescent="0.25">
      <c r="A620" s="151" t="s">
        <v>1980</v>
      </c>
      <c r="B620" s="233" t="str">
        <f>VLOOKUP(A620,'AFC Data details'!$B:$E,4,0)</f>
        <v>V13</v>
      </c>
      <c r="C620" s="144" t="s">
        <v>1698</v>
      </c>
      <c r="D620" s="151" t="s">
        <v>602</v>
      </c>
      <c r="E620" s="151">
        <f>VLOOKUP(A620,'AFC Data details'!$B:$P,15,0)</f>
        <v>2.1840000000000002</v>
      </c>
      <c r="F620" s="151">
        <f>SUMIFS('AFC Data details'!C:C,'AFC Data details'!$B:$B,'Element wise-detail Summary'!$A620)</f>
        <v>1</v>
      </c>
      <c r="G620" s="151">
        <f>SUMIFS(Cast!$C:$C,Cast!$B:$B,'Element wise-detail Summary'!$A620)</f>
        <v>1</v>
      </c>
      <c r="H620" s="151">
        <f t="shared" si="54"/>
        <v>0</v>
      </c>
      <c r="I620" s="151">
        <f>SUMIFS(Del!$C:$C,Del!$B:$B,'Element wise-detail Summary'!$A620)</f>
        <v>1</v>
      </c>
      <c r="J620" s="151">
        <f t="shared" si="55"/>
        <v>0</v>
      </c>
      <c r="K620" s="151">
        <f t="shared" si="56"/>
        <v>0</v>
      </c>
      <c r="L620" s="151">
        <f>SUMIF(Ere!$B:$B,'Element wise-detail Summary'!$A620,Ere!$C:$C)</f>
        <v>1</v>
      </c>
      <c r="M620" s="151">
        <f t="shared" si="57"/>
        <v>0</v>
      </c>
      <c r="N620">
        <f t="shared" si="58"/>
        <v>2.1840000000000002</v>
      </c>
    </row>
    <row r="621" spans="1:14" hidden="1" x14ac:dyDescent="0.25">
      <c r="A621" s="151" t="s">
        <v>1861</v>
      </c>
      <c r="B621" s="233" t="str">
        <f>VLOOKUP(A621,'AFC Data details'!$B:$E,4,0)</f>
        <v>V12</v>
      </c>
      <c r="C621" s="144" t="s">
        <v>1698</v>
      </c>
      <c r="D621" s="151" t="s">
        <v>602</v>
      </c>
      <c r="E621" s="151">
        <f>VLOOKUP(A621,'AFC Data details'!$B:$P,15,0)</f>
        <v>2.1840000000000002</v>
      </c>
      <c r="F621" s="151">
        <f>SUMIFS('AFC Data details'!C:C,'AFC Data details'!$B:$B,'Element wise-detail Summary'!$A621)</f>
        <v>1</v>
      </c>
      <c r="G621" s="151">
        <f>SUMIFS(Cast!$C:$C,Cast!$B:$B,'Element wise-detail Summary'!$A621)</f>
        <v>1</v>
      </c>
      <c r="H621" s="151">
        <f t="shared" si="54"/>
        <v>0</v>
      </c>
      <c r="I621" s="151">
        <f>SUMIFS(Del!$C:$C,Del!$B:$B,'Element wise-detail Summary'!$A621)</f>
        <v>1</v>
      </c>
      <c r="J621" s="151">
        <f t="shared" si="55"/>
        <v>0</v>
      </c>
      <c r="K621" s="151">
        <f t="shared" si="56"/>
        <v>0</v>
      </c>
      <c r="L621" s="151">
        <f>SUMIF(Ere!$B:$B,'Element wise-detail Summary'!$A621,Ere!$C:$C)</f>
        <v>1</v>
      </c>
      <c r="M621" s="151">
        <f t="shared" si="57"/>
        <v>0</v>
      </c>
      <c r="N621">
        <f t="shared" si="58"/>
        <v>2.1840000000000002</v>
      </c>
    </row>
    <row r="622" spans="1:14" hidden="1" x14ac:dyDescent="0.25">
      <c r="A622" s="151" t="s">
        <v>1981</v>
      </c>
      <c r="B622" s="233" t="str">
        <f>VLOOKUP(A622,'AFC Data details'!$B:$E,4,0)</f>
        <v>V12</v>
      </c>
      <c r="C622" s="144" t="s">
        <v>1698</v>
      </c>
      <c r="D622" s="151" t="s">
        <v>602</v>
      </c>
      <c r="E622" s="151">
        <f>VLOOKUP(A622,'AFC Data details'!$B:$P,15,0)</f>
        <v>2.1840000000000002</v>
      </c>
      <c r="F622" s="151">
        <f>SUMIFS('AFC Data details'!C:C,'AFC Data details'!$B:$B,'Element wise-detail Summary'!$A622)</f>
        <v>1</v>
      </c>
      <c r="G622" s="151">
        <f>SUMIFS(Cast!$C:$C,Cast!$B:$B,'Element wise-detail Summary'!$A622)</f>
        <v>1</v>
      </c>
      <c r="H622" s="151">
        <f t="shared" si="54"/>
        <v>0</v>
      </c>
      <c r="I622" s="151">
        <f>SUMIFS(Del!$C:$C,Del!$B:$B,'Element wise-detail Summary'!$A622)</f>
        <v>1</v>
      </c>
      <c r="J622" s="151">
        <f t="shared" si="55"/>
        <v>0</v>
      </c>
      <c r="K622" s="151">
        <f t="shared" si="56"/>
        <v>0</v>
      </c>
      <c r="L622" s="151">
        <f>SUMIF(Ere!$B:$B,'Element wise-detail Summary'!$A622,Ere!$C:$C)</f>
        <v>1</v>
      </c>
      <c r="M622" s="151">
        <f t="shared" si="57"/>
        <v>0</v>
      </c>
      <c r="N622">
        <f t="shared" si="58"/>
        <v>2.1840000000000002</v>
      </c>
    </row>
    <row r="623" spans="1:14" hidden="1" x14ac:dyDescent="0.25">
      <c r="A623" s="151" t="s">
        <v>2007</v>
      </c>
      <c r="B623" s="233" t="str">
        <f>VLOOKUP(A623,'AFC Data details'!$B:$E,4,0)</f>
        <v>V12</v>
      </c>
      <c r="C623" s="144" t="s">
        <v>1698</v>
      </c>
      <c r="D623" s="151" t="s">
        <v>602</v>
      </c>
      <c r="E623" s="151">
        <f>VLOOKUP(A623,'AFC Data details'!$B:$P,15,0)</f>
        <v>2.1840000000000002</v>
      </c>
      <c r="F623" s="151">
        <f>SUMIFS('AFC Data details'!C:C,'AFC Data details'!$B:$B,'Element wise-detail Summary'!$A623)</f>
        <v>1</v>
      </c>
      <c r="G623" s="151">
        <f>SUMIFS(Cast!$C:$C,Cast!$B:$B,'Element wise-detail Summary'!$A623)</f>
        <v>1</v>
      </c>
      <c r="H623" s="151">
        <f t="shared" si="54"/>
        <v>0</v>
      </c>
      <c r="I623" s="151">
        <f>SUMIFS(Del!$C:$C,Del!$B:$B,'Element wise-detail Summary'!$A623)</f>
        <v>1</v>
      </c>
      <c r="J623" s="151">
        <f t="shared" si="55"/>
        <v>0</v>
      </c>
      <c r="K623" s="151">
        <f t="shared" si="56"/>
        <v>0</v>
      </c>
      <c r="L623" s="151">
        <f>SUMIF(Ere!$B:$B,'Element wise-detail Summary'!$A623,Ere!$C:$C)</f>
        <v>1</v>
      </c>
      <c r="M623" s="151">
        <f t="shared" si="57"/>
        <v>0</v>
      </c>
      <c r="N623">
        <f t="shared" si="58"/>
        <v>2.1840000000000002</v>
      </c>
    </row>
    <row r="624" spans="1:14" hidden="1" x14ac:dyDescent="0.25">
      <c r="A624" s="151" t="s">
        <v>2008</v>
      </c>
      <c r="B624" s="233" t="str">
        <f>VLOOKUP(A624,'AFC Data details'!$B:$E,4,0)</f>
        <v>V12</v>
      </c>
      <c r="C624" s="144" t="s">
        <v>1698</v>
      </c>
      <c r="D624" s="151" t="s">
        <v>602</v>
      </c>
      <c r="E624" s="151">
        <f>VLOOKUP(A624,'AFC Data details'!$B:$P,15,0)</f>
        <v>2.1840000000000002</v>
      </c>
      <c r="F624" s="151">
        <f>SUMIFS('AFC Data details'!C:C,'AFC Data details'!$B:$B,'Element wise-detail Summary'!$A624)</f>
        <v>1</v>
      </c>
      <c r="G624" s="151">
        <f>SUMIFS(Cast!$C:$C,Cast!$B:$B,'Element wise-detail Summary'!$A624)</f>
        <v>1</v>
      </c>
      <c r="H624" s="151">
        <f t="shared" si="54"/>
        <v>0</v>
      </c>
      <c r="I624" s="151">
        <f>SUMIFS(Del!$C:$C,Del!$B:$B,'Element wise-detail Summary'!$A624)</f>
        <v>1</v>
      </c>
      <c r="J624" s="151">
        <f t="shared" si="55"/>
        <v>0</v>
      </c>
      <c r="K624" s="151">
        <f t="shared" si="56"/>
        <v>0</v>
      </c>
      <c r="L624" s="151">
        <f>SUMIF(Ere!$B:$B,'Element wise-detail Summary'!$A624,Ere!$C:$C)</f>
        <v>1</v>
      </c>
      <c r="M624" s="151">
        <f t="shared" si="57"/>
        <v>0</v>
      </c>
      <c r="N624">
        <f t="shared" si="58"/>
        <v>2.1840000000000002</v>
      </c>
    </row>
    <row r="625" spans="1:14" hidden="1" x14ac:dyDescent="0.25">
      <c r="A625" s="151" t="s">
        <v>1964</v>
      </c>
      <c r="B625" s="233" t="str">
        <f>VLOOKUP(A625,'AFC Data details'!$B:$E,4,0)</f>
        <v>V13</v>
      </c>
      <c r="C625" s="144" t="s">
        <v>1698</v>
      </c>
      <c r="D625" s="151" t="s">
        <v>602</v>
      </c>
      <c r="E625" s="151">
        <f>VLOOKUP(A625,'AFC Data details'!$B:$P,15,0)</f>
        <v>2.1840000000000002</v>
      </c>
      <c r="F625" s="151">
        <f>SUMIFS('AFC Data details'!C:C,'AFC Data details'!$B:$B,'Element wise-detail Summary'!$A625)</f>
        <v>1</v>
      </c>
      <c r="G625" s="151">
        <f>SUMIFS(Cast!$C:$C,Cast!$B:$B,'Element wise-detail Summary'!$A625)</f>
        <v>1</v>
      </c>
      <c r="H625" s="151">
        <f t="shared" si="54"/>
        <v>0</v>
      </c>
      <c r="I625" s="151">
        <f>SUMIFS(Del!$C:$C,Del!$B:$B,'Element wise-detail Summary'!$A625)</f>
        <v>0</v>
      </c>
      <c r="J625" s="151">
        <f t="shared" si="55"/>
        <v>1</v>
      </c>
      <c r="K625" s="151">
        <f t="shared" si="56"/>
        <v>1</v>
      </c>
      <c r="L625" s="151">
        <f>SUMIF(Ere!$B:$B,'Element wise-detail Summary'!$A625,Ere!$C:$C)</f>
        <v>1</v>
      </c>
      <c r="M625" s="151">
        <f t="shared" si="57"/>
        <v>0</v>
      </c>
      <c r="N625">
        <f t="shared" si="58"/>
        <v>0</v>
      </c>
    </row>
    <row r="626" spans="1:14" hidden="1" x14ac:dyDescent="0.25">
      <c r="A626" s="151" t="s">
        <v>1973</v>
      </c>
      <c r="B626" s="233" t="str">
        <f>VLOOKUP(A626,'AFC Data details'!$B:$E,4,0)</f>
        <v>V13</v>
      </c>
      <c r="C626" s="144" t="s">
        <v>1698</v>
      </c>
      <c r="D626" s="151" t="s">
        <v>602</v>
      </c>
      <c r="E626" s="151">
        <f>VLOOKUP(A626,'AFC Data details'!$B:$P,15,0)</f>
        <v>2.1840000000000002</v>
      </c>
      <c r="F626" s="151">
        <f>SUMIFS('AFC Data details'!C:C,'AFC Data details'!$B:$B,'Element wise-detail Summary'!$A626)</f>
        <v>1</v>
      </c>
      <c r="G626" s="151">
        <f>SUMIFS(Cast!$C:$C,Cast!$B:$B,'Element wise-detail Summary'!$A626)</f>
        <v>1</v>
      </c>
      <c r="H626" s="151">
        <f t="shared" si="54"/>
        <v>0</v>
      </c>
      <c r="I626" s="151">
        <f>SUMIFS(Del!$C:$C,Del!$B:$B,'Element wise-detail Summary'!$A626)</f>
        <v>0</v>
      </c>
      <c r="J626" s="151">
        <f t="shared" si="55"/>
        <v>1</v>
      </c>
      <c r="K626" s="151">
        <f t="shared" si="56"/>
        <v>1</v>
      </c>
      <c r="L626" s="151">
        <f>SUMIF(Ere!$B:$B,'Element wise-detail Summary'!$A626,Ere!$C:$C)</f>
        <v>1</v>
      </c>
      <c r="M626" s="151">
        <f t="shared" si="57"/>
        <v>0</v>
      </c>
      <c r="N626">
        <f t="shared" si="58"/>
        <v>0</v>
      </c>
    </row>
    <row r="627" spans="1:14" hidden="1" x14ac:dyDescent="0.25">
      <c r="A627" s="151" t="s">
        <v>1974</v>
      </c>
      <c r="B627" s="233" t="str">
        <f>VLOOKUP(A627,'AFC Data details'!$B:$E,4,0)</f>
        <v>V13</v>
      </c>
      <c r="C627" s="144" t="s">
        <v>1698</v>
      </c>
      <c r="D627" s="151" t="s">
        <v>602</v>
      </c>
      <c r="E627" s="151">
        <f>VLOOKUP(A627,'AFC Data details'!$B:$P,15,0)</f>
        <v>2.1840000000000002</v>
      </c>
      <c r="F627" s="151">
        <f>SUMIFS('AFC Data details'!C:C,'AFC Data details'!$B:$B,'Element wise-detail Summary'!$A627)</f>
        <v>1</v>
      </c>
      <c r="G627" s="151">
        <f>SUMIFS(Cast!$C:$C,Cast!$B:$B,'Element wise-detail Summary'!$A627)</f>
        <v>1</v>
      </c>
      <c r="H627" s="151">
        <f t="shared" si="54"/>
        <v>0</v>
      </c>
      <c r="I627" s="151">
        <f>SUMIFS(Del!$C:$C,Del!$B:$B,'Element wise-detail Summary'!$A627)</f>
        <v>0</v>
      </c>
      <c r="J627" s="151">
        <f t="shared" si="55"/>
        <v>1</v>
      </c>
      <c r="K627" s="151">
        <f t="shared" si="56"/>
        <v>1</v>
      </c>
      <c r="L627" s="151">
        <f>SUMIF(Ere!$B:$B,'Element wise-detail Summary'!$A627,Ere!$C:$C)</f>
        <v>1</v>
      </c>
      <c r="M627" s="151">
        <f t="shared" si="57"/>
        <v>0</v>
      </c>
      <c r="N627">
        <f t="shared" si="58"/>
        <v>0</v>
      </c>
    </row>
    <row r="628" spans="1:14" hidden="1" x14ac:dyDescent="0.25">
      <c r="A628" s="151" t="s">
        <v>2009</v>
      </c>
      <c r="B628" s="233" t="str">
        <f>VLOOKUP(A628,'AFC Data details'!$B:$E,4,0)</f>
        <v>V13</v>
      </c>
      <c r="C628" s="144" t="s">
        <v>1698</v>
      </c>
      <c r="D628" s="151" t="s">
        <v>602</v>
      </c>
      <c r="E628" s="151">
        <f>VLOOKUP(A628,'AFC Data details'!$B:$P,15,0)</f>
        <v>2.1840000000000002</v>
      </c>
      <c r="F628" s="151">
        <f>SUMIFS('AFC Data details'!C:C,'AFC Data details'!$B:$B,'Element wise-detail Summary'!$A628)</f>
        <v>1</v>
      </c>
      <c r="G628" s="151">
        <f>SUMIFS(Cast!$C:$C,Cast!$B:$B,'Element wise-detail Summary'!$A628)</f>
        <v>1</v>
      </c>
      <c r="H628" s="151">
        <f t="shared" si="54"/>
        <v>0</v>
      </c>
      <c r="I628" s="151">
        <f>SUMIFS(Del!$C:$C,Del!$B:$B,'Element wise-detail Summary'!$A628)</f>
        <v>0</v>
      </c>
      <c r="J628" s="151">
        <f t="shared" si="55"/>
        <v>1</v>
      </c>
      <c r="K628" s="151">
        <f t="shared" si="56"/>
        <v>1</v>
      </c>
      <c r="L628" s="151">
        <f>SUMIF(Ere!$B:$B,'Element wise-detail Summary'!$A628,Ere!$C:$C)</f>
        <v>1</v>
      </c>
      <c r="M628" s="151">
        <f t="shared" si="57"/>
        <v>0</v>
      </c>
      <c r="N628">
        <f t="shared" si="58"/>
        <v>0</v>
      </c>
    </row>
    <row r="629" spans="1:14" hidden="1" x14ac:dyDescent="0.25">
      <c r="A629" s="151" t="s">
        <v>1862</v>
      </c>
      <c r="B629" s="233" t="str">
        <f>VLOOKUP(A629,'AFC Data details'!$B:$E,4,0)</f>
        <v>V13</v>
      </c>
      <c r="C629" s="144" t="s">
        <v>1698</v>
      </c>
      <c r="D629" s="151" t="s">
        <v>602</v>
      </c>
      <c r="E629" s="151">
        <f>VLOOKUP(A629,'AFC Data details'!$B:$P,15,0)</f>
        <v>2.1840000000000002</v>
      </c>
      <c r="F629" s="151">
        <f>SUMIFS('AFC Data details'!C:C,'AFC Data details'!$B:$B,'Element wise-detail Summary'!$A629)</f>
        <v>1</v>
      </c>
      <c r="G629" s="151">
        <f>SUMIFS(Cast!$C:$C,Cast!$B:$B,'Element wise-detail Summary'!$A629)</f>
        <v>1</v>
      </c>
      <c r="H629" s="151">
        <f t="shared" si="54"/>
        <v>0</v>
      </c>
      <c r="I629" s="151">
        <f>SUMIFS(Del!$C:$C,Del!$B:$B,'Element wise-detail Summary'!$A629)</f>
        <v>1</v>
      </c>
      <c r="J629" s="151">
        <f t="shared" si="55"/>
        <v>0</v>
      </c>
      <c r="K629" s="151">
        <f t="shared" si="56"/>
        <v>0</v>
      </c>
      <c r="L629" s="151">
        <f>SUMIF(Ere!$B:$B,'Element wise-detail Summary'!$A629,Ere!$C:$C)</f>
        <v>1</v>
      </c>
      <c r="M629" s="151">
        <f t="shared" si="57"/>
        <v>0</v>
      </c>
      <c r="N629">
        <f t="shared" si="58"/>
        <v>2.1840000000000002</v>
      </c>
    </row>
    <row r="630" spans="1:14" hidden="1" x14ac:dyDescent="0.25">
      <c r="A630" s="151" t="s">
        <v>1982</v>
      </c>
      <c r="B630" s="233" t="str">
        <f>VLOOKUP(A630,'AFC Data details'!$B:$E,4,0)</f>
        <v>V12</v>
      </c>
      <c r="C630" s="144" t="s">
        <v>1698</v>
      </c>
      <c r="D630" s="151" t="s">
        <v>602</v>
      </c>
      <c r="E630" s="151">
        <f>VLOOKUP(A630,'AFC Data details'!$B:$P,15,0)</f>
        <v>2.1840000000000002</v>
      </c>
      <c r="F630" s="151">
        <f>SUMIFS('AFC Data details'!C:C,'AFC Data details'!$B:$B,'Element wise-detail Summary'!$A630)</f>
        <v>1</v>
      </c>
      <c r="G630" s="151">
        <f>SUMIFS(Cast!$C:$C,Cast!$B:$B,'Element wise-detail Summary'!$A630)</f>
        <v>1</v>
      </c>
      <c r="H630" s="151">
        <f t="shared" si="54"/>
        <v>0</v>
      </c>
      <c r="I630" s="151">
        <f>SUMIFS(Del!$C:$C,Del!$B:$B,'Element wise-detail Summary'!$A630)</f>
        <v>1</v>
      </c>
      <c r="J630" s="151">
        <f t="shared" si="55"/>
        <v>0</v>
      </c>
      <c r="K630" s="151">
        <f t="shared" si="56"/>
        <v>0</v>
      </c>
      <c r="L630" s="151">
        <f>SUMIF(Ere!$B:$B,'Element wise-detail Summary'!$A630,Ere!$C:$C)</f>
        <v>1</v>
      </c>
      <c r="M630" s="151">
        <f t="shared" si="57"/>
        <v>0</v>
      </c>
      <c r="N630">
        <f t="shared" si="58"/>
        <v>2.1840000000000002</v>
      </c>
    </row>
    <row r="631" spans="1:14" hidden="1" x14ac:dyDescent="0.25">
      <c r="A631" s="151" t="s">
        <v>1863</v>
      </c>
      <c r="B631" s="233" t="str">
        <f>VLOOKUP(A631,'AFC Data details'!$B:$E,4,0)</f>
        <v>V14</v>
      </c>
      <c r="C631" s="144" t="s">
        <v>1698</v>
      </c>
      <c r="D631" s="151" t="s">
        <v>602</v>
      </c>
      <c r="E631" s="151">
        <f>VLOOKUP(A631,'AFC Data details'!$B:$P,15,0)</f>
        <v>2.1339999999999999</v>
      </c>
      <c r="F631" s="151">
        <f>SUMIFS('AFC Data details'!C:C,'AFC Data details'!$B:$B,'Element wise-detail Summary'!$A631)</f>
        <v>1</v>
      </c>
      <c r="G631" s="151">
        <f>SUMIFS(Cast!$C:$C,Cast!$B:$B,'Element wise-detail Summary'!$A631)</f>
        <v>1</v>
      </c>
      <c r="H631" s="151">
        <f t="shared" si="54"/>
        <v>0</v>
      </c>
      <c r="I631" s="151">
        <f>SUMIFS(Del!$C:$C,Del!$B:$B,'Element wise-detail Summary'!$A631)</f>
        <v>1</v>
      </c>
      <c r="J631" s="151">
        <f t="shared" si="55"/>
        <v>0</v>
      </c>
      <c r="K631" s="151">
        <f t="shared" si="56"/>
        <v>0</v>
      </c>
      <c r="L631" s="151">
        <f>SUMIF(Ere!$B:$B,'Element wise-detail Summary'!$A631,Ere!$C:$C)</f>
        <v>1</v>
      </c>
      <c r="M631" s="151">
        <f t="shared" si="57"/>
        <v>0</v>
      </c>
      <c r="N631">
        <f t="shared" si="58"/>
        <v>2.1339999999999999</v>
      </c>
    </row>
    <row r="632" spans="1:14" hidden="1" x14ac:dyDescent="0.25">
      <c r="A632" s="151" t="s">
        <v>2010</v>
      </c>
      <c r="B632" s="233" t="str">
        <f>VLOOKUP(A632,'AFC Data details'!$B:$E,4,0)</f>
        <v>V15</v>
      </c>
      <c r="C632" s="144" t="s">
        <v>1698</v>
      </c>
      <c r="D632" s="151" t="s">
        <v>602</v>
      </c>
      <c r="E632" s="151">
        <f>VLOOKUP(A632,'AFC Data details'!$B:$P,15,0)</f>
        <v>2.1339999999999999</v>
      </c>
      <c r="F632" s="151">
        <f>SUMIFS('AFC Data details'!C:C,'AFC Data details'!$B:$B,'Element wise-detail Summary'!$A632)</f>
        <v>1</v>
      </c>
      <c r="G632" s="151">
        <f>SUMIFS(Cast!$C:$C,Cast!$B:$B,'Element wise-detail Summary'!$A632)</f>
        <v>1</v>
      </c>
      <c r="H632" s="151">
        <f t="shared" si="54"/>
        <v>0</v>
      </c>
      <c r="I632" s="151">
        <f>SUMIFS(Del!$C:$C,Del!$B:$B,'Element wise-detail Summary'!$A632)</f>
        <v>0</v>
      </c>
      <c r="J632" s="151">
        <f t="shared" si="55"/>
        <v>1</v>
      </c>
      <c r="K632" s="151">
        <f t="shared" si="56"/>
        <v>1</v>
      </c>
      <c r="L632" s="151">
        <f>SUMIF(Ere!$B:$B,'Element wise-detail Summary'!$A632,Ere!$C:$C)</f>
        <v>1</v>
      </c>
      <c r="M632" s="151">
        <f t="shared" si="57"/>
        <v>0</v>
      </c>
      <c r="N632">
        <f t="shared" si="58"/>
        <v>0</v>
      </c>
    </row>
    <row r="633" spans="1:14" hidden="1" x14ac:dyDescent="0.25">
      <c r="A633" s="151" t="s">
        <v>1864</v>
      </c>
      <c r="B633" s="233" t="str">
        <f>VLOOKUP(A633,'AFC Data details'!$B:$E,4,0)</f>
        <v>V14</v>
      </c>
      <c r="C633" s="144" t="s">
        <v>1698</v>
      </c>
      <c r="D633" s="151" t="s">
        <v>602</v>
      </c>
      <c r="E633" s="151">
        <f>VLOOKUP(A633,'AFC Data details'!$B:$P,15,0)</f>
        <v>2.1339999999999999</v>
      </c>
      <c r="F633" s="151">
        <f>SUMIFS('AFC Data details'!C:C,'AFC Data details'!$B:$B,'Element wise-detail Summary'!$A633)</f>
        <v>1</v>
      </c>
      <c r="G633" s="151">
        <f>SUMIFS(Cast!$C:$C,Cast!$B:$B,'Element wise-detail Summary'!$A633)</f>
        <v>1</v>
      </c>
      <c r="H633" s="151">
        <f t="shared" si="54"/>
        <v>0</v>
      </c>
      <c r="I633" s="151">
        <f>SUMIFS(Del!$C:$C,Del!$B:$B,'Element wise-detail Summary'!$A633)</f>
        <v>1</v>
      </c>
      <c r="J633" s="151">
        <f t="shared" si="55"/>
        <v>0</v>
      </c>
      <c r="K633" s="151">
        <f t="shared" si="56"/>
        <v>0</v>
      </c>
      <c r="L633" s="151">
        <f>SUMIF(Ere!$B:$B,'Element wise-detail Summary'!$A633,Ere!$C:$C)</f>
        <v>1</v>
      </c>
      <c r="M633" s="151">
        <f t="shared" si="57"/>
        <v>0</v>
      </c>
      <c r="N633">
        <f t="shared" si="58"/>
        <v>2.1339999999999999</v>
      </c>
    </row>
    <row r="634" spans="1:14" hidden="1" x14ac:dyDescent="0.25">
      <c r="A634" s="151" t="s">
        <v>2011</v>
      </c>
      <c r="B634" s="233" t="str">
        <f>VLOOKUP(A634,'AFC Data details'!$B:$E,4,0)</f>
        <v>V14</v>
      </c>
      <c r="C634" s="144" t="s">
        <v>1698</v>
      </c>
      <c r="D634" s="151" t="s">
        <v>602</v>
      </c>
      <c r="E634" s="151">
        <f>VLOOKUP(A634,'AFC Data details'!$B:$P,15,0)</f>
        <v>2.1339999999999999</v>
      </c>
      <c r="F634" s="151">
        <f>SUMIFS('AFC Data details'!C:C,'AFC Data details'!$B:$B,'Element wise-detail Summary'!$A634)</f>
        <v>1</v>
      </c>
      <c r="G634" s="151">
        <f>SUMIFS(Cast!$C:$C,Cast!$B:$B,'Element wise-detail Summary'!$A634)</f>
        <v>1</v>
      </c>
      <c r="H634" s="151">
        <f t="shared" ref="H634:H646" si="59">F634-G634</f>
        <v>0</v>
      </c>
      <c r="I634" s="151">
        <f>SUMIFS(Del!$C:$C,Del!$B:$B,'Element wise-detail Summary'!$A634)</f>
        <v>1</v>
      </c>
      <c r="J634" s="151">
        <f t="shared" ref="J634:J646" si="60">F634-I634</f>
        <v>0</v>
      </c>
      <c r="K634" s="151">
        <f t="shared" ref="K634:K646" si="61">G634-I634</f>
        <v>0</v>
      </c>
      <c r="L634" s="151">
        <f>SUMIF(Ere!$B:$B,'Element wise-detail Summary'!$A634,Ere!$C:$C)</f>
        <v>1</v>
      </c>
      <c r="M634" s="151">
        <f t="shared" ref="M634:M646" si="62">F634-L634</f>
        <v>0</v>
      </c>
      <c r="N634">
        <f t="shared" si="58"/>
        <v>2.1339999999999999</v>
      </c>
    </row>
    <row r="635" spans="1:14" hidden="1" x14ac:dyDescent="0.25">
      <c r="A635" s="151" t="s">
        <v>2012</v>
      </c>
      <c r="B635" s="233" t="str">
        <f>VLOOKUP(A635,'AFC Data details'!$B:$E,4,0)</f>
        <v>V14</v>
      </c>
      <c r="C635" s="144" t="s">
        <v>1698</v>
      </c>
      <c r="D635" s="151" t="s">
        <v>602</v>
      </c>
      <c r="E635" s="151">
        <f>VLOOKUP(A635,'AFC Data details'!$B:$P,15,0)</f>
        <v>2.1339999999999999</v>
      </c>
      <c r="F635" s="151">
        <f>SUMIFS('AFC Data details'!C:C,'AFC Data details'!$B:$B,'Element wise-detail Summary'!$A635)</f>
        <v>1</v>
      </c>
      <c r="G635" s="151">
        <f>SUMIFS(Cast!$C:$C,Cast!$B:$B,'Element wise-detail Summary'!$A635)</f>
        <v>1</v>
      </c>
      <c r="H635" s="151">
        <f t="shared" si="59"/>
        <v>0</v>
      </c>
      <c r="I635" s="151">
        <f>SUMIFS(Del!$C:$C,Del!$B:$B,'Element wise-detail Summary'!$A635)</f>
        <v>1</v>
      </c>
      <c r="J635" s="151">
        <f t="shared" si="60"/>
        <v>0</v>
      </c>
      <c r="K635" s="151">
        <f t="shared" si="61"/>
        <v>0</v>
      </c>
      <c r="L635" s="151">
        <f>SUMIF(Ere!$B:$B,'Element wise-detail Summary'!$A635,Ere!$C:$C)</f>
        <v>1</v>
      </c>
      <c r="M635" s="151">
        <f t="shared" si="62"/>
        <v>0</v>
      </c>
      <c r="N635">
        <f t="shared" si="58"/>
        <v>2.1339999999999999</v>
      </c>
    </row>
    <row r="636" spans="1:14" hidden="1" x14ac:dyDescent="0.25">
      <c r="A636" s="151" t="s">
        <v>1972</v>
      </c>
      <c r="B636" s="233" t="str">
        <f>VLOOKUP(A636,'AFC Data details'!$B:$E,4,0)</f>
        <v>V14</v>
      </c>
      <c r="C636" s="144" t="s">
        <v>1698</v>
      </c>
      <c r="D636" s="151" t="s">
        <v>602</v>
      </c>
      <c r="E636" s="151">
        <f>VLOOKUP(A636,'AFC Data details'!$B:$P,15,0)</f>
        <v>2.1339999999999999</v>
      </c>
      <c r="F636" s="151">
        <f>SUMIFS('AFC Data details'!C:C,'AFC Data details'!$B:$B,'Element wise-detail Summary'!$A636)</f>
        <v>1</v>
      </c>
      <c r="G636" s="151">
        <f>SUMIFS(Cast!$C:$C,Cast!$B:$B,'Element wise-detail Summary'!$A636)</f>
        <v>1</v>
      </c>
      <c r="H636" s="151">
        <f t="shared" si="59"/>
        <v>0</v>
      </c>
      <c r="I636" s="151">
        <f>SUMIFS(Del!$C:$C,Del!$B:$B,'Element wise-detail Summary'!$A636)</f>
        <v>1</v>
      </c>
      <c r="J636" s="151">
        <f t="shared" si="60"/>
        <v>0</v>
      </c>
      <c r="K636" s="151">
        <f t="shared" si="61"/>
        <v>0</v>
      </c>
      <c r="L636" s="151">
        <f>SUMIF(Ere!$B:$B,'Element wise-detail Summary'!$A636,Ere!$C:$C)</f>
        <v>1</v>
      </c>
      <c r="M636" s="151">
        <f t="shared" si="62"/>
        <v>0</v>
      </c>
      <c r="N636">
        <f t="shared" si="58"/>
        <v>2.1339999999999999</v>
      </c>
    </row>
    <row r="637" spans="1:14" hidden="1" x14ac:dyDescent="0.25">
      <c r="A637" s="151" t="s">
        <v>2013</v>
      </c>
      <c r="B637" s="233" t="str">
        <f>VLOOKUP(A637,'AFC Data details'!$B:$E,4,0)</f>
        <v>V15</v>
      </c>
      <c r="C637" s="144" t="s">
        <v>1698</v>
      </c>
      <c r="D637" s="151" t="s">
        <v>602</v>
      </c>
      <c r="E637" s="151">
        <f>VLOOKUP(A637,'AFC Data details'!$B:$P,15,0)</f>
        <v>2.1339999999999999</v>
      </c>
      <c r="F637" s="151">
        <f>SUMIFS('AFC Data details'!C:C,'AFC Data details'!$B:$B,'Element wise-detail Summary'!$A637)</f>
        <v>1</v>
      </c>
      <c r="G637" s="151">
        <f>SUMIFS(Cast!$C:$C,Cast!$B:$B,'Element wise-detail Summary'!$A637)</f>
        <v>1</v>
      </c>
      <c r="H637" s="151">
        <f t="shared" si="59"/>
        <v>0</v>
      </c>
      <c r="I637" s="151">
        <f>SUMIFS(Del!$C:$C,Del!$B:$B,'Element wise-detail Summary'!$A637)</f>
        <v>1</v>
      </c>
      <c r="J637" s="151">
        <f t="shared" si="60"/>
        <v>0</v>
      </c>
      <c r="K637" s="151">
        <f t="shared" si="61"/>
        <v>0</v>
      </c>
      <c r="L637" s="151">
        <f>SUMIF(Ere!$B:$B,'Element wise-detail Summary'!$A637,Ere!$C:$C)</f>
        <v>1</v>
      </c>
      <c r="M637" s="151">
        <f t="shared" si="62"/>
        <v>0</v>
      </c>
      <c r="N637">
        <f t="shared" si="58"/>
        <v>2.1339999999999999</v>
      </c>
    </row>
    <row r="638" spans="1:14" hidden="1" x14ac:dyDescent="0.25">
      <c r="A638" s="151" t="s">
        <v>2014</v>
      </c>
      <c r="B638" s="233" t="str">
        <f>VLOOKUP(A638,'AFC Data details'!$B:$E,4,0)</f>
        <v>V15</v>
      </c>
      <c r="C638" s="144" t="s">
        <v>1698</v>
      </c>
      <c r="D638" s="151" t="s">
        <v>602</v>
      </c>
      <c r="E638" s="151">
        <f>VLOOKUP(A638,'AFC Data details'!$B:$P,15,0)</f>
        <v>2.1339999999999999</v>
      </c>
      <c r="F638" s="151">
        <f>SUMIFS('AFC Data details'!C:C,'AFC Data details'!$B:$B,'Element wise-detail Summary'!$A638)</f>
        <v>1</v>
      </c>
      <c r="G638" s="151">
        <f>SUMIFS(Cast!$C:$C,Cast!$B:$B,'Element wise-detail Summary'!$A638)</f>
        <v>1</v>
      </c>
      <c r="H638" s="151">
        <f t="shared" si="59"/>
        <v>0</v>
      </c>
      <c r="I638" s="151">
        <f>SUMIFS(Del!$C:$C,Del!$B:$B,'Element wise-detail Summary'!$A638)</f>
        <v>1</v>
      </c>
      <c r="J638" s="151">
        <f t="shared" si="60"/>
        <v>0</v>
      </c>
      <c r="K638" s="151">
        <f t="shared" si="61"/>
        <v>0</v>
      </c>
      <c r="L638" s="151">
        <f>SUMIF(Ere!$B:$B,'Element wise-detail Summary'!$A638,Ere!$C:$C)</f>
        <v>1</v>
      </c>
      <c r="M638" s="151">
        <f t="shared" si="62"/>
        <v>0</v>
      </c>
      <c r="N638">
        <f t="shared" si="58"/>
        <v>2.1339999999999999</v>
      </c>
    </row>
    <row r="639" spans="1:14" hidden="1" x14ac:dyDescent="0.25">
      <c r="A639" s="151" t="s">
        <v>2015</v>
      </c>
      <c r="B639" s="233" t="str">
        <f>VLOOKUP(A639,'AFC Data details'!$B:$E,4,0)</f>
        <v>V15</v>
      </c>
      <c r="C639" s="144" t="s">
        <v>1698</v>
      </c>
      <c r="D639" s="151" t="s">
        <v>602</v>
      </c>
      <c r="E639" s="151">
        <f>VLOOKUP(A639,'AFC Data details'!$B:$P,15,0)</f>
        <v>2.1339999999999999</v>
      </c>
      <c r="F639" s="151">
        <f>SUMIFS('AFC Data details'!C:C,'AFC Data details'!$B:$B,'Element wise-detail Summary'!$A639)</f>
        <v>1</v>
      </c>
      <c r="G639" s="151">
        <f>SUMIFS(Cast!$C:$C,Cast!$B:$B,'Element wise-detail Summary'!$A639)</f>
        <v>1</v>
      </c>
      <c r="H639" s="151">
        <f t="shared" si="59"/>
        <v>0</v>
      </c>
      <c r="I639" s="151">
        <f>SUMIFS(Del!$C:$C,Del!$B:$B,'Element wise-detail Summary'!$A639)</f>
        <v>1</v>
      </c>
      <c r="J639" s="151">
        <f t="shared" si="60"/>
        <v>0</v>
      </c>
      <c r="K639" s="151">
        <f t="shared" si="61"/>
        <v>0</v>
      </c>
      <c r="L639" s="151">
        <f>SUMIF(Ere!$B:$B,'Element wise-detail Summary'!$A639,Ere!$C:$C)</f>
        <v>1</v>
      </c>
      <c r="M639" s="151">
        <f t="shared" si="62"/>
        <v>0</v>
      </c>
      <c r="N639">
        <f t="shared" si="58"/>
        <v>2.1339999999999999</v>
      </c>
    </row>
    <row r="640" spans="1:14" hidden="1" x14ac:dyDescent="0.25">
      <c r="A640" s="151" t="s">
        <v>2016</v>
      </c>
      <c r="B640" s="233" t="str">
        <f>VLOOKUP(A640,'AFC Data details'!$B:$E,4,0)</f>
        <v>V15</v>
      </c>
      <c r="C640" s="144" t="s">
        <v>1698</v>
      </c>
      <c r="D640" s="151" t="s">
        <v>602</v>
      </c>
      <c r="E640" s="151">
        <f>VLOOKUP(A640,'AFC Data details'!$B:$P,15,0)</f>
        <v>2.1339999999999999</v>
      </c>
      <c r="F640" s="151">
        <f>SUMIFS('AFC Data details'!C:C,'AFC Data details'!$B:$B,'Element wise-detail Summary'!$A640)</f>
        <v>1</v>
      </c>
      <c r="G640" s="151">
        <f>SUMIFS(Cast!$C:$C,Cast!$B:$B,'Element wise-detail Summary'!$A640)</f>
        <v>1</v>
      </c>
      <c r="H640" s="151">
        <f t="shared" si="59"/>
        <v>0</v>
      </c>
      <c r="I640" s="151">
        <f>SUMIFS(Del!$C:$C,Del!$B:$B,'Element wise-detail Summary'!$A640)</f>
        <v>1</v>
      </c>
      <c r="J640" s="151">
        <f t="shared" si="60"/>
        <v>0</v>
      </c>
      <c r="K640" s="151">
        <f t="shared" si="61"/>
        <v>0</v>
      </c>
      <c r="L640" s="151">
        <f>SUMIF(Ere!$B:$B,'Element wise-detail Summary'!$A640,Ere!$C:$C)</f>
        <v>1</v>
      </c>
      <c r="M640" s="151">
        <f t="shared" si="62"/>
        <v>0</v>
      </c>
      <c r="N640">
        <f t="shared" si="58"/>
        <v>2.1339999999999999</v>
      </c>
    </row>
    <row r="641" spans="1:14" hidden="1" x14ac:dyDescent="0.25">
      <c r="A641" s="151" t="s">
        <v>1865</v>
      </c>
      <c r="B641" s="233" t="str">
        <f>VLOOKUP(A641,'AFC Data details'!$B:$E,4,0)</f>
        <v>V15</v>
      </c>
      <c r="C641" s="144" t="s">
        <v>1698</v>
      </c>
      <c r="D641" s="151" t="s">
        <v>602</v>
      </c>
      <c r="E641" s="151">
        <f>VLOOKUP(A641,'AFC Data details'!$B:$P,15,0)</f>
        <v>2.1339999999999999</v>
      </c>
      <c r="F641" s="151">
        <f>SUMIFS('AFC Data details'!C:C,'AFC Data details'!$B:$B,'Element wise-detail Summary'!$A641)</f>
        <v>1</v>
      </c>
      <c r="G641" s="151">
        <f>SUMIFS(Cast!$C:$C,Cast!$B:$B,'Element wise-detail Summary'!$A641)</f>
        <v>1</v>
      </c>
      <c r="H641" s="151">
        <f t="shared" si="59"/>
        <v>0</v>
      </c>
      <c r="I641" s="151">
        <f>SUMIFS(Del!$C:$C,Del!$B:$B,'Element wise-detail Summary'!$A641)</f>
        <v>1</v>
      </c>
      <c r="J641" s="151">
        <f t="shared" si="60"/>
        <v>0</v>
      </c>
      <c r="K641" s="151">
        <f t="shared" si="61"/>
        <v>0</v>
      </c>
      <c r="L641" s="151">
        <f>SUMIF(Ere!$B:$B,'Element wise-detail Summary'!$A641,Ere!$C:$C)</f>
        <v>1</v>
      </c>
      <c r="M641" s="151">
        <f t="shared" si="62"/>
        <v>0</v>
      </c>
      <c r="N641">
        <f t="shared" si="58"/>
        <v>2.1339999999999999</v>
      </c>
    </row>
    <row r="642" spans="1:14" hidden="1" x14ac:dyDescent="0.25">
      <c r="A642" s="151" t="s">
        <v>2017</v>
      </c>
      <c r="B642" s="233" t="str">
        <f>VLOOKUP(A642,'AFC Data details'!$B:$E,4,0)</f>
        <v>V14</v>
      </c>
      <c r="C642" s="144" t="s">
        <v>1698</v>
      </c>
      <c r="D642" s="151" t="s">
        <v>602</v>
      </c>
      <c r="E642" s="151">
        <f>VLOOKUP(A642,'AFC Data details'!$B:$P,15,0)</f>
        <v>2.1339999999999999</v>
      </c>
      <c r="F642" s="151">
        <f>SUMIFS('AFC Data details'!C:C,'AFC Data details'!$B:$B,'Element wise-detail Summary'!$A642)</f>
        <v>1</v>
      </c>
      <c r="G642" s="151">
        <f>SUMIFS(Cast!$C:$C,Cast!$B:$B,'Element wise-detail Summary'!$A642)</f>
        <v>1</v>
      </c>
      <c r="H642" s="151">
        <f t="shared" si="59"/>
        <v>0</v>
      </c>
      <c r="I642" s="151">
        <f>SUMIFS(Del!$C:$C,Del!$B:$B,'Element wise-detail Summary'!$A642)</f>
        <v>1</v>
      </c>
      <c r="J642" s="151">
        <f t="shared" si="60"/>
        <v>0</v>
      </c>
      <c r="K642" s="151">
        <f t="shared" si="61"/>
        <v>0</v>
      </c>
      <c r="L642" s="151">
        <f>SUMIF(Ere!$B:$B,'Element wise-detail Summary'!$A642,Ere!$C:$C)</f>
        <v>1</v>
      </c>
      <c r="M642" s="151">
        <f t="shared" si="62"/>
        <v>0</v>
      </c>
      <c r="N642">
        <f t="shared" si="58"/>
        <v>2.1339999999999999</v>
      </c>
    </row>
    <row r="643" spans="1:14" hidden="1" x14ac:dyDescent="0.25">
      <c r="A643" s="151" t="s">
        <v>1866</v>
      </c>
      <c r="B643" s="233" t="str">
        <f>VLOOKUP(A643,'AFC Data details'!$B:$E,4,0)</f>
        <v>V16</v>
      </c>
      <c r="C643" s="144" t="s">
        <v>1698</v>
      </c>
      <c r="D643" s="151" t="s">
        <v>602</v>
      </c>
      <c r="E643" s="151">
        <f>VLOOKUP(A643,'AFC Data details'!$B:$P,15,0)</f>
        <v>1.4119999999999999</v>
      </c>
      <c r="F643" s="151">
        <f>SUMIFS('AFC Data details'!C:C,'AFC Data details'!$B:$B,'Element wise-detail Summary'!$A643)</f>
        <v>1</v>
      </c>
      <c r="G643" s="151">
        <f>SUMIFS(Cast!$C:$C,Cast!$B:$B,'Element wise-detail Summary'!$A643)</f>
        <v>1</v>
      </c>
      <c r="H643" s="151">
        <f t="shared" si="59"/>
        <v>0</v>
      </c>
      <c r="I643" s="151">
        <f>SUMIFS(Del!$C:$C,Del!$B:$B,'Element wise-detail Summary'!$A643)</f>
        <v>1</v>
      </c>
      <c r="J643" s="151">
        <f t="shared" si="60"/>
        <v>0</v>
      </c>
      <c r="K643" s="151">
        <f t="shared" si="61"/>
        <v>0</v>
      </c>
      <c r="L643" s="151">
        <f>SUMIF(Ere!$B:$B,'Element wise-detail Summary'!$A643,Ere!$C:$C)</f>
        <v>1</v>
      </c>
      <c r="M643" s="151">
        <f t="shared" si="62"/>
        <v>0</v>
      </c>
      <c r="N643">
        <f t="shared" si="58"/>
        <v>1.4119999999999999</v>
      </c>
    </row>
    <row r="644" spans="1:14" hidden="1" x14ac:dyDescent="0.25">
      <c r="A644" s="151" t="s">
        <v>1988</v>
      </c>
      <c r="B644" s="233" t="str">
        <f>VLOOKUP(A644,'AFC Data details'!$B:$E,4,0)</f>
        <v>V14</v>
      </c>
      <c r="C644" s="144" t="s">
        <v>1698</v>
      </c>
      <c r="D644" s="151" t="s">
        <v>602</v>
      </c>
      <c r="E644" s="151">
        <f>VLOOKUP(A644,'AFC Data details'!$B:$P,15,0)</f>
        <v>1.4119999999999999</v>
      </c>
      <c r="F644" s="151">
        <f>SUMIFS('AFC Data details'!C:C,'AFC Data details'!$B:$B,'Element wise-detail Summary'!$A644)</f>
        <v>1</v>
      </c>
      <c r="G644" s="151">
        <f>SUMIFS(Cast!$C:$C,Cast!$B:$B,'Element wise-detail Summary'!$A644)</f>
        <v>1</v>
      </c>
      <c r="H644" s="151">
        <f t="shared" si="59"/>
        <v>0</v>
      </c>
      <c r="I644" s="151">
        <f>SUMIFS(Del!$C:$C,Del!$B:$B,'Element wise-detail Summary'!$A644)</f>
        <v>1</v>
      </c>
      <c r="J644" s="151">
        <f t="shared" si="60"/>
        <v>0</v>
      </c>
      <c r="K644" s="151">
        <f t="shared" si="61"/>
        <v>0</v>
      </c>
      <c r="L644" s="151">
        <f>SUMIF(Ere!$B:$B,'Element wise-detail Summary'!$A644,Ere!$C:$C)</f>
        <v>1</v>
      </c>
      <c r="M644" s="151">
        <f t="shared" si="62"/>
        <v>0</v>
      </c>
      <c r="N644">
        <f t="shared" ref="N644:N707" si="63">I644*E644</f>
        <v>1.4119999999999999</v>
      </c>
    </row>
    <row r="645" spans="1:14" hidden="1" x14ac:dyDescent="0.25">
      <c r="A645" s="151" t="s">
        <v>1989</v>
      </c>
      <c r="B645" s="233" t="str">
        <f>VLOOKUP(A645,'AFC Data details'!$B:$E,4,0)</f>
        <v>V12</v>
      </c>
      <c r="C645" s="144" t="s">
        <v>1698</v>
      </c>
      <c r="D645" s="151" t="s">
        <v>602</v>
      </c>
      <c r="E645" s="151">
        <f>VLOOKUP(A645,'AFC Data details'!$B:$P,15,0)</f>
        <v>1.4119999999999999</v>
      </c>
      <c r="F645" s="151">
        <f>SUMIFS('AFC Data details'!C:C,'AFC Data details'!$B:$B,'Element wise-detail Summary'!$A645)</f>
        <v>1</v>
      </c>
      <c r="G645" s="151">
        <f>SUMIFS(Cast!$C:$C,Cast!$B:$B,'Element wise-detail Summary'!$A645)</f>
        <v>1</v>
      </c>
      <c r="H645" s="151">
        <f t="shared" si="59"/>
        <v>0</v>
      </c>
      <c r="I645" s="151">
        <f>SUMIFS(Del!$C:$C,Del!$B:$B,'Element wise-detail Summary'!$A645)</f>
        <v>1</v>
      </c>
      <c r="J645" s="151">
        <f t="shared" si="60"/>
        <v>0</v>
      </c>
      <c r="K645" s="151">
        <f t="shared" si="61"/>
        <v>0</v>
      </c>
      <c r="L645" s="151">
        <f>SUMIF(Ere!$B:$B,'Element wise-detail Summary'!$A645,Ere!$C:$C)</f>
        <v>1</v>
      </c>
      <c r="M645" s="151">
        <f t="shared" si="62"/>
        <v>0</v>
      </c>
      <c r="N645">
        <f t="shared" si="63"/>
        <v>1.4119999999999999</v>
      </c>
    </row>
    <row r="646" spans="1:14" hidden="1" x14ac:dyDescent="0.25">
      <c r="A646" s="151" t="s">
        <v>1990</v>
      </c>
      <c r="B646" s="233" t="str">
        <f>VLOOKUP(A646,'AFC Data details'!$B:$E,4,0)</f>
        <v>V10</v>
      </c>
      <c r="C646" s="144" t="s">
        <v>1698</v>
      </c>
      <c r="D646" s="151" t="s">
        <v>602</v>
      </c>
      <c r="E646" s="151">
        <f>VLOOKUP(A646,'AFC Data details'!$B:$P,15,0)</f>
        <v>1.4119999999999999</v>
      </c>
      <c r="F646" s="151">
        <f>SUMIFS('AFC Data details'!C:C,'AFC Data details'!$B:$B,'Element wise-detail Summary'!$A646)</f>
        <v>1</v>
      </c>
      <c r="G646" s="151">
        <f>SUMIFS(Cast!$C:$C,Cast!$B:$B,'Element wise-detail Summary'!$A646)</f>
        <v>1</v>
      </c>
      <c r="H646" s="151">
        <f t="shared" si="59"/>
        <v>0</v>
      </c>
      <c r="I646" s="151">
        <f>SUMIFS(Del!$C:$C,Del!$B:$B,'Element wise-detail Summary'!$A646)</f>
        <v>1</v>
      </c>
      <c r="J646" s="151">
        <f t="shared" si="60"/>
        <v>0</v>
      </c>
      <c r="K646" s="151">
        <f t="shared" si="61"/>
        <v>0</v>
      </c>
      <c r="L646" s="151">
        <f>SUMIF(Ere!$B:$B,'Element wise-detail Summary'!$A646,Ere!$C:$C)</f>
        <v>1</v>
      </c>
      <c r="M646" s="151">
        <f t="shared" si="62"/>
        <v>0</v>
      </c>
      <c r="N646">
        <f t="shared" si="63"/>
        <v>1.4119999999999999</v>
      </c>
    </row>
    <row r="647" spans="1:14" hidden="1" x14ac:dyDescent="0.25">
      <c r="A647" s="151" t="s">
        <v>1940</v>
      </c>
      <c r="B647" s="233" t="str">
        <f>VLOOKUP(A647,'AFC Data details'!$B:$E,4,0)</f>
        <v>PV36</v>
      </c>
      <c r="C647" s="144" t="s">
        <v>1697</v>
      </c>
      <c r="D647" s="151" t="s">
        <v>602</v>
      </c>
      <c r="E647" s="151">
        <f>VLOOKUP(A647,'AFC Data details'!$B:$P,15,0)</f>
        <v>1.4119999999999999</v>
      </c>
      <c r="F647" s="151">
        <f>SUMIFS('AFC Data details'!C:C,'AFC Data details'!$B:$B,'Element wise-detail Summary'!$A647)</f>
        <v>1</v>
      </c>
      <c r="G647" s="151">
        <f>SUMIFS(Cast!$C:$C,Cast!$B:$B,'Element wise-detail Summary'!$A647)</f>
        <v>1</v>
      </c>
      <c r="H647" s="151">
        <f t="shared" ref="H647:H650" si="64">F647-G647</f>
        <v>0</v>
      </c>
      <c r="I647" s="151">
        <f>SUMIFS(Del!$C:$C,Del!$B:$B,'Element wise-detail Summary'!$A647)</f>
        <v>1</v>
      </c>
      <c r="J647" s="151">
        <f t="shared" ref="J647:J650" si="65">F647-I647</f>
        <v>0</v>
      </c>
      <c r="K647" s="151">
        <f t="shared" ref="K647:K650" si="66">G647-I647</f>
        <v>0</v>
      </c>
      <c r="L647" s="151">
        <f>SUMIF(Ere!$B:$B,'Element wise-detail Summary'!$A647,Ere!$C:$C)</f>
        <v>1</v>
      </c>
      <c r="M647" s="151">
        <f t="shared" ref="M647:M650" si="67">F647-L647</f>
        <v>0</v>
      </c>
      <c r="N647">
        <f t="shared" si="63"/>
        <v>1.4119999999999999</v>
      </c>
    </row>
    <row r="648" spans="1:14" hidden="1" x14ac:dyDescent="0.25">
      <c r="A648" s="151" t="s">
        <v>1879</v>
      </c>
      <c r="B648" s="233" t="str">
        <f>VLOOKUP(A648,'AFC Data details'!$B:$E,4,0)</f>
        <v>PV20</v>
      </c>
      <c r="C648" s="144" t="s">
        <v>1697</v>
      </c>
      <c r="D648" s="151" t="s">
        <v>602</v>
      </c>
      <c r="E648" s="151">
        <f>VLOOKUP(A648,'AFC Data details'!$B:$P,15,0)</f>
        <v>2.1219999999999999</v>
      </c>
      <c r="F648" s="151">
        <f>SUMIFS('AFC Data details'!C:C,'AFC Data details'!$B:$B,'Element wise-detail Summary'!$A648)</f>
        <v>1</v>
      </c>
      <c r="G648" s="151">
        <f>SUMIFS(Cast!$C:$C,Cast!$B:$B,'Element wise-detail Summary'!$A648)</f>
        <v>1</v>
      </c>
      <c r="H648" s="151">
        <f t="shared" si="64"/>
        <v>0</v>
      </c>
      <c r="I648" s="151">
        <f>SUMIFS(Del!$C:$C,Del!$B:$B,'Element wise-detail Summary'!$A648)</f>
        <v>1</v>
      </c>
      <c r="J648" s="151">
        <f t="shared" si="65"/>
        <v>0</v>
      </c>
      <c r="K648" s="151">
        <f t="shared" si="66"/>
        <v>0</v>
      </c>
      <c r="L648" s="151">
        <f>SUMIF(Ere!$B:$B,'Element wise-detail Summary'!$A648,Ere!$C:$C)</f>
        <v>0</v>
      </c>
      <c r="M648" s="151">
        <f t="shared" si="67"/>
        <v>1</v>
      </c>
      <c r="N648">
        <f t="shared" si="63"/>
        <v>2.1219999999999999</v>
      </c>
    </row>
    <row r="649" spans="1:14" hidden="1" x14ac:dyDescent="0.25">
      <c r="A649" s="151" t="s">
        <v>1928</v>
      </c>
      <c r="B649" s="233" t="str">
        <f>VLOOKUP(A649,'AFC Data details'!$B:$E,4,0)</f>
        <v>PV34</v>
      </c>
      <c r="C649" s="144" t="s">
        <v>1697</v>
      </c>
      <c r="D649" s="151" t="s">
        <v>602</v>
      </c>
      <c r="E649" s="151">
        <f>VLOOKUP(A649,'AFC Data details'!$B:$P,15,0)</f>
        <v>2.0590000000000002</v>
      </c>
      <c r="F649" s="151">
        <f>SUMIFS('AFC Data details'!C:C,'AFC Data details'!$B:$B,'Element wise-detail Summary'!$A649)</f>
        <v>1</v>
      </c>
      <c r="G649" s="151">
        <f>SUMIFS(Cast!$C:$C,Cast!$B:$B,'Element wise-detail Summary'!$A649)</f>
        <v>1</v>
      </c>
      <c r="H649" s="151">
        <f t="shared" si="64"/>
        <v>0</v>
      </c>
      <c r="I649" s="151">
        <f>SUMIFS(Del!$C:$C,Del!$B:$B,'Element wise-detail Summary'!$A649)</f>
        <v>1</v>
      </c>
      <c r="J649" s="151">
        <f t="shared" si="65"/>
        <v>0</v>
      </c>
      <c r="K649" s="151">
        <f t="shared" si="66"/>
        <v>0</v>
      </c>
      <c r="L649" s="151">
        <f>SUMIF(Ere!$B:$B,'Element wise-detail Summary'!$A649,Ere!$C:$C)</f>
        <v>1</v>
      </c>
      <c r="M649" s="151">
        <f t="shared" si="67"/>
        <v>0</v>
      </c>
      <c r="N649">
        <f t="shared" si="63"/>
        <v>2.0590000000000002</v>
      </c>
    </row>
    <row r="650" spans="1:14" hidden="1" x14ac:dyDescent="0.25">
      <c r="A650" s="151" t="s">
        <v>2042</v>
      </c>
      <c r="B650" s="233" t="str">
        <f>VLOOKUP(A650,'AFC Data details'!$B:$E,4,0)</f>
        <v>PV34</v>
      </c>
      <c r="C650" s="144" t="s">
        <v>1697</v>
      </c>
      <c r="D650" s="151" t="s">
        <v>602</v>
      </c>
      <c r="E650" s="151">
        <f>VLOOKUP(A650,'AFC Data details'!$B:$P,15,0)</f>
        <v>1.4119999999999999</v>
      </c>
      <c r="F650" s="151">
        <f>SUMIFS('AFC Data details'!C:C,'AFC Data details'!$B:$B,'Element wise-detail Summary'!$A650)</f>
        <v>1</v>
      </c>
      <c r="G650" s="151">
        <f>SUMIFS(Cast!$C:$C,Cast!$B:$B,'Element wise-detail Summary'!$A650)</f>
        <v>1</v>
      </c>
      <c r="H650" s="151">
        <f t="shared" si="64"/>
        <v>0</v>
      </c>
      <c r="I650" s="151">
        <f>SUMIFS(Del!$C:$C,Del!$B:$B,'Element wise-detail Summary'!$A650)</f>
        <v>1</v>
      </c>
      <c r="J650" s="151">
        <f t="shared" si="65"/>
        <v>0</v>
      </c>
      <c r="K650" s="151">
        <f t="shared" si="66"/>
        <v>0</v>
      </c>
      <c r="L650" s="151">
        <f>SUMIF(Ere!$B:$B,'Element wise-detail Summary'!$A650,Ere!$C:$C)</f>
        <v>1</v>
      </c>
      <c r="M650" s="151">
        <f t="shared" si="67"/>
        <v>0</v>
      </c>
      <c r="N650">
        <f t="shared" si="63"/>
        <v>1.4119999999999999</v>
      </c>
    </row>
    <row r="651" spans="1:14" hidden="1" x14ac:dyDescent="0.25">
      <c r="A651" s="151" t="s">
        <v>1867</v>
      </c>
      <c r="B651" s="233" t="str">
        <f>VLOOKUP(A651,'AFC Data details'!$B:$E,4,0)</f>
        <v>PV17</v>
      </c>
      <c r="C651" s="144" t="s">
        <v>1697</v>
      </c>
      <c r="D651" s="151" t="s">
        <v>602</v>
      </c>
      <c r="E651" s="151">
        <f>VLOOKUP(A651,'AFC Data details'!$B:$P,15,0)</f>
        <v>0.97599999999999998</v>
      </c>
      <c r="F651" s="151">
        <f>SUMIFS('AFC Data details'!C:C,'AFC Data details'!$B:$B,'Element wise-detail Summary'!$A651)</f>
        <v>1</v>
      </c>
      <c r="G651" s="151">
        <f>SUMIFS(Cast!$C:$C,Cast!$B:$B,'Element wise-detail Summary'!$A651)</f>
        <v>1</v>
      </c>
      <c r="H651" s="151">
        <f t="shared" ref="H651:H714" si="68">F651-G651</f>
        <v>0</v>
      </c>
      <c r="I651" s="151">
        <f>SUMIFS(Del!$C:$C,Del!$B:$B,'Element wise-detail Summary'!$A651)</f>
        <v>0</v>
      </c>
      <c r="J651" s="151">
        <f t="shared" ref="J651:J714" si="69">F651-I651</f>
        <v>1</v>
      </c>
      <c r="K651" s="151">
        <f t="shared" ref="K651:K714" si="70">G651-I651</f>
        <v>1</v>
      </c>
      <c r="L651" s="151">
        <f>SUMIF(Ere!$B:$B,'Element wise-detail Summary'!$A651,Ere!$C:$C)</f>
        <v>0</v>
      </c>
      <c r="M651" s="151">
        <f t="shared" ref="M651:M714" si="71">F651-L651</f>
        <v>1</v>
      </c>
      <c r="N651">
        <f t="shared" si="63"/>
        <v>0</v>
      </c>
    </row>
    <row r="652" spans="1:14" hidden="1" x14ac:dyDescent="0.25">
      <c r="A652" s="151" t="s">
        <v>1868</v>
      </c>
      <c r="B652" s="233" t="str">
        <f>VLOOKUP(A652,'AFC Data details'!$B:$E,4,0)</f>
        <v>PV17</v>
      </c>
      <c r="C652" s="144" t="s">
        <v>1697</v>
      </c>
      <c r="D652" s="151" t="s">
        <v>602</v>
      </c>
      <c r="E652" s="151">
        <f>VLOOKUP(A652,'AFC Data details'!$B:$P,15,0)</f>
        <v>1.266</v>
      </c>
      <c r="F652" s="151">
        <f>SUMIFS('AFC Data details'!C:C,'AFC Data details'!$B:$B,'Element wise-detail Summary'!$A652)</f>
        <v>1</v>
      </c>
      <c r="G652" s="151">
        <f>SUMIFS(Cast!$C:$C,Cast!$B:$B,'Element wise-detail Summary'!$A652)</f>
        <v>1</v>
      </c>
      <c r="H652" s="151">
        <f t="shared" si="68"/>
        <v>0</v>
      </c>
      <c r="I652" s="151">
        <f>SUMIFS(Del!$C:$C,Del!$B:$B,'Element wise-detail Summary'!$A652)</f>
        <v>0</v>
      </c>
      <c r="J652" s="151">
        <f t="shared" si="69"/>
        <v>1</v>
      </c>
      <c r="K652" s="151">
        <f t="shared" si="70"/>
        <v>1</v>
      </c>
      <c r="L652" s="151">
        <f>SUMIF(Ere!$B:$B,'Element wise-detail Summary'!$A652,Ere!$C:$C)</f>
        <v>0</v>
      </c>
      <c r="M652" s="151">
        <f t="shared" si="71"/>
        <v>1</v>
      </c>
      <c r="N652">
        <f t="shared" si="63"/>
        <v>0</v>
      </c>
    </row>
    <row r="653" spans="1:14" hidden="1" x14ac:dyDescent="0.25">
      <c r="A653" s="151" t="s">
        <v>1869</v>
      </c>
      <c r="B653" s="233" t="str">
        <f>VLOOKUP(A653,'AFC Data details'!$B:$E,4,0)</f>
        <v>PV17</v>
      </c>
      <c r="C653" s="144" t="s">
        <v>1697</v>
      </c>
      <c r="D653" s="151" t="s">
        <v>602</v>
      </c>
      <c r="E653" s="151">
        <f>VLOOKUP(A653,'AFC Data details'!$B:$P,15,0)</f>
        <v>1.974</v>
      </c>
      <c r="F653" s="151">
        <f>SUMIFS('AFC Data details'!C:C,'AFC Data details'!$B:$B,'Element wise-detail Summary'!$A653)</f>
        <v>1</v>
      </c>
      <c r="G653" s="151">
        <f>SUMIFS(Cast!$C:$C,Cast!$B:$B,'Element wise-detail Summary'!$A653)</f>
        <v>1</v>
      </c>
      <c r="H653" s="151">
        <f t="shared" si="68"/>
        <v>0</v>
      </c>
      <c r="I653" s="151">
        <f>SUMIFS(Del!$C:$C,Del!$B:$B,'Element wise-detail Summary'!$A653)</f>
        <v>0</v>
      </c>
      <c r="J653" s="151">
        <f t="shared" si="69"/>
        <v>1</v>
      </c>
      <c r="K653" s="151">
        <f t="shared" si="70"/>
        <v>1</v>
      </c>
      <c r="L653" s="151">
        <f>SUMIF(Ere!$B:$B,'Element wise-detail Summary'!$A653,Ere!$C:$C)</f>
        <v>0</v>
      </c>
      <c r="M653" s="151">
        <f t="shared" si="71"/>
        <v>1</v>
      </c>
      <c r="N653">
        <f t="shared" si="63"/>
        <v>0</v>
      </c>
    </row>
    <row r="654" spans="1:14" hidden="1" x14ac:dyDescent="0.25">
      <c r="A654" s="151" t="s">
        <v>1870</v>
      </c>
      <c r="B654" s="233" t="str">
        <f>VLOOKUP(A654,'AFC Data details'!$B:$E,4,0)</f>
        <v>PV17</v>
      </c>
      <c r="C654" s="144" t="s">
        <v>1697</v>
      </c>
      <c r="D654" s="151" t="s">
        <v>602</v>
      </c>
      <c r="E654" s="151">
        <f>VLOOKUP(A654,'AFC Data details'!$B:$P,15,0)</f>
        <v>1.9790000000000001</v>
      </c>
      <c r="F654" s="151">
        <f>SUMIFS('AFC Data details'!C:C,'AFC Data details'!$B:$B,'Element wise-detail Summary'!$A654)</f>
        <v>1</v>
      </c>
      <c r="G654" s="151">
        <f>SUMIFS(Cast!$C:$C,Cast!$B:$B,'Element wise-detail Summary'!$A654)</f>
        <v>1</v>
      </c>
      <c r="H654" s="151">
        <f t="shared" si="68"/>
        <v>0</v>
      </c>
      <c r="I654" s="151">
        <f>SUMIFS(Del!$C:$C,Del!$B:$B,'Element wise-detail Summary'!$A654)</f>
        <v>0</v>
      </c>
      <c r="J654" s="151">
        <f t="shared" si="69"/>
        <v>1</v>
      </c>
      <c r="K654" s="151">
        <f t="shared" si="70"/>
        <v>1</v>
      </c>
      <c r="L654" s="151">
        <f>SUMIF(Ere!$B:$B,'Element wise-detail Summary'!$A654,Ere!$C:$C)</f>
        <v>0</v>
      </c>
      <c r="M654" s="151">
        <f t="shared" si="71"/>
        <v>1</v>
      </c>
      <c r="N654">
        <f t="shared" si="63"/>
        <v>0</v>
      </c>
    </row>
    <row r="655" spans="1:14" hidden="1" x14ac:dyDescent="0.25">
      <c r="A655" s="151" t="s">
        <v>2048</v>
      </c>
      <c r="B655" s="233" t="str">
        <f>VLOOKUP(A655,'AFC Data details'!$B:$E,4,0)</f>
        <v>PV17</v>
      </c>
      <c r="C655" s="144" t="s">
        <v>1697</v>
      </c>
      <c r="D655" s="151" t="s">
        <v>602</v>
      </c>
      <c r="E655" s="151">
        <f>VLOOKUP(A655,'AFC Data details'!$B:$P,15,0)</f>
        <v>1.9790000000000001</v>
      </c>
      <c r="F655" s="151">
        <f>SUMIFS('AFC Data details'!C:C,'AFC Data details'!$B:$B,'Element wise-detail Summary'!$A655)</f>
        <v>1</v>
      </c>
      <c r="G655" s="151">
        <f>SUMIFS(Cast!$C:$C,Cast!$B:$B,'Element wise-detail Summary'!$A655)</f>
        <v>1</v>
      </c>
      <c r="H655" s="151">
        <f t="shared" si="68"/>
        <v>0</v>
      </c>
      <c r="I655" s="151">
        <f>SUMIFS(Del!$C:$C,Del!$B:$B,'Element wise-detail Summary'!$A655)</f>
        <v>0</v>
      </c>
      <c r="J655" s="151">
        <f t="shared" si="69"/>
        <v>1</v>
      </c>
      <c r="K655" s="151">
        <f t="shared" si="70"/>
        <v>1</v>
      </c>
      <c r="L655" s="151">
        <f>SUMIF(Ere!$B:$B,'Element wise-detail Summary'!$A655,Ere!$C:$C)</f>
        <v>0</v>
      </c>
      <c r="M655" s="151">
        <f t="shared" si="71"/>
        <v>1</v>
      </c>
      <c r="N655">
        <f t="shared" si="63"/>
        <v>0</v>
      </c>
    </row>
    <row r="656" spans="1:14" hidden="1" x14ac:dyDescent="0.25">
      <c r="A656" s="151" t="s">
        <v>2049</v>
      </c>
      <c r="B656" s="233" t="str">
        <f>VLOOKUP(A656,'AFC Data details'!$B:$E,4,0)</f>
        <v>PV17</v>
      </c>
      <c r="C656" s="144" t="s">
        <v>1697</v>
      </c>
      <c r="D656" s="151" t="s">
        <v>602</v>
      </c>
      <c r="E656" s="151">
        <f>VLOOKUP(A656,'AFC Data details'!$B:$P,15,0)</f>
        <v>1.9790000000000001</v>
      </c>
      <c r="F656" s="151">
        <f>SUMIFS('AFC Data details'!C:C,'AFC Data details'!$B:$B,'Element wise-detail Summary'!$A656)</f>
        <v>1</v>
      </c>
      <c r="G656" s="151">
        <f>SUMIFS(Cast!$C:$C,Cast!$B:$B,'Element wise-detail Summary'!$A656)</f>
        <v>1</v>
      </c>
      <c r="H656" s="151">
        <f t="shared" si="68"/>
        <v>0</v>
      </c>
      <c r="I656" s="151">
        <f>SUMIFS(Del!$C:$C,Del!$B:$B,'Element wise-detail Summary'!$A656)</f>
        <v>0</v>
      </c>
      <c r="J656" s="151">
        <f t="shared" si="69"/>
        <v>1</v>
      </c>
      <c r="K656" s="151">
        <f t="shared" si="70"/>
        <v>1</v>
      </c>
      <c r="L656" s="151">
        <f>SUMIF(Ere!$B:$B,'Element wise-detail Summary'!$A656,Ere!$C:$C)</f>
        <v>0</v>
      </c>
      <c r="M656" s="151">
        <f t="shared" si="71"/>
        <v>1</v>
      </c>
      <c r="N656">
        <f t="shared" si="63"/>
        <v>0</v>
      </c>
    </row>
    <row r="657" spans="1:14" hidden="1" x14ac:dyDescent="0.25">
      <c r="A657" s="151" t="s">
        <v>2050</v>
      </c>
      <c r="B657" s="233" t="str">
        <f>VLOOKUP(A657,'AFC Data details'!$B:$E,4,0)</f>
        <v>PV17</v>
      </c>
      <c r="C657" s="144" t="s">
        <v>1697</v>
      </c>
      <c r="D657" s="151" t="s">
        <v>602</v>
      </c>
      <c r="E657" s="151">
        <f>VLOOKUP(A657,'AFC Data details'!$B:$P,15,0)</f>
        <v>1.9790000000000001</v>
      </c>
      <c r="F657" s="151">
        <f>SUMIFS('AFC Data details'!C:C,'AFC Data details'!$B:$B,'Element wise-detail Summary'!$A657)</f>
        <v>1</v>
      </c>
      <c r="G657" s="151">
        <f>SUMIFS(Cast!$C:$C,Cast!$B:$B,'Element wise-detail Summary'!$A657)</f>
        <v>1</v>
      </c>
      <c r="H657" s="151">
        <f t="shared" si="68"/>
        <v>0</v>
      </c>
      <c r="I657" s="151">
        <f>SUMIFS(Del!$C:$C,Del!$B:$B,'Element wise-detail Summary'!$A657)</f>
        <v>0</v>
      </c>
      <c r="J657" s="151">
        <f t="shared" si="69"/>
        <v>1</v>
      </c>
      <c r="K657" s="151">
        <f t="shared" si="70"/>
        <v>1</v>
      </c>
      <c r="L657" s="151">
        <f>SUMIF(Ere!$B:$B,'Element wise-detail Summary'!$A657,Ere!$C:$C)</f>
        <v>0</v>
      </c>
      <c r="M657" s="151">
        <f t="shared" si="71"/>
        <v>1</v>
      </c>
      <c r="N657">
        <f t="shared" si="63"/>
        <v>0</v>
      </c>
    </row>
    <row r="658" spans="1:14" hidden="1" x14ac:dyDescent="0.25">
      <c r="A658" s="151" t="s">
        <v>1871</v>
      </c>
      <c r="B658" s="233" t="str">
        <f>VLOOKUP(A658,'AFC Data details'!$B:$E,4,0)</f>
        <v>PV17</v>
      </c>
      <c r="C658" s="144" t="s">
        <v>1697</v>
      </c>
      <c r="D658" s="151" t="s">
        <v>602</v>
      </c>
      <c r="E658" s="151">
        <f>VLOOKUP(A658,'AFC Data details'!$B:$P,15,0)</f>
        <v>1.0129999999999999</v>
      </c>
      <c r="F658" s="151">
        <f>SUMIFS('AFC Data details'!C:C,'AFC Data details'!$B:$B,'Element wise-detail Summary'!$A658)</f>
        <v>1</v>
      </c>
      <c r="G658" s="151">
        <f>SUMIFS(Cast!$C:$C,Cast!$B:$B,'Element wise-detail Summary'!$A658)</f>
        <v>1</v>
      </c>
      <c r="H658" s="151">
        <f t="shared" si="68"/>
        <v>0</v>
      </c>
      <c r="I658" s="151">
        <f>SUMIFS(Del!$C:$C,Del!$B:$B,'Element wise-detail Summary'!$A658)</f>
        <v>0</v>
      </c>
      <c r="J658" s="151">
        <f t="shared" si="69"/>
        <v>1</v>
      </c>
      <c r="K658" s="151">
        <f t="shared" si="70"/>
        <v>1</v>
      </c>
      <c r="L658" s="151">
        <f>SUMIF(Ere!$B:$B,'Element wise-detail Summary'!$A658,Ere!$C:$C)</f>
        <v>0</v>
      </c>
      <c r="M658" s="151">
        <f t="shared" si="71"/>
        <v>1</v>
      </c>
      <c r="N658">
        <f t="shared" si="63"/>
        <v>0</v>
      </c>
    </row>
    <row r="659" spans="1:14" hidden="1" x14ac:dyDescent="0.25">
      <c r="A659" s="151" t="s">
        <v>1872</v>
      </c>
      <c r="B659" s="233" t="str">
        <f>VLOOKUP(A659,'AFC Data details'!$B:$E,4,0)</f>
        <v>PV17</v>
      </c>
      <c r="C659" s="144" t="s">
        <v>1697</v>
      </c>
      <c r="D659" s="151" t="s">
        <v>602</v>
      </c>
      <c r="E659" s="151">
        <f>VLOOKUP(A659,'AFC Data details'!$B:$P,15,0)</f>
        <v>0.84</v>
      </c>
      <c r="F659" s="151">
        <f>SUMIFS('AFC Data details'!C:C,'AFC Data details'!$B:$B,'Element wise-detail Summary'!$A659)</f>
        <v>1</v>
      </c>
      <c r="G659" s="151">
        <f>SUMIFS(Cast!$C:$C,Cast!$B:$B,'Element wise-detail Summary'!$A659)</f>
        <v>1</v>
      </c>
      <c r="H659" s="151">
        <f t="shared" si="68"/>
        <v>0</v>
      </c>
      <c r="I659" s="151">
        <f>SUMIFS(Del!$C:$C,Del!$B:$B,'Element wise-detail Summary'!$A659)</f>
        <v>0</v>
      </c>
      <c r="J659" s="151">
        <f t="shared" si="69"/>
        <v>1</v>
      </c>
      <c r="K659" s="151">
        <f t="shared" si="70"/>
        <v>1</v>
      </c>
      <c r="L659" s="151">
        <f>SUMIF(Ere!$B:$B,'Element wise-detail Summary'!$A659,Ere!$C:$C)</f>
        <v>0</v>
      </c>
      <c r="M659" s="151">
        <f t="shared" si="71"/>
        <v>1</v>
      </c>
      <c r="N659">
        <f t="shared" si="63"/>
        <v>0</v>
      </c>
    </row>
    <row r="660" spans="1:14" hidden="1" x14ac:dyDescent="0.25">
      <c r="A660" s="151" t="s">
        <v>1873</v>
      </c>
      <c r="B660" s="233" t="str">
        <f>VLOOKUP(A660,'AFC Data details'!$B:$E,4,0)</f>
        <v>PV17</v>
      </c>
      <c r="C660" s="144" t="s">
        <v>1697</v>
      </c>
      <c r="D660" s="151" t="s">
        <v>602</v>
      </c>
      <c r="E660" s="151">
        <f>VLOOKUP(A660,'AFC Data details'!$B:$P,15,0)</f>
        <v>1.07</v>
      </c>
      <c r="F660" s="151">
        <f>SUMIFS('AFC Data details'!C:C,'AFC Data details'!$B:$B,'Element wise-detail Summary'!$A660)</f>
        <v>1</v>
      </c>
      <c r="G660" s="151">
        <f>SUMIFS(Cast!$C:$C,Cast!$B:$B,'Element wise-detail Summary'!$A660)</f>
        <v>1</v>
      </c>
      <c r="H660" s="151">
        <f t="shared" si="68"/>
        <v>0</v>
      </c>
      <c r="I660" s="151">
        <f>SUMIFS(Del!$C:$C,Del!$B:$B,'Element wise-detail Summary'!$A660)</f>
        <v>0</v>
      </c>
      <c r="J660" s="151">
        <f t="shared" si="69"/>
        <v>1</v>
      </c>
      <c r="K660" s="151">
        <f t="shared" si="70"/>
        <v>1</v>
      </c>
      <c r="L660" s="151">
        <f>SUMIF(Ere!$B:$B,'Element wise-detail Summary'!$A660,Ere!$C:$C)</f>
        <v>0</v>
      </c>
      <c r="M660" s="151">
        <f t="shared" si="71"/>
        <v>1</v>
      </c>
      <c r="N660">
        <f t="shared" si="63"/>
        <v>0</v>
      </c>
    </row>
    <row r="661" spans="1:14" hidden="1" x14ac:dyDescent="0.25">
      <c r="A661" s="151" t="s">
        <v>1874</v>
      </c>
      <c r="B661" s="233" t="str">
        <f>VLOOKUP(A661,'AFC Data details'!$B:$E,4,0)</f>
        <v>PV18</v>
      </c>
      <c r="C661" s="144" t="s">
        <v>1697</v>
      </c>
      <c r="D661" s="151" t="s">
        <v>602</v>
      </c>
      <c r="E661" s="151">
        <f>VLOOKUP(A661,'AFC Data details'!$B:$P,15,0)</f>
        <v>1.214</v>
      </c>
      <c r="F661" s="151">
        <f>SUMIFS('AFC Data details'!C:C,'AFC Data details'!$B:$B,'Element wise-detail Summary'!$A661)</f>
        <v>1</v>
      </c>
      <c r="G661" s="151">
        <f>SUMIFS(Cast!$C:$C,Cast!$B:$B,'Element wise-detail Summary'!$A661)</f>
        <v>1</v>
      </c>
      <c r="H661" s="151">
        <f t="shared" si="68"/>
        <v>0</v>
      </c>
      <c r="I661" s="151">
        <f>SUMIFS(Del!$C:$C,Del!$B:$B,'Element wise-detail Summary'!$A661)</f>
        <v>0</v>
      </c>
      <c r="J661" s="151">
        <f t="shared" si="69"/>
        <v>1</v>
      </c>
      <c r="K661" s="151">
        <f t="shared" si="70"/>
        <v>1</v>
      </c>
      <c r="L661" s="151">
        <f>SUMIF(Ere!$B:$B,'Element wise-detail Summary'!$A661,Ere!$C:$C)</f>
        <v>0</v>
      </c>
      <c r="M661" s="151">
        <f t="shared" si="71"/>
        <v>1</v>
      </c>
      <c r="N661">
        <f t="shared" si="63"/>
        <v>0</v>
      </c>
    </row>
    <row r="662" spans="1:14" hidden="1" x14ac:dyDescent="0.25">
      <c r="A662" s="151" t="s">
        <v>1875</v>
      </c>
      <c r="B662" s="233" t="str">
        <f>VLOOKUP(A662,'AFC Data details'!$B:$E,4,0)</f>
        <v>PV18</v>
      </c>
      <c r="C662" s="144" t="s">
        <v>1697</v>
      </c>
      <c r="D662" s="151" t="s">
        <v>602</v>
      </c>
      <c r="E662" s="151">
        <f>VLOOKUP(A662,'AFC Data details'!$B:$P,15,0)</f>
        <v>1.3280000000000001</v>
      </c>
      <c r="F662" s="151">
        <f>SUMIFS('AFC Data details'!C:C,'AFC Data details'!$B:$B,'Element wise-detail Summary'!$A662)</f>
        <v>1</v>
      </c>
      <c r="G662" s="151">
        <f>SUMIFS(Cast!$C:$C,Cast!$B:$B,'Element wise-detail Summary'!$A662)</f>
        <v>1</v>
      </c>
      <c r="H662" s="151">
        <f t="shared" si="68"/>
        <v>0</v>
      </c>
      <c r="I662" s="151">
        <f>SUMIFS(Del!$C:$C,Del!$B:$B,'Element wise-detail Summary'!$A662)</f>
        <v>0</v>
      </c>
      <c r="J662" s="151">
        <f t="shared" si="69"/>
        <v>1</v>
      </c>
      <c r="K662" s="151">
        <f t="shared" si="70"/>
        <v>1</v>
      </c>
      <c r="L662" s="151">
        <f>SUMIF(Ere!$B:$B,'Element wise-detail Summary'!$A662,Ere!$C:$C)</f>
        <v>0</v>
      </c>
      <c r="M662" s="151">
        <f t="shared" si="71"/>
        <v>1</v>
      </c>
      <c r="N662">
        <f t="shared" si="63"/>
        <v>0</v>
      </c>
    </row>
    <row r="663" spans="1:14" hidden="1" x14ac:dyDescent="0.25">
      <c r="A663" s="151" t="s">
        <v>1876</v>
      </c>
      <c r="B663" s="233" t="str">
        <f>VLOOKUP(A663,'AFC Data details'!$B:$E,4,0)</f>
        <v>PV19</v>
      </c>
      <c r="C663" s="144" t="s">
        <v>1697</v>
      </c>
      <c r="D663" s="151" t="s">
        <v>602</v>
      </c>
      <c r="E663" s="151">
        <f>VLOOKUP(A663,'AFC Data details'!$B:$P,15,0)</f>
        <v>0.95199999999999996</v>
      </c>
      <c r="F663" s="151">
        <f>SUMIFS('AFC Data details'!C:C,'AFC Data details'!$B:$B,'Element wise-detail Summary'!$A663)</f>
        <v>1</v>
      </c>
      <c r="G663" s="151">
        <f>SUMIFS(Cast!$C:$C,Cast!$B:$B,'Element wise-detail Summary'!$A663)</f>
        <v>1</v>
      </c>
      <c r="H663" s="151">
        <f t="shared" si="68"/>
        <v>0</v>
      </c>
      <c r="I663" s="151">
        <f>SUMIFS(Del!$C:$C,Del!$B:$B,'Element wise-detail Summary'!$A663)</f>
        <v>0</v>
      </c>
      <c r="J663" s="151">
        <f t="shared" si="69"/>
        <v>1</v>
      </c>
      <c r="K663" s="151">
        <f t="shared" si="70"/>
        <v>1</v>
      </c>
      <c r="L663" s="151">
        <f>SUMIF(Ere!$B:$B,'Element wise-detail Summary'!$A663,Ere!$C:$C)</f>
        <v>0</v>
      </c>
      <c r="M663" s="151">
        <f t="shared" si="71"/>
        <v>1</v>
      </c>
      <c r="N663">
        <f t="shared" si="63"/>
        <v>0</v>
      </c>
    </row>
    <row r="664" spans="1:14" hidden="1" x14ac:dyDescent="0.25">
      <c r="A664" s="151" t="s">
        <v>1877</v>
      </c>
      <c r="B664" s="233" t="str">
        <f>VLOOKUP(A664,'AFC Data details'!$B:$E,4,0)</f>
        <v>PV19</v>
      </c>
      <c r="C664" s="144" t="s">
        <v>1697</v>
      </c>
      <c r="D664" s="151" t="s">
        <v>602</v>
      </c>
      <c r="E664" s="151">
        <f>VLOOKUP(A664,'AFC Data details'!$B:$P,15,0)</f>
        <v>1.3069999999999999</v>
      </c>
      <c r="F664" s="151">
        <f>SUMIFS('AFC Data details'!C:C,'AFC Data details'!$B:$B,'Element wise-detail Summary'!$A664)</f>
        <v>1</v>
      </c>
      <c r="G664" s="151">
        <f>SUMIFS(Cast!$C:$C,Cast!$B:$B,'Element wise-detail Summary'!$A664)</f>
        <v>1</v>
      </c>
      <c r="H664" s="151">
        <f t="shared" si="68"/>
        <v>0</v>
      </c>
      <c r="I664" s="151">
        <f>SUMIFS(Del!$C:$C,Del!$B:$B,'Element wise-detail Summary'!$A664)</f>
        <v>1</v>
      </c>
      <c r="J664" s="151">
        <f t="shared" si="69"/>
        <v>0</v>
      </c>
      <c r="K664" s="151">
        <f t="shared" si="70"/>
        <v>0</v>
      </c>
      <c r="L664" s="151">
        <f>SUMIF(Ere!$B:$B,'Element wise-detail Summary'!$A664,Ere!$C:$C)</f>
        <v>0</v>
      </c>
      <c r="M664" s="151">
        <f t="shared" si="71"/>
        <v>1</v>
      </c>
      <c r="N664">
        <f t="shared" si="63"/>
        <v>1.3069999999999999</v>
      </c>
    </row>
    <row r="665" spans="1:14" hidden="1" x14ac:dyDescent="0.25">
      <c r="A665" s="151" t="s">
        <v>1878</v>
      </c>
      <c r="B665" s="233" t="str">
        <f>VLOOKUP(A665,'AFC Data details'!$B:$E,4,0)</f>
        <v>PV19</v>
      </c>
      <c r="C665" s="144" t="s">
        <v>1697</v>
      </c>
      <c r="D665" s="151" t="s">
        <v>602</v>
      </c>
      <c r="E665" s="151">
        <f>VLOOKUP(A665,'AFC Data details'!$B:$P,15,0)</f>
        <v>1.17</v>
      </c>
      <c r="F665" s="151">
        <f>SUMIFS('AFC Data details'!C:C,'AFC Data details'!$B:$B,'Element wise-detail Summary'!$A665)</f>
        <v>1</v>
      </c>
      <c r="G665" s="151">
        <f>SUMIFS(Cast!$C:$C,Cast!$B:$B,'Element wise-detail Summary'!$A665)</f>
        <v>1</v>
      </c>
      <c r="H665" s="151">
        <f t="shared" si="68"/>
        <v>0</v>
      </c>
      <c r="I665" s="151">
        <f>SUMIFS(Del!$C:$C,Del!$B:$B,'Element wise-detail Summary'!$A665)</f>
        <v>0</v>
      </c>
      <c r="J665" s="151">
        <f t="shared" si="69"/>
        <v>1</v>
      </c>
      <c r="K665" s="151">
        <f t="shared" si="70"/>
        <v>1</v>
      </c>
      <c r="L665" s="151">
        <f>SUMIF(Ere!$B:$B,'Element wise-detail Summary'!$A665,Ere!$C:$C)</f>
        <v>0</v>
      </c>
      <c r="M665" s="151">
        <f t="shared" si="71"/>
        <v>1</v>
      </c>
      <c r="N665">
        <f t="shared" si="63"/>
        <v>0</v>
      </c>
    </row>
    <row r="666" spans="1:14" hidden="1" x14ac:dyDescent="0.25">
      <c r="A666" s="151" t="s">
        <v>2055</v>
      </c>
      <c r="B666" s="233" t="str">
        <f>VLOOKUP(A666,'AFC Data details'!$B:$E,4,0)</f>
        <v>PV21</v>
      </c>
      <c r="C666" s="144" t="s">
        <v>1697</v>
      </c>
      <c r="D666" s="151" t="s">
        <v>602</v>
      </c>
      <c r="E666" s="151">
        <f>VLOOKUP(A666,'AFC Data details'!$B:$P,15,0)</f>
        <v>2.1219999999999999</v>
      </c>
      <c r="F666" s="151">
        <f>SUMIFS('AFC Data details'!C:C,'AFC Data details'!$B:$B,'Element wise-detail Summary'!$A666)</f>
        <v>1</v>
      </c>
      <c r="G666" s="151">
        <f>SUMIFS(Cast!$C:$C,Cast!$B:$B,'Element wise-detail Summary'!$A666)</f>
        <v>1</v>
      </c>
      <c r="H666" s="151">
        <f t="shared" si="68"/>
        <v>0</v>
      </c>
      <c r="I666" s="151">
        <f>SUMIFS(Del!$C:$C,Del!$B:$B,'Element wise-detail Summary'!$A666)</f>
        <v>0</v>
      </c>
      <c r="J666" s="151">
        <f t="shared" si="69"/>
        <v>1</v>
      </c>
      <c r="K666" s="151">
        <f t="shared" si="70"/>
        <v>1</v>
      </c>
      <c r="L666" s="151">
        <f>SUMIF(Ere!$B:$B,'Element wise-detail Summary'!$A666,Ere!$C:$C)</f>
        <v>0</v>
      </c>
      <c r="M666" s="151">
        <f t="shared" si="71"/>
        <v>1</v>
      </c>
      <c r="N666">
        <f t="shared" si="63"/>
        <v>0</v>
      </c>
    </row>
    <row r="667" spans="1:14" hidden="1" x14ac:dyDescent="0.25">
      <c r="A667" s="151" t="s">
        <v>2057</v>
      </c>
      <c r="B667" s="233" t="str">
        <f>VLOOKUP(A667,'AFC Data details'!$B:$E,4,0)</f>
        <v>PV18</v>
      </c>
      <c r="C667" s="144" t="s">
        <v>1697</v>
      </c>
      <c r="D667" s="151" t="s">
        <v>602</v>
      </c>
      <c r="E667" s="151">
        <f>VLOOKUP(A667,'AFC Data details'!$B:$P,15,0)</f>
        <v>2.1219999999999999</v>
      </c>
      <c r="F667" s="151">
        <f>SUMIFS('AFC Data details'!C:C,'AFC Data details'!$B:$B,'Element wise-detail Summary'!$A667)</f>
        <v>1</v>
      </c>
      <c r="G667" s="151">
        <f>SUMIFS(Cast!$C:$C,Cast!$B:$B,'Element wise-detail Summary'!$A667)</f>
        <v>1</v>
      </c>
      <c r="H667" s="151">
        <f t="shared" si="68"/>
        <v>0</v>
      </c>
      <c r="I667" s="151">
        <f>SUMIFS(Del!$C:$C,Del!$B:$B,'Element wise-detail Summary'!$A667)</f>
        <v>0</v>
      </c>
      <c r="J667" s="151">
        <f t="shared" si="69"/>
        <v>1</v>
      </c>
      <c r="K667" s="151">
        <f t="shared" si="70"/>
        <v>1</v>
      </c>
      <c r="L667" s="151">
        <f>SUMIF(Ere!$B:$B,'Element wise-detail Summary'!$A667,Ere!$C:$C)</f>
        <v>0</v>
      </c>
      <c r="M667" s="151">
        <f t="shared" si="71"/>
        <v>1</v>
      </c>
      <c r="N667">
        <f t="shared" si="63"/>
        <v>0</v>
      </c>
    </row>
    <row r="668" spans="1:14" hidden="1" x14ac:dyDescent="0.25">
      <c r="A668" s="151" t="s">
        <v>2058</v>
      </c>
      <c r="B668" s="233" t="str">
        <f>VLOOKUP(A668,'AFC Data details'!$B:$E,4,0)</f>
        <v>PV19</v>
      </c>
      <c r="C668" s="144" t="s">
        <v>1697</v>
      </c>
      <c r="D668" s="151" t="s">
        <v>602</v>
      </c>
      <c r="E668" s="151">
        <f>VLOOKUP(A668,'AFC Data details'!$B:$P,15,0)</f>
        <v>2.1219999999999999</v>
      </c>
      <c r="F668" s="151">
        <f>SUMIFS('AFC Data details'!C:C,'AFC Data details'!$B:$B,'Element wise-detail Summary'!$A668)</f>
        <v>1</v>
      </c>
      <c r="G668" s="151">
        <f>SUMIFS(Cast!$C:$C,Cast!$B:$B,'Element wise-detail Summary'!$A668)</f>
        <v>1</v>
      </c>
      <c r="H668" s="151">
        <f t="shared" si="68"/>
        <v>0</v>
      </c>
      <c r="I668" s="151">
        <f>SUMIFS(Del!$C:$C,Del!$B:$B,'Element wise-detail Summary'!$A668)</f>
        <v>1</v>
      </c>
      <c r="J668" s="151">
        <f t="shared" si="69"/>
        <v>0</v>
      </c>
      <c r="K668" s="151">
        <f t="shared" si="70"/>
        <v>0</v>
      </c>
      <c r="L668" s="151">
        <f>SUMIF(Ere!$B:$B,'Element wise-detail Summary'!$A668,Ere!$C:$C)</f>
        <v>0</v>
      </c>
      <c r="M668" s="151">
        <f t="shared" si="71"/>
        <v>1</v>
      </c>
      <c r="N668">
        <f t="shared" si="63"/>
        <v>2.1219999999999999</v>
      </c>
    </row>
    <row r="669" spans="1:14" hidden="1" x14ac:dyDescent="0.25">
      <c r="A669" s="151" t="s">
        <v>1880</v>
      </c>
      <c r="B669" s="233" t="str">
        <f>VLOOKUP(A669,'AFC Data details'!$B:$E,4,0)</f>
        <v>PV20</v>
      </c>
      <c r="C669" s="144" t="s">
        <v>1697</v>
      </c>
      <c r="D669" s="151" t="s">
        <v>602</v>
      </c>
      <c r="E669" s="151">
        <f>VLOOKUP(A669,'AFC Data details'!$B:$P,15,0)</f>
        <v>2.1219999999999999</v>
      </c>
      <c r="F669" s="151">
        <f>SUMIFS('AFC Data details'!C:C,'AFC Data details'!$B:$B,'Element wise-detail Summary'!$A669)</f>
        <v>1</v>
      </c>
      <c r="G669" s="151">
        <f>SUMIFS(Cast!$C:$C,Cast!$B:$B,'Element wise-detail Summary'!$A669)</f>
        <v>1</v>
      </c>
      <c r="H669" s="151">
        <f t="shared" si="68"/>
        <v>0</v>
      </c>
      <c r="I669" s="151">
        <f>SUMIFS(Del!$C:$C,Del!$B:$B,'Element wise-detail Summary'!$A669)</f>
        <v>1</v>
      </c>
      <c r="J669" s="151">
        <f t="shared" si="69"/>
        <v>0</v>
      </c>
      <c r="K669" s="151">
        <f t="shared" si="70"/>
        <v>0</v>
      </c>
      <c r="L669" s="151">
        <f>SUMIF(Ere!$B:$B,'Element wise-detail Summary'!$A669,Ere!$C:$C)</f>
        <v>0</v>
      </c>
      <c r="M669" s="151">
        <f t="shared" si="71"/>
        <v>1</v>
      </c>
      <c r="N669">
        <f t="shared" si="63"/>
        <v>2.1219999999999999</v>
      </c>
    </row>
    <row r="670" spans="1:14" hidden="1" x14ac:dyDescent="0.25">
      <c r="A670" s="151" t="s">
        <v>2059</v>
      </c>
      <c r="B670" s="233" t="str">
        <f>VLOOKUP(A670,'AFC Data details'!$B:$E,4,0)</f>
        <v>PV20</v>
      </c>
      <c r="C670" s="144" t="s">
        <v>1697</v>
      </c>
      <c r="D670" s="151" t="s">
        <v>602</v>
      </c>
      <c r="E670" s="151">
        <f>VLOOKUP(A670,'AFC Data details'!$B:$P,15,0)</f>
        <v>2.1219999999999999</v>
      </c>
      <c r="F670" s="151">
        <f>SUMIFS('AFC Data details'!C:C,'AFC Data details'!$B:$B,'Element wise-detail Summary'!$A670)</f>
        <v>1</v>
      </c>
      <c r="G670" s="151">
        <f>SUMIFS(Cast!$C:$C,Cast!$B:$B,'Element wise-detail Summary'!$A670)</f>
        <v>1</v>
      </c>
      <c r="H670" s="151">
        <f t="shared" si="68"/>
        <v>0</v>
      </c>
      <c r="I670" s="151">
        <f>SUMIFS(Del!$C:$C,Del!$B:$B,'Element wise-detail Summary'!$A670)</f>
        <v>0</v>
      </c>
      <c r="J670" s="151">
        <f t="shared" si="69"/>
        <v>1</v>
      </c>
      <c r="K670" s="151">
        <f t="shared" si="70"/>
        <v>1</v>
      </c>
      <c r="L670" s="151">
        <f>SUMIF(Ere!$B:$B,'Element wise-detail Summary'!$A670,Ere!$C:$C)</f>
        <v>0</v>
      </c>
      <c r="M670" s="151">
        <f t="shared" si="71"/>
        <v>1</v>
      </c>
      <c r="N670">
        <f t="shared" si="63"/>
        <v>0</v>
      </c>
    </row>
    <row r="671" spans="1:14" hidden="1" x14ac:dyDescent="0.25">
      <c r="A671" s="151" t="s">
        <v>2060</v>
      </c>
      <c r="B671" s="233" t="str">
        <f>VLOOKUP(A671,'AFC Data details'!$B:$E,4,0)</f>
        <v>PV20</v>
      </c>
      <c r="C671" s="144" t="s">
        <v>1697</v>
      </c>
      <c r="D671" s="151" t="s">
        <v>602</v>
      </c>
      <c r="E671" s="151">
        <f>VLOOKUP(A671,'AFC Data details'!$B:$P,15,0)</f>
        <v>2.1219999999999999</v>
      </c>
      <c r="F671" s="151">
        <f>SUMIFS('AFC Data details'!C:C,'AFC Data details'!$B:$B,'Element wise-detail Summary'!$A671)</f>
        <v>1</v>
      </c>
      <c r="G671" s="151">
        <f>SUMIFS(Cast!$C:$C,Cast!$B:$B,'Element wise-detail Summary'!$A671)</f>
        <v>1</v>
      </c>
      <c r="H671" s="151">
        <f t="shared" si="68"/>
        <v>0</v>
      </c>
      <c r="I671" s="151">
        <f>SUMIFS(Del!$C:$C,Del!$B:$B,'Element wise-detail Summary'!$A671)</f>
        <v>0</v>
      </c>
      <c r="J671" s="151">
        <f t="shared" si="69"/>
        <v>1</v>
      </c>
      <c r="K671" s="151">
        <f t="shared" si="70"/>
        <v>1</v>
      </c>
      <c r="L671" s="151">
        <f>SUMIF(Ere!$B:$B,'Element wise-detail Summary'!$A671,Ere!$C:$C)</f>
        <v>0</v>
      </c>
      <c r="M671" s="151">
        <f t="shared" si="71"/>
        <v>1</v>
      </c>
      <c r="N671">
        <f t="shared" si="63"/>
        <v>0</v>
      </c>
    </row>
    <row r="672" spans="1:14" hidden="1" x14ac:dyDescent="0.25">
      <c r="A672" s="151" t="s">
        <v>2061</v>
      </c>
      <c r="B672" s="233" t="str">
        <f>VLOOKUP(A672,'AFC Data details'!$B:$E,4,0)</f>
        <v>PV20</v>
      </c>
      <c r="C672" s="144" t="s">
        <v>1697</v>
      </c>
      <c r="D672" s="151" t="s">
        <v>602</v>
      </c>
      <c r="E672" s="151">
        <f>VLOOKUP(A672,'AFC Data details'!$B:$P,15,0)</f>
        <v>2.1219999999999999</v>
      </c>
      <c r="F672" s="151">
        <f>SUMIFS('AFC Data details'!C:C,'AFC Data details'!$B:$B,'Element wise-detail Summary'!$A672)</f>
        <v>1</v>
      </c>
      <c r="G672" s="151">
        <f>SUMIFS(Cast!$C:$C,Cast!$B:$B,'Element wise-detail Summary'!$A672)</f>
        <v>1</v>
      </c>
      <c r="H672" s="151">
        <f t="shared" si="68"/>
        <v>0</v>
      </c>
      <c r="I672" s="151">
        <f>SUMIFS(Del!$C:$C,Del!$B:$B,'Element wise-detail Summary'!$A672)</f>
        <v>1</v>
      </c>
      <c r="J672" s="151">
        <f t="shared" si="69"/>
        <v>0</v>
      </c>
      <c r="K672" s="151">
        <f t="shared" si="70"/>
        <v>0</v>
      </c>
      <c r="L672" s="151">
        <f>SUMIF(Ere!$B:$B,'Element wise-detail Summary'!$A672,Ere!$C:$C)</f>
        <v>0</v>
      </c>
      <c r="M672" s="151">
        <f t="shared" si="71"/>
        <v>1</v>
      </c>
      <c r="N672">
        <f t="shared" si="63"/>
        <v>2.1219999999999999</v>
      </c>
    </row>
    <row r="673" spans="1:14" hidden="1" x14ac:dyDescent="0.25">
      <c r="A673" s="151" t="s">
        <v>2062</v>
      </c>
      <c r="B673" s="233" t="str">
        <f>VLOOKUP(A673,'AFC Data details'!$B:$E,4,0)</f>
        <v>PV21</v>
      </c>
      <c r="C673" s="144" t="s">
        <v>1697</v>
      </c>
      <c r="D673" s="151" t="s">
        <v>602</v>
      </c>
      <c r="E673" s="151">
        <f>VLOOKUP(A673,'AFC Data details'!$B:$P,15,0)</f>
        <v>2.1219999999999999</v>
      </c>
      <c r="F673" s="151">
        <f>SUMIFS('AFC Data details'!C:C,'AFC Data details'!$B:$B,'Element wise-detail Summary'!$A673)</f>
        <v>1</v>
      </c>
      <c r="G673" s="151">
        <f>SUMIFS(Cast!$C:$C,Cast!$B:$B,'Element wise-detail Summary'!$A673)</f>
        <v>1</v>
      </c>
      <c r="H673" s="151">
        <f t="shared" si="68"/>
        <v>0</v>
      </c>
      <c r="I673" s="151">
        <f>SUMIFS(Del!$C:$C,Del!$B:$B,'Element wise-detail Summary'!$A673)</f>
        <v>1</v>
      </c>
      <c r="J673" s="151">
        <f t="shared" si="69"/>
        <v>0</v>
      </c>
      <c r="K673" s="151">
        <f t="shared" si="70"/>
        <v>0</v>
      </c>
      <c r="L673" s="151">
        <f>SUMIF(Ere!$B:$B,'Element wise-detail Summary'!$A673,Ere!$C:$C)</f>
        <v>0</v>
      </c>
      <c r="M673" s="151">
        <f t="shared" si="71"/>
        <v>1</v>
      </c>
      <c r="N673">
        <f t="shared" si="63"/>
        <v>2.1219999999999999</v>
      </c>
    </row>
    <row r="674" spans="1:14" hidden="1" x14ac:dyDescent="0.25">
      <c r="A674" s="151" t="s">
        <v>2063</v>
      </c>
      <c r="B674" s="233" t="str">
        <f>VLOOKUP(A674,'AFC Data details'!$B:$E,4,0)</f>
        <v>PV21</v>
      </c>
      <c r="C674" s="144" t="s">
        <v>1697</v>
      </c>
      <c r="D674" s="151" t="s">
        <v>602</v>
      </c>
      <c r="E674" s="151">
        <f>VLOOKUP(A674,'AFC Data details'!$B:$P,15,0)</f>
        <v>2.1219999999999999</v>
      </c>
      <c r="F674" s="151">
        <f>SUMIFS('AFC Data details'!C:C,'AFC Data details'!$B:$B,'Element wise-detail Summary'!$A674)</f>
        <v>1</v>
      </c>
      <c r="G674" s="151">
        <f>SUMIFS(Cast!$C:$C,Cast!$B:$B,'Element wise-detail Summary'!$A674)</f>
        <v>1</v>
      </c>
      <c r="H674" s="151">
        <f t="shared" si="68"/>
        <v>0</v>
      </c>
      <c r="I674" s="151">
        <f>SUMIFS(Del!$C:$C,Del!$B:$B,'Element wise-detail Summary'!$A674)</f>
        <v>0</v>
      </c>
      <c r="J674" s="151">
        <f t="shared" si="69"/>
        <v>1</v>
      </c>
      <c r="K674" s="151">
        <f t="shared" si="70"/>
        <v>1</v>
      </c>
      <c r="L674" s="151">
        <f>SUMIF(Ere!$B:$B,'Element wise-detail Summary'!$A674,Ere!$C:$C)</f>
        <v>0</v>
      </c>
      <c r="M674" s="151">
        <f t="shared" si="71"/>
        <v>1</v>
      </c>
      <c r="N674">
        <f t="shared" si="63"/>
        <v>0</v>
      </c>
    </row>
    <row r="675" spans="1:14" hidden="1" x14ac:dyDescent="0.25">
      <c r="A675" s="151" t="s">
        <v>2064</v>
      </c>
      <c r="B675" s="233" t="str">
        <f>VLOOKUP(A675,'AFC Data details'!$B:$E,4,0)</f>
        <v>PV21</v>
      </c>
      <c r="C675" s="144" t="s">
        <v>1697</v>
      </c>
      <c r="D675" s="151" t="s">
        <v>602</v>
      </c>
      <c r="E675" s="151">
        <f>VLOOKUP(A675,'AFC Data details'!$B:$P,15,0)</f>
        <v>2.1219999999999999</v>
      </c>
      <c r="F675" s="151">
        <f>SUMIFS('AFC Data details'!C:C,'AFC Data details'!$B:$B,'Element wise-detail Summary'!$A675)</f>
        <v>1</v>
      </c>
      <c r="G675" s="151">
        <f>SUMIFS(Cast!$C:$C,Cast!$B:$B,'Element wise-detail Summary'!$A675)</f>
        <v>1</v>
      </c>
      <c r="H675" s="151">
        <f t="shared" si="68"/>
        <v>0</v>
      </c>
      <c r="I675" s="151">
        <f>SUMIFS(Del!$C:$C,Del!$B:$B,'Element wise-detail Summary'!$A675)</f>
        <v>1</v>
      </c>
      <c r="J675" s="151">
        <f t="shared" si="69"/>
        <v>0</v>
      </c>
      <c r="K675" s="151">
        <f t="shared" si="70"/>
        <v>0</v>
      </c>
      <c r="L675" s="151">
        <f>SUMIF(Ere!$B:$B,'Element wise-detail Summary'!$A675,Ere!$C:$C)</f>
        <v>0</v>
      </c>
      <c r="M675" s="151">
        <f t="shared" si="71"/>
        <v>1</v>
      </c>
      <c r="N675">
        <f t="shared" si="63"/>
        <v>2.1219999999999999</v>
      </c>
    </row>
    <row r="676" spans="1:14" hidden="1" x14ac:dyDescent="0.25">
      <c r="A676" s="151" t="s">
        <v>2065</v>
      </c>
      <c r="B676" s="233" t="str">
        <f>VLOOKUP(A676,'AFC Data details'!$B:$E,4,0)</f>
        <v>PV21</v>
      </c>
      <c r="C676" s="144" t="s">
        <v>1697</v>
      </c>
      <c r="D676" s="151" t="s">
        <v>602</v>
      </c>
      <c r="E676" s="151">
        <f>VLOOKUP(A676,'AFC Data details'!$B:$P,15,0)</f>
        <v>2.1219999999999999</v>
      </c>
      <c r="F676" s="151">
        <f>SUMIFS('AFC Data details'!C:C,'AFC Data details'!$B:$B,'Element wise-detail Summary'!$A676)</f>
        <v>1</v>
      </c>
      <c r="G676" s="151">
        <f>SUMIFS(Cast!$C:$C,Cast!$B:$B,'Element wise-detail Summary'!$A676)</f>
        <v>1</v>
      </c>
      <c r="H676" s="151">
        <f t="shared" si="68"/>
        <v>0</v>
      </c>
      <c r="I676" s="151">
        <f>SUMIFS(Del!$C:$C,Del!$B:$B,'Element wise-detail Summary'!$A676)</f>
        <v>1</v>
      </c>
      <c r="J676" s="151">
        <f t="shared" si="69"/>
        <v>0</v>
      </c>
      <c r="K676" s="151">
        <f t="shared" si="70"/>
        <v>0</v>
      </c>
      <c r="L676" s="151">
        <f>SUMIF(Ere!$B:$B,'Element wise-detail Summary'!$A676,Ere!$C:$C)</f>
        <v>0</v>
      </c>
      <c r="M676" s="151">
        <f t="shared" si="71"/>
        <v>1</v>
      </c>
      <c r="N676">
        <f t="shared" si="63"/>
        <v>2.1219999999999999</v>
      </c>
    </row>
    <row r="677" spans="1:14" hidden="1" x14ac:dyDescent="0.25">
      <c r="A677" s="151" t="s">
        <v>2066</v>
      </c>
      <c r="B677" s="233" t="str">
        <f>VLOOKUP(A677,'AFC Data details'!$B:$E,4,0)</f>
        <v>PV18</v>
      </c>
      <c r="C677" s="144" t="s">
        <v>1697</v>
      </c>
      <c r="D677" s="151" t="s">
        <v>602</v>
      </c>
      <c r="E677" s="151">
        <f>VLOOKUP(A677,'AFC Data details'!$B:$P,15,0)</f>
        <v>2.1219999999999999</v>
      </c>
      <c r="F677" s="151">
        <f>SUMIFS('AFC Data details'!C:C,'AFC Data details'!$B:$B,'Element wise-detail Summary'!$A677)</f>
        <v>1</v>
      </c>
      <c r="G677" s="151">
        <f>SUMIFS(Cast!$C:$C,Cast!$B:$B,'Element wise-detail Summary'!$A677)</f>
        <v>1</v>
      </c>
      <c r="H677" s="151">
        <f t="shared" si="68"/>
        <v>0</v>
      </c>
      <c r="I677" s="151">
        <f>SUMIFS(Del!$C:$C,Del!$B:$B,'Element wise-detail Summary'!$A677)</f>
        <v>0</v>
      </c>
      <c r="J677" s="151">
        <f t="shared" si="69"/>
        <v>1</v>
      </c>
      <c r="K677" s="151">
        <f t="shared" si="70"/>
        <v>1</v>
      </c>
      <c r="L677" s="151">
        <f>SUMIF(Ere!$B:$B,'Element wise-detail Summary'!$A677,Ere!$C:$C)</f>
        <v>0</v>
      </c>
      <c r="M677" s="151">
        <f t="shared" si="71"/>
        <v>1</v>
      </c>
      <c r="N677">
        <f t="shared" si="63"/>
        <v>0</v>
      </c>
    </row>
    <row r="678" spans="1:14" hidden="1" x14ac:dyDescent="0.25">
      <c r="A678" s="151" t="s">
        <v>2067</v>
      </c>
      <c r="B678" s="233" t="str">
        <f>VLOOKUP(A678,'AFC Data details'!$B:$E,4,0)</f>
        <v>PV18</v>
      </c>
      <c r="C678" s="144" t="s">
        <v>1697</v>
      </c>
      <c r="D678" s="151" t="s">
        <v>602</v>
      </c>
      <c r="E678" s="151">
        <f>VLOOKUP(A678,'AFC Data details'!$B:$P,15,0)</f>
        <v>2.1219999999999999</v>
      </c>
      <c r="F678" s="151">
        <f>SUMIFS('AFC Data details'!C:C,'AFC Data details'!$B:$B,'Element wise-detail Summary'!$A678)</f>
        <v>1</v>
      </c>
      <c r="G678" s="151">
        <f>SUMIFS(Cast!$C:$C,Cast!$B:$B,'Element wise-detail Summary'!$A678)</f>
        <v>1</v>
      </c>
      <c r="H678" s="151">
        <f t="shared" si="68"/>
        <v>0</v>
      </c>
      <c r="I678" s="151">
        <f>SUMIFS(Del!$C:$C,Del!$B:$B,'Element wise-detail Summary'!$A678)</f>
        <v>0</v>
      </c>
      <c r="J678" s="151">
        <f t="shared" si="69"/>
        <v>1</v>
      </c>
      <c r="K678" s="151">
        <f t="shared" si="70"/>
        <v>1</v>
      </c>
      <c r="L678" s="151">
        <f>SUMIF(Ere!$B:$B,'Element wise-detail Summary'!$A678,Ere!$C:$C)</f>
        <v>0</v>
      </c>
      <c r="M678" s="151">
        <f t="shared" si="71"/>
        <v>1</v>
      </c>
      <c r="N678">
        <f t="shared" si="63"/>
        <v>0</v>
      </c>
    </row>
    <row r="679" spans="1:14" hidden="1" x14ac:dyDescent="0.25">
      <c r="A679" s="151" t="s">
        <v>2068</v>
      </c>
      <c r="B679" s="233" t="str">
        <f>VLOOKUP(A679,'AFC Data details'!$B:$E,4,0)</f>
        <v>PV18</v>
      </c>
      <c r="C679" s="144" t="s">
        <v>1697</v>
      </c>
      <c r="D679" s="151" t="s">
        <v>602</v>
      </c>
      <c r="E679" s="151">
        <f>VLOOKUP(A679,'AFC Data details'!$B:$P,15,0)</f>
        <v>2.1219999999999999</v>
      </c>
      <c r="F679" s="151">
        <f>SUMIFS('AFC Data details'!C:C,'AFC Data details'!$B:$B,'Element wise-detail Summary'!$A679)</f>
        <v>1</v>
      </c>
      <c r="G679" s="151">
        <f>SUMIFS(Cast!$C:$C,Cast!$B:$B,'Element wise-detail Summary'!$A679)</f>
        <v>1</v>
      </c>
      <c r="H679" s="151">
        <f t="shared" si="68"/>
        <v>0</v>
      </c>
      <c r="I679" s="151">
        <f>SUMIFS(Del!$C:$C,Del!$B:$B,'Element wise-detail Summary'!$A679)</f>
        <v>0</v>
      </c>
      <c r="J679" s="151">
        <f t="shared" si="69"/>
        <v>1</v>
      </c>
      <c r="K679" s="151">
        <f t="shared" si="70"/>
        <v>1</v>
      </c>
      <c r="L679" s="151">
        <f>SUMIF(Ere!$B:$B,'Element wise-detail Summary'!$A679,Ere!$C:$C)</f>
        <v>0</v>
      </c>
      <c r="M679" s="151">
        <f t="shared" si="71"/>
        <v>1</v>
      </c>
      <c r="N679">
        <f t="shared" si="63"/>
        <v>0</v>
      </c>
    </row>
    <row r="680" spans="1:14" hidden="1" x14ac:dyDescent="0.25">
      <c r="A680" s="151" t="s">
        <v>2069</v>
      </c>
      <c r="B680" s="233" t="str">
        <f>VLOOKUP(A680,'AFC Data details'!$B:$E,4,0)</f>
        <v>PV18</v>
      </c>
      <c r="C680" s="144" t="s">
        <v>1697</v>
      </c>
      <c r="D680" s="151" t="s">
        <v>602</v>
      </c>
      <c r="E680" s="151">
        <f>VLOOKUP(A680,'AFC Data details'!$B:$P,15,0)</f>
        <v>2.1219999999999999</v>
      </c>
      <c r="F680" s="151">
        <f>SUMIFS('AFC Data details'!C:C,'AFC Data details'!$B:$B,'Element wise-detail Summary'!$A680)</f>
        <v>1</v>
      </c>
      <c r="G680" s="151">
        <f>SUMIFS(Cast!$C:$C,Cast!$B:$B,'Element wise-detail Summary'!$A680)</f>
        <v>1</v>
      </c>
      <c r="H680" s="151">
        <f t="shared" si="68"/>
        <v>0</v>
      </c>
      <c r="I680" s="151">
        <f>SUMIFS(Del!$C:$C,Del!$B:$B,'Element wise-detail Summary'!$A680)</f>
        <v>0</v>
      </c>
      <c r="J680" s="151">
        <f t="shared" si="69"/>
        <v>1</v>
      </c>
      <c r="K680" s="151">
        <f t="shared" si="70"/>
        <v>1</v>
      </c>
      <c r="L680" s="151">
        <f>SUMIF(Ere!$B:$B,'Element wise-detail Summary'!$A680,Ere!$C:$C)</f>
        <v>0</v>
      </c>
      <c r="M680" s="151">
        <f t="shared" si="71"/>
        <v>1</v>
      </c>
      <c r="N680">
        <f t="shared" si="63"/>
        <v>0</v>
      </c>
    </row>
    <row r="681" spans="1:14" hidden="1" x14ac:dyDescent="0.25">
      <c r="A681" s="151" t="s">
        <v>2070</v>
      </c>
      <c r="B681" s="233" t="str">
        <f>VLOOKUP(A681,'AFC Data details'!$B:$E,4,0)</f>
        <v>PV19</v>
      </c>
      <c r="C681" s="144" t="s">
        <v>1697</v>
      </c>
      <c r="D681" s="151" t="s">
        <v>602</v>
      </c>
      <c r="E681" s="151">
        <f>VLOOKUP(A681,'AFC Data details'!$B:$P,15,0)</f>
        <v>2.1219999999999999</v>
      </c>
      <c r="F681" s="151">
        <f>SUMIFS('AFC Data details'!C:C,'AFC Data details'!$B:$B,'Element wise-detail Summary'!$A681)</f>
        <v>1</v>
      </c>
      <c r="G681" s="151">
        <f>SUMIFS(Cast!$C:$C,Cast!$B:$B,'Element wise-detail Summary'!$A681)</f>
        <v>1</v>
      </c>
      <c r="H681" s="151">
        <f t="shared" si="68"/>
        <v>0</v>
      </c>
      <c r="I681" s="151">
        <f>SUMIFS(Del!$C:$C,Del!$B:$B,'Element wise-detail Summary'!$A681)</f>
        <v>1</v>
      </c>
      <c r="J681" s="151">
        <f t="shared" si="69"/>
        <v>0</v>
      </c>
      <c r="K681" s="151">
        <f t="shared" si="70"/>
        <v>0</v>
      </c>
      <c r="L681" s="151">
        <f>SUMIF(Ere!$B:$B,'Element wise-detail Summary'!$A681,Ere!$C:$C)</f>
        <v>0</v>
      </c>
      <c r="M681" s="151">
        <f t="shared" si="71"/>
        <v>1</v>
      </c>
      <c r="N681">
        <f t="shared" si="63"/>
        <v>2.1219999999999999</v>
      </c>
    </row>
    <row r="682" spans="1:14" hidden="1" x14ac:dyDescent="0.25">
      <c r="A682" s="151" t="s">
        <v>2071</v>
      </c>
      <c r="B682" s="233" t="str">
        <f>VLOOKUP(A682,'AFC Data details'!$B:$E,4,0)</f>
        <v>PV19</v>
      </c>
      <c r="C682" s="144" t="s">
        <v>1697</v>
      </c>
      <c r="D682" s="151" t="s">
        <v>602</v>
      </c>
      <c r="E682" s="151">
        <f>VLOOKUP(A682,'AFC Data details'!$B:$P,15,0)</f>
        <v>2.1219999999999999</v>
      </c>
      <c r="F682" s="151">
        <f>SUMIFS('AFC Data details'!C:C,'AFC Data details'!$B:$B,'Element wise-detail Summary'!$A682)</f>
        <v>1</v>
      </c>
      <c r="G682" s="151">
        <f>SUMIFS(Cast!$C:$C,Cast!$B:$B,'Element wise-detail Summary'!$A682)</f>
        <v>1</v>
      </c>
      <c r="H682" s="151">
        <f t="shared" si="68"/>
        <v>0</v>
      </c>
      <c r="I682" s="151">
        <f>SUMIFS(Del!$C:$C,Del!$B:$B,'Element wise-detail Summary'!$A682)</f>
        <v>1</v>
      </c>
      <c r="J682" s="151">
        <f t="shared" si="69"/>
        <v>0</v>
      </c>
      <c r="K682" s="151">
        <f t="shared" si="70"/>
        <v>0</v>
      </c>
      <c r="L682" s="151">
        <f>SUMIF(Ere!$B:$B,'Element wise-detail Summary'!$A682,Ere!$C:$C)</f>
        <v>0</v>
      </c>
      <c r="M682" s="151">
        <f t="shared" si="71"/>
        <v>1</v>
      </c>
      <c r="N682">
        <f t="shared" si="63"/>
        <v>2.1219999999999999</v>
      </c>
    </row>
    <row r="683" spans="1:14" hidden="1" x14ac:dyDescent="0.25">
      <c r="A683" s="151" t="s">
        <v>2072</v>
      </c>
      <c r="B683" s="233" t="str">
        <f>VLOOKUP(A683,'AFC Data details'!$B:$E,4,0)</f>
        <v>PV19</v>
      </c>
      <c r="C683" s="144" t="s">
        <v>1697</v>
      </c>
      <c r="D683" s="151" t="s">
        <v>602</v>
      </c>
      <c r="E683" s="151">
        <f>VLOOKUP(A683,'AFC Data details'!$B:$P,15,0)</f>
        <v>2.1219999999999999</v>
      </c>
      <c r="F683" s="151">
        <f>SUMIFS('AFC Data details'!C:C,'AFC Data details'!$B:$B,'Element wise-detail Summary'!$A683)</f>
        <v>1</v>
      </c>
      <c r="G683" s="151">
        <f>SUMIFS(Cast!$C:$C,Cast!$B:$B,'Element wise-detail Summary'!$A683)</f>
        <v>1</v>
      </c>
      <c r="H683" s="151">
        <f t="shared" si="68"/>
        <v>0</v>
      </c>
      <c r="I683" s="151">
        <f>SUMIFS(Del!$C:$C,Del!$B:$B,'Element wise-detail Summary'!$A683)</f>
        <v>1</v>
      </c>
      <c r="J683" s="151">
        <f t="shared" si="69"/>
        <v>0</v>
      </c>
      <c r="K683" s="151">
        <f t="shared" si="70"/>
        <v>0</v>
      </c>
      <c r="L683" s="151">
        <f>SUMIF(Ere!$B:$B,'Element wise-detail Summary'!$A683,Ere!$C:$C)</f>
        <v>0</v>
      </c>
      <c r="M683" s="151">
        <f t="shared" si="71"/>
        <v>1</v>
      </c>
      <c r="N683">
        <f t="shared" si="63"/>
        <v>2.1219999999999999</v>
      </c>
    </row>
    <row r="684" spans="1:14" hidden="1" x14ac:dyDescent="0.25">
      <c r="A684" s="151" t="s">
        <v>2073</v>
      </c>
      <c r="B684" s="233" t="str">
        <f>VLOOKUP(A684,'AFC Data details'!$B:$E,4,0)</f>
        <v>PV19</v>
      </c>
      <c r="C684" s="144" t="s">
        <v>1697</v>
      </c>
      <c r="D684" s="151" t="s">
        <v>602</v>
      </c>
      <c r="E684" s="151">
        <f>VLOOKUP(A684,'AFC Data details'!$B:$P,15,0)</f>
        <v>2.1219999999999999</v>
      </c>
      <c r="F684" s="151">
        <f>SUMIFS('AFC Data details'!C:C,'AFC Data details'!$B:$B,'Element wise-detail Summary'!$A684)</f>
        <v>1</v>
      </c>
      <c r="G684" s="151">
        <f>SUMIFS(Cast!$C:$C,Cast!$B:$B,'Element wise-detail Summary'!$A684)</f>
        <v>1</v>
      </c>
      <c r="H684" s="151">
        <f t="shared" si="68"/>
        <v>0</v>
      </c>
      <c r="I684" s="151">
        <f>SUMIFS(Del!$C:$C,Del!$B:$B,'Element wise-detail Summary'!$A684)</f>
        <v>1</v>
      </c>
      <c r="J684" s="151">
        <f t="shared" si="69"/>
        <v>0</v>
      </c>
      <c r="K684" s="151">
        <f t="shared" si="70"/>
        <v>0</v>
      </c>
      <c r="L684" s="151">
        <f>SUMIF(Ere!$B:$B,'Element wise-detail Summary'!$A684,Ere!$C:$C)</f>
        <v>0</v>
      </c>
      <c r="M684" s="151">
        <f t="shared" si="71"/>
        <v>1</v>
      </c>
      <c r="N684">
        <f t="shared" si="63"/>
        <v>2.1219999999999999</v>
      </c>
    </row>
    <row r="685" spans="1:14" hidden="1" x14ac:dyDescent="0.25">
      <c r="A685" s="151" t="s">
        <v>1881</v>
      </c>
      <c r="B685" s="233" t="str">
        <f>VLOOKUP(A685,'AFC Data details'!$B:$E,4,0)</f>
        <v>PV20</v>
      </c>
      <c r="C685" s="144" t="s">
        <v>1697</v>
      </c>
      <c r="D685" s="151" t="s">
        <v>602</v>
      </c>
      <c r="E685" s="151">
        <f>VLOOKUP(A685,'AFC Data details'!$B:$P,15,0)</f>
        <v>1.198</v>
      </c>
      <c r="F685" s="151">
        <f>SUMIFS('AFC Data details'!C:C,'AFC Data details'!$B:$B,'Element wise-detail Summary'!$A685)</f>
        <v>1</v>
      </c>
      <c r="G685" s="151">
        <f>SUMIFS(Cast!$C:$C,Cast!$B:$B,'Element wise-detail Summary'!$A685)</f>
        <v>1</v>
      </c>
      <c r="H685" s="151">
        <f t="shared" si="68"/>
        <v>0</v>
      </c>
      <c r="I685" s="151">
        <f>SUMIFS(Del!$C:$C,Del!$B:$B,'Element wise-detail Summary'!$A685)</f>
        <v>0</v>
      </c>
      <c r="J685" s="151">
        <f t="shared" si="69"/>
        <v>1</v>
      </c>
      <c r="K685" s="151">
        <f t="shared" si="70"/>
        <v>1</v>
      </c>
      <c r="L685" s="151">
        <f>SUMIF(Ere!$B:$B,'Element wise-detail Summary'!$A685,Ere!$C:$C)</f>
        <v>0</v>
      </c>
      <c r="M685" s="151">
        <f t="shared" si="71"/>
        <v>1</v>
      </c>
      <c r="N685">
        <f t="shared" si="63"/>
        <v>0</v>
      </c>
    </row>
    <row r="686" spans="1:14" hidden="1" x14ac:dyDescent="0.25">
      <c r="A686" s="151" t="s">
        <v>1882</v>
      </c>
      <c r="B686" s="233" t="str">
        <f>VLOOKUP(A686,'AFC Data details'!$B:$E,4,0)</f>
        <v>PV20</v>
      </c>
      <c r="C686" s="144" t="s">
        <v>1697</v>
      </c>
      <c r="D686" s="151" t="s">
        <v>602</v>
      </c>
      <c r="E686" s="151">
        <f>VLOOKUP(A686,'AFC Data details'!$B:$P,15,0)</f>
        <v>1.3129999999999999</v>
      </c>
      <c r="F686" s="151">
        <f>SUMIFS('AFC Data details'!C:C,'AFC Data details'!$B:$B,'Element wise-detail Summary'!$A686)</f>
        <v>1</v>
      </c>
      <c r="G686" s="151">
        <f>SUMIFS(Cast!$C:$C,Cast!$B:$B,'Element wise-detail Summary'!$A686)</f>
        <v>1</v>
      </c>
      <c r="H686" s="151">
        <f t="shared" si="68"/>
        <v>0</v>
      </c>
      <c r="I686" s="151">
        <f>SUMIFS(Del!$C:$C,Del!$B:$B,'Element wise-detail Summary'!$A686)</f>
        <v>0</v>
      </c>
      <c r="J686" s="151">
        <f t="shared" si="69"/>
        <v>1</v>
      </c>
      <c r="K686" s="151">
        <f t="shared" si="70"/>
        <v>1</v>
      </c>
      <c r="L686" s="151">
        <f>SUMIF(Ere!$B:$B,'Element wise-detail Summary'!$A686,Ere!$C:$C)</f>
        <v>0</v>
      </c>
      <c r="M686" s="151">
        <f t="shared" si="71"/>
        <v>1</v>
      </c>
      <c r="N686">
        <f t="shared" si="63"/>
        <v>0</v>
      </c>
    </row>
    <row r="687" spans="1:14" hidden="1" x14ac:dyDescent="0.25">
      <c r="A687" s="151" t="s">
        <v>1883</v>
      </c>
      <c r="B687" s="233" t="str">
        <f>VLOOKUP(A687,'AFC Data details'!$B:$E,4,0)</f>
        <v>PV21</v>
      </c>
      <c r="C687" s="144" t="s">
        <v>1697</v>
      </c>
      <c r="D687" s="151" t="s">
        <v>602</v>
      </c>
      <c r="E687" s="151">
        <f>VLOOKUP(A687,'AFC Data details'!$B:$P,15,0)</f>
        <v>0.97099999999999997</v>
      </c>
      <c r="F687" s="151">
        <f>SUMIFS('AFC Data details'!C:C,'AFC Data details'!$B:$B,'Element wise-detail Summary'!$A687)</f>
        <v>1</v>
      </c>
      <c r="G687" s="151">
        <f>SUMIFS(Cast!$C:$C,Cast!$B:$B,'Element wise-detail Summary'!$A687)</f>
        <v>1</v>
      </c>
      <c r="H687" s="151">
        <f t="shared" si="68"/>
        <v>0</v>
      </c>
      <c r="I687" s="151">
        <f>SUMIFS(Del!$C:$C,Del!$B:$B,'Element wise-detail Summary'!$A687)</f>
        <v>0</v>
      </c>
      <c r="J687" s="151">
        <f t="shared" si="69"/>
        <v>1</v>
      </c>
      <c r="K687" s="151">
        <f t="shared" si="70"/>
        <v>1</v>
      </c>
      <c r="L687" s="151">
        <f>SUMIF(Ere!$B:$B,'Element wise-detail Summary'!$A687,Ere!$C:$C)</f>
        <v>0</v>
      </c>
      <c r="M687" s="151">
        <f t="shared" si="71"/>
        <v>1</v>
      </c>
      <c r="N687">
        <f t="shared" si="63"/>
        <v>0</v>
      </c>
    </row>
    <row r="688" spans="1:14" x14ac:dyDescent="0.25">
      <c r="A688" s="151" t="s">
        <v>2074</v>
      </c>
      <c r="B688" s="233" t="str">
        <f>VLOOKUP(A688,'AFC Data details'!$B:$E,4,0)</f>
        <v>PV23</v>
      </c>
      <c r="C688" s="144" t="s">
        <v>1697</v>
      </c>
      <c r="D688" s="151" t="s">
        <v>602</v>
      </c>
      <c r="E688" s="151">
        <f>VLOOKUP(A688,'AFC Data details'!$B:$P,15,0)</f>
        <v>0.97099999999999997</v>
      </c>
      <c r="F688" s="151">
        <f>SUMIFS('AFC Data details'!C:C,'AFC Data details'!$B:$B,'Element wise-detail Summary'!$A688)</f>
        <v>1</v>
      </c>
      <c r="G688" s="151">
        <f>SUMIFS(Cast!$C:$C,Cast!$B:$B,'Element wise-detail Summary'!$A688)</f>
        <v>1</v>
      </c>
      <c r="H688" s="151">
        <f t="shared" si="68"/>
        <v>0</v>
      </c>
      <c r="I688" s="151">
        <f>SUMIFS(Del!$C:$C,Del!$B:$B,'Element wise-detail Summary'!$A688)</f>
        <v>1</v>
      </c>
      <c r="J688" s="151">
        <f t="shared" si="69"/>
        <v>0</v>
      </c>
      <c r="K688" s="151">
        <f t="shared" si="70"/>
        <v>0</v>
      </c>
      <c r="L688" s="151">
        <f>SUMIF(Ere!$B:$B,'Element wise-detail Summary'!$A688,Ere!$C:$C)</f>
        <v>0</v>
      </c>
      <c r="M688" s="151">
        <f t="shared" si="71"/>
        <v>1</v>
      </c>
      <c r="N688">
        <f t="shared" si="63"/>
        <v>0.97099999999999997</v>
      </c>
    </row>
    <row r="689" spans="1:14" hidden="1" x14ac:dyDescent="0.25">
      <c r="A689" s="151" t="s">
        <v>1884</v>
      </c>
      <c r="B689" s="233" t="str">
        <f>VLOOKUP(A689,'AFC Data details'!$B:$E,4,0)</f>
        <v>PV21</v>
      </c>
      <c r="C689" s="144" t="s">
        <v>1697</v>
      </c>
      <c r="D689" s="151" t="s">
        <v>602</v>
      </c>
      <c r="E689" s="151">
        <f>VLOOKUP(A689,'AFC Data details'!$B:$P,15,0)</f>
        <v>2.1219999999999999</v>
      </c>
      <c r="F689" s="151">
        <f>SUMIFS('AFC Data details'!C:C,'AFC Data details'!$B:$B,'Element wise-detail Summary'!$A689)</f>
        <v>1</v>
      </c>
      <c r="G689" s="151">
        <f>SUMIFS(Cast!$C:$C,Cast!$B:$B,'Element wise-detail Summary'!$A689)</f>
        <v>1</v>
      </c>
      <c r="H689" s="151">
        <f t="shared" si="68"/>
        <v>0</v>
      </c>
      <c r="I689" s="151">
        <f>SUMIFS(Del!$C:$C,Del!$B:$B,'Element wise-detail Summary'!$A689)</f>
        <v>2</v>
      </c>
      <c r="J689" s="151">
        <f t="shared" si="69"/>
        <v>-1</v>
      </c>
      <c r="K689" s="151">
        <f t="shared" si="70"/>
        <v>-1</v>
      </c>
      <c r="L689" s="151">
        <f>SUMIF(Ere!$B:$B,'Element wise-detail Summary'!$A689,Ere!$C:$C)</f>
        <v>0</v>
      </c>
      <c r="M689" s="151">
        <f t="shared" si="71"/>
        <v>1</v>
      </c>
      <c r="N689">
        <f t="shared" si="63"/>
        <v>4.2439999999999998</v>
      </c>
    </row>
    <row r="690" spans="1:14" hidden="1" x14ac:dyDescent="0.25">
      <c r="A690" s="151" t="s">
        <v>2076</v>
      </c>
      <c r="B690" s="233" t="str">
        <f>VLOOKUP(A690,'AFC Data details'!$B:$E,4,0)</f>
        <v>PV20</v>
      </c>
      <c r="C690" s="144" t="s">
        <v>1697</v>
      </c>
      <c r="D690" s="151" t="s">
        <v>602</v>
      </c>
      <c r="E690" s="151">
        <f>VLOOKUP(A690,'AFC Data details'!$B:$P,15,0)</f>
        <v>2.1219999999999999</v>
      </c>
      <c r="F690" s="151">
        <f>SUMIFS('AFC Data details'!C:C,'AFC Data details'!$B:$B,'Element wise-detail Summary'!$A690)</f>
        <v>1</v>
      </c>
      <c r="G690" s="151">
        <f>SUMIFS(Cast!$C:$C,Cast!$B:$B,'Element wise-detail Summary'!$A690)</f>
        <v>1</v>
      </c>
      <c r="H690" s="151">
        <f t="shared" si="68"/>
        <v>0</v>
      </c>
      <c r="I690" s="151">
        <f>SUMIFS(Del!$C:$C,Del!$B:$B,'Element wise-detail Summary'!$A690)</f>
        <v>1</v>
      </c>
      <c r="J690" s="151">
        <f t="shared" si="69"/>
        <v>0</v>
      </c>
      <c r="K690" s="151">
        <f t="shared" si="70"/>
        <v>0</v>
      </c>
      <c r="L690" s="151">
        <f>SUMIF(Ere!$B:$B,'Element wise-detail Summary'!$A690,Ere!$C:$C)</f>
        <v>0</v>
      </c>
      <c r="M690" s="151">
        <f t="shared" si="71"/>
        <v>1</v>
      </c>
      <c r="N690">
        <f t="shared" si="63"/>
        <v>2.1219999999999999</v>
      </c>
    </row>
    <row r="691" spans="1:14" hidden="1" x14ac:dyDescent="0.25">
      <c r="A691" s="151" t="s">
        <v>2077</v>
      </c>
      <c r="B691" s="233" t="str">
        <f>VLOOKUP(A691,'AFC Data details'!$B:$E,4,0)</f>
        <v>PV19</v>
      </c>
      <c r="C691" s="144" t="s">
        <v>1697</v>
      </c>
      <c r="D691" s="151" t="s">
        <v>602</v>
      </c>
      <c r="E691" s="151">
        <f>VLOOKUP(A691,'AFC Data details'!$B:$P,15,0)</f>
        <v>2.1219999999999999</v>
      </c>
      <c r="F691" s="151">
        <f>SUMIFS('AFC Data details'!C:C,'AFC Data details'!$B:$B,'Element wise-detail Summary'!$A691)</f>
        <v>1</v>
      </c>
      <c r="G691" s="151">
        <f>SUMIFS(Cast!$C:$C,Cast!$B:$B,'Element wise-detail Summary'!$A691)</f>
        <v>1</v>
      </c>
      <c r="H691" s="151">
        <f t="shared" si="68"/>
        <v>0</v>
      </c>
      <c r="I691" s="151">
        <f>SUMIFS(Del!$C:$C,Del!$B:$B,'Element wise-detail Summary'!$A691)</f>
        <v>1</v>
      </c>
      <c r="J691" s="151">
        <f t="shared" si="69"/>
        <v>0</v>
      </c>
      <c r="K691" s="151">
        <f t="shared" si="70"/>
        <v>0</v>
      </c>
      <c r="L691" s="151">
        <f>SUMIF(Ere!$B:$B,'Element wise-detail Summary'!$A691,Ere!$C:$C)</f>
        <v>0</v>
      </c>
      <c r="M691" s="151">
        <f t="shared" si="71"/>
        <v>1</v>
      </c>
      <c r="N691">
        <f t="shared" si="63"/>
        <v>2.1219999999999999</v>
      </c>
    </row>
    <row r="692" spans="1:14" hidden="1" x14ac:dyDescent="0.25">
      <c r="A692" s="151" t="s">
        <v>2078</v>
      </c>
      <c r="B692" s="233" t="str">
        <f>VLOOKUP(A692,'AFC Data details'!$B:$E,4,0)</f>
        <v>PV18</v>
      </c>
      <c r="C692" s="144" t="s">
        <v>1697</v>
      </c>
      <c r="D692" s="151" t="s">
        <v>602</v>
      </c>
      <c r="E692" s="151">
        <f>VLOOKUP(A692,'AFC Data details'!$B:$P,15,0)</f>
        <v>2.1219999999999999</v>
      </c>
      <c r="F692" s="151">
        <f>SUMIFS('AFC Data details'!C:C,'AFC Data details'!$B:$B,'Element wise-detail Summary'!$A692)</f>
        <v>1</v>
      </c>
      <c r="G692" s="151">
        <f>SUMIFS(Cast!$C:$C,Cast!$B:$B,'Element wise-detail Summary'!$A692)</f>
        <v>1</v>
      </c>
      <c r="H692" s="151">
        <f t="shared" si="68"/>
        <v>0</v>
      </c>
      <c r="I692" s="151">
        <f>SUMIFS(Del!$C:$C,Del!$B:$B,'Element wise-detail Summary'!$A692)</f>
        <v>0</v>
      </c>
      <c r="J692" s="151">
        <f t="shared" si="69"/>
        <v>1</v>
      </c>
      <c r="K692" s="151">
        <f t="shared" si="70"/>
        <v>1</v>
      </c>
      <c r="L692" s="151">
        <f>SUMIF(Ere!$B:$B,'Element wise-detail Summary'!$A692,Ere!$C:$C)</f>
        <v>0</v>
      </c>
      <c r="M692" s="151">
        <f t="shared" si="71"/>
        <v>1</v>
      </c>
      <c r="N692">
        <f t="shared" si="63"/>
        <v>0</v>
      </c>
    </row>
    <row r="693" spans="1:14" hidden="1" x14ac:dyDescent="0.25">
      <c r="A693" s="151" t="s">
        <v>1885</v>
      </c>
      <c r="B693" s="233" t="str">
        <f>VLOOKUP(A693,'AFC Data details'!$B:$E,4,0)</f>
        <v>PV21</v>
      </c>
      <c r="C693" s="144" t="s">
        <v>1697</v>
      </c>
      <c r="D693" s="151" t="s">
        <v>602</v>
      </c>
      <c r="E693" s="151">
        <f>VLOOKUP(A693,'AFC Data details'!$B:$P,15,0)</f>
        <v>1.296</v>
      </c>
      <c r="F693" s="151">
        <f>SUMIFS('AFC Data details'!C:C,'AFC Data details'!$B:$B,'Element wise-detail Summary'!$A693)</f>
        <v>1</v>
      </c>
      <c r="G693" s="151">
        <f>SUMIFS(Cast!$C:$C,Cast!$B:$B,'Element wise-detail Summary'!$A693)</f>
        <v>1</v>
      </c>
      <c r="H693" s="151">
        <f t="shared" si="68"/>
        <v>0</v>
      </c>
      <c r="I693" s="151">
        <f>SUMIFS(Del!$C:$C,Del!$B:$B,'Element wise-detail Summary'!$A693)</f>
        <v>0</v>
      </c>
      <c r="J693" s="151">
        <f t="shared" si="69"/>
        <v>1</v>
      </c>
      <c r="K693" s="151">
        <f t="shared" si="70"/>
        <v>1</v>
      </c>
      <c r="L693" s="151">
        <f>SUMIF(Ere!$B:$B,'Element wise-detail Summary'!$A693,Ere!$C:$C)</f>
        <v>0</v>
      </c>
      <c r="M693" s="151">
        <f t="shared" si="71"/>
        <v>1</v>
      </c>
      <c r="N693">
        <f t="shared" si="63"/>
        <v>0</v>
      </c>
    </row>
    <row r="694" spans="1:14" hidden="1" x14ac:dyDescent="0.25">
      <c r="A694" s="151" t="s">
        <v>1886</v>
      </c>
      <c r="B694" s="233" t="str">
        <f>VLOOKUP(A694,'AFC Data details'!$B:$E,4,0)</f>
        <v>PV22</v>
      </c>
      <c r="C694" s="144" t="s">
        <v>1697</v>
      </c>
      <c r="D694" s="151" t="s">
        <v>602</v>
      </c>
      <c r="E694" s="151">
        <f>VLOOKUP(A694,'AFC Data details'!$B:$P,15,0)</f>
        <v>1.196</v>
      </c>
      <c r="F694" s="151">
        <f>SUMIFS('AFC Data details'!C:C,'AFC Data details'!$B:$B,'Element wise-detail Summary'!$A694)</f>
        <v>1</v>
      </c>
      <c r="G694" s="151">
        <f>SUMIFS(Cast!$C:$C,Cast!$B:$B,'Element wise-detail Summary'!$A694)</f>
        <v>1</v>
      </c>
      <c r="H694" s="151">
        <f t="shared" si="68"/>
        <v>0</v>
      </c>
      <c r="I694" s="151">
        <f>SUMIFS(Del!$C:$C,Del!$B:$B,'Element wise-detail Summary'!$A694)</f>
        <v>0</v>
      </c>
      <c r="J694" s="151">
        <f t="shared" si="69"/>
        <v>1</v>
      </c>
      <c r="K694" s="151">
        <f t="shared" si="70"/>
        <v>1</v>
      </c>
      <c r="L694" s="151">
        <f>SUMIF(Ere!$B:$B,'Element wise-detail Summary'!$A694,Ere!$C:$C)</f>
        <v>0</v>
      </c>
      <c r="M694" s="151">
        <f t="shared" si="71"/>
        <v>1</v>
      </c>
      <c r="N694">
        <f t="shared" si="63"/>
        <v>0</v>
      </c>
    </row>
    <row r="695" spans="1:14" hidden="1" x14ac:dyDescent="0.25">
      <c r="A695" s="151" t="s">
        <v>1887</v>
      </c>
      <c r="B695" s="233" t="str">
        <f>VLOOKUP(A695,'AFC Data details'!$B:$E,4,0)</f>
        <v>PV22</v>
      </c>
      <c r="C695" s="144" t="s">
        <v>1697</v>
      </c>
      <c r="D695" s="151" t="s">
        <v>602</v>
      </c>
      <c r="E695" s="151">
        <f>VLOOKUP(A695,'AFC Data details'!$B:$P,15,0)</f>
        <v>1.31</v>
      </c>
      <c r="F695" s="151">
        <f>SUMIFS('AFC Data details'!C:C,'AFC Data details'!$B:$B,'Element wise-detail Summary'!$A695)</f>
        <v>1</v>
      </c>
      <c r="G695" s="151">
        <f>SUMIFS(Cast!$C:$C,Cast!$B:$B,'Element wise-detail Summary'!$A695)</f>
        <v>1</v>
      </c>
      <c r="H695" s="151">
        <f t="shared" si="68"/>
        <v>0</v>
      </c>
      <c r="I695" s="151">
        <f>SUMIFS(Del!$C:$C,Del!$B:$B,'Element wise-detail Summary'!$A695)</f>
        <v>0</v>
      </c>
      <c r="J695" s="151">
        <f t="shared" si="69"/>
        <v>1</v>
      </c>
      <c r="K695" s="151">
        <f t="shared" si="70"/>
        <v>1</v>
      </c>
      <c r="L695" s="151">
        <f>SUMIF(Ere!$B:$B,'Element wise-detail Summary'!$A695,Ere!$C:$C)</f>
        <v>0</v>
      </c>
      <c r="M695" s="151">
        <f t="shared" si="71"/>
        <v>1</v>
      </c>
      <c r="N695">
        <f t="shared" si="63"/>
        <v>0</v>
      </c>
    </row>
    <row r="696" spans="1:14" x14ac:dyDescent="0.25">
      <c r="A696" s="151" t="s">
        <v>1888</v>
      </c>
      <c r="B696" s="233" t="str">
        <f>VLOOKUP(A696,'AFC Data details'!$B:$E,4,0)</f>
        <v>PV23</v>
      </c>
      <c r="C696" s="144" t="s">
        <v>1697</v>
      </c>
      <c r="D696" s="151" t="s">
        <v>602</v>
      </c>
      <c r="E696" s="151">
        <f>VLOOKUP(A696,'AFC Data details'!$B:$P,15,0)</f>
        <v>1.298</v>
      </c>
      <c r="F696" s="151">
        <f>SUMIFS('AFC Data details'!C:C,'AFC Data details'!$B:$B,'Element wise-detail Summary'!$A696)</f>
        <v>1</v>
      </c>
      <c r="G696" s="151">
        <f>SUMIFS(Cast!$C:$C,Cast!$B:$B,'Element wise-detail Summary'!$A696)</f>
        <v>1</v>
      </c>
      <c r="H696" s="151">
        <f t="shared" si="68"/>
        <v>0</v>
      </c>
      <c r="I696" s="151">
        <f>SUMIFS(Del!$C:$C,Del!$B:$B,'Element wise-detail Summary'!$A696)</f>
        <v>0</v>
      </c>
      <c r="J696" s="151">
        <f t="shared" si="69"/>
        <v>1</v>
      </c>
      <c r="K696" s="151">
        <f t="shared" si="70"/>
        <v>1</v>
      </c>
      <c r="L696" s="151">
        <f>SUMIF(Ere!$B:$B,'Element wise-detail Summary'!$A696,Ere!$C:$C)</f>
        <v>0</v>
      </c>
      <c r="M696" s="151">
        <f t="shared" si="71"/>
        <v>1</v>
      </c>
      <c r="N696">
        <f t="shared" si="63"/>
        <v>0</v>
      </c>
    </row>
    <row r="697" spans="1:14" hidden="1" x14ac:dyDescent="0.25">
      <c r="A697" s="151" t="s">
        <v>1889</v>
      </c>
      <c r="B697" s="233" t="str">
        <f>VLOOKUP(A697,'AFC Data details'!$B:$E,4,0)</f>
        <v>PV24</v>
      </c>
      <c r="C697" s="144" t="s">
        <v>1697</v>
      </c>
      <c r="D697" s="151" t="s">
        <v>602</v>
      </c>
      <c r="E697" s="151">
        <f>VLOOKUP(A697,'AFC Data details'!$B:$P,15,0)</f>
        <v>2.0760000000000001</v>
      </c>
      <c r="F697" s="151">
        <f>SUMIFS('AFC Data details'!C:C,'AFC Data details'!$B:$B,'Element wise-detail Summary'!$A697)</f>
        <v>1</v>
      </c>
      <c r="G697" s="151">
        <f>SUMIFS(Cast!$C:$C,Cast!$B:$B,'Element wise-detail Summary'!$A697)</f>
        <v>1</v>
      </c>
      <c r="H697" s="151">
        <f t="shared" si="68"/>
        <v>0</v>
      </c>
      <c r="I697" s="151">
        <f>SUMIFS(Del!$C:$C,Del!$B:$B,'Element wise-detail Summary'!$A697)</f>
        <v>1</v>
      </c>
      <c r="J697" s="151">
        <f t="shared" si="69"/>
        <v>0</v>
      </c>
      <c r="K697" s="151">
        <f t="shared" si="70"/>
        <v>0</v>
      </c>
      <c r="L697" s="151">
        <f>SUMIF(Ere!$B:$B,'Element wise-detail Summary'!$A697,Ere!$C:$C)</f>
        <v>0</v>
      </c>
      <c r="M697" s="151">
        <f t="shared" si="71"/>
        <v>1</v>
      </c>
      <c r="N697">
        <f t="shared" si="63"/>
        <v>2.0760000000000001</v>
      </c>
    </row>
    <row r="698" spans="1:14" hidden="1" x14ac:dyDescent="0.25">
      <c r="A698" s="151" t="s">
        <v>1890</v>
      </c>
      <c r="B698" s="233" t="str">
        <f>VLOOKUP(A698,'AFC Data details'!$B:$E,4,0)</f>
        <v>PV24</v>
      </c>
      <c r="C698" s="144" t="s">
        <v>1697</v>
      </c>
      <c r="D698" s="151" t="s">
        <v>602</v>
      </c>
      <c r="E698" s="151">
        <f>VLOOKUP(A698,'AFC Data details'!$B:$P,15,0)</f>
        <v>2.0760000000000001</v>
      </c>
      <c r="F698" s="151">
        <f>SUMIFS('AFC Data details'!C:C,'AFC Data details'!$B:$B,'Element wise-detail Summary'!$A698)</f>
        <v>1</v>
      </c>
      <c r="G698" s="151">
        <f>SUMIFS(Cast!$C:$C,Cast!$B:$B,'Element wise-detail Summary'!$A698)</f>
        <v>1</v>
      </c>
      <c r="H698" s="151">
        <f t="shared" si="68"/>
        <v>0</v>
      </c>
      <c r="I698" s="151">
        <f>SUMIFS(Del!$C:$C,Del!$B:$B,'Element wise-detail Summary'!$A698)</f>
        <v>1</v>
      </c>
      <c r="J698" s="151">
        <f t="shared" si="69"/>
        <v>0</v>
      </c>
      <c r="K698" s="151">
        <f t="shared" si="70"/>
        <v>0</v>
      </c>
      <c r="L698" s="151">
        <f>SUMIF(Ere!$B:$B,'Element wise-detail Summary'!$A698,Ere!$C:$C)</f>
        <v>0</v>
      </c>
      <c r="M698" s="151">
        <f t="shared" si="71"/>
        <v>1</v>
      </c>
      <c r="N698">
        <f t="shared" si="63"/>
        <v>2.0760000000000001</v>
      </c>
    </row>
    <row r="699" spans="1:14" hidden="1" x14ac:dyDescent="0.25">
      <c r="A699" s="151" t="s">
        <v>2081</v>
      </c>
      <c r="B699" s="233" t="str">
        <f>VLOOKUP(A699,'AFC Data details'!$B:$E,4,0)</f>
        <v>PV24</v>
      </c>
      <c r="C699" s="144" t="s">
        <v>1697</v>
      </c>
      <c r="D699" s="151" t="s">
        <v>602</v>
      </c>
      <c r="E699" s="151">
        <f>VLOOKUP(A699,'AFC Data details'!$B:$P,15,0)</f>
        <v>2.0760000000000001</v>
      </c>
      <c r="F699" s="151">
        <f>SUMIFS('AFC Data details'!C:C,'AFC Data details'!$B:$B,'Element wise-detail Summary'!$A699)</f>
        <v>1</v>
      </c>
      <c r="G699" s="151">
        <f>SUMIFS(Cast!$C:$C,Cast!$B:$B,'Element wise-detail Summary'!$A699)</f>
        <v>1</v>
      </c>
      <c r="H699" s="151">
        <f t="shared" si="68"/>
        <v>0</v>
      </c>
      <c r="I699" s="151">
        <f>SUMIFS(Del!$C:$C,Del!$B:$B,'Element wise-detail Summary'!$A699)</f>
        <v>1</v>
      </c>
      <c r="J699" s="151">
        <f t="shared" si="69"/>
        <v>0</v>
      </c>
      <c r="K699" s="151">
        <f t="shared" si="70"/>
        <v>0</v>
      </c>
      <c r="L699" s="151">
        <f>SUMIF(Ere!$B:$B,'Element wise-detail Summary'!$A699,Ere!$C:$C)</f>
        <v>0</v>
      </c>
      <c r="M699" s="151">
        <f t="shared" si="71"/>
        <v>1</v>
      </c>
      <c r="N699">
        <f t="shared" si="63"/>
        <v>2.0760000000000001</v>
      </c>
    </row>
    <row r="700" spans="1:14" hidden="1" x14ac:dyDescent="0.25">
      <c r="A700" s="151" t="s">
        <v>2082</v>
      </c>
      <c r="B700" s="233" t="str">
        <f>VLOOKUP(A700,'AFC Data details'!$B:$E,4,0)</f>
        <v>PV24</v>
      </c>
      <c r="C700" s="144" t="s">
        <v>1697</v>
      </c>
      <c r="D700" s="151" t="s">
        <v>602</v>
      </c>
      <c r="E700" s="151">
        <f>VLOOKUP(A700,'AFC Data details'!$B:$P,15,0)</f>
        <v>2.0760000000000001</v>
      </c>
      <c r="F700" s="151">
        <f>SUMIFS('AFC Data details'!C:C,'AFC Data details'!$B:$B,'Element wise-detail Summary'!$A700)</f>
        <v>1</v>
      </c>
      <c r="G700" s="151">
        <f>SUMIFS(Cast!$C:$C,Cast!$B:$B,'Element wise-detail Summary'!$A700)</f>
        <v>1</v>
      </c>
      <c r="H700" s="151">
        <f t="shared" si="68"/>
        <v>0</v>
      </c>
      <c r="I700" s="151">
        <f>SUMIFS(Del!$C:$C,Del!$B:$B,'Element wise-detail Summary'!$A700)</f>
        <v>0</v>
      </c>
      <c r="J700" s="151">
        <f t="shared" si="69"/>
        <v>1</v>
      </c>
      <c r="K700" s="151">
        <f t="shared" si="70"/>
        <v>1</v>
      </c>
      <c r="L700" s="151">
        <f>SUMIF(Ere!$B:$B,'Element wise-detail Summary'!$A700,Ere!$C:$C)</f>
        <v>0</v>
      </c>
      <c r="M700" s="151">
        <f t="shared" si="71"/>
        <v>1</v>
      </c>
      <c r="N700">
        <f t="shared" si="63"/>
        <v>0</v>
      </c>
    </row>
    <row r="701" spans="1:14" hidden="1" x14ac:dyDescent="0.25">
      <c r="A701" s="151" t="s">
        <v>2083</v>
      </c>
      <c r="B701" s="233" t="str">
        <f>VLOOKUP(A701,'AFC Data details'!$B:$E,4,0)</f>
        <v>PV24</v>
      </c>
      <c r="C701" s="144" t="s">
        <v>1697</v>
      </c>
      <c r="D701" s="151" t="s">
        <v>602</v>
      </c>
      <c r="E701" s="151">
        <f>VLOOKUP(A701,'AFC Data details'!$B:$P,15,0)</f>
        <v>2.0760000000000001</v>
      </c>
      <c r="F701" s="151">
        <f>SUMIFS('AFC Data details'!C:C,'AFC Data details'!$B:$B,'Element wise-detail Summary'!$A701)</f>
        <v>1</v>
      </c>
      <c r="G701" s="151">
        <f>SUMIFS(Cast!$C:$C,Cast!$B:$B,'Element wise-detail Summary'!$A701)</f>
        <v>1</v>
      </c>
      <c r="H701" s="151">
        <f t="shared" si="68"/>
        <v>0</v>
      </c>
      <c r="I701" s="151">
        <f>SUMIFS(Del!$C:$C,Del!$B:$B,'Element wise-detail Summary'!$A701)</f>
        <v>1</v>
      </c>
      <c r="J701" s="151">
        <f t="shared" si="69"/>
        <v>0</v>
      </c>
      <c r="K701" s="151">
        <f t="shared" si="70"/>
        <v>0</v>
      </c>
      <c r="L701" s="151">
        <f>SUMIF(Ere!$B:$B,'Element wise-detail Summary'!$A701,Ere!$C:$C)</f>
        <v>1</v>
      </c>
      <c r="M701" s="151">
        <f t="shared" si="71"/>
        <v>0</v>
      </c>
      <c r="N701">
        <f t="shared" si="63"/>
        <v>2.0760000000000001</v>
      </c>
    </row>
    <row r="702" spans="1:14" hidden="1" x14ac:dyDescent="0.25">
      <c r="A702" s="151" t="s">
        <v>1891</v>
      </c>
      <c r="B702" s="233" t="str">
        <f>VLOOKUP(A702,'AFC Data details'!$B:$E,4,0)</f>
        <v>PV24</v>
      </c>
      <c r="C702" s="144" t="s">
        <v>1697</v>
      </c>
      <c r="D702" s="151" t="s">
        <v>602</v>
      </c>
      <c r="E702" s="151">
        <f>VLOOKUP(A702,'AFC Data details'!$B:$P,15,0)</f>
        <v>2.0760000000000001</v>
      </c>
      <c r="F702" s="151">
        <f>SUMIFS('AFC Data details'!C:C,'AFC Data details'!$B:$B,'Element wise-detail Summary'!$A702)</f>
        <v>1</v>
      </c>
      <c r="G702" s="151">
        <f>SUMIFS(Cast!$C:$C,Cast!$B:$B,'Element wise-detail Summary'!$A702)</f>
        <v>1</v>
      </c>
      <c r="H702" s="151">
        <f t="shared" si="68"/>
        <v>0</v>
      </c>
      <c r="I702" s="151">
        <f>SUMIFS(Del!$C:$C,Del!$B:$B,'Element wise-detail Summary'!$A702)</f>
        <v>1</v>
      </c>
      <c r="J702" s="151">
        <f t="shared" si="69"/>
        <v>0</v>
      </c>
      <c r="K702" s="151">
        <f t="shared" si="70"/>
        <v>0</v>
      </c>
      <c r="L702" s="151">
        <f>SUMIF(Ere!$B:$B,'Element wise-detail Summary'!$A702,Ere!$C:$C)</f>
        <v>1</v>
      </c>
      <c r="M702" s="151">
        <f t="shared" si="71"/>
        <v>0</v>
      </c>
      <c r="N702">
        <f t="shared" si="63"/>
        <v>2.0760000000000001</v>
      </c>
    </row>
    <row r="703" spans="1:14" hidden="1" x14ac:dyDescent="0.25">
      <c r="A703" s="151" t="s">
        <v>1892</v>
      </c>
      <c r="B703" s="233" t="str">
        <f>VLOOKUP(A703,'AFC Data details'!$B:$E,4,0)</f>
        <v>PV24</v>
      </c>
      <c r="C703" s="144" t="s">
        <v>1697</v>
      </c>
      <c r="D703" s="151" t="s">
        <v>602</v>
      </c>
      <c r="E703" s="151">
        <f>VLOOKUP(A703,'AFC Data details'!$B:$P,15,0)</f>
        <v>1.2010000000000001</v>
      </c>
      <c r="F703" s="151">
        <f>SUMIFS('AFC Data details'!C:C,'AFC Data details'!$B:$B,'Element wise-detail Summary'!$A703)</f>
        <v>1</v>
      </c>
      <c r="G703" s="151">
        <f>SUMIFS(Cast!$C:$C,Cast!$B:$B,'Element wise-detail Summary'!$A703)</f>
        <v>1</v>
      </c>
      <c r="H703" s="151">
        <f t="shared" si="68"/>
        <v>0</v>
      </c>
      <c r="I703" s="151">
        <f>SUMIFS(Del!$C:$C,Del!$B:$B,'Element wise-detail Summary'!$A703)</f>
        <v>1</v>
      </c>
      <c r="J703" s="151">
        <f t="shared" si="69"/>
        <v>0</v>
      </c>
      <c r="K703" s="151">
        <f t="shared" si="70"/>
        <v>0</v>
      </c>
      <c r="L703" s="151">
        <f>SUMIF(Ere!$B:$B,'Element wise-detail Summary'!$A703,Ere!$C:$C)</f>
        <v>0</v>
      </c>
      <c r="M703" s="151">
        <f t="shared" si="71"/>
        <v>1</v>
      </c>
      <c r="N703">
        <f t="shared" si="63"/>
        <v>1.2010000000000001</v>
      </c>
    </row>
    <row r="704" spans="1:14" hidden="1" x14ac:dyDescent="0.25">
      <c r="A704" s="151" t="s">
        <v>1893</v>
      </c>
      <c r="B704" s="233" t="str">
        <f>VLOOKUP(A704,'AFC Data details'!$B:$E,4,0)</f>
        <v>PV24</v>
      </c>
      <c r="C704" s="144" t="s">
        <v>1697</v>
      </c>
      <c r="D704" s="151" t="s">
        <v>602</v>
      </c>
      <c r="E704" s="151">
        <f>VLOOKUP(A704,'AFC Data details'!$B:$P,15,0)</f>
        <v>1.3149999999999999</v>
      </c>
      <c r="F704" s="151">
        <f>SUMIFS('AFC Data details'!C:C,'AFC Data details'!$B:$B,'Element wise-detail Summary'!$A704)</f>
        <v>1</v>
      </c>
      <c r="G704" s="151">
        <f>SUMIFS(Cast!$C:$C,Cast!$B:$B,'Element wise-detail Summary'!$A704)</f>
        <v>1</v>
      </c>
      <c r="H704" s="151">
        <f t="shared" si="68"/>
        <v>0</v>
      </c>
      <c r="I704" s="151">
        <f>SUMIFS(Del!$C:$C,Del!$B:$B,'Element wise-detail Summary'!$A704)</f>
        <v>1</v>
      </c>
      <c r="J704" s="151">
        <f t="shared" si="69"/>
        <v>0</v>
      </c>
      <c r="K704" s="151">
        <f t="shared" si="70"/>
        <v>0</v>
      </c>
      <c r="L704" s="151">
        <f>SUMIF(Ere!$B:$B,'Element wise-detail Summary'!$A704,Ere!$C:$C)</f>
        <v>0</v>
      </c>
      <c r="M704" s="151">
        <f t="shared" si="71"/>
        <v>1</v>
      </c>
      <c r="N704">
        <f t="shared" si="63"/>
        <v>1.3149999999999999</v>
      </c>
    </row>
    <row r="705" spans="1:14" hidden="1" x14ac:dyDescent="0.25">
      <c r="A705" s="151" t="s">
        <v>1894</v>
      </c>
      <c r="B705" s="233" t="str">
        <f>VLOOKUP(A705,'AFC Data details'!$B:$E,4,0)</f>
        <v>PV25</v>
      </c>
      <c r="C705" s="144" t="s">
        <v>1697</v>
      </c>
      <c r="D705" s="151" t="s">
        <v>602</v>
      </c>
      <c r="E705" s="151">
        <f>VLOOKUP(A705,'AFC Data details'!$B:$P,15,0)</f>
        <v>0.96499999999999997</v>
      </c>
      <c r="F705" s="151">
        <f>SUMIFS('AFC Data details'!C:C,'AFC Data details'!$B:$B,'Element wise-detail Summary'!$A705)</f>
        <v>1</v>
      </c>
      <c r="G705" s="151">
        <f>SUMIFS(Cast!$C:$C,Cast!$B:$B,'Element wise-detail Summary'!$A705)</f>
        <v>1</v>
      </c>
      <c r="H705" s="151">
        <f t="shared" si="68"/>
        <v>0</v>
      </c>
      <c r="I705" s="151">
        <f>SUMIFS(Del!$C:$C,Del!$B:$B,'Element wise-detail Summary'!$A705)</f>
        <v>1</v>
      </c>
      <c r="J705" s="151">
        <f t="shared" si="69"/>
        <v>0</v>
      </c>
      <c r="K705" s="151">
        <f t="shared" si="70"/>
        <v>0</v>
      </c>
      <c r="L705" s="151">
        <f>SUMIF(Ere!$B:$B,'Element wise-detail Summary'!$A705,Ere!$C:$C)</f>
        <v>1</v>
      </c>
      <c r="M705" s="151">
        <f t="shared" si="71"/>
        <v>0</v>
      </c>
      <c r="N705">
        <f t="shared" si="63"/>
        <v>0.96499999999999997</v>
      </c>
    </row>
    <row r="706" spans="1:14" hidden="1" x14ac:dyDescent="0.25">
      <c r="A706" s="151" t="s">
        <v>1895</v>
      </c>
      <c r="B706" s="233" t="str">
        <f>VLOOKUP(A706,'AFC Data details'!$B:$E,4,0)</f>
        <v>PV25</v>
      </c>
      <c r="C706" s="144" t="s">
        <v>1697</v>
      </c>
      <c r="D706" s="151" t="s">
        <v>602</v>
      </c>
      <c r="E706" s="151">
        <f>VLOOKUP(A706,'AFC Data details'!$B:$P,15,0)</f>
        <v>1.9490000000000001</v>
      </c>
      <c r="F706" s="151">
        <f>SUMIFS('AFC Data details'!C:C,'AFC Data details'!$B:$B,'Element wise-detail Summary'!$A706)</f>
        <v>1</v>
      </c>
      <c r="G706" s="151">
        <f>SUMIFS(Cast!$C:$C,Cast!$B:$B,'Element wise-detail Summary'!$A706)</f>
        <v>1</v>
      </c>
      <c r="H706" s="151">
        <f t="shared" si="68"/>
        <v>0</v>
      </c>
      <c r="I706" s="151">
        <f>SUMIFS(Del!$C:$C,Del!$B:$B,'Element wise-detail Summary'!$A706)</f>
        <v>1</v>
      </c>
      <c r="J706" s="151">
        <f t="shared" si="69"/>
        <v>0</v>
      </c>
      <c r="K706" s="151">
        <f t="shared" si="70"/>
        <v>0</v>
      </c>
      <c r="L706" s="151">
        <f>SUMIF(Ere!$B:$B,'Element wise-detail Summary'!$A706,Ere!$C:$C)</f>
        <v>1</v>
      </c>
      <c r="M706" s="151">
        <f t="shared" si="71"/>
        <v>0</v>
      </c>
      <c r="N706">
        <f t="shared" si="63"/>
        <v>1.9490000000000001</v>
      </c>
    </row>
    <row r="707" spans="1:14" hidden="1" x14ac:dyDescent="0.25">
      <c r="A707" s="151" t="s">
        <v>2085</v>
      </c>
      <c r="B707" s="233" t="str">
        <f>VLOOKUP(A707,'AFC Data details'!$B:$E,4,0)</f>
        <v>PV25</v>
      </c>
      <c r="C707" s="144" t="s">
        <v>1697</v>
      </c>
      <c r="D707" s="151" t="s">
        <v>602</v>
      </c>
      <c r="E707" s="151">
        <f>VLOOKUP(A707,'AFC Data details'!$B:$P,15,0)</f>
        <v>1.9490000000000001</v>
      </c>
      <c r="F707" s="151">
        <f>SUMIFS('AFC Data details'!C:C,'AFC Data details'!$B:$B,'Element wise-detail Summary'!$A707)</f>
        <v>1</v>
      </c>
      <c r="G707" s="151">
        <f>SUMIFS(Cast!$C:$C,Cast!$B:$B,'Element wise-detail Summary'!$A707)</f>
        <v>1</v>
      </c>
      <c r="H707" s="151">
        <f t="shared" si="68"/>
        <v>0</v>
      </c>
      <c r="I707" s="151">
        <f>SUMIFS(Del!$C:$C,Del!$B:$B,'Element wise-detail Summary'!$A707)</f>
        <v>1</v>
      </c>
      <c r="J707" s="151">
        <f t="shared" si="69"/>
        <v>0</v>
      </c>
      <c r="K707" s="151">
        <f t="shared" si="70"/>
        <v>0</v>
      </c>
      <c r="L707" s="151">
        <f>SUMIF(Ere!$B:$B,'Element wise-detail Summary'!$A707,Ere!$C:$C)</f>
        <v>1</v>
      </c>
      <c r="M707" s="151">
        <f t="shared" si="71"/>
        <v>0</v>
      </c>
      <c r="N707">
        <f t="shared" si="63"/>
        <v>1.9490000000000001</v>
      </c>
    </row>
    <row r="708" spans="1:14" hidden="1" x14ac:dyDescent="0.25">
      <c r="A708" s="151" t="s">
        <v>2086</v>
      </c>
      <c r="B708" s="233" t="str">
        <f>VLOOKUP(A708,'AFC Data details'!$B:$E,4,0)</f>
        <v>PV25</v>
      </c>
      <c r="C708" s="144" t="s">
        <v>1697</v>
      </c>
      <c r="D708" s="151" t="s">
        <v>602</v>
      </c>
      <c r="E708" s="151">
        <f>VLOOKUP(A708,'AFC Data details'!$B:$P,15,0)</f>
        <v>1.9490000000000001</v>
      </c>
      <c r="F708" s="151">
        <f>SUMIFS('AFC Data details'!C:C,'AFC Data details'!$B:$B,'Element wise-detail Summary'!$A708)</f>
        <v>1</v>
      </c>
      <c r="G708" s="151">
        <f>SUMIFS(Cast!$C:$C,Cast!$B:$B,'Element wise-detail Summary'!$A708)</f>
        <v>1</v>
      </c>
      <c r="H708" s="151">
        <f t="shared" si="68"/>
        <v>0</v>
      </c>
      <c r="I708" s="151">
        <f>SUMIFS(Del!$C:$C,Del!$B:$B,'Element wise-detail Summary'!$A708)</f>
        <v>1</v>
      </c>
      <c r="J708" s="151">
        <f t="shared" si="69"/>
        <v>0</v>
      </c>
      <c r="K708" s="151">
        <f t="shared" si="70"/>
        <v>0</v>
      </c>
      <c r="L708" s="151">
        <f>SUMIF(Ere!$B:$B,'Element wise-detail Summary'!$A708,Ere!$C:$C)</f>
        <v>1</v>
      </c>
      <c r="M708" s="151">
        <f t="shared" si="71"/>
        <v>0</v>
      </c>
      <c r="N708">
        <f t="shared" ref="N708:N771" si="72">I708*E708</f>
        <v>1.9490000000000001</v>
      </c>
    </row>
    <row r="709" spans="1:14" hidden="1" x14ac:dyDescent="0.25">
      <c r="A709" s="151" t="s">
        <v>2087</v>
      </c>
      <c r="B709" s="233" t="str">
        <f>VLOOKUP(A709,'AFC Data details'!$B:$E,4,0)</f>
        <v>PV25</v>
      </c>
      <c r="C709" s="144" t="s">
        <v>1697</v>
      </c>
      <c r="D709" s="151" t="s">
        <v>602</v>
      </c>
      <c r="E709" s="151">
        <f>VLOOKUP(A709,'AFC Data details'!$B:$P,15,0)</f>
        <v>1.9490000000000001</v>
      </c>
      <c r="F709" s="151">
        <f>SUMIFS('AFC Data details'!C:C,'AFC Data details'!$B:$B,'Element wise-detail Summary'!$A709)</f>
        <v>1</v>
      </c>
      <c r="G709" s="151">
        <f>SUMIFS(Cast!$C:$C,Cast!$B:$B,'Element wise-detail Summary'!$A709)</f>
        <v>1</v>
      </c>
      <c r="H709" s="151">
        <f t="shared" si="68"/>
        <v>0</v>
      </c>
      <c r="I709" s="151">
        <f>SUMIFS(Del!$C:$C,Del!$B:$B,'Element wise-detail Summary'!$A709)</f>
        <v>1</v>
      </c>
      <c r="J709" s="151">
        <f t="shared" si="69"/>
        <v>0</v>
      </c>
      <c r="K709" s="151">
        <f t="shared" si="70"/>
        <v>0</v>
      </c>
      <c r="L709" s="151">
        <f>SUMIF(Ere!$B:$B,'Element wise-detail Summary'!$A709,Ere!$C:$C)</f>
        <v>1</v>
      </c>
      <c r="M709" s="151">
        <f t="shared" si="71"/>
        <v>0</v>
      </c>
      <c r="N709">
        <f t="shared" si="72"/>
        <v>1.9490000000000001</v>
      </c>
    </row>
    <row r="710" spans="1:14" hidden="1" x14ac:dyDescent="0.25">
      <c r="A710" s="151" t="s">
        <v>2088</v>
      </c>
      <c r="B710" s="233" t="str">
        <f>VLOOKUP(A710,'AFC Data details'!$B:$E,4,0)</f>
        <v>PV25</v>
      </c>
      <c r="C710" s="144" t="s">
        <v>1697</v>
      </c>
      <c r="D710" s="151" t="s">
        <v>602</v>
      </c>
      <c r="E710" s="151">
        <f>VLOOKUP(A710,'AFC Data details'!$B:$P,15,0)</f>
        <v>1.9490000000000001</v>
      </c>
      <c r="F710" s="151">
        <f>SUMIFS('AFC Data details'!C:C,'AFC Data details'!$B:$B,'Element wise-detail Summary'!$A710)</f>
        <v>1</v>
      </c>
      <c r="G710" s="151">
        <f>SUMIFS(Cast!$C:$C,Cast!$B:$B,'Element wise-detail Summary'!$A710)</f>
        <v>1</v>
      </c>
      <c r="H710" s="151">
        <f t="shared" si="68"/>
        <v>0</v>
      </c>
      <c r="I710" s="151">
        <f>SUMIFS(Del!$C:$C,Del!$B:$B,'Element wise-detail Summary'!$A710)</f>
        <v>1</v>
      </c>
      <c r="J710" s="151">
        <f t="shared" si="69"/>
        <v>0</v>
      </c>
      <c r="K710" s="151">
        <f t="shared" si="70"/>
        <v>0</v>
      </c>
      <c r="L710" s="151">
        <f>SUMIF(Ere!$B:$B,'Element wise-detail Summary'!$A710,Ere!$C:$C)</f>
        <v>1</v>
      </c>
      <c r="M710" s="151">
        <f t="shared" si="71"/>
        <v>0</v>
      </c>
      <c r="N710">
        <f t="shared" si="72"/>
        <v>1.9490000000000001</v>
      </c>
    </row>
    <row r="711" spans="1:14" hidden="1" x14ac:dyDescent="0.25">
      <c r="A711" s="151" t="s">
        <v>1896</v>
      </c>
      <c r="B711" s="233" t="str">
        <f>VLOOKUP(A711,'AFC Data details'!$B:$E,4,0)</f>
        <v>PV25</v>
      </c>
      <c r="C711" s="144" t="s">
        <v>1697</v>
      </c>
      <c r="D711" s="151" t="s">
        <v>602</v>
      </c>
      <c r="E711" s="151">
        <f>VLOOKUP(A711,'AFC Data details'!$B:$P,15,0)</f>
        <v>1.9490000000000001</v>
      </c>
      <c r="F711" s="151">
        <f>SUMIFS('AFC Data details'!C:C,'AFC Data details'!$B:$B,'Element wise-detail Summary'!$A711)</f>
        <v>1</v>
      </c>
      <c r="G711" s="151">
        <f>SUMIFS(Cast!$C:$C,Cast!$B:$B,'Element wise-detail Summary'!$A711)</f>
        <v>1</v>
      </c>
      <c r="H711" s="151">
        <f t="shared" si="68"/>
        <v>0</v>
      </c>
      <c r="I711" s="151">
        <f>SUMIFS(Del!$C:$C,Del!$B:$B,'Element wise-detail Summary'!$A711)</f>
        <v>1</v>
      </c>
      <c r="J711" s="151">
        <f t="shared" si="69"/>
        <v>0</v>
      </c>
      <c r="K711" s="151">
        <f t="shared" si="70"/>
        <v>0</v>
      </c>
      <c r="L711" s="151">
        <f>SUMIF(Ere!$B:$B,'Element wise-detail Summary'!$A711,Ere!$C:$C)</f>
        <v>1</v>
      </c>
      <c r="M711" s="151">
        <f t="shared" si="71"/>
        <v>0</v>
      </c>
      <c r="N711">
        <f t="shared" si="72"/>
        <v>1.9490000000000001</v>
      </c>
    </row>
    <row r="712" spans="1:14" hidden="1" x14ac:dyDescent="0.25">
      <c r="A712" s="151" t="s">
        <v>1897</v>
      </c>
      <c r="B712" s="233" t="str">
        <f>VLOOKUP(A712,'AFC Data details'!$B:$E,4,0)</f>
        <v>PV25</v>
      </c>
      <c r="C712" s="144" t="s">
        <v>1697</v>
      </c>
      <c r="D712" s="151" t="s">
        <v>602</v>
      </c>
      <c r="E712" s="151">
        <f>VLOOKUP(A712,'AFC Data details'!$B:$P,15,0)</f>
        <v>1.2629999999999999</v>
      </c>
      <c r="F712" s="151">
        <f>SUMIFS('AFC Data details'!C:C,'AFC Data details'!$B:$B,'Element wise-detail Summary'!$A712)</f>
        <v>1</v>
      </c>
      <c r="G712" s="151">
        <f>SUMIFS(Cast!$C:$C,Cast!$B:$B,'Element wise-detail Summary'!$A712)</f>
        <v>1</v>
      </c>
      <c r="H712" s="151">
        <f t="shared" si="68"/>
        <v>0</v>
      </c>
      <c r="I712" s="151">
        <f>SUMIFS(Del!$C:$C,Del!$B:$B,'Element wise-detail Summary'!$A712)</f>
        <v>1</v>
      </c>
      <c r="J712" s="151">
        <f t="shared" si="69"/>
        <v>0</v>
      </c>
      <c r="K712" s="151">
        <f t="shared" si="70"/>
        <v>0</v>
      </c>
      <c r="L712" s="151">
        <f>SUMIF(Ere!$B:$B,'Element wise-detail Summary'!$A712,Ere!$C:$C)</f>
        <v>1</v>
      </c>
      <c r="M712" s="151">
        <f t="shared" si="71"/>
        <v>0</v>
      </c>
      <c r="N712">
        <f t="shared" si="72"/>
        <v>1.2629999999999999</v>
      </c>
    </row>
    <row r="713" spans="1:14" hidden="1" x14ac:dyDescent="0.25">
      <c r="A713" s="151" t="s">
        <v>1898</v>
      </c>
      <c r="B713" s="233" t="str">
        <f>VLOOKUP(A713,'AFC Data details'!$B:$E,4,0)</f>
        <v>PV25</v>
      </c>
      <c r="C713" s="144" t="s">
        <v>1697</v>
      </c>
      <c r="D713" s="151" t="s">
        <v>602</v>
      </c>
      <c r="E713" s="151">
        <f>VLOOKUP(A713,'AFC Data details'!$B:$P,15,0)</f>
        <v>1.1499999999999999</v>
      </c>
      <c r="F713" s="151">
        <f>SUMIFS('AFC Data details'!C:C,'AFC Data details'!$B:$B,'Element wise-detail Summary'!$A713)</f>
        <v>1</v>
      </c>
      <c r="G713" s="151">
        <f>SUMIFS(Cast!$C:$C,Cast!$B:$B,'Element wise-detail Summary'!$A713)</f>
        <v>1</v>
      </c>
      <c r="H713" s="151">
        <f t="shared" si="68"/>
        <v>0</v>
      </c>
      <c r="I713" s="151">
        <f>SUMIFS(Del!$C:$C,Del!$B:$B,'Element wise-detail Summary'!$A713)</f>
        <v>1</v>
      </c>
      <c r="J713" s="151">
        <f t="shared" si="69"/>
        <v>0</v>
      </c>
      <c r="K713" s="151">
        <f t="shared" si="70"/>
        <v>0</v>
      </c>
      <c r="L713" s="151">
        <f>SUMIF(Ere!$B:$B,'Element wise-detail Summary'!$A713,Ere!$C:$C)</f>
        <v>1</v>
      </c>
      <c r="M713" s="151">
        <f t="shared" si="71"/>
        <v>0</v>
      </c>
      <c r="N713">
        <f t="shared" si="72"/>
        <v>1.1499999999999999</v>
      </c>
    </row>
    <row r="714" spans="1:14" hidden="1" x14ac:dyDescent="0.25">
      <c r="A714" s="151" t="s">
        <v>1899</v>
      </c>
      <c r="B714" s="233" t="str">
        <f>VLOOKUP(A714,'AFC Data details'!$B:$E,4,0)</f>
        <v>PV26</v>
      </c>
      <c r="C714" s="144" t="s">
        <v>1697</v>
      </c>
      <c r="D714" s="151" t="s">
        <v>602</v>
      </c>
      <c r="E714" s="151">
        <f>VLOOKUP(A714,'AFC Data details'!$B:$P,15,0)</f>
        <v>2.1280000000000001</v>
      </c>
      <c r="F714" s="151">
        <f>SUMIFS('AFC Data details'!C:C,'AFC Data details'!$B:$B,'Element wise-detail Summary'!$A714)</f>
        <v>1</v>
      </c>
      <c r="G714" s="151">
        <f>SUMIFS(Cast!$C:$C,Cast!$B:$B,'Element wise-detail Summary'!$A714)</f>
        <v>1</v>
      </c>
      <c r="H714" s="151">
        <f t="shared" si="68"/>
        <v>0</v>
      </c>
      <c r="I714" s="151">
        <f>SUMIFS(Del!$C:$C,Del!$B:$B,'Element wise-detail Summary'!$A714)</f>
        <v>1</v>
      </c>
      <c r="J714" s="151">
        <f t="shared" si="69"/>
        <v>0</v>
      </c>
      <c r="K714" s="151">
        <f t="shared" si="70"/>
        <v>0</v>
      </c>
      <c r="L714" s="151">
        <f>SUMIF(Ere!$B:$B,'Element wise-detail Summary'!$A714,Ere!$C:$C)</f>
        <v>1</v>
      </c>
      <c r="M714" s="151">
        <f t="shared" si="71"/>
        <v>0</v>
      </c>
      <c r="N714">
        <f t="shared" si="72"/>
        <v>2.1280000000000001</v>
      </c>
    </row>
    <row r="715" spans="1:14" hidden="1" x14ac:dyDescent="0.25">
      <c r="A715" s="151" t="s">
        <v>2090</v>
      </c>
      <c r="B715" s="233" t="str">
        <f>VLOOKUP(A715,'AFC Data details'!$B:$E,4,0)</f>
        <v>PV27</v>
      </c>
      <c r="C715" s="144" t="s">
        <v>1697</v>
      </c>
      <c r="D715" s="151" t="s">
        <v>602</v>
      </c>
      <c r="E715" s="151">
        <f>VLOOKUP(A715,'AFC Data details'!$B:$P,15,0)</f>
        <v>2.1280000000000001</v>
      </c>
      <c r="F715" s="151">
        <f>SUMIFS('AFC Data details'!C:C,'AFC Data details'!$B:$B,'Element wise-detail Summary'!$A715)</f>
        <v>1</v>
      </c>
      <c r="G715" s="151">
        <f>SUMIFS(Cast!$C:$C,Cast!$B:$B,'Element wise-detail Summary'!$A715)</f>
        <v>1</v>
      </c>
      <c r="H715" s="151">
        <f t="shared" ref="H715:H778" si="73">F715-G715</f>
        <v>0</v>
      </c>
      <c r="I715" s="151">
        <f>SUMIFS(Del!$C:$C,Del!$B:$B,'Element wise-detail Summary'!$A715)</f>
        <v>1</v>
      </c>
      <c r="J715" s="151">
        <f t="shared" ref="J715:J778" si="74">F715-I715</f>
        <v>0</v>
      </c>
      <c r="K715" s="151">
        <f t="shared" ref="K715:K778" si="75">G715-I715</f>
        <v>0</v>
      </c>
      <c r="L715" s="151">
        <f>SUMIF(Ere!$B:$B,'Element wise-detail Summary'!$A715,Ere!$C:$C)</f>
        <v>1</v>
      </c>
      <c r="M715" s="151">
        <f t="shared" ref="M715:M778" si="76">F715-L715</f>
        <v>0</v>
      </c>
      <c r="N715">
        <f t="shared" si="72"/>
        <v>2.1280000000000001</v>
      </c>
    </row>
    <row r="716" spans="1:14" hidden="1" x14ac:dyDescent="0.25">
      <c r="A716" s="151" t="s">
        <v>2091</v>
      </c>
      <c r="B716" s="233" t="str">
        <f>VLOOKUP(A716,'AFC Data details'!$B:$E,4,0)</f>
        <v>PV22</v>
      </c>
      <c r="C716" s="144" t="s">
        <v>1697</v>
      </c>
      <c r="D716" s="151" t="s">
        <v>602</v>
      </c>
      <c r="E716" s="151">
        <f>VLOOKUP(A716,'AFC Data details'!$B:$P,15,0)</f>
        <v>2.1280000000000001</v>
      </c>
      <c r="F716" s="151">
        <f>SUMIFS('AFC Data details'!C:C,'AFC Data details'!$B:$B,'Element wise-detail Summary'!$A716)</f>
        <v>1</v>
      </c>
      <c r="G716" s="151">
        <f>SUMIFS(Cast!$C:$C,Cast!$B:$B,'Element wise-detail Summary'!$A716)</f>
        <v>1</v>
      </c>
      <c r="H716" s="151">
        <f t="shared" si="73"/>
        <v>0</v>
      </c>
      <c r="I716" s="151">
        <f>SUMIFS(Del!$C:$C,Del!$B:$B,'Element wise-detail Summary'!$A716)</f>
        <v>0</v>
      </c>
      <c r="J716" s="151">
        <f t="shared" si="74"/>
        <v>1</v>
      </c>
      <c r="K716" s="151">
        <f t="shared" si="75"/>
        <v>1</v>
      </c>
      <c r="L716" s="151">
        <f>SUMIF(Ere!$B:$B,'Element wise-detail Summary'!$A716,Ere!$C:$C)</f>
        <v>0</v>
      </c>
      <c r="M716" s="151">
        <f t="shared" si="76"/>
        <v>1</v>
      </c>
      <c r="N716">
        <f t="shared" si="72"/>
        <v>0</v>
      </c>
    </row>
    <row r="717" spans="1:14" x14ac:dyDescent="0.25">
      <c r="A717" s="151" t="s">
        <v>2092</v>
      </c>
      <c r="B717" s="233" t="str">
        <f>VLOOKUP(A717,'AFC Data details'!$B:$E,4,0)</f>
        <v>PV23</v>
      </c>
      <c r="C717" s="144" t="s">
        <v>1697</v>
      </c>
      <c r="D717" s="151" t="s">
        <v>602</v>
      </c>
      <c r="E717" s="151">
        <f>VLOOKUP(A717,'AFC Data details'!$B:$P,15,0)</f>
        <v>2.1280000000000001</v>
      </c>
      <c r="F717" s="151">
        <f>SUMIFS('AFC Data details'!C:C,'AFC Data details'!$B:$B,'Element wise-detail Summary'!$A717)</f>
        <v>1</v>
      </c>
      <c r="G717" s="151">
        <f>SUMIFS(Cast!$C:$C,Cast!$B:$B,'Element wise-detail Summary'!$A717)</f>
        <v>1</v>
      </c>
      <c r="H717" s="151">
        <f t="shared" si="73"/>
        <v>0</v>
      </c>
      <c r="I717" s="151">
        <f>SUMIFS(Del!$C:$C,Del!$B:$B,'Element wise-detail Summary'!$A717)</f>
        <v>0</v>
      </c>
      <c r="J717" s="151">
        <f t="shared" si="74"/>
        <v>1</v>
      </c>
      <c r="K717" s="151">
        <f t="shared" si="75"/>
        <v>1</v>
      </c>
      <c r="L717" s="151">
        <f>SUMIF(Ere!$B:$B,'Element wise-detail Summary'!$A717,Ere!$C:$C)</f>
        <v>0</v>
      </c>
      <c r="M717" s="151">
        <f t="shared" si="76"/>
        <v>1</v>
      </c>
      <c r="N717">
        <f t="shared" si="72"/>
        <v>0</v>
      </c>
    </row>
    <row r="718" spans="1:14" hidden="1" x14ac:dyDescent="0.25">
      <c r="A718" s="151" t="s">
        <v>1900</v>
      </c>
      <c r="B718" s="233" t="str">
        <f>VLOOKUP(A718,'AFC Data details'!$B:$E,4,0)</f>
        <v>PV26</v>
      </c>
      <c r="C718" s="144" t="s">
        <v>1697</v>
      </c>
      <c r="D718" s="151" t="s">
        <v>602</v>
      </c>
      <c r="E718" s="151">
        <f>VLOOKUP(A718,'AFC Data details'!$B:$P,15,0)</f>
        <v>2.1280000000000001</v>
      </c>
      <c r="F718" s="151">
        <f>SUMIFS('AFC Data details'!C:C,'AFC Data details'!$B:$B,'Element wise-detail Summary'!$A718)</f>
        <v>1</v>
      </c>
      <c r="G718" s="151">
        <f>SUMIFS(Cast!$C:$C,Cast!$B:$B,'Element wise-detail Summary'!$A718)</f>
        <v>1</v>
      </c>
      <c r="H718" s="151">
        <f t="shared" si="73"/>
        <v>0</v>
      </c>
      <c r="I718" s="151">
        <f>SUMIFS(Del!$C:$C,Del!$B:$B,'Element wise-detail Summary'!$A718)</f>
        <v>1</v>
      </c>
      <c r="J718" s="151">
        <f t="shared" si="74"/>
        <v>0</v>
      </c>
      <c r="K718" s="151">
        <f t="shared" si="75"/>
        <v>0</v>
      </c>
      <c r="L718" s="151">
        <f>SUMIF(Ere!$B:$B,'Element wise-detail Summary'!$A718,Ere!$C:$C)</f>
        <v>1</v>
      </c>
      <c r="M718" s="151">
        <f t="shared" si="76"/>
        <v>0</v>
      </c>
      <c r="N718">
        <f t="shared" si="72"/>
        <v>2.1280000000000001</v>
      </c>
    </row>
    <row r="719" spans="1:14" hidden="1" x14ac:dyDescent="0.25">
      <c r="A719" s="151" t="s">
        <v>2093</v>
      </c>
      <c r="B719" s="233" t="str">
        <f>VLOOKUP(A719,'AFC Data details'!$B:$E,4,0)</f>
        <v>PV26</v>
      </c>
      <c r="C719" s="144" t="s">
        <v>1697</v>
      </c>
      <c r="D719" s="151" t="s">
        <v>602</v>
      </c>
      <c r="E719" s="151">
        <f>VLOOKUP(A719,'AFC Data details'!$B:$P,15,0)</f>
        <v>2.1280000000000001</v>
      </c>
      <c r="F719" s="151">
        <f>SUMIFS('AFC Data details'!C:C,'AFC Data details'!$B:$B,'Element wise-detail Summary'!$A719)</f>
        <v>1</v>
      </c>
      <c r="G719" s="151">
        <f>SUMIFS(Cast!$C:$C,Cast!$B:$B,'Element wise-detail Summary'!$A719)</f>
        <v>1</v>
      </c>
      <c r="H719" s="151">
        <f t="shared" si="73"/>
        <v>0</v>
      </c>
      <c r="I719" s="151">
        <f>SUMIFS(Del!$C:$C,Del!$B:$B,'Element wise-detail Summary'!$A719)</f>
        <v>1</v>
      </c>
      <c r="J719" s="151">
        <f t="shared" si="74"/>
        <v>0</v>
      </c>
      <c r="K719" s="151">
        <f t="shared" si="75"/>
        <v>0</v>
      </c>
      <c r="L719" s="151">
        <f>SUMIF(Ere!$B:$B,'Element wise-detail Summary'!$A719,Ere!$C:$C)</f>
        <v>1</v>
      </c>
      <c r="M719" s="151">
        <f t="shared" si="76"/>
        <v>0</v>
      </c>
      <c r="N719">
        <f t="shared" si="72"/>
        <v>2.1280000000000001</v>
      </c>
    </row>
    <row r="720" spans="1:14" hidden="1" x14ac:dyDescent="0.25">
      <c r="A720" s="151" t="s">
        <v>2094</v>
      </c>
      <c r="B720" s="233" t="str">
        <f>VLOOKUP(A720,'AFC Data details'!$B:$E,4,0)</f>
        <v>PV26</v>
      </c>
      <c r="C720" s="144" t="s">
        <v>1697</v>
      </c>
      <c r="D720" s="151" t="s">
        <v>602</v>
      </c>
      <c r="E720" s="151">
        <f>VLOOKUP(A720,'AFC Data details'!$B:$P,15,0)</f>
        <v>2.1280000000000001</v>
      </c>
      <c r="F720" s="151">
        <f>SUMIFS('AFC Data details'!C:C,'AFC Data details'!$B:$B,'Element wise-detail Summary'!$A720)</f>
        <v>1</v>
      </c>
      <c r="G720" s="151">
        <f>SUMIFS(Cast!$C:$C,Cast!$B:$B,'Element wise-detail Summary'!$A720)</f>
        <v>1</v>
      </c>
      <c r="H720" s="151">
        <f t="shared" si="73"/>
        <v>0</v>
      </c>
      <c r="I720" s="151">
        <f>SUMIFS(Del!$C:$C,Del!$B:$B,'Element wise-detail Summary'!$A720)</f>
        <v>1</v>
      </c>
      <c r="J720" s="151">
        <f t="shared" si="74"/>
        <v>0</v>
      </c>
      <c r="K720" s="151">
        <f t="shared" si="75"/>
        <v>0</v>
      </c>
      <c r="L720" s="151">
        <f>SUMIF(Ere!$B:$B,'Element wise-detail Summary'!$A720,Ere!$C:$C)</f>
        <v>1</v>
      </c>
      <c r="M720" s="151">
        <f t="shared" si="76"/>
        <v>0</v>
      </c>
      <c r="N720">
        <f t="shared" si="72"/>
        <v>2.1280000000000001</v>
      </c>
    </row>
    <row r="721" spans="1:14" hidden="1" x14ac:dyDescent="0.25">
      <c r="A721" s="151" t="s">
        <v>2095</v>
      </c>
      <c r="B721" s="233" t="str">
        <f>VLOOKUP(A721,'AFC Data details'!$B:$E,4,0)</f>
        <v>PV26</v>
      </c>
      <c r="C721" s="144" t="s">
        <v>1697</v>
      </c>
      <c r="D721" s="151" t="s">
        <v>602</v>
      </c>
      <c r="E721" s="151">
        <f>VLOOKUP(A721,'AFC Data details'!$B:$P,15,0)</f>
        <v>2.1280000000000001</v>
      </c>
      <c r="F721" s="151">
        <f>SUMIFS('AFC Data details'!C:C,'AFC Data details'!$B:$B,'Element wise-detail Summary'!$A721)</f>
        <v>1</v>
      </c>
      <c r="G721" s="151">
        <f>SUMIFS(Cast!$C:$C,Cast!$B:$B,'Element wise-detail Summary'!$A721)</f>
        <v>1</v>
      </c>
      <c r="H721" s="151">
        <f t="shared" si="73"/>
        <v>0</v>
      </c>
      <c r="I721" s="151">
        <f>SUMIFS(Del!$C:$C,Del!$B:$B,'Element wise-detail Summary'!$A721)</f>
        <v>1</v>
      </c>
      <c r="J721" s="151">
        <f t="shared" si="74"/>
        <v>0</v>
      </c>
      <c r="K721" s="151">
        <f t="shared" si="75"/>
        <v>0</v>
      </c>
      <c r="L721" s="151">
        <f>SUMIF(Ere!$B:$B,'Element wise-detail Summary'!$A721,Ere!$C:$C)</f>
        <v>1</v>
      </c>
      <c r="M721" s="151">
        <f t="shared" si="76"/>
        <v>0</v>
      </c>
      <c r="N721">
        <f t="shared" si="72"/>
        <v>2.1280000000000001</v>
      </c>
    </row>
    <row r="722" spans="1:14" hidden="1" x14ac:dyDescent="0.25">
      <c r="A722" s="151" t="s">
        <v>2096</v>
      </c>
      <c r="B722" s="233" t="str">
        <f>VLOOKUP(A722,'AFC Data details'!$B:$E,4,0)</f>
        <v>PV27</v>
      </c>
      <c r="C722" s="144" t="s">
        <v>1697</v>
      </c>
      <c r="D722" s="151" t="s">
        <v>602</v>
      </c>
      <c r="E722" s="151">
        <f>VLOOKUP(A722,'AFC Data details'!$B:$P,15,0)</f>
        <v>2.1280000000000001</v>
      </c>
      <c r="F722" s="151">
        <f>SUMIFS('AFC Data details'!C:C,'AFC Data details'!$B:$B,'Element wise-detail Summary'!$A722)</f>
        <v>1</v>
      </c>
      <c r="G722" s="151">
        <f>SUMIFS(Cast!$C:$C,Cast!$B:$B,'Element wise-detail Summary'!$A722)</f>
        <v>1</v>
      </c>
      <c r="H722" s="151">
        <f t="shared" si="73"/>
        <v>0</v>
      </c>
      <c r="I722" s="151">
        <f>SUMIFS(Del!$C:$C,Del!$B:$B,'Element wise-detail Summary'!$A722)</f>
        <v>1</v>
      </c>
      <c r="J722" s="151">
        <f t="shared" si="74"/>
        <v>0</v>
      </c>
      <c r="K722" s="151">
        <f t="shared" si="75"/>
        <v>0</v>
      </c>
      <c r="L722" s="151">
        <f>SUMIF(Ere!$B:$B,'Element wise-detail Summary'!$A722,Ere!$C:$C)</f>
        <v>1</v>
      </c>
      <c r="M722" s="151">
        <f t="shared" si="76"/>
        <v>0</v>
      </c>
      <c r="N722">
        <f t="shared" si="72"/>
        <v>2.1280000000000001</v>
      </c>
    </row>
    <row r="723" spans="1:14" hidden="1" x14ac:dyDescent="0.25">
      <c r="A723" s="151" t="s">
        <v>2098</v>
      </c>
      <c r="B723" s="233" t="str">
        <f>VLOOKUP(A723,'AFC Data details'!$B:$E,4,0)</f>
        <v>PV27</v>
      </c>
      <c r="C723" s="144" t="s">
        <v>1697</v>
      </c>
      <c r="D723" s="151" t="s">
        <v>602</v>
      </c>
      <c r="E723" s="151">
        <f>VLOOKUP(A723,'AFC Data details'!$B:$P,15,0)</f>
        <v>2.1280000000000001</v>
      </c>
      <c r="F723" s="151">
        <f>SUMIFS('AFC Data details'!C:C,'AFC Data details'!$B:$B,'Element wise-detail Summary'!$A723)</f>
        <v>1</v>
      </c>
      <c r="G723" s="151">
        <f>SUMIFS(Cast!$C:$C,Cast!$B:$B,'Element wise-detail Summary'!$A723)</f>
        <v>1</v>
      </c>
      <c r="H723" s="151">
        <f t="shared" si="73"/>
        <v>0</v>
      </c>
      <c r="I723" s="151">
        <f>SUMIFS(Del!$C:$C,Del!$B:$B,'Element wise-detail Summary'!$A723)</f>
        <v>1</v>
      </c>
      <c r="J723" s="151">
        <f t="shared" si="74"/>
        <v>0</v>
      </c>
      <c r="K723" s="151">
        <f t="shared" si="75"/>
        <v>0</v>
      </c>
      <c r="L723" s="151">
        <f>SUMIF(Ere!$B:$B,'Element wise-detail Summary'!$A723,Ere!$C:$C)</f>
        <v>1</v>
      </c>
      <c r="M723" s="151">
        <f t="shared" si="76"/>
        <v>0</v>
      </c>
      <c r="N723">
        <f t="shared" si="72"/>
        <v>2.1280000000000001</v>
      </c>
    </row>
    <row r="724" spans="1:14" hidden="1" x14ac:dyDescent="0.25">
      <c r="A724" s="151" t="s">
        <v>2099</v>
      </c>
      <c r="B724" s="233" t="str">
        <f>VLOOKUP(A724,'AFC Data details'!$B:$E,4,0)</f>
        <v>PV27</v>
      </c>
      <c r="C724" s="144" t="s">
        <v>1697</v>
      </c>
      <c r="D724" s="151" t="s">
        <v>602</v>
      </c>
      <c r="E724" s="151">
        <f>VLOOKUP(A724,'AFC Data details'!$B:$P,15,0)</f>
        <v>2.1280000000000001</v>
      </c>
      <c r="F724" s="151">
        <f>SUMIFS('AFC Data details'!C:C,'AFC Data details'!$B:$B,'Element wise-detail Summary'!$A724)</f>
        <v>1</v>
      </c>
      <c r="G724" s="151">
        <f>SUMIFS(Cast!$C:$C,Cast!$B:$B,'Element wise-detail Summary'!$A724)</f>
        <v>1</v>
      </c>
      <c r="H724" s="151">
        <f t="shared" si="73"/>
        <v>0</v>
      </c>
      <c r="I724" s="151">
        <f>SUMIFS(Del!$C:$C,Del!$B:$B,'Element wise-detail Summary'!$A724)</f>
        <v>1</v>
      </c>
      <c r="J724" s="151">
        <f t="shared" si="74"/>
        <v>0</v>
      </c>
      <c r="K724" s="151">
        <f t="shared" si="75"/>
        <v>0</v>
      </c>
      <c r="L724" s="151">
        <f>SUMIF(Ere!$B:$B,'Element wise-detail Summary'!$A724,Ere!$C:$C)</f>
        <v>1</v>
      </c>
      <c r="M724" s="151">
        <f t="shared" si="76"/>
        <v>0</v>
      </c>
      <c r="N724">
        <f t="shared" si="72"/>
        <v>2.1280000000000001</v>
      </c>
    </row>
    <row r="725" spans="1:14" hidden="1" x14ac:dyDescent="0.25">
      <c r="A725" s="151" t="s">
        <v>2100</v>
      </c>
      <c r="B725" s="233" t="str">
        <f>VLOOKUP(A725,'AFC Data details'!$B:$E,4,0)</f>
        <v>PV27</v>
      </c>
      <c r="C725" s="144" t="s">
        <v>1697</v>
      </c>
      <c r="D725" s="151" t="s">
        <v>602</v>
      </c>
      <c r="E725" s="151">
        <f>VLOOKUP(A725,'AFC Data details'!$B:$P,15,0)</f>
        <v>2.1280000000000001</v>
      </c>
      <c r="F725" s="151">
        <f>SUMIFS('AFC Data details'!C:C,'AFC Data details'!$B:$B,'Element wise-detail Summary'!$A725)</f>
        <v>1</v>
      </c>
      <c r="G725" s="151">
        <f>SUMIFS(Cast!$C:$C,Cast!$B:$B,'Element wise-detail Summary'!$A725)</f>
        <v>1</v>
      </c>
      <c r="H725" s="151">
        <f t="shared" si="73"/>
        <v>0</v>
      </c>
      <c r="I725" s="151">
        <f>SUMIFS(Del!$C:$C,Del!$B:$B,'Element wise-detail Summary'!$A725)</f>
        <v>1</v>
      </c>
      <c r="J725" s="151">
        <f t="shared" si="74"/>
        <v>0</v>
      </c>
      <c r="K725" s="151">
        <f t="shared" si="75"/>
        <v>0</v>
      </c>
      <c r="L725" s="151">
        <f>SUMIF(Ere!$B:$B,'Element wise-detail Summary'!$A725,Ere!$C:$C)</f>
        <v>1</v>
      </c>
      <c r="M725" s="151">
        <f t="shared" si="76"/>
        <v>0</v>
      </c>
      <c r="N725">
        <f t="shared" si="72"/>
        <v>2.1280000000000001</v>
      </c>
    </row>
    <row r="726" spans="1:14" hidden="1" x14ac:dyDescent="0.25">
      <c r="A726" s="151" t="s">
        <v>2101</v>
      </c>
      <c r="B726" s="233" t="str">
        <f>VLOOKUP(A726,'AFC Data details'!$B:$E,4,0)</f>
        <v>PV22</v>
      </c>
      <c r="C726" s="144" t="s">
        <v>1697</v>
      </c>
      <c r="D726" s="151" t="s">
        <v>602</v>
      </c>
      <c r="E726" s="151">
        <f>VLOOKUP(A726,'AFC Data details'!$B:$P,15,0)</f>
        <v>2.1280000000000001</v>
      </c>
      <c r="F726" s="151">
        <f>SUMIFS('AFC Data details'!C:C,'AFC Data details'!$B:$B,'Element wise-detail Summary'!$A726)</f>
        <v>1</v>
      </c>
      <c r="G726" s="151">
        <f>SUMIFS(Cast!$C:$C,Cast!$B:$B,'Element wise-detail Summary'!$A726)</f>
        <v>1</v>
      </c>
      <c r="H726" s="151">
        <f t="shared" si="73"/>
        <v>0</v>
      </c>
      <c r="I726" s="151">
        <f>SUMIFS(Del!$C:$C,Del!$B:$B,'Element wise-detail Summary'!$A726)</f>
        <v>1</v>
      </c>
      <c r="J726" s="151">
        <f t="shared" si="74"/>
        <v>0</v>
      </c>
      <c r="K726" s="151">
        <f t="shared" si="75"/>
        <v>0</v>
      </c>
      <c r="L726" s="151">
        <f>SUMIF(Ere!$B:$B,'Element wise-detail Summary'!$A726,Ere!$C:$C)</f>
        <v>1</v>
      </c>
      <c r="M726" s="151">
        <f t="shared" si="76"/>
        <v>0</v>
      </c>
      <c r="N726">
        <f t="shared" si="72"/>
        <v>2.1280000000000001</v>
      </c>
    </row>
    <row r="727" spans="1:14" hidden="1" x14ac:dyDescent="0.25">
      <c r="A727" s="151" t="s">
        <v>2102</v>
      </c>
      <c r="B727" s="233" t="str">
        <f>VLOOKUP(A727,'AFC Data details'!$B:$E,4,0)</f>
        <v>PV22</v>
      </c>
      <c r="C727" s="144" t="s">
        <v>1697</v>
      </c>
      <c r="D727" s="151" t="s">
        <v>602</v>
      </c>
      <c r="E727" s="151">
        <f>VLOOKUP(A727,'AFC Data details'!$B:$P,15,0)</f>
        <v>2.1280000000000001</v>
      </c>
      <c r="F727" s="151">
        <f>SUMIFS('AFC Data details'!C:C,'AFC Data details'!$B:$B,'Element wise-detail Summary'!$A727)</f>
        <v>1</v>
      </c>
      <c r="G727" s="151">
        <f>SUMIFS(Cast!$C:$C,Cast!$B:$B,'Element wise-detail Summary'!$A727)</f>
        <v>1</v>
      </c>
      <c r="H727" s="151">
        <f t="shared" si="73"/>
        <v>0</v>
      </c>
      <c r="I727" s="151">
        <f>SUMIFS(Del!$C:$C,Del!$B:$B,'Element wise-detail Summary'!$A727)</f>
        <v>1</v>
      </c>
      <c r="J727" s="151">
        <f t="shared" si="74"/>
        <v>0</v>
      </c>
      <c r="K727" s="151">
        <f t="shared" si="75"/>
        <v>0</v>
      </c>
      <c r="L727" s="151">
        <f>SUMIF(Ere!$B:$B,'Element wise-detail Summary'!$A727,Ere!$C:$C)</f>
        <v>1</v>
      </c>
      <c r="M727" s="151">
        <f t="shared" si="76"/>
        <v>0</v>
      </c>
      <c r="N727">
        <f t="shared" si="72"/>
        <v>2.1280000000000001</v>
      </c>
    </row>
    <row r="728" spans="1:14" hidden="1" x14ac:dyDescent="0.25">
      <c r="A728" s="151" t="s">
        <v>2103</v>
      </c>
      <c r="B728" s="233" t="str">
        <f>VLOOKUP(A728,'AFC Data details'!$B:$E,4,0)</f>
        <v>PV22</v>
      </c>
      <c r="C728" s="144" t="s">
        <v>1697</v>
      </c>
      <c r="D728" s="151" t="s">
        <v>602</v>
      </c>
      <c r="E728" s="151">
        <f>VLOOKUP(A728,'AFC Data details'!$B:$P,15,0)</f>
        <v>2.1280000000000001</v>
      </c>
      <c r="F728" s="151">
        <f>SUMIFS('AFC Data details'!C:C,'AFC Data details'!$B:$B,'Element wise-detail Summary'!$A728)</f>
        <v>1</v>
      </c>
      <c r="G728" s="151">
        <f>SUMIFS(Cast!$C:$C,Cast!$B:$B,'Element wise-detail Summary'!$A728)</f>
        <v>1</v>
      </c>
      <c r="H728" s="151">
        <f t="shared" si="73"/>
        <v>0</v>
      </c>
      <c r="I728" s="151">
        <f>SUMIFS(Del!$C:$C,Del!$B:$B,'Element wise-detail Summary'!$A728)</f>
        <v>1</v>
      </c>
      <c r="J728" s="151">
        <f t="shared" si="74"/>
        <v>0</v>
      </c>
      <c r="K728" s="151">
        <f t="shared" si="75"/>
        <v>0</v>
      </c>
      <c r="L728" s="151">
        <f>SUMIF(Ere!$B:$B,'Element wise-detail Summary'!$A728,Ere!$C:$C)</f>
        <v>1</v>
      </c>
      <c r="M728" s="151">
        <f t="shared" si="76"/>
        <v>0</v>
      </c>
      <c r="N728">
        <f t="shared" si="72"/>
        <v>2.1280000000000001</v>
      </c>
    </row>
    <row r="729" spans="1:14" hidden="1" x14ac:dyDescent="0.25">
      <c r="A729" s="151" t="s">
        <v>2104</v>
      </c>
      <c r="B729" s="233" t="str">
        <f>VLOOKUP(A729,'AFC Data details'!$B:$E,4,0)</f>
        <v>PV22</v>
      </c>
      <c r="C729" s="144" t="s">
        <v>1697</v>
      </c>
      <c r="D729" s="151" t="s">
        <v>602</v>
      </c>
      <c r="E729" s="151">
        <f>VLOOKUP(A729,'AFC Data details'!$B:$P,15,0)</f>
        <v>2.1280000000000001</v>
      </c>
      <c r="F729" s="151">
        <f>SUMIFS('AFC Data details'!C:C,'AFC Data details'!$B:$B,'Element wise-detail Summary'!$A729)</f>
        <v>1</v>
      </c>
      <c r="G729" s="151">
        <f>SUMIFS(Cast!$C:$C,Cast!$B:$B,'Element wise-detail Summary'!$A729)</f>
        <v>1</v>
      </c>
      <c r="H729" s="151">
        <f t="shared" si="73"/>
        <v>0</v>
      </c>
      <c r="I729" s="151">
        <f>SUMIFS(Del!$C:$C,Del!$B:$B,'Element wise-detail Summary'!$A729)</f>
        <v>1</v>
      </c>
      <c r="J729" s="151">
        <f t="shared" si="74"/>
        <v>0</v>
      </c>
      <c r="K729" s="151">
        <f t="shared" si="75"/>
        <v>0</v>
      </c>
      <c r="L729" s="151">
        <f>SUMIF(Ere!$B:$B,'Element wise-detail Summary'!$A729,Ere!$C:$C)</f>
        <v>1</v>
      </c>
      <c r="M729" s="151">
        <f t="shared" si="76"/>
        <v>0</v>
      </c>
      <c r="N729">
        <f t="shared" si="72"/>
        <v>2.1280000000000001</v>
      </c>
    </row>
    <row r="730" spans="1:14" x14ac:dyDescent="0.25">
      <c r="A730" s="151" t="s">
        <v>2105</v>
      </c>
      <c r="B730" s="233" t="str">
        <f>VLOOKUP(A730,'AFC Data details'!$B:$E,4,0)</f>
        <v>PV23</v>
      </c>
      <c r="C730" s="144" t="s">
        <v>1697</v>
      </c>
      <c r="D730" s="151" t="s">
        <v>602</v>
      </c>
      <c r="E730" s="151">
        <f>VLOOKUP(A730,'AFC Data details'!$B:$P,15,0)</f>
        <v>2.1280000000000001</v>
      </c>
      <c r="F730" s="151">
        <f>SUMIFS('AFC Data details'!C:C,'AFC Data details'!$B:$B,'Element wise-detail Summary'!$A730)</f>
        <v>1</v>
      </c>
      <c r="G730" s="151">
        <f>SUMIFS(Cast!$C:$C,Cast!$B:$B,'Element wise-detail Summary'!$A730)</f>
        <v>1</v>
      </c>
      <c r="H730" s="151">
        <f t="shared" si="73"/>
        <v>0</v>
      </c>
      <c r="I730" s="151">
        <f>SUMIFS(Del!$C:$C,Del!$B:$B,'Element wise-detail Summary'!$A730)</f>
        <v>1</v>
      </c>
      <c r="J730" s="151">
        <f t="shared" si="74"/>
        <v>0</v>
      </c>
      <c r="K730" s="151">
        <f t="shared" si="75"/>
        <v>0</v>
      </c>
      <c r="L730" s="151">
        <f>SUMIF(Ere!$B:$B,'Element wise-detail Summary'!$A730,Ere!$C:$C)</f>
        <v>1</v>
      </c>
      <c r="M730" s="151">
        <f t="shared" si="76"/>
        <v>0</v>
      </c>
      <c r="N730">
        <f t="shared" si="72"/>
        <v>2.1280000000000001</v>
      </c>
    </row>
    <row r="731" spans="1:14" x14ac:dyDescent="0.25">
      <c r="A731" s="151" t="s">
        <v>2106</v>
      </c>
      <c r="B731" s="233" t="str">
        <f>VLOOKUP(A731,'AFC Data details'!$B:$E,4,0)</f>
        <v>PV23</v>
      </c>
      <c r="C731" s="144" t="s">
        <v>1697</v>
      </c>
      <c r="D731" s="151" t="s">
        <v>602</v>
      </c>
      <c r="E731" s="151">
        <f>VLOOKUP(A731,'AFC Data details'!$B:$P,15,0)</f>
        <v>2.1280000000000001</v>
      </c>
      <c r="F731" s="151">
        <f>SUMIFS('AFC Data details'!C:C,'AFC Data details'!$B:$B,'Element wise-detail Summary'!$A731)</f>
        <v>1</v>
      </c>
      <c r="G731" s="151">
        <f>SUMIFS(Cast!$C:$C,Cast!$B:$B,'Element wise-detail Summary'!$A731)</f>
        <v>1</v>
      </c>
      <c r="H731" s="151">
        <f t="shared" si="73"/>
        <v>0</v>
      </c>
      <c r="I731" s="151">
        <f>SUMIFS(Del!$C:$C,Del!$B:$B,'Element wise-detail Summary'!$A731)</f>
        <v>1</v>
      </c>
      <c r="J731" s="151">
        <f t="shared" si="74"/>
        <v>0</v>
      </c>
      <c r="K731" s="151">
        <f t="shared" si="75"/>
        <v>0</v>
      </c>
      <c r="L731" s="151">
        <f>SUMIF(Ere!$B:$B,'Element wise-detail Summary'!$A731,Ere!$C:$C)</f>
        <v>1</v>
      </c>
      <c r="M731" s="151">
        <f t="shared" si="76"/>
        <v>0</v>
      </c>
      <c r="N731">
        <f t="shared" si="72"/>
        <v>2.1280000000000001</v>
      </c>
    </row>
    <row r="732" spans="1:14" x14ac:dyDescent="0.25">
      <c r="A732" s="151" t="s">
        <v>2107</v>
      </c>
      <c r="B732" s="233" t="str">
        <f>VLOOKUP(A732,'AFC Data details'!$B:$E,4,0)</f>
        <v>PV23</v>
      </c>
      <c r="C732" s="144" t="s">
        <v>1697</v>
      </c>
      <c r="D732" s="151" t="s">
        <v>602</v>
      </c>
      <c r="E732" s="151">
        <f>VLOOKUP(A732,'AFC Data details'!$B:$P,15,0)</f>
        <v>2.1280000000000001</v>
      </c>
      <c r="F732" s="151">
        <f>SUMIFS('AFC Data details'!C:C,'AFC Data details'!$B:$B,'Element wise-detail Summary'!$A732)</f>
        <v>1</v>
      </c>
      <c r="G732" s="151">
        <f>SUMIFS(Cast!$C:$C,Cast!$B:$B,'Element wise-detail Summary'!$A732)</f>
        <v>1</v>
      </c>
      <c r="H732" s="151">
        <f t="shared" si="73"/>
        <v>0</v>
      </c>
      <c r="I732" s="151">
        <f>SUMIFS(Del!$C:$C,Del!$B:$B,'Element wise-detail Summary'!$A732)</f>
        <v>1</v>
      </c>
      <c r="J732" s="151">
        <f t="shared" si="74"/>
        <v>0</v>
      </c>
      <c r="K732" s="151">
        <f t="shared" si="75"/>
        <v>0</v>
      </c>
      <c r="L732" s="151">
        <f>SUMIF(Ere!$B:$B,'Element wise-detail Summary'!$A732,Ere!$C:$C)</f>
        <v>1</v>
      </c>
      <c r="M732" s="151">
        <f t="shared" si="76"/>
        <v>0</v>
      </c>
      <c r="N732">
        <f t="shared" si="72"/>
        <v>2.1280000000000001</v>
      </c>
    </row>
    <row r="733" spans="1:14" x14ac:dyDescent="0.25">
      <c r="A733" s="151" t="s">
        <v>2108</v>
      </c>
      <c r="B733" s="233" t="str">
        <f>VLOOKUP(A733,'AFC Data details'!$B:$E,4,0)</f>
        <v>PV23</v>
      </c>
      <c r="C733" s="144" t="s">
        <v>1697</v>
      </c>
      <c r="D733" s="151" t="s">
        <v>602</v>
      </c>
      <c r="E733" s="151">
        <f>VLOOKUP(A733,'AFC Data details'!$B:$P,15,0)</f>
        <v>2.1280000000000001</v>
      </c>
      <c r="F733" s="151">
        <f>SUMIFS('AFC Data details'!C:C,'AFC Data details'!$B:$B,'Element wise-detail Summary'!$A733)</f>
        <v>1</v>
      </c>
      <c r="G733" s="151">
        <f>SUMIFS(Cast!$C:$C,Cast!$B:$B,'Element wise-detail Summary'!$A733)</f>
        <v>1</v>
      </c>
      <c r="H733" s="151">
        <f t="shared" si="73"/>
        <v>0</v>
      </c>
      <c r="I733" s="151">
        <f>SUMIFS(Del!$C:$C,Del!$B:$B,'Element wise-detail Summary'!$A733)</f>
        <v>1</v>
      </c>
      <c r="J733" s="151">
        <f t="shared" si="74"/>
        <v>0</v>
      </c>
      <c r="K733" s="151">
        <f t="shared" si="75"/>
        <v>0</v>
      </c>
      <c r="L733" s="151">
        <f>SUMIF(Ere!$B:$B,'Element wise-detail Summary'!$A733,Ere!$C:$C)</f>
        <v>1</v>
      </c>
      <c r="M733" s="151">
        <f t="shared" si="76"/>
        <v>0</v>
      </c>
      <c r="N733">
        <f t="shared" si="72"/>
        <v>2.1280000000000001</v>
      </c>
    </row>
    <row r="734" spans="1:14" hidden="1" x14ac:dyDescent="0.25">
      <c r="A734" s="151" t="s">
        <v>1901</v>
      </c>
      <c r="B734" s="233" t="str">
        <f>VLOOKUP(A734,'AFC Data details'!$B:$E,4,0)</f>
        <v>PV26</v>
      </c>
      <c r="C734" s="144" t="s">
        <v>1697</v>
      </c>
      <c r="D734" s="151" t="s">
        <v>602</v>
      </c>
      <c r="E734" s="151">
        <f>VLOOKUP(A734,'AFC Data details'!$B:$P,15,0)</f>
        <v>1.1830000000000001</v>
      </c>
      <c r="F734" s="151">
        <f>SUMIFS('AFC Data details'!C:C,'AFC Data details'!$B:$B,'Element wise-detail Summary'!$A734)</f>
        <v>1</v>
      </c>
      <c r="G734" s="151">
        <f>SUMIFS(Cast!$C:$C,Cast!$B:$B,'Element wise-detail Summary'!$A734)</f>
        <v>1</v>
      </c>
      <c r="H734" s="151">
        <f t="shared" si="73"/>
        <v>0</v>
      </c>
      <c r="I734" s="151">
        <f>SUMIFS(Del!$C:$C,Del!$B:$B,'Element wise-detail Summary'!$A734)</f>
        <v>1</v>
      </c>
      <c r="J734" s="151">
        <f t="shared" si="74"/>
        <v>0</v>
      </c>
      <c r="K734" s="151">
        <f t="shared" si="75"/>
        <v>0</v>
      </c>
      <c r="L734" s="151">
        <f>SUMIF(Ere!$B:$B,'Element wise-detail Summary'!$A734,Ere!$C:$C)</f>
        <v>1</v>
      </c>
      <c r="M734" s="151">
        <f t="shared" si="76"/>
        <v>0</v>
      </c>
      <c r="N734">
        <f t="shared" si="72"/>
        <v>1.1830000000000001</v>
      </c>
    </row>
    <row r="735" spans="1:14" hidden="1" x14ac:dyDescent="0.25">
      <c r="A735" s="151" t="s">
        <v>1902</v>
      </c>
      <c r="B735" s="233" t="str">
        <f>VLOOKUP(A735,'AFC Data details'!$B:$E,4,0)</f>
        <v>PV26</v>
      </c>
      <c r="C735" s="144" t="s">
        <v>1697</v>
      </c>
      <c r="D735" s="151" t="s">
        <v>602</v>
      </c>
      <c r="E735" s="151">
        <f>VLOOKUP(A735,'AFC Data details'!$B:$P,15,0)</f>
        <v>1.2969999999999999</v>
      </c>
      <c r="F735" s="151">
        <f>SUMIFS('AFC Data details'!C:C,'AFC Data details'!$B:$B,'Element wise-detail Summary'!$A735)</f>
        <v>1</v>
      </c>
      <c r="G735" s="151">
        <f>SUMIFS(Cast!$C:$C,Cast!$B:$B,'Element wise-detail Summary'!$A735)</f>
        <v>1</v>
      </c>
      <c r="H735" s="151">
        <f t="shared" si="73"/>
        <v>0</v>
      </c>
      <c r="I735" s="151">
        <f>SUMIFS(Del!$C:$C,Del!$B:$B,'Element wise-detail Summary'!$A735)</f>
        <v>1</v>
      </c>
      <c r="J735" s="151">
        <f t="shared" si="74"/>
        <v>0</v>
      </c>
      <c r="K735" s="151">
        <f t="shared" si="75"/>
        <v>0</v>
      </c>
      <c r="L735" s="151">
        <f>SUMIF(Ere!$B:$B,'Element wise-detail Summary'!$A735,Ere!$C:$C)</f>
        <v>1</v>
      </c>
      <c r="M735" s="151">
        <f t="shared" si="76"/>
        <v>0</v>
      </c>
      <c r="N735">
        <f t="shared" si="72"/>
        <v>1.2969999999999999</v>
      </c>
    </row>
    <row r="736" spans="1:14" hidden="1" x14ac:dyDescent="0.25">
      <c r="A736" s="151" t="s">
        <v>1903</v>
      </c>
      <c r="B736" s="233" t="str">
        <f>VLOOKUP(A736,'AFC Data details'!$B:$E,4,0)</f>
        <v>PV27</v>
      </c>
      <c r="C736" s="144" t="s">
        <v>1697</v>
      </c>
      <c r="D736" s="151" t="s">
        <v>602</v>
      </c>
      <c r="E736" s="151">
        <f>VLOOKUP(A736,'AFC Data details'!$B:$P,15,0)</f>
        <v>0.97099999999999997</v>
      </c>
      <c r="F736" s="151">
        <f>SUMIFS('AFC Data details'!C:C,'AFC Data details'!$B:$B,'Element wise-detail Summary'!$A736)</f>
        <v>1</v>
      </c>
      <c r="G736" s="151">
        <f>SUMIFS(Cast!$C:$C,Cast!$B:$B,'Element wise-detail Summary'!$A736)</f>
        <v>1</v>
      </c>
      <c r="H736" s="151">
        <f t="shared" si="73"/>
        <v>0</v>
      </c>
      <c r="I736" s="151">
        <f>SUMIFS(Del!$C:$C,Del!$B:$B,'Element wise-detail Summary'!$A736)</f>
        <v>1</v>
      </c>
      <c r="J736" s="151">
        <f t="shared" si="74"/>
        <v>0</v>
      </c>
      <c r="K736" s="151">
        <f t="shared" si="75"/>
        <v>0</v>
      </c>
      <c r="L736" s="151">
        <f>SUMIF(Ere!$B:$B,'Element wise-detail Summary'!$A736,Ere!$C:$C)</f>
        <v>1</v>
      </c>
      <c r="M736" s="151">
        <f t="shared" si="76"/>
        <v>0</v>
      </c>
      <c r="N736">
        <f t="shared" si="72"/>
        <v>0.97099999999999997</v>
      </c>
    </row>
    <row r="737" spans="1:14" hidden="1" x14ac:dyDescent="0.25">
      <c r="A737" s="151" t="s">
        <v>1904</v>
      </c>
      <c r="B737" s="233" t="str">
        <f>VLOOKUP(A737,'AFC Data details'!$B:$E,4,0)</f>
        <v>PV27</v>
      </c>
      <c r="C737" s="144" t="s">
        <v>1697</v>
      </c>
      <c r="D737" s="151" t="s">
        <v>602</v>
      </c>
      <c r="E737" s="151">
        <f>VLOOKUP(A737,'AFC Data details'!$B:$P,15,0)</f>
        <v>2.1280000000000001</v>
      </c>
      <c r="F737" s="151">
        <f>SUMIFS('AFC Data details'!C:C,'AFC Data details'!$B:$B,'Element wise-detail Summary'!$A737)</f>
        <v>1</v>
      </c>
      <c r="G737" s="151">
        <f>SUMIFS(Cast!$C:$C,Cast!$B:$B,'Element wise-detail Summary'!$A737)</f>
        <v>1</v>
      </c>
      <c r="H737" s="151">
        <f t="shared" si="73"/>
        <v>0</v>
      </c>
      <c r="I737" s="151">
        <f>SUMIFS(Del!$C:$C,Del!$B:$B,'Element wise-detail Summary'!$A737)</f>
        <v>1</v>
      </c>
      <c r="J737" s="151">
        <f t="shared" si="74"/>
        <v>0</v>
      </c>
      <c r="K737" s="151">
        <f t="shared" si="75"/>
        <v>0</v>
      </c>
      <c r="L737" s="151">
        <f>SUMIF(Ere!$B:$B,'Element wise-detail Summary'!$A737,Ere!$C:$C)</f>
        <v>1</v>
      </c>
      <c r="M737" s="151">
        <f t="shared" si="76"/>
        <v>0</v>
      </c>
      <c r="N737">
        <f t="shared" si="72"/>
        <v>2.1280000000000001</v>
      </c>
    </row>
    <row r="738" spans="1:14" hidden="1" x14ac:dyDescent="0.25">
      <c r="A738" s="151" t="s">
        <v>2109</v>
      </c>
      <c r="B738" s="233" t="str">
        <f>VLOOKUP(A738,'AFC Data details'!$B:$E,4,0)</f>
        <v>PV26</v>
      </c>
      <c r="C738" s="144" t="s">
        <v>1697</v>
      </c>
      <c r="D738" s="151" t="s">
        <v>602</v>
      </c>
      <c r="E738" s="151">
        <f>VLOOKUP(A738,'AFC Data details'!$B:$P,15,0)</f>
        <v>2.1280000000000001</v>
      </c>
      <c r="F738" s="151">
        <f>SUMIFS('AFC Data details'!C:C,'AFC Data details'!$B:$B,'Element wise-detail Summary'!$A738)</f>
        <v>1</v>
      </c>
      <c r="G738" s="151">
        <f>SUMIFS(Cast!$C:$C,Cast!$B:$B,'Element wise-detail Summary'!$A738)</f>
        <v>1</v>
      </c>
      <c r="H738" s="151">
        <f t="shared" si="73"/>
        <v>0</v>
      </c>
      <c r="I738" s="151">
        <f>SUMIFS(Del!$C:$C,Del!$B:$B,'Element wise-detail Summary'!$A738)</f>
        <v>1</v>
      </c>
      <c r="J738" s="151">
        <f t="shared" si="74"/>
        <v>0</v>
      </c>
      <c r="K738" s="151">
        <f t="shared" si="75"/>
        <v>0</v>
      </c>
      <c r="L738" s="151">
        <f>SUMIF(Ere!$B:$B,'Element wise-detail Summary'!$A738,Ere!$C:$C)</f>
        <v>1</v>
      </c>
      <c r="M738" s="151">
        <f t="shared" si="76"/>
        <v>0</v>
      </c>
      <c r="N738">
        <f t="shared" si="72"/>
        <v>2.1280000000000001</v>
      </c>
    </row>
    <row r="739" spans="1:14" x14ac:dyDescent="0.25">
      <c r="A739" s="151" t="s">
        <v>2110</v>
      </c>
      <c r="B739" s="233" t="str">
        <f>VLOOKUP(A739,'AFC Data details'!$B:$E,4,0)</f>
        <v>PV23</v>
      </c>
      <c r="C739" s="144" t="s">
        <v>1697</v>
      </c>
      <c r="D739" s="151" t="s">
        <v>602</v>
      </c>
      <c r="E739" s="151">
        <f>VLOOKUP(A739,'AFC Data details'!$B:$P,15,0)</f>
        <v>2.1280000000000001</v>
      </c>
      <c r="F739" s="151">
        <f>SUMIFS('AFC Data details'!C:C,'AFC Data details'!$B:$B,'Element wise-detail Summary'!$A739)</f>
        <v>1</v>
      </c>
      <c r="G739" s="151">
        <f>SUMIFS(Cast!$C:$C,Cast!$B:$B,'Element wise-detail Summary'!$A739)</f>
        <v>1</v>
      </c>
      <c r="H739" s="151">
        <f t="shared" si="73"/>
        <v>0</v>
      </c>
      <c r="I739" s="151">
        <f>SUMIFS(Del!$C:$C,Del!$B:$B,'Element wise-detail Summary'!$A739)</f>
        <v>1</v>
      </c>
      <c r="J739" s="151">
        <f t="shared" si="74"/>
        <v>0</v>
      </c>
      <c r="K739" s="151">
        <f t="shared" si="75"/>
        <v>0</v>
      </c>
      <c r="L739" s="151">
        <f>SUMIF(Ere!$B:$B,'Element wise-detail Summary'!$A739,Ere!$C:$C)</f>
        <v>0</v>
      </c>
      <c r="M739" s="151">
        <f t="shared" si="76"/>
        <v>1</v>
      </c>
      <c r="N739">
        <f t="shared" si="72"/>
        <v>2.1280000000000001</v>
      </c>
    </row>
    <row r="740" spans="1:14" hidden="1" x14ac:dyDescent="0.25">
      <c r="A740" s="151" t="s">
        <v>2111</v>
      </c>
      <c r="B740" s="233" t="str">
        <f>VLOOKUP(A740,'AFC Data details'!$B:$E,4,0)</f>
        <v>PV22</v>
      </c>
      <c r="C740" s="144" t="s">
        <v>1697</v>
      </c>
      <c r="D740" s="151" t="s">
        <v>602</v>
      </c>
      <c r="E740" s="151">
        <f>VLOOKUP(A740,'AFC Data details'!$B:$P,15,0)</f>
        <v>2.1280000000000001</v>
      </c>
      <c r="F740" s="151">
        <f>SUMIFS('AFC Data details'!C:C,'AFC Data details'!$B:$B,'Element wise-detail Summary'!$A740)</f>
        <v>1</v>
      </c>
      <c r="G740" s="151">
        <f>SUMIFS(Cast!$C:$C,Cast!$B:$B,'Element wise-detail Summary'!$A740)</f>
        <v>1</v>
      </c>
      <c r="H740" s="151">
        <f t="shared" si="73"/>
        <v>0</v>
      </c>
      <c r="I740" s="151">
        <f>SUMIFS(Del!$C:$C,Del!$B:$B,'Element wise-detail Summary'!$A740)</f>
        <v>0</v>
      </c>
      <c r="J740" s="151">
        <f t="shared" si="74"/>
        <v>1</v>
      </c>
      <c r="K740" s="151">
        <f t="shared" si="75"/>
        <v>1</v>
      </c>
      <c r="L740" s="151">
        <f>SUMIF(Ere!$B:$B,'Element wise-detail Summary'!$A740,Ere!$C:$C)</f>
        <v>0</v>
      </c>
      <c r="M740" s="151">
        <f t="shared" si="76"/>
        <v>1</v>
      </c>
      <c r="N740">
        <f t="shared" si="72"/>
        <v>0</v>
      </c>
    </row>
    <row r="741" spans="1:14" hidden="1" x14ac:dyDescent="0.25">
      <c r="A741" s="151" t="s">
        <v>1905</v>
      </c>
      <c r="B741" s="233" t="str">
        <f>VLOOKUP(A741,'AFC Data details'!$B:$E,4,0)</f>
        <v>PV27</v>
      </c>
      <c r="C741" s="144" t="s">
        <v>1697</v>
      </c>
      <c r="D741" s="151" t="s">
        <v>602</v>
      </c>
      <c r="E741" s="151">
        <f>VLOOKUP(A741,'AFC Data details'!$B:$P,15,0)</f>
        <v>1.296</v>
      </c>
      <c r="F741" s="151">
        <f>SUMIFS('AFC Data details'!C:C,'AFC Data details'!$B:$B,'Element wise-detail Summary'!$A741)</f>
        <v>1</v>
      </c>
      <c r="G741" s="151">
        <f>SUMIFS(Cast!$C:$C,Cast!$B:$B,'Element wise-detail Summary'!$A741)</f>
        <v>1</v>
      </c>
      <c r="H741" s="151">
        <f t="shared" si="73"/>
        <v>0</v>
      </c>
      <c r="I741" s="151">
        <f>SUMIFS(Del!$C:$C,Del!$B:$B,'Element wise-detail Summary'!$A741)</f>
        <v>1</v>
      </c>
      <c r="J741" s="151">
        <f t="shared" si="74"/>
        <v>0</v>
      </c>
      <c r="K741" s="151">
        <f t="shared" si="75"/>
        <v>0</v>
      </c>
      <c r="L741" s="151">
        <f>SUMIF(Ere!$B:$B,'Element wise-detail Summary'!$A741,Ere!$C:$C)</f>
        <v>1</v>
      </c>
      <c r="M741" s="151">
        <f t="shared" si="76"/>
        <v>0</v>
      </c>
      <c r="N741">
        <f t="shared" si="72"/>
        <v>1.296</v>
      </c>
    </row>
    <row r="742" spans="1:14" hidden="1" x14ac:dyDescent="0.25">
      <c r="A742" s="151" t="s">
        <v>1906</v>
      </c>
      <c r="B742" s="233" t="str">
        <f>VLOOKUP(A742,'AFC Data details'!$B:$E,4,0)</f>
        <v>PV27</v>
      </c>
      <c r="C742" s="144" t="s">
        <v>1697</v>
      </c>
      <c r="D742" s="151" t="s">
        <v>602</v>
      </c>
      <c r="E742" s="151">
        <f>VLOOKUP(A742,'AFC Data details'!$B:$P,15,0)</f>
        <v>1.163</v>
      </c>
      <c r="F742" s="151">
        <f>SUMIFS('AFC Data details'!C:C,'AFC Data details'!$B:$B,'Element wise-detail Summary'!$A742)</f>
        <v>1</v>
      </c>
      <c r="G742" s="151">
        <f>SUMIFS(Cast!$C:$C,Cast!$B:$B,'Element wise-detail Summary'!$A742)</f>
        <v>1</v>
      </c>
      <c r="H742" s="151">
        <f t="shared" si="73"/>
        <v>0</v>
      </c>
      <c r="I742" s="151">
        <f>SUMIFS(Del!$C:$C,Del!$B:$B,'Element wise-detail Summary'!$A742)</f>
        <v>1</v>
      </c>
      <c r="J742" s="151">
        <f t="shared" si="74"/>
        <v>0</v>
      </c>
      <c r="K742" s="151">
        <f t="shared" si="75"/>
        <v>0</v>
      </c>
      <c r="L742" s="151">
        <f>SUMIF(Ere!$B:$B,'Element wise-detail Summary'!$A742,Ere!$C:$C)</f>
        <v>1</v>
      </c>
      <c r="M742" s="151">
        <f t="shared" si="76"/>
        <v>0</v>
      </c>
      <c r="N742">
        <f t="shared" si="72"/>
        <v>1.163</v>
      </c>
    </row>
    <row r="743" spans="1:14" x14ac:dyDescent="0.25">
      <c r="A743" s="151" t="s">
        <v>2112</v>
      </c>
      <c r="B743" s="233" t="str">
        <f>VLOOKUP(A743,'AFC Data details'!$B:$E,4,0)</f>
        <v>PV23</v>
      </c>
      <c r="C743" s="144" t="s">
        <v>1697</v>
      </c>
      <c r="D743" s="151" t="s">
        <v>602</v>
      </c>
      <c r="E743" s="151">
        <f>VLOOKUP(A743,'AFC Data details'!$B:$P,15,0)</f>
        <v>1.163</v>
      </c>
      <c r="F743" s="151">
        <f>SUMIFS('AFC Data details'!C:C,'AFC Data details'!$B:$B,'Element wise-detail Summary'!$A743)</f>
        <v>1</v>
      </c>
      <c r="G743" s="151">
        <f>SUMIFS(Cast!$C:$C,Cast!$B:$B,'Element wise-detail Summary'!$A743)</f>
        <v>1</v>
      </c>
      <c r="H743" s="151">
        <f t="shared" si="73"/>
        <v>0</v>
      </c>
      <c r="I743" s="151">
        <f>SUMIFS(Del!$C:$C,Del!$B:$B,'Element wise-detail Summary'!$A743)</f>
        <v>0</v>
      </c>
      <c r="J743" s="151">
        <f t="shared" si="74"/>
        <v>1</v>
      </c>
      <c r="K743" s="151">
        <f t="shared" si="75"/>
        <v>1</v>
      </c>
      <c r="L743" s="151">
        <f>SUMIF(Ere!$B:$B,'Element wise-detail Summary'!$A743,Ere!$C:$C)</f>
        <v>0</v>
      </c>
      <c r="M743" s="151">
        <f t="shared" si="76"/>
        <v>1</v>
      </c>
      <c r="N743">
        <f t="shared" si="72"/>
        <v>0</v>
      </c>
    </row>
    <row r="744" spans="1:14" hidden="1" x14ac:dyDescent="0.25">
      <c r="A744" s="151" t="s">
        <v>2113</v>
      </c>
      <c r="B744" s="233" t="str">
        <f>VLOOKUP(A744,'AFC Data details'!$B:$E,4,0)</f>
        <v>PV21</v>
      </c>
      <c r="C744" s="144" t="s">
        <v>1697</v>
      </c>
      <c r="D744" s="151" t="s">
        <v>602</v>
      </c>
      <c r="E744" s="151">
        <f>VLOOKUP(A744,'AFC Data details'!$B:$P,15,0)</f>
        <v>1.163</v>
      </c>
      <c r="F744" s="151">
        <f>SUMIFS('AFC Data details'!C:C,'AFC Data details'!$B:$B,'Element wise-detail Summary'!$A744)</f>
        <v>1</v>
      </c>
      <c r="G744" s="151">
        <f>SUMIFS(Cast!$C:$C,Cast!$B:$B,'Element wise-detail Summary'!$A744)</f>
        <v>1</v>
      </c>
      <c r="H744" s="151">
        <f t="shared" si="73"/>
        <v>0</v>
      </c>
      <c r="I744" s="151">
        <f>SUMIFS(Del!$C:$C,Del!$B:$B,'Element wise-detail Summary'!$A744)</f>
        <v>1</v>
      </c>
      <c r="J744" s="151">
        <f t="shared" si="74"/>
        <v>0</v>
      </c>
      <c r="K744" s="151">
        <f t="shared" si="75"/>
        <v>0</v>
      </c>
      <c r="L744" s="151">
        <f>SUMIF(Ere!$B:$B,'Element wise-detail Summary'!$A744,Ere!$C:$C)</f>
        <v>0</v>
      </c>
      <c r="M744" s="151">
        <f t="shared" si="76"/>
        <v>1</v>
      </c>
      <c r="N744">
        <f t="shared" si="72"/>
        <v>1.163</v>
      </c>
    </row>
    <row r="745" spans="1:14" hidden="1" x14ac:dyDescent="0.25">
      <c r="A745" s="151" t="s">
        <v>1907</v>
      </c>
      <c r="B745" s="233" t="str">
        <f>VLOOKUP(A745,'AFC Data details'!$B:$E,4,0)</f>
        <v>PV28</v>
      </c>
      <c r="C745" s="144" t="s">
        <v>1697</v>
      </c>
      <c r="D745" s="151" t="s">
        <v>602</v>
      </c>
      <c r="E745" s="151">
        <f>VLOOKUP(A745,'AFC Data details'!$B:$P,15,0)</f>
        <v>2.0779999999999998</v>
      </c>
      <c r="F745" s="151">
        <f>SUMIFS('AFC Data details'!C:C,'AFC Data details'!$B:$B,'Element wise-detail Summary'!$A745)</f>
        <v>1</v>
      </c>
      <c r="G745" s="151">
        <f>SUMIFS(Cast!$C:$C,Cast!$B:$B,'Element wise-detail Summary'!$A745)</f>
        <v>1</v>
      </c>
      <c r="H745" s="151">
        <f t="shared" si="73"/>
        <v>0</v>
      </c>
      <c r="I745" s="151">
        <f>SUMIFS(Del!$C:$C,Del!$B:$B,'Element wise-detail Summary'!$A745)</f>
        <v>1</v>
      </c>
      <c r="J745" s="151">
        <f t="shared" si="74"/>
        <v>0</v>
      </c>
      <c r="K745" s="151">
        <f t="shared" si="75"/>
        <v>0</v>
      </c>
      <c r="L745" s="151">
        <f>SUMIF(Ere!$B:$B,'Element wise-detail Summary'!$A745,Ere!$C:$C)</f>
        <v>1</v>
      </c>
      <c r="M745" s="151">
        <f t="shared" si="76"/>
        <v>0</v>
      </c>
      <c r="N745">
        <f t="shared" si="72"/>
        <v>2.0779999999999998</v>
      </c>
    </row>
    <row r="746" spans="1:14" hidden="1" x14ac:dyDescent="0.25">
      <c r="A746" s="151" t="s">
        <v>2115</v>
      </c>
      <c r="B746" s="233" t="str">
        <f>VLOOKUP(A746,'AFC Data details'!$B:$E,4,0)</f>
        <v>PV29</v>
      </c>
      <c r="C746" s="144" t="s">
        <v>1697</v>
      </c>
      <c r="D746" s="151" t="s">
        <v>602</v>
      </c>
      <c r="E746" s="151">
        <f>VLOOKUP(A746,'AFC Data details'!$B:$P,15,0)</f>
        <v>2.0779999999999998</v>
      </c>
      <c r="F746" s="151">
        <f>SUMIFS('AFC Data details'!C:C,'AFC Data details'!$B:$B,'Element wise-detail Summary'!$A746)</f>
        <v>1</v>
      </c>
      <c r="G746" s="151">
        <f>SUMIFS(Cast!$C:$C,Cast!$B:$B,'Element wise-detail Summary'!$A746)</f>
        <v>1</v>
      </c>
      <c r="H746" s="151">
        <f t="shared" si="73"/>
        <v>0</v>
      </c>
      <c r="I746" s="151">
        <f>SUMIFS(Del!$C:$C,Del!$B:$B,'Element wise-detail Summary'!$A746)</f>
        <v>1</v>
      </c>
      <c r="J746" s="151">
        <f t="shared" si="74"/>
        <v>0</v>
      </c>
      <c r="K746" s="151">
        <f t="shared" si="75"/>
        <v>0</v>
      </c>
      <c r="L746" s="151">
        <f>SUMIF(Ere!$B:$B,'Element wise-detail Summary'!$A746,Ere!$C:$C)</f>
        <v>1</v>
      </c>
      <c r="M746" s="151">
        <f t="shared" si="76"/>
        <v>0</v>
      </c>
      <c r="N746">
        <f t="shared" si="72"/>
        <v>2.0779999999999998</v>
      </c>
    </row>
    <row r="747" spans="1:14" hidden="1" x14ac:dyDescent="0.25">
      <c r="A747" s="151" t="s">
        <v>1908</v>
      </c>
      <c r="B747" s="233" t="str">
        <f>VLOOKUP(A747,'AFC Data details'!$B:$E,4,0)</f>
        <v>PV28</v>
      </c>
      <c r="C747" s="144" t="s">
        <v>1697</v>
      </c>
      <c r="D747" s="151" t="s">
        <v>602</v>
      </c>
      <c r="E747" s="151">
        <f>VLOOKUP(A747,'AFC Data details'!$B:$P,15,0)</f>
        <v>2.0779999999999998</v>
      </c>
      <c r="F747" s="151">
        <f>SUMIFS('AFC Data details'!C:C,'AFC Data details'!$B:$B,'Element wise-detail Summary'!$A747)</f>
        <v>1</v>
      </c>
      <c r="G747" s="151">
        <f>SUMIFS(Cast!$C:$C,Cast!$B:$B,'Element wise-detail Summary'!$A747)</f>
        <v>1</v>
      </c>
      <c r="H747" s="151">
        <f t="shared" si="73"/>
        <v>0</v>
      </c>
      <c r="I747" s="151">
        <f>SUMIFS(Del!$C:$C,Del!$B:$B,'Element wise-detail Summary'!$A747)</f>
        <v>1</v>
      </c>
      <c r="J747" s="151">
        <f t="shared" si="74"/>
        <v>0</v>
      </c>
      <c r="K747" s="151">
        <f t="shared" si="75"/>
        <v>0</v>
      </c>
      <c r="L747" s="151">
        <f>SUMIF(Ere!$B:$B,'Element wise-detail Summary'!$A747,Ere!$C:$C)</f>
        <v>1</v>
      </c>
      <c r="M747" s="151">
        <f t="shared" si="76"/>
        <v>0</v>
      </c>
      <c r="N747">
        <f t="shared" si="72"/>
        <v>2.0779999999999998</v>
      </c>
    </row>
    <row r="748" spans="1:14" hidden="1" x14ac:dyDescent="0.25">
      <c r="A748" s="151" t="s">
        <v>2117</v>
      </c>
      <c r="B748" s="233" t="str">
        <f>VLOOKUP(A748,'AFC Data details'!$B:$E,4,0)</f>
        <v>PV28</v>
      </c>
      <c r="C748" s="144" t="s">
        <v>1697</v>
      </c>
      <c r="D748" s="151" t="s">
        <v>602</v>
      </c>
      <c r="E748" s="151">
        <f>VLOOKUP(A748,'AFC Data details'!$B:$P,15,0)</f>
        <v>2.0779999999999998</v>
      </c>
      <c r="F748" s="151">
        <f>SUMIFS('AFC Data details'!C:C,'AFC Data details'!$B:$B,'Element wise-detail Summary'!$A748)</f>
        <v>1</v>
      </c>
      <c r="G748" s="151">
        <f>SUMIFS(Cast!$C:$C,Cast!$B:$B,'Element wise-detail Summary'!$A748)</f>
        <v>1</v>
      </c>
      <c r="H748" s="151">
        <f t="shared" si="73"/>
        <v>0</v>
      </c>
      <c r="I748" s="151">
        <f>SUMIFS(Del!$C:$C,Del!$B:$B,'Element wise-detail Summary'!$A748)</f>
        <v>1</v>
      </c>
      <c r="J748" s="151">
        <f t="shared" si="74"/>
        <v>0</v>
      </c>
      <c r="K748" s="151">
        <f t="shared" si="75"/>
        <v>0</v>
      </c>
      <c r="L748" s="151">
        <f>SUMIF(Ere!$B:$B,'Element wise-detail Summary'!$A748,Ere!$C:$C)</f>
        <v>1</v>
      </c>
      <c r="M748" s="151">
        <f t="shared" si="76"/>
        <v>0</v>
      </c>
      <c r="N748">
        <f t="shared" si="72"/>
        <v>2.0779999999999998</v>
      </c>
    </row>
    <row r="749" spans="1:14" hidden="1" x14ac:dyDescent="0.25">
      <c r="A749" s="151" t="s">
        <v>2118</v>
      </c>
      <c r="B749" s="233" t="str">
        <f>VLOOKUP(A749,'AFC Data details'!$B:$E,4,0)</f>
        <v>PV28</v>
      </c>
      <c r="C749" s="144" t="s">
        <v>1697</v>
      </c>
      <c r="D749" s="151" t="s">
        <v>602</v>
      </c>
      <c r="E749" s="151">
        <f>VLOOKUP(A749,'AFC Data details'!$B:$P,15,0)</f>
        <v>2.0779999999999998</v>
      </c>
      <c r="F749" s="151">
        <f>SUMIFS('AFC Data details'!C:C,'AFC Data details'!$B:$B,'Element wise-detail Summary'!$A749)</f>
        <v>1</v>
      </c>
      <c r="G749" s="151">
        <f>SUMIFS(Cast!$C:$C,Cast!$B:$B,'Element wise-detail Summary'!$A749)</f>
        <v>1</v>
      </c>
      <c r="H749" s="151">
        <f t="shared" si="73"/>
        <v>0</v>
      </c>
      <c r="I749" s="151">
        <f>SUMIFS(Del!$C:$C,Del!$B:$B,'Element wise-detail Summary'!$A749)</f>
        <v>1</v>
      </c>
      <c r="J749" s="151">
        <f t="shared" si="74"/>
        <v>0</v>
      </c>
      <c r="K749" s="151">
        <f t="shared" si="75"/>
        <v>0</v>
      </c>
      <c r="L749" s="151">
        <f>SUMIF(Ere!$B:$B,'Element wise-detail Summary'!$A749,Ere!$C:$C)</f>
        <v>1</v>
      </c>
      <c r="M749" s="151">
        <f t="shared" si="76"/>
        <v>0</v>
      </c>
      <c r="N749">
        <f t="shared" si="72"/>
        <v>2.0779999999999998</v>
      </c>
    </row>
    <row r="750" spans="1:14" hidden="1" x14ac:dyDescent="0.25">
      <c r="A750" s="151" t="s">
        <v>2119</v>
      </c>
      <c r="B750" s="233" t="str">
        <f>VLOOKUP(A750,'AFC Data details'!$B:$E,4,0)</f>
        <v>PV28</v>
      </c>
      <c r="C750" s="144" t="s">
        <v>1697</v>
      </c>
      <c r="D750" s="151" t="s">
        <v>602</v>
      </c>
      <c r="E750" s="151">
        <f>VLOOKUP(A750,'AFC Data details'!$B:$P,15,0)</f>
        <v>2.0779999999999998</v>
      </c>
      <c r="F750" s="151">
        <f>SUMIFS('AFC Data details'!C:C,'AFC Data details'!$B:$B,'Element wise-detail Summary'!$A750)</f>
        <v>1</v>
      </c>
      <c r="G750" s="151">
        <f>SUMIFS(Cast!$C:$C,Cast!$B:$B,'Element wise-detail Summary'!$A750)</f>
        <v>1</v>
      </c>
      <c r="H750" s="151">
        <f t="shared" si="73"/>
        <v>0</v>
      </c>
      <c r="I750" s="151">
        <f>SUMIFS(Del!$C:$C,Del!$B:$B,'Element wise-detail Summary'!$A750)</f>
        <v>1</v>
      </c>
      <c r="J750" s="151">
        <f t="shared" si="74"/>
        <v>0</v>
      </c>
      <c r="K750" s="151">
        <f t="shared" si="75"/>
        <v>0</v>
      </c>
      <c r="L750" s="151">
        <f>SUMIF(Ere!$B:$B,'Element wise-detail Summary'!$A750,Ere!$C:$C)</f>
        <v>1</v>
      </c>
      <c r="M750" s="151">
        <f t="shared" si="76"/>
        <v>0</v>
      </c>
      <c r="N750">
        <f t="shared" si="72"/>
        <v>2.0779999999999998</v>
      </c>
    </row>
    <row r="751" spans="1:14" hidden="1" x14ac:dyDescent="0.25">
      <c r="A751" s="151" t="s">
        <v>2120</v>
      </c>
      <c r="B751" s="233" t="str">
        <f>VLOOKUP(A751,'AFC Data details'!$B:$E,4,0)</f>
        <v>PV29</v>
      </c>
      <c r="C751" s="144" t="s">
        <v>1697</v>
      </c>
      <c r="D751" s="151" t="s">
        <v>602</v>
      </c>
      <c r="E751" s="151">
        <f>VLOOKUP(A751,'AFC Data details'!$B:$P,15,0)</f>
        <v>2.0779999999999998</v>
      </c>
      <c r="F751" s="151">
        <f>SUMIFS('AFC Data details'!C:C,'AFC Data details'!$B:$B,'Element wise-detail Summary'!$A751)</f>
        <v>1</v>
      </c>
      <c r="G751" s="151">
        <f>SUMIFS(Cast!$C:$C,Cast!$B:$B,'Element wise-detail Summary'!$A751)</f>
        <v>1</v>
      </c>
      <c r="H751" s="151">
        <f t="shared" si="73"/>
        <v>0</v>
      </c>
      <c r="I751" s="151">
        <f>SUMIFS(Del!$C:$C,Del!$B:$B,'Element wise-detail Summary'!$A751)</f>
        <v>1</v>
      </c>
      <c r="J751" s="151">
        <f t="shared" si="74"/>
        <v>0</v>
      </c>
      <c r="K751" s="151">
        <f t="shared" si="75"/>
        <v>0</v>
      </c>
      <c r="L751" s="151">
        <f>SUMIF(Ere!$B:$B,'Element wise-detail Summary'!$A751,Ere!$C:$C)</f>
        <v>1</v>
      </c>
      <c r="M751" s="151">
        <f t="shared" si="76"/>
        <v>0</v>
      </c>
      <c r="N751">
        <f t="shared" si="72"/>
        <v>2.0779999999999998</v>
      </c>
    </row>
    <row r="752" spans="1:14" hidden="1" x14ac:dyDescent="0.25">
      <c r="A752" s="151" t="s">
        <v>2121</v>
      </c>
      <c r="B752" s="233" t="str">
        <f>VLOOKUP(A752,'AFC Data details'!$B:$E,4,0)</f>
        <v>PV29</v>
      </c>
      <c r="C752" s="144" t="s">
        <v>1697</v>
      </c>
      <c r="D752" s="151" t="s">
        <v>602</v>
      </c>
      <c r="E752" s="151">
        <f>VLOOKUP(A752,'AFC Data details'!$B:$P,15,0)</f>
        <v>2.0779999999999998</v>
      </c>
      <c r="F752" s="151">
        <f>SUMIFS('AFC Data details'!C:C,'AFC Data details'!$B:$B,'Element wise-detail Summary'!$A752)</f>
        <v>1</v>
      </c>
      <c r="G752" s="151">
        <f>SUMIFS(Cast!$C:$C,Cast!$B:$B,'Element wise-detail Summary'!$A752)</f>
        <v>1</v>
      </c>
      <c r="H752" s="151">
        <f t="shared" si="73"/>
        <v>0</v>
      </c>
      <c r="I752" s="151">
        <f>SUMIFS(Del!$C:$C,Del!$B:$B,'Element wise-detail Summary'!$A752)</f>
        <v>1</v>
      </c>
      <c r="J752" s="151">
        <f t="shared" si="74"/>
        <v>0</v>
      </c>
      <c r="K752" s="151">
        <f t="shared" si="75"/>
        <v>0</v>
      </c>
      <c r="L752" s="151">
        <f>SUMIF(Ere!$B:$B,'Element wise-detail Summary'!$A752,Ere!$C:$C)</f>
        <v>1</v>
      </c>
      <c r="M752" s="151">
        <f t="shared" si="76"/>
        <v>0</v>
      </c>
      <c r="N752">
        <f t="shared" si="72"/>
        <v>2.0779999999999998</v>
      </c>
    </row>
    <row r="753" spans="1:14" hidden="1" x14ac:dyDescent="0.25">
      <c r="A753" s="151" t="s">
        <v>2122</v>
      </c>
      <c r="B753" s="233" t="str">
        <f>VLOOKUP(A753,'AFC Data details'!$B:$E,4,0)</f>
        <v>PV29</v>
      </c>
      <c r="C753" s="144" t="s">
        <v>1697</v>
      </c>
      <c r="D753" s="151" t="s">
        <v>602</v>
      </c>
      <c r="E753" s="151">
        <f>VLOOKUP(A753,'AFC Data details'!$B:$P,15,0)</f>
        <v>2.0779999999999998</v>
      </c>
      <c r="F753" s="151">
        <f>SUMIFS('AFC Data details'!C:C,'AFC Data details'!$B:$B,'Element wise-detail Summary'!$A753)</f>
        <v>1</v>
      </c>
      <c r="G753" s="151">
        <f>SUMIFS(Cast!$C:$C,Cast!$B:$B,'Element wise-detail Summary'!$A753)</f>
        <v>1</v>
      </c>
      <c r="H753" s="151">
        <f t="shared" si="73"/>
        <v>0</v>
      </c>
      <c r="I753" s="151">
        <f>SUMIFS(Del!$C:$C,Del!$B:$B,'Element wise-detail Summary'!$A753)</f>
        <v>1</v>
      </c>
      <c r="J753" s="151">
        <f t="shared" si="74"/>
        <v>0</v>
      </c>
      <c r="K753" s="151">
        <f t="shared" si="75"/>
        <v>0</v>
      </c>
      <c r="L753" s="151">
        <f>SUMIF(Ere!$B:$B,'Element wise-detail Summary'!$A753,Ere!$C:$C)</f>
        <v>1</v>
      </c>
      <c r="M753" s="151">
        <f t="shared" si="76"/>
        <v>0</v>
      </c>
      <c r="N753">
        <f t="shared" si="72"/>
        <v>2.0779999999999998</v>
      </c>
    </row>
    <row r="754" spans="1:14" hidden="1" x14ac:dyDescent="0.25">
      <c r="A754" s="151" t="s">
        <v>2123</v>
      </c>
      <c r="B754" s="233" t="str">
        <f>VLOOKUP(A754,'AFC Data details'!$B:$E,4,0)</f>
        <v>PV29</v>
      </c>
      <c r="C754" s="144" t="s">
        <v>1697</v>
      </c>
      <c r="D754" s="151" t="s">
        <v>602</v>
      </c>
      <c r="E754" s="151">
        <f>VLOOKUP(A754,'AFC Data details'!$B:$P,15,0)</f>
        <v>2.0779999999999998</v>
      </c>
      <c r="F754" s="151">
        <f>SUMIFS('AFC Data details'!C:C,'AFC Data details'!$B:$B,'Element wise-detail Summary'!$A754)</f>
        <v>1</v>
      </c>
      <c r="G754" s="151">
        <f>SUMIFS(Cast!$C:$C,Cast!$B:$B,'Element wise-detail Summary'!$A754)</f>
        <v>1</v>
      </c>
      <c r="H754" s="151">
        <f t="shared" si="73"/>
        <v>0</v>
      </c>
      <c r="I754" s="151">
        <f>SUMIFS(Del!$C:$C,Del!$B:$B,'Element wise-detail Summary'!$A754)</f>
        <v>1</v>
      </c>
      <c r="J754" s="151">
        <f t="shared" si="74"/>
        <v>0</v>
      </c>
      <c r="K754" s="151">
        <f t="shared" si="75"/>
        <v>0</v>
      </c>
      <c r="L754" s="151">
        <f>SUMIF(Ere!$B:$B,'Element wise-detail Summary'!$A754,Ere!$C:$C)</f>
        <v>1</v>
      </c>
      <c r="M754" s="151">
        <f t="shared" si="76"/>
        <v>0</v>
      </c>
      <c r="N754">
        <f t="shared" si="72"/>
        <v>2.0779999999999998</v>
      </c>
    </row>
    <row r="755" spans="1:14" hidden="1" x14ac:dyDescent="0.25">
      <c r="A755" s="151" t="s">
        <v>1909</v>
      </c>
      <c r="B755" s="233" t="str">
        <f>VLOOKUP(A755,'AFC Data details'!$B:$E,4,0)</f>
        <v>PV28</v>
      </c>
      <c r="C755" s="144" t="s">
        <v>1697</v>
      </c>
      <c r="D755" s="151" t="s">
        <v>602</v>
      </c>
      <c r="E755" s="151">
        <f>VLOOKUP(A755,'AFC Data details'!$B:$P,15,0)</f>
        <v>1.1599999999999999</v>
      </c>
      <c r="F755" s="151">
        <f>SUMIFS('AFC Data details'!C:C,'AFC Data details'!$B:$B,'Element wise-detail Summary'!$A755)</f>
        <v>1</v>
      </c>
      <c r="G755" s="151">
        <f>SUMIFS(Cast!$C:$C,Cast!$B:$B,'Element wise-detail Summary'!$A755)</f>
        <v>1</v>
      </c>
      <c r="H755" s="151">
        <f t="shared" si="73"/>
        <v>0</v>
      </c>
      <c r="I755" s="151">
        <f>SUMIFS(Del!$C:$C,Del!$B:$B,'Element wise-detail Summary'!$A755)</f>
        <v>1</v>
      </c>
      <c r="J755" s="151">
        <f t="shared" si="74"/>
        <v>0</v>
      </c>
      <c r="K755" s="151">
        <f t="shared" si="75"/>
        <v>0</v>
      </c>
      <c r="L755" s="151">
        <f>SUMIF(Ere!$B:$B,'Element wise-detail Summary'!$A755,Ere!$C:$C)</f>
        <v>1</v>
      </c>
      <c r="M755" s="151">
        <f t="shared" si="76"/>
        <v>0</v>
      </c>
      <c r="N755">
        <f t="shared" si="72"/>
        <v>1.1599999999999999</v>
      </c>
    </row>
    <row r="756" spans="1:14" hidden="1" x14ac:dyDescent="0.25">
      <c r="A756" s="151" t="s">
        <v>1910</v>
      </c>
      <c r="B756" s="233" t="str">
        <f>VLOOKUP(A756,'AFC Data details'!$B:$E,4,0)</f>
        <v>PV28</v>
      </c>
      <c r="C756" s="144" t="s">
        <v>1697</v>
      </c>
      <c r="D756" s="151" t="s">
        <v>602</v>
      </c>
      <c r="E756" s="151">
        <f>VLOOKUP(A756,'AFC Data details'!$B:$P,15,0)</f>
        <v>1.2729999999999999</v>
      </c>
      <c r="F756" s="151">
        <f>SUMIFS('AFC Data details'!C:C,'AFC Data details'!$B:$B,'Element wise-detail Summary'!$A756)</f>
        <v>1</v>
      </c>
      <c r="G756" s="151">
        <f>SUMIFS(Cast!$C:$C,Cast!$B:$B,'Element wise-detail Summary'!$A756)</f>
        <v>1</v>
      </c>
      <c r="H756" s="151">
        <f t="shared" si="73"/>
        <v>0</v>
      </c>
      <c r="I756" s="151">
        <f>SUMIFS(Del!$C:$C,Del!$B:$B,'Element wise-detail Summary'!$A756)</f>
        <v>1</v>
      </c>
      <c r="J756" s="151">
        <f t="shared" si="74"/>
        <v>0</v>
      </c>
      <c r="K756" s="151">
        <f t="shared" si="75"/>
        <v>0</v>
      </c>
      <c r="L756" s="151">
        <f>SUMIF(Ere!$B:$B,'Element wise-detail Summary'!$A756,Ere!$C:$C)</f>
        <v>1</v>
      </c>
      <c r="M756" s="151">
        <f t="shared" si="76"/>
        <v>0</v>
      </c>
      <c r="N756">
        <f t="shared" si="72"/>
        <v>1.2729999999999999</v>
      </c>
    </row>
    <row r="757" spans="1:14" hidden="1" x14ac:dyDescent="0.25">
      <c r="A757" s="151" t="s">
        <v>1911</v>
      </c>
      <c r="B757" s="233" t="str">
        <f>VLOOKUP(A757,'AFC Data details'!$B:$E,4,0)</f>
        <v>PV29</v>
      </c>
      <c r="C757" s="144" t="s">
        <v>1697</v>
      </c>
      <c r="D757" s="151" t="s">
        <v>602</v>
      </c>
      <c r="E757" s="151">
        <f>VLOOKUP(A757,'AFC Data details'!$B:$P,15,0)</f>
        <v>2.0779999999999998</v>
      </c>
      <c r="F757" s="151">
        <f>SUMIFS('AFC Data details'!C:C,'AFC Data details'!$B:$B,'Element wise-detail Summary'!$A757)</f>
        <v>1</v>
      </c>
      <c r="G757" s="151">
        <f>SUMIFS(Cast!$C:$C,Cast!$B:$B,'Element wise-detail Summary'!$A757)</f>
        <v>1</v>
      </c>
      <c r="H757" s="151">
        <f t="shared" si="73"/>
        <v>0</v>
      </c>
      <c r="I757" s="151">
        <f>SUMIFS(Del!$C:$C,Del!$B:$B,'Element wise-detail Summary'!$A757)</f>
        <v>1</v>
      </c>
      <c r="J757" s="151">
        <f t="shared" si="74"/>
        <v>0</v>
      </c>
      <c r="K757" s="151">
        <f t="shared" si="75"/>
        <v>0</v>
      </c>
      <c r="L757" s="151">
        <f>SUMIF(Ere!$B:$B,'Element wise-detail Summary'!$A757,Ere!$C:$C)</f>
        <v>1</v>
      </c>
      <c r="M757" s="151">
        <f t="shared" si="76"/>
        <v>0</v>
      </c>
      <c r="N757">
        <f t="shared" si="72"/>
        <v>2.0779999999999998</v>
      </c>
    </row>
    <row r="758" spans="1:14" hidden="1" x14ac:dyDescent="0.25">
      <c r="A758" s="151" t="s">
        <v>2124</v>
      </c>
      <c r="B758" s="233" t="str">
        <f>VLOOKUP(A758,'AFC Data details'!$B:$E,4,0)</f>
        <v>PV28</v>
      </c>
      <c r="C758" s="144" t="s">
        <v>1697</v>
      </c>
      <c r="D758" s="151" t="s">
        <v>602</v>
      </c>
      <c r="E758" s="151">
        <f>VLOOKUP(A758,'AFC Data details'!$B:$P,15,0)</f>
        <v>2.0779999999999998</v>
      </c>
      <c r="F758" s="151">
        <f>SUMIFS('AFC Data details'!C:C,'AFC Data details'!$B:$B,'Element wise-detail Summary'!$A758)</f>
        <v>1</v>
      </c>
      <c r="G758" s="151">
        <f>SUMIFS(Cast!$C:$C,Cast!$B:$B,'Element wise-detail Summary'!$A758)</f>
        <v>1</v>
      </c>
      <c r="H758" s="151">
        <f t="shared" si="73"/>
        <v>0</v>
      </c>
      <c r="I758" s="151">
        <f>SUMIFS(Del!$C:$C,Del!$B:$B,'Element wise-detail Summary'!$A758)</f>
        <v>1</v>
      </c>
      <c r="J758" s="151">
        <f t="shared" si="74"/>
        <v>0</v>
      </c>
      <c r="K758" s="151">
        <f t="shared" si="75"/>
        <v>0</v>
      </c>
      <c r="L758" s="151">
        <f>SUMIF(Ere!$B:$B,'Element wise-detail Summary'!$A758,Ere!$C:$C)</f>
        <v>1</v>
      </c>
      <c r="M758" s="151">
        <f t="shared" si="76"/>
        <v>0</v>
      </c>
      <c r="N758">
        <f t="shared" si="72"/>
        <v>2.0779999999999998</v>
      </c>
    </row>
    <row r="759" spans="1:14" hidden="1" x14ac:dyDescent="0.25">
      <c r="A759" s="151" t="s">
        <v>1912</v>
      </c>
      <c r="B759" s="233" t="str">
        <f>VLOOKUP(A759,'AFC Data details'!$B:$E,4,0)</f>
        <v>PV29</v>
      </c>
      <c r="C759" s="144" t="s">
        <v>1697</v>
      </c>
      <c r="D759" s="151" t="s">
        <v>602</v>
      </c>
      <c r="E759" s="151">
        <f>VLOOKUP(A759,'AFC Data details'!$B:$P,15,0)</f>
        <v>1.266</v>
      </c>
      <c r="F759" s="151">
        <f>SUMIFS('AFC Data details'!C:C,'AFC Data details'!$B:$B,'Element wise-detail Summary'!$A759)</f>
        <v>1</v>
      </c>
      <c r="G759" s="151">
        <f>SUMIFS(Cast!$C:$C,Cast!$B:$B,'Element wise-detail Summary'!$A759)</f>
        <v>1</v>
      </c>
      <c r="H759" s="151">
        <f t="shared" si="73"/>
        <v>0</v>
      </c>
      <c r="I759" s="151">
        <f>SUMIFS(Del!$C:$C,Del!$B:$B,'Element wise-detail Summary'!$A759)</f>
        <v>1</v>
      </c>
      <c r="J759" s="151">
        <f t="shared" si="74"/>
        <v>0</v>
      </c>
      <c r="K759" s="151">
        <f t="shared" si="75"/>
        <v>0</v>
      </c>
      <c r="L759" s="151">
        <f>SUMIF(Ere!$B:$B,'Element wise-detail Summary'!$A759,Ere!$C:$C)</f>
        <v>1</v>
      </c>
      <c r="M759" s="151">
        <f t="shared" si="76"/>
        <v>0</v>
      </c>
      <c r="N759">
        <f t="shared" si="72"/>
        <v>1.266</v>
      </c>
    </row>
    <row r="760" spans="1:14" hidden="1" x14ac:dyDescent="0.25">
      <c r="A760" s="151" t="s">
        <v>1913</v>
      </c>
      <c r="B760" s="233" t="str">
        <f>VLOOKUP(A760,'AFC Data details'!$B:$E,4,0)</f>
        <v>PV29</v>
      </c>
      <c r="C760" s="144" t="s">
        <v>1697</v>
      </c>
      <c r="D760" s="151" t="s">
        <v>602</v>
      </c>
      <c r="E760" s="151">
        <f>VLOOKUP(A760,'AFC Data details'!$B:$P,15,0)</f>
        <v>1.149</v>
      </c>
      <c r="F760" s="151">
        <f>SUMIFS('AFC Data details'!C:C,'AFC Data details'!$B:$B,'Element wise-detail Summary'!$A760)</f>
        <v>1</v>
      </c>
      <c r="G760" s="151">
        <f>SUMIFS(Cast!$C:$C,Cast!$B:$B,'Element wise-detail Summary'!$A760)</f>
        <v>1</v>
      </c>
      <c r="H760" s="151">
        <f t="shared" si="73"/>
        <v>0</v>
      </c>
      <c r="I760" s="151">
        <f>SUMIFS(Del!$C:$C,Del!$B:$B,'Element wise-detail Summary'!$A760)</f>
        <v>1</v>
      </c>
      <c r="J760" s="151">
        <f t="shared" si="74"/>
        <v>0</v>
      </c>
      <c r="K760" s="151">
        <f t="shared" si="75"/>
        <v>0</v>
      </c>
      <c r="L760" s="151">
        <f>SUMIF(Ere!$B:$B,'Element wise-detail Summary'!$A760,Ere!$C:$C)</f>
        <v>1</v>
      </c>
      <c r="M760" s="151">
        <f t="shared" si="76"/>
        <v>0</v>
      </c>
      <c r="N760">
        <f t="shared" si="72"/>
        <v>1.149</v>
      </c>
    </row>
    <row r="761" spans="1:14" hidden="1" x14ac:dyDescent="0.25">
      <c r="A761" s="151" t="s">
        <v>1914</v>
      </c>
      <c r="B761" s="233" t="str">
        <f>VLOOKUP(A761,'AFC Data details'!$B:$E,4,0)</f>
        <v>PV30</v>
      </c>
      <c r="C761" s="144" t="s">
        <v>1697</v>
      </c>
      <c r="D761" s="151" t="s">
        <v>602</v>
      </c>
      <c r="E761" s="151">
        <f>VLOOKUP(A761,'AFC Data details'!$B:$P,15,0)</f>
        <v>0.96499999999999997</v>
      </c>
      <c r="F761" s="151">
        <f>SUMIFS('AFC Data details'!C:C,'AFC Data details'!$B:$B,'Element wise-detail Summary'!$A761)</f>
        <v>1</v>
      </c>
      <c r="G761" s="151">
        <f>SUMIFS(Cast!$C:$C,Cast!$B:$B,'Element wise-detail Summary'!$A761)</f>
        <v>1</v>
      </c>
      <c r="H761" s="151">
        <f t="shared" si="73"/>
        <v>0</v>
      </c>
      <c r="I761" s="151">
        <f>SUMIFS(Del!$C:$C,Del!$B:$B,'Element wise-detail Summary'!$A761)</f>
        <v>1</v>
      </c>
      <c r="J761" s="151">
        <f t="shared" si="74"/>
        <v>0</v>
      </c>
      <c r="K761" s="151">
        <f t="shared" si="75"/>
        <v>0</v>
      </c>
      <c r="L761" s="151">
        <f>SUMIF(Ere!$B:$B,'Element wise-detail Summary'!$A761,Ere!$C:$C)</f>
        <v>1</v>
      </c>
      <c r="M761" s="151">
        <f t="shared" si="76"/>
        <v>0</v>
      </c>
      <c r="N761">
        <f t="shared" si="72"/>
        <v>0.96499999999999997</v>
      </c>
    </row>
    <row r="762" spans="1:14" hidden="1" x14ac:dyDescent="0.25">
      <c r="A762" s="151" t="s">
        <v>1915</v>
      </c>
      <c r="B762" s="233" t="str">
        <f>VLOOKUP(A762,'AFC Data details'!$B:$E,4,0)</f>
        <v>PV30</v>
      </c>
      <c r="C762" s="144" t="s">
        <v>1697</v>
      </c>
      <c r="D762" s="151" t="s">
        <v>602</v>
      </c>
      <c r="E762" s="151">
        <f>VLOOKUP(A762,'AFC Data details'!$B:$P,15,0)</f>
        <v>1.149</v>
      </c>
      <c r="F762" s="151">
        <f>SUMIFS('AFC Data details'!C:C,'AFC Data details'!$B:$B,'Element wise-detail Summary'!$A762)</f>
        <v>1</v>
      </c>
      <c r="G762" s="151">
        <f>SUMIFS(Cast!$C:$C,Cast!$B:$B,'Element wise-detail Summary'!$A762)</f>
        <v>1</v>
      </c>
      <c r="H762" s="151">
        <f t="shared" si="73"/>
        <v>0</v>
      </c>
      <c r="I762" s="151">
        <f>SUMIFS(Del!$C:$C,Del!$B:$B,'Element wise-detail Summary'!$A762)</f>
        <v>1</v>
      </c>
      <c r="J762" s="151">
        <f t="shared" si="74"/>
        <v>0</v>
      </c>
      <c r="K762" s="151">
        <f t="shared" si="75"/>
        <v>0</v>
      </c>
      <c r="L762" s="151">
        <f>SUMIF(Ere!$B:$B,'Element wise-detail Summary'!$A762,Ere!$C:$C)</f>
        <v>1</v>
      </c>
      <c r="M762" s="151">
        <f t="shared" si="76"/>
        <v>0</v>
      </c>
      <c r="N762">
        <f t="shared" si="72"/>
        <v>1.149</v>
      </c>
    </row>
    <row r="763" spans="1:14" hidden="1" x14ac:dyDescent="0.25">
      <c r="A763" s="151" t="s">
        <v>1916</v>
      </c>
      <c r="B763" s="233" t="str">
        <f>VLOOKUP(A763,'AFC Data details'!$B:$E,4,0)</f>
        <v>PV30</v>
      </c>
      <c r="C763" s="144" t="s">
        <v>1697</v>
      </c>
      <c r="D763" s="151" t="s">
        <v>602</v>
      </c>
      <c r="E763" s="151">
        <f>VLOOKUP(A763,'AFC Data details'!$B:$P,15,0)</f>
        <v>1.2709999999999999</v>
      </c>
      <c r="F763" s="151">
        <f>SUMIFS('AFC Data details'!C:C,'AFC Data details'!$B:$B,'Element wise-detail Summary'!$A763)</f>
        <v>1</v>
      </c>
      <c r="G763" s="151">
        <f>SUMIFS(Cast!$C:$C,Cast!$B:$B,'Element wise-detail Summary'!$A763)</f>
        <v>1</v>
      </c>
      <c r="H763" s="151">
        <f t="shared" si="73"/>
        <v>0</v>
      </c>
      <c r="I763" s="151">
        <f>SUMIFS(Del!$C:$C,Del!$B:$B,'Element wise-detail Summary'!$A763)</f>
        <v>1</v>
      </c>
      <c r="J763" s="151">
        <f t="shared" si="74"/>
        <v>0</v>
      </c>
      <c r="K763" s="151">
        <f t="shared" si="75"/>
        <v>0</v>
      </c>
      <c r="L763" s="151">
        <f>SUMIF(Ere!$B:$B,'Element wise-detail Summary'!$A763,Ere!$C:$C)</f>
        <v>1</v>
      </c>
      <c r="M763" s="151">
        <f t="shared" si="76"/>
        <v>0</v>
      </c>
      <c r="N763">
        <f t="shared" si="72"/>
        <v>1.2709999999999999</v>
      </c>
    </row>
    <row r="764" spans="1:14" hidden="1" x14ac:dyDescent="0.25">
      <c r="A764" s="151" t="s">
        <v>1917</v>
      </c>
      <c r="B764" s="233" t="str">
        <f>VLOOKUP(A764,'AFC Data details'!$B:$E,4,0)</f>
        <v>PV31</v>
      </c>
      <c r="C764" s="144" t="s">
        <v>1697</v>
      </c>
      <c r="D764" s="151" t="s">
        <v>602</v>
      </c>
      <c r="E764" s="151">
        <f>VLOOKUP(A764,'AFC Data details'!$B:$P,15,0)</f>
        <v>1.2809999999999999</v>
      </c>
      <c r="F764" s="151">
        <f>SUMIFS('AFC Data details'!C:C,'AFC Data details'!$B:$B,'Element wise-detail Summary'!$A764)</f>
        <v>1</v>
      </c>
      <c r="G764" s="151">
        <f>SUMIFS(Cast!$C:$C,Cast!$B:$B,'Element wise-detail Summary'!$A764)</f>
        <v>1</v>
      </c>
      <c r="H764" s="151">
        <f t="shared" si="73"/>
        <v>0</v>
      </c>
      <c r="I764" s="151">
        <f>SUMIFS(Del!$C:$C,Del!$B:$B,'Element wise-detail Summary'!$A764)</f>
        <v>1</v>
      </c>
      <c r="J764" s="151">
        <f t="shared" si="74"/>
        <v>0</v>
      </c>
      <c r="K764" s="151">
        <f t="shared" si="75"/>
        <v>0</v>
      </c>
      <c r="L764" s="151">
        <f>SUMIF(Ere!$B:$B,'Element wise-detail Summary'!$A764,Ere!$C:$C)</f>
        <v>1</v>
      </c>
      <c r="M764" s="151">
        <f t="shared" si="76"/>
        <v>0</v>
      </c>
      <c r="N764">
        <f t="shared" si="72"/>
        <v>1.2809999999999999</v>
      </c>
    </row>
    <row r="765" spans="1:14" hidden="1" x14ac:dyDescent="0.25">
      <c r="A765" s="151" t="s">
        <v>1918</v>
      </c>
      <c r="B765" s="233" t="str">
        <f>VLOOKUP(A765,'AFC Data details'!$B:$E,4,0)</f>
        <v>PV31</v>
      </c>
      <c r="C765" s="144" t="s">
        <v>1697</v>
      </c>
      <c r="D765" s="151" t="s">
        <v>602</v>
      </c>
      <c r="E765" s="151">
        <f>VLOOKUP(A765,'AFC Data details'!$B:$P,15,0)</f>
        <v>1.1679999999999999</v>
      </c>
      <c r="F765" s="151">
        <f>SUMIFS('AFC Data details'!C:C,'AFC Data details'!$B:$B,'Element wise-detail Summary'!$A765)</f>
        <v>1</v>
      </c>
      <c r="G765" s="151">
        <f>SUMIFS(Cast!$C:$C,Cast!$B:$B,'Element wise-detail Summary'!$A765)</f>
        <v>1</v>
      </c>
      <c r="H765" s="151">
        <f t="shared" si="73"/>
        <v>0</v>
      </c>
      <c r="I765" s="151">
        <f>SUMIFS(Del!$C:$C,Del!$B:$B,'Element wise-detail Summary'!$A765)</f>
        <v>1</v>
      </c>
      <c r="J765" s="151">
        <f t="shared" si="74"/>
        <v>0</v>
      </c>
      <c r="K765" s="151">
        <f t="shared" si="75"/>
        <v>0</v>
      </c>
      <c r="L765" s="151">
        <f>SUMIF(Ere!$B:$B,'Element wise-detail Summary'!$A765,Ere!$C:$C)</f>
        <v>1</v>
      </c>
      <c r="M765" s="151">
        <f t="shared" si="76"/>
        <v>0</v>
      </c>
      <c r="N765">
        <f t="shared" si="72"/>
        <v>1.1679999999999999</v>
      </c>
    </row>
    <row r="766" spans="1:14" hidden="1" x14ac:dyDescent="0.25">
      <c r="A766" s="151" t="s">
        <v>1919</v>
      </c>
      <c r="B766" s="233" t="str">
        <f>VLOOKUP(A766,'AFC Data details'!$B:$E,4,0)</f>
        <v>PV32</v>
      </c>
      <c r="C766" s="144" t="s">
        <v>1697</v>
      </c>
      <c r="D766" s="151" t="s">
        <v>602</v>
      </c>
      <c r="E766" s="151">
        <f>VLOOKUP(A766,'AFC Data details'!$B:$P,15,0)</f>
        <v>0.95</v>
      </c>
      <c r="F766" s="151">
        <f>SUMIFS('AFC Data details'!C:C,'AFC Data details'!$B:$B,'Element wise-detail Summary'!$A766)</f>
        <v>1</v>
      </c>
      <c r="G766" s="151">
        <f>SUMIFS(Cast!$C:$C,Cast!$B:$B,'Element wise-detail Summary'!$A766)</f>
        <v>1</v>
      </c>
      <c r="H766" s="151">
        <f t="shared" si="73"/>
        <v>0</v>
      </c>
      <c r="I766" s="151">
        <f>SUMIFS(Del!$C:$C,Del!$B:$B,'Element wise-detail Summary'!$A766)</f>
        <v>1</v>
      </c>
      <c r="J766" s="151">
        <f t="shared" si="74"/>
        <v>0</v>
      </c>
      <c r="K766" s="151">
        <f t="shared" si="75"/>
        <v>0</v>
      </c>
      <c r="L766" s="151">
        <f>SUMIF(Ere!$B:$B,'Element wise-detail Summary'!$A766,Ere!$C:$C)</f>
        <v>1</v>
      </c>
      <c r="M766" s="151">
        <f t="shared" si="76"/>
        <v>0</v>
      </c>
      <c r="N766">
        <f t="shared" si="72"/>
        <v>0.95</v>
      </c>
    </row>
    <row r="767" spans="1:14" hidden="1" x14ac:dyDescent="0.25">
      <c r="A767" s="151" t="s">
        <v>1920</v>
      </c>
      <c r="B767" s="233" t="str">
        <f>VLOOKUP(A767,'AFC Data details'!$B:$E,4,0)</f>
        <v>PV32</v>
      </c>
      <c r="C767" s="144" t="s">
        <v>1697</v>
      </c>
      <c r="D767" s="151" t="s">
        <v>602</v>
      </c>
      <c r="E767" s="151">
        <f>VLOOKUP(A767,'AFC Data details'!$B:$P,15,0)</f>
        <v>2.0840000000000001</v>
      </c>
      <c r="F767" s="151">
        <f>SUMIFS('AFC Data details'!C:C,'AFC Data details'!$B:$B,'Element wise-detail Summary'!$A767)</f>
        <v>1</v>
      </c>
      <c r="G767" s="151">
        <f>SUMIFS(Cast!$C:$C,Cast!$B:$B,'Element wise-detail Summary'!$A767)</f>
        <v>1</v>
      </c>
      <c r="H767" s="151">
        <f t="shared" si="73"/>
        <v>0</v>
      </c>
      <c r="I767" s="151">
        <f>SUMIFS(Del!$C:$C,Del!$B:$B,'Element wise-detail Summary'!$A767)</f>
        <v>1</v>
      </c>
      <c r="J767" s="151">
        <f t="shared" si="74"/>
        <v>0</v>
      </c>
      <c r="K767" s="151">
        <f t="shared" si="75"/>
        <v>0</v>
      </c>
      <c r="L767" s="151">
        <f>SUMIF(Ere!$B:$B,'Element wise-detail Summary'!$A767,Ere!$C:$C)</f>
        <v>1</v>
      </c>
      <c r="M767" s="151">
        <f t="shared" si="76"/>
        <v>0</v>
      </c>
      <c r="N767">
        <f t="shared" si="72"/>
        <v>2.0840000000000001</v>
      </c>
    </row>
    <row r="768" spans="1:14" hidden="1" x14ac:dyDescent="0.25">
      <c r="A768" s="151" t="s">
        <v>2128</v>
      </c>
      <c r="B768" s="233" t="str">
        <f>VLOOKUP(A768,'AFC Data details'!$B:$E,4,0)</f>
        <v>PV33</v>
      </c>
      <c r="C768" s="144" t="s">
        <v>1697</v>
      </c>
      <c r="D768" s="151" t="s">
        <v>602</v>
      </c>
      <c r="E768" s="151">
        <f>VLOOKUP(A768,'AFC Data details'!$B:$P,15,0)</f>
        <v>2.0840000000000001</v>
      </c>
      <c r="F768" s="151">
        <f>SUMIFS('AFC Data details'!C:C,'AFC Data details'!$B:$B,'Element wise-detail Summary'!$A768)</f>
        <v>1</v>
      </c>
      <c r="G768" s="151">
        <f>SUMIFS(Cast!$C:$C,Cast!$B:$B,'Element wise-detail Summary'!$A768)</f>
        <v>1</v>
      </c>
      <c r="H768" s="151">
        <f t="shared" si="73"/>
        <v>0</v>
      </c>
      <c r="I768" s="151">
        <f>SUMIFS(Del!$C:$C,Del!$B:$B,'Element wise-detail Summary'!$A768)</f>
        <v>1</v>
      </c>
      <c r="J768" s="151">
        <f t="shared" si="74"/>
        <v>0</v>
      </c>
      <c r="K768" s="151">
        <f t="shared" si="75"/>
        <v>0</v>
      </c>
      <c r="L768" s="151">
        <f>SUMIF(Ere!$B:$B,'Element wise-detail Summary'!$A768,Ere!$C:$C)</f>
        <v>1</v>
      </c>
      <c r="M768" s="151">
        <f t="shared" si="76"/>
        <v>0</v>
      </c>
      <c r="N768">
        <f t="shared" si="72"/>
        <v>2.0840000000000001</v>
      </c>
    </row>
    <row r="769" spans="1:14" hidden="1" x14ac:dyDescent="0.25">
      <c r="A769" s="151" t="s">
        <v>2130</v>
      </c>
      <c r="B769" s="233" t="str">
        <f>VLOOKUP(A769,'AFC Data details'!$B:$E,4,0)</f>
        <v>PV30</v>
      </c>
      <c r="C769" s="144" t="s">
        <v>1697</v>
      </c>
      <c r="D769" s="151" t="s">
        <v>602</v>
      </c>
      <c r="E769" s="151">
        <f>VLOOKUP(A769,'AFC Data details'!$B:$P,15,0)</f>
        <v>2.0840000000000001</v>
      </c>
      <c r="F769" s="151">
        <f>SUMIFS('AFC Data details'!C:C,'AFC Data details'!$B:$B,'Element wise-detail Summary'!$A769)</f>
        <v>1</v>
      </c>
      <c r="G769" s="151">
        <f>SUMIFS(Cast!$C:$C,Cast!$B:$B,'Element wise-detail Summary'!$A769)</f>
        <v>1</v>
      </c>
      <c r="H769" s="151">
        <f t="shared" si="73"/>
        <v>0</v>
      </c>
      <c r="I769" s="151">
        <f>SUMIFS(Del!$C:$C,Del!$B:$B,'Element wise-detail Summary'!$A769)</f>
        <v>1</v>
      </c>
      <c r="J769" s="151">
        <f t="shared" si="74"/>
        <v>0</v>
      </c>
      <c r="K769" s="151">
        <f t="shared" si="75"/>
        <v>0</v>
      </c>
      <c r="L769" s="151">
        <f>SUMIF(Ere!$B:$B,'Element wise-detail Summary'!$A769,Ere!$C:$C)</f>
        <v>1</v>
      </c>
      <c r="M769" s="151">
        <f t="shared" si="76"/>
        <v>0</v>
      </c>
      <c r="N769">
        <f t="shared" si="72"/>
        <v>2.0840000000000001</v>
      </c>
    </row>
    <row r="770" spans="1:14" hidden="1" x14ac:dyDescent="0.25">
      <c r="A770" s="151" t="s">
        <v>2131</v>
      </c>
      <c r="B770" s="233" t="str">
        <f>VLOOKUP(A770,'AFC Data details'!$B:$E,4,0)</f>
        <v>PV31</v>
      </c>
      <c r="C770" s="144" t="s">
        <v>1697</v>
      </c>
      <c r="D770" s="151" t="s">
        <v>602</v>
      </c>
      <c r="E770" s="151">
        <f>VLOOKUP(A770,'AFC Data details'!$B:$P,15,0)</f>
        <v>2.0840000000000001</v>
      </c>
      <c r="F770" s="151">
        <f>SUMIFS('AFC Data details'!C:C,'AFC Data details'!$B:$B,'Element wise-detail Summary'!$A770)</f>
        <v>1</v>
      </c>
      <c r="G770" s="151">
        <f>SUMIFS(Cast!$C:$C,Cast!$B:$B,'Element wise-detail Summary'!$A770)</f>
        <v>1</v>
      </c>
      <c r="H770" s="151">
        <f t="shared" si="73"/>
        <v>0</v>
      </c>
      <c r="I770" s="151">
        <f>SUMIFS(Del!$C:$C,Del!$B:$B,'Element wise-detail Summary'!$A770)</f>
        <v>1</v>
      </c>
      <c r="J770" s="151">
        <f t="shared" si="74"/>
        <v>0</v>
      </c>
      <c r="K770" s="151">
        <f t="shared" si="75"/>
        <v>0</v>
      </c>
      <c r="L770" s="151">
        <f>SUMIF(Ere!$B:$B,'Element wise-detail Summary'!$A770,Ere!$C:$C)</f>
        <v>1</v>
      </c>
      <c r="M770" s="151">
        <f t="shared" si="76"/>
        <v>0</v>
      </c>
      <c r="N770">
        <f t="shared" si="72"/>
        <v>2.0840000000000001</v>
      </c>
    </row>
    <row r="771" spans="1:14" hidden="1" x14ac:dyDescent="0.25">
      <c r="A771" s="151" t="s">
        <v>1921</v>
      </c>
      <c r="B771" s="233" t="str">
        <f>VLOOKUP(A771,'AFC Data details'!$B:$E,4,0)</f>
        <v>PV32</v>
      </c>
      <c r="C771" s="144" t="s">
        <v>1697</v>
      </c>
      <c r="D771" s="151" t="s">
        <v>602</v>
      </c>
      <c r="E771" s="151">
        <f>VLOOKUP(A771,'AFC Data details'!$B:$P,15,0)</f>
        <v>2.0840000000000001</v>
      </c>
      <c r="F771" s="151">
        <f>SUMIFS('AFC Data details'!C:C,'AFC Data details'!$B:$B,'Element wise-detail Summary'!$A771)</f>
        <v>1</v>
      </c>
      <c r="G771" s="151">
        <f>SUMIFS(Cast!$C:$C,Cast!$B:$B,'Element wise-detail Summary'!$A771)</f>
        <v>1</v>
      </c>
      <c r="H771" s="151">
        <f t="shared" si="73"/>
        <v>0</v>
      </c>
      <c r="I771" s="151">
        <f>SUMIFS(Del!$C:$C,Del!$B:$B,'Element wise-detail Summary'!$A771)</f>
        <v>1</v>
      </c>
      <c r="J771" s="151">
        <f t="shared" si="74"/>
        <v>0</v>
      </c>
      <c r="K771" s="151">
        <f t="shared" si="75"/>
        <v>0</v>
      </c>
      <c r="L771" s="151">
        <f>SUMIF(Ere!$B:$B,'Element wise-detail Summary'!$A771,Ere!$C:$C)</f>
        <v>1</v>
      </c>
      <c r="M771" s="151">
        <f t="shared" si="76"/>
        <v>0</v>
      </c>
      <c r="N771">
        <f t="shared" si="72"/>
        <v>2.0840000000000001</v>
      </c>
    </row>
    <row r="772" spans="1:14" hidden="1" x14ac:dyDescent="0.25">
      <c r="A772" s="151" t="s">
        <v>2132</v>
      </c>
      <c r="B772" s="233" t="str">
        <f>VLOOKUP(A772,'AFC Data details'!$B:$E,4,0)</f>
        <v>PV32</v>
      </c>
      <c r="C772" s="144" t="s">
        <v>1697</v>
      </c>
      <c r="D772" s="151" t="s">
        <v>602</v>
      </c>
      <c r="E772" s="151">
        <f>VLOOKUP(A772,'AFC Data details'!$B:$P,15,0)</f>
        <v>2.0840000000000001</v>
      </c>
      <c r="F772" s="151">
        <f>SUMIFS('AFC Data details'!C:C,'AFC Data details'!$B:$B,'Element wise-detail Summary'!$A772)</f>
        <v>1</v>
      </c>
      <c r="G772" s="151">
        <f>SUMIFS(Cast!$C:$C,Cast!$B:$B,'Element wise-detail Summary'!$A772)</f>
        <v>1</v>
      </c>
      <c r="H772" s="151">
        <f t="shared" si="73"/>
        <v>0</v>
      </c>
      <c r="I772" s="151">
        <f>SUMIFS(Del!$C:$C,Del!$B:$B,'Element wise-detail Summary'!$A772)</f>
        <v>1</v>
      </c>
      <c r="J772" s="151">
        <f t="shared" si="74"/>
        <v>0</v>
      </c>
      <c r="K772" s="151">
        <f t="shared" si="75"/>
        <v>0</v>
      </c>
      <c r="L772" s="151">
        <f>SUMIF(Ere!$B:$B,'Element wise-detail Summary'!$A772,Ere!$C:$C)</f>
        <v>1</v>
      </c>
      <c r="M772" s="151">
        <f t="shared" si="76"/>
        <v>0</v>
      </c>
      <c r="N772">
        <f t="shared" ref="N772:N828" si="77">I772*E772</f>
        <v>2.0840000000000001</v>
      </c>
    </row>
    <row r="773" spans="1:14" hidden="1" x14ac:dyDescent="0.25">
      <c r="A773" s="151" t="s">
        <v>2133</v>
      </c>
      <c r="B773" s="233" t="str">
        <f>VLOOKUP(A773,'AFC Data details'!$B:$E,4,0)</f>
        <v>PV32</v>
      </c>
      <c r="C773" s="144" t="s">
        <v>1697</v>
      </c>
      <c r="D773" s="151" t="s">
        <v>602</v>
      </c>
      <c r="E773" s="151">
        <f>VLOOKUP(A773,'AFC Data details'!$B:$P,15,0)</f>
        <v>2.0840000000000001</v>
      </c>
      <c r="F773" s="151">
        <f>SUMIFS('AFC Data details'!C:C,'AFC Data details'!$B:$B,'Element wise-detail Summary'!$A773)</f>
        <v>1</v>
      </c>
      <c r="G773" s="151">
        <f>SUMIFS(Cast!$C:$C,Cast!$B:$B,'Element wise-detail Summary'!$A773)</f>
        <v>1</v>
      </c>
      <c r="H773" s="151">
        <f t="shared" si="73"/>
        <v>0</v>
      </c>
      <c r="I773" s="151">
        <f>SUMIFS(Del!$C:$C,Del!$B:$B,'Element wise-detail Summary'!$A773)</f>
        <v>1</v>
      </c>
      <c r="J773" s="151">
        <f t="shared" si="74"/>
        <v>0</v>
      </c>
      <c r="K773" s="151">
        <f t="shared" si="75"/>
        <v>0</v>
      </c>
      <c r="L773" s="151">
        <f>SUMIF(Ere!$B:$B,'Element wise-detail Summary'!$A773,Ere!$C:$C)</f>
        <v>1</v>
      </c>
      <c r="M773" s="151">
        <f t="shared" si="76"/>
        <v>0</v>
      </c>
      <c r="N773">
        <f t="shared" si="77"/>
        <v>2.0840000000000001</v>
      </c>
    </row>
    <row r="774" spans="1:14" hidden="1" x14ac:dyDescent="0.25">
      <c r="A774" s="151" t="s">
        <v>2134</v>
      </c>
      <c r="B774" s="233" t="str">
        <f>VLOOKUP(A774,'AFC Data details'!$B:$E,4,0)</f>
        <v>PV32</v>
      </c>
      <c r="C774" s="144" t="s">
        <v>1697</v>
      </c>
      <c r="D774" s="151" t="s">
        <v>602</v>
      </c>
      <c r="E774" s="151">
        <f>VLOOKUP(A774,'AFC Data details'!$B:$P,15,0)</f>
        <v>2.0840000000000001</v>
      </c>
      <c r="F774" s="151">
        <f>SUMIFS('AFC Data details'!C:C,'AFC Data details'!$B:$B,'Element wise-detail Summary'!$A774)</f>
        <v>1</v>
      </c>
      <c r="G774" s="151">
        <f>SUMIFS(Cast!$C:$C,Cast!$B:$B,'Element wise-detail Summary'!$A774)</f>
        <v>1</v>
      </c>
      <c r="H774" s="151">
        <f t="shared" si="73"/>
        <v>0</v>
      </c>
      <c r="I774" s="151">
        <f>SUMIFS(Del!$C:$C,Del!$B:$B,'Element wise-detail Summary'!$A774)</f>
        <v>1</v>
      </c>
      <c r="J774" s="151">
        <f t="shared" si="74"/>
        <v>0</v>
      </c>
      <c r="K774" s="151">
        <f t="shared" si="75"/>
        <v>0</v>
      </c>
      <c r="L774" s="151">
        <f>SUMIF(Ere!$B:$B,'Element wise-detail Summary'!$A774,Ere!$C:$C)</f>
        <v>1</v>
      </c>
      <c r="M774" s="151">
        <f t="shared" si="76"/>
        <v>0</v>
      </c>
      <c r="N774">
        <f t="shared" si="77"/>
        <v>2.0840000000000001</v>
      </c>
    </row>
    <row r="775" spans="1:14" hidden="1" x14ac:dyDescent="0.25">
      <c r="A775" s="151" t="s">
        <v>2135</v>
      </c>
      <c r="B775" s="233" t="str">
        <f>VLOOKUP(A775,'AFC Data details'!$B:$E,4,0)</f>
        <v>PV33</v>
      </c>
      <c r="C775" s="144" t="s">
        <v>1697</v>
      </c>
      <c r="D775" s="151" t="s">
        <v>602</v>
      </c>
      <c r="E775" s="151">
        <f>VLOOKUP(A775,'AFC Data details'!$B:$P,15,0)</f>
        <v>2.0840000000000001</v>
      </c>
      <c r="F775" s="151">
        <f>SUMIFS('AFC Data details'!C:C,'AFC Data details'!$B:$B,'Element wise-detail Summary'!$A775)</f>
        <v>1</v>
      </c>
      <c r="G775" s="151">
        <f>SUMIFS(Cast!$C:$C,Cast!$B:$B,'Element wise-detail Summary'!$A775)</f>
        <v>1</v>
      </c>
      <c r="H775" s="151">
        <f t="shared" si="73"/>
        <v>0</v>
      </c>
      <c r="I775" s="151">
        <f>SUMIFS(Del!$C:$C,Del!$B:$B,'Element wise-detail Summary'!$A775)</f>
        <v>1</v>
      </c>
      <c r="J775" s="151">
        <f t="shared" si="74"/>
        <v>0</v>
      </c>
      <c r="K775" s="151">
        <f t="shared" si="75"/>
        <v>0</v>
      </c>
      <c r="L775" s="151">
        <f>SUMIF(Ere!$B:$B,'Element wise-detail Summary'!$A775,Ere!$C:$C)</f>
        <v>1</v>
      </c>
      <c r="M775" s="151">
        <f t="shared" si="76"/>
        <v>0</v>
      </c>
      <c r="N775">
        <f t="shared" si="77"/>
        <v>2.0840000000000001</v>
      </c>
    </row>
    <row r="776" spans="1:14" hidden="1" x14ac:dyDescent="0.25">
      <c r="A776" s="151" t="s">
        <v>2136</v>
      </c>
      <c r="B776" s="233" t="str">
        <f>VLOOKUP(A776,'AFC Data details'!$B:$E,4,0)</f>
        <v>PV33</v>
      </c>
      <c r="C776" s="144" t="s">
        <v>1697</v>
      </c>
      <c r="D776" s="151" t="s">
        <v>602</v>
      </c>
      <c r="E776" s="151">
        <f>VLOOKUP(A776,'AFC Data details'!$B:$P,15,0)</f>
        <v>2.0840000000000001</v>
      </c>
      <c r="F776" s="151">
        <f>SUMIFS('AFC Data details'!C:C,'AFC Data details'!$B:$B,'Element wise-detail Summary'!$A776)</f>
        <v>1</v>
      </c>
      <c r="G776" s="151">
        <f>SUMIFS(Cast!$C:$C,Cast!$B:$B,'Element wise-detail Summary'!$A776)</f>
        <v>1</v>
      </c>
      <c r="H776" s="151">
        <f t="shared" si="73"/>
        <v>0</v>
      </c>
      <c r="I776" s="151">
        <f>SUMIFS(Del!$C:$C,Del!$B:$B,'Element wise-detail Summary'!$A776)</f>
        <v>1</v>
      </c>
      <c r="J776" s="151">
        <f t="shared" si="74"/>
        <v>0</v>
      </c>
      <c r="K776" s="151">
        <f t="shared" si="75"/>
        <v>0</v>
      </c>
      <c r="L776" s="151">
        <f>SUMIF(Ere!$B:$B,'Element wise-detail Summary'!$A776,Ere!$C:$C)</f>
        <v>0</v>
      </c>
      <c r="M776" s="151">
        <f t="shared" si="76"/>
        <v>1</v>
      </c>
      <c r="N776">
        <f t="shared" si="77"/>
        <v>2.0840000000000001</v>
      </c>
    </row>
    <row r="777" spans="1:14" hidden="1" x14ac:dyDescent="0.25">
      <c r="A777" s="151" t="s">
        <v>2137</v>
      </c>
      <c r="B777" s="233" t="str">
        <f>VLOOKUP(A777,'AFC Data details'!$B:$E,4,0)</f>
        <v>PV33</v>
      </c>
      <c r="C777" s="144" t="s">
        <v>1697</v>
      </c>
      <c r="D777" s="151" t="s">
        <v>602</v>
      </c>
      <c r="E777" s="151">
        <f>VLOOKUP(A777,'AFC Data details'!$B:$P,15,0)</f>
        <v>2.0840000000000001</v>
      </c>
      <c r="F777" s="151">
        <f>SUMIFS('AFC Data details'!C:C,'AFC Data details'!$B:$B,'Element wise-detail Summary'!$A777)</f>
        <v>1</v>
      </c>
      <c r="G777" s="151">
        <f>SUMIFS(Cast!$C:$C,Cast!$B:$B,'Element wise-detail Summary'!$A777)</f>
        <v>1</v>
      </c>
      <c r="H777" s="151">
        <f t="shared" si="73"/>
        <v>0</v>
      </c>
      <c r="I777" s="151">
        <f>SUMIFS(Del!$C:$C,Del!$B:$B,'Element wise-detail Summary'!$A777)</f>
        <v>1</v>
      </c>
      <c r="J777" s="151">
        <f t="shared" si="74"/>
        <v>0</v>
      </c>
      <c r="K777" s="151">
        <f t="shared" si="75"/>
        <v>0</v>
      </c>
      <c r="L777" s="151">
        <f>SUMIF(Ere!$B:$B,'Element wise-detail Summary'!$A777,Ere!$C:$C)</f>
        <v>1</v>
      </c>
      <c r="M777" s="151">
        <f t="shared" si="76"/>
        <v>0</v>
      </c>
      <c r="N777">
        <f t="shared" si="77"/>
        <v>2.0840000000000001</v>
      </c>
    </row>
    <row r="778" spans="1:14" hidden="1" x14ac:dyDescent="0.25">
      <c r="A778" s="151" t="s">
        <v>2138</v>
      </c>
      <c r="B778" s="233" t="str">
        <f>VLOOKUP(A778,'AFC Data details'!$B:$E,4,0)</f>
        <v>PV33</v>
      </c>
      <c r="C778" s="144" t="s">
        <v>1697</v>
      </c>
      <c r="D778" s="151" t="s">
        <v>602</v>
      </c>
      <c r="E778" s="151">
        <f>VLOOKUP(A778,'AFC Data details'!$B:$P,15,0)</f>
        <v>2.0840000000000001</v>
      </c>
      <c r="F778" s="151">
        <f>SUMIFS('AFC Data details'!C:C,'AFC Data details'!$B:$B,'Element wise-detail Summary'!$A778)</f>
        <v>1</v>
      </c>
      <c r="G778" s="151">
        <f>SUMIFS(Cast!$C:$C,Cast!$B:$B,'Element wise-detail Summary'!$A778)</f>
        <v>1</v>
      </c>
      <c r="H778" s="151">
        <f t="shared" si="73"/>
        <v>0</v>
      </c>
      <c r="I778" s="151">
        <f>SUMIFS(Del!$C:$C,Del!$B:$B,'Element wise-detail Summary'!$A778)</f>
        <v>1</v>
      </c>
      <c r="J778" s="151">
        <f t="shared" si="74"/>
        <v>0</v>
      </c>
      <c r="K778" s="151">
        <f t="shared" si="75"/>
        <v>0</v>
      </c>
      <c r="L778" s="151">
        <f>SUMIF(Ere!$B:$B,'Element wise-detail Summary'!$A778,Ere!$C:$C)</f>
        <v>0</v>
      </c>
      <c r="M778" s="151">
        <f t="shared" si="76"/>
        <v>1</v>
      </c>
      <c r="N778">
        <f t="shared" si="77"/>
        <v>2.0840000000000001</v>
      </c>
    </row>
    <row r="779" spans="1:14" hidden="1" x14ac:dyDescent="0.25">
      <c r="A779" s="151" t="s">
        <v>2139</v>
      </c>
      <c r="B779" s="233" t="str">
        <f>VLOOKUP(A779,'AFC Data details'!$B:$E,4,0)</f>
        <v>PV30</v>
      </c>
      <c r="C779" s="144" t="s">
        <v>1697</v>
      </c>
      <c r="D779" s="151" t="s">
        <v>602</v>
      </c>
      <c r="E779" s="151">
        <f>VLOOKUP(A779,'AFC Data details'!$B:$P,15,0)</f>
        <v>2.0840000000000001</v>
      </c>
      <c r="F779" s="151">
        <f>SUMIFS('AFC Data details'!C:C,'AFC Data details'!$B:$B,'Element wise-detail Summary'!$A779)</f>
        <v>1</v>
      </c>
      <c r="G779" s="151">
        <f>SUMIFS(Cast!$C:$C,Cast!$B:$B,'Element wise-detail Summary'!$A779)</f>
        <v>1</v>
      </c>
      <c r="H779" s="151">
        <f t="shared" ref="H779:H828" si="78">F779-G779</f>
        <v>0</v>
      </c>
      <c r="I779" s="151">
        <f>SUMIFS(Del!$C:$C,Del!$B:$B,'Element wise-detail Summary'!$A779)</f>
        <v>1</v>
      </c>
      <c r="J779" s="151">
        <f t="shared" ref="J779:J828" si="79">F779-I779</f>
        <v>0</v>
      </c>
      <c r="K779" s="151">
        <f t="shared" ref="K779:K828" si="80">G779-I779</f>
        <v>0</v>
      </c>
      <c r="L779" s="151">
        <f>SUMIF(Ere!$B:$B,'Element wise-detail Summary'!$A779,Ere!$C:$C)</f>
        <v>1</v>
      </c>
      <c r="M779" s="151">
        <f t="shared" ref="M779:M828" si="81">F779-L779</f>
        <v>0</v>
      </c>
      <c r="N779">
        <f t="shared" si="77"/>
        <v>2.0840000000000001</v>
      </c>
    </row>
    <row r="780" spans="1:14" hidden="1" x14ac:dyDescent="0.25">
      <c r="A780" s="151" t="s">
        <v>2140</v>
      </c>
      <c r="B780" s="233" t="str">
        <f>VLOOKUP(A780,'AFC Data details'!$B:$E,4,0)</f>
        <v>PV30</v>
      </c>
      <c r="C780" s="144" t="s">
        <v>1697</v>
      </c>
      <c r="D780" s="151" t="s">
        <v>602</v>
      </c>
      <c r="E780" s="151">
        <f>VLOOKUP(A780,'AFC Data details'!$B:$P,15,0)</f>
        <v>2.0840000000000001</v>
      </c>
      <c r="F780" s="151">
        <f>SUMIFS('AFC Data details'!C:C,'AFC Data details'!$B:$B,'Element wise-detail Summary'!$A780)</f>
        <v>1</v>
      </c>
      <c r="G780" s="151">
        <f>SUMIFS(Cast!$C:$C,Cast!$B:$B,'Element wise-detail Summary'!$A780)</f>
        <v>1</v>
      </c>
      <c r="H780" s="151">
        <f t="shared" si="78"/>
        <v>0</v>
      </c>
      <c r="I780" s="151">
        <f>SUMIFS(Del!$C:$C,Del!$B:$B,'Element wise-detail Summary'!$A780)</f>
        <v>1</v>
      </c>
      <c r="J780" s="151">
        <f t="shared" si="79"/>
        <v>0</v>
      </c>
      <c r="K780" s="151">
        <f t="shared" si="80"/>
        <v>0</v>
      </c>
      <c r="L780" s="151">
        <f>SUMIF(Ere!$B:$B,'Element wise-detail Summary'!$A780,Ere!$C:$C)</f>
        <v>1</v>
      </c>
      <c r="M780" s="151">
        <f t="shared" si="81"/>
        <v>0</v>
      </c>
      <c r="N780">
        <f t="shared" si="77"/>
        <v>2.0840000000000001</v>
      </c>
    </row>
    <row r="781" spans="1:14" hidden="1" x14ac:dyDescent="0.25">
      <c r="A781" s="151" t="s">
        <v>2141</v>
      </c>
      <c r="B781" s="233" t="str">
        <f>VLOOKUP(A781,'AFC Data details'!$B:$E,4,0)</f>
        <v>PV30</v>
      </c>
      <c r="C781" s="144" t="s">
        <v>1697</v>
      </c>
      <c r="D781" s="151" t="s">
        <v>602</v>
      </c>
      <c r="E781" s="151">
        <f>VLOOKUP(A781,'AFC Data details'!$B:$P,15,0)</f>
        <v>2.0840000000000001</v>
      </c>
      <c r="F781" s="151">
        <f>SUMIFS('AFC Data details'!C:C,'AFC Data details'!$B:$B,'Element wise-detail Summary'!$A781)</f>
        <v>1</v>
      </c>
      <c r="G781" s="151">
        <f>SUMIFS(Cast!$C:$C,Cast!$B:$B,'Element wise-detail Summary'!$A781)</f>
        <v>1</v>
      </c>
      <c r="H781" s="151">
        <f t="shared" si="78"/>
        <v>0</v>
      </c>
      <c r="I781" s="151">
        <f>SUMIFS(Del!$C:$C,Del!$B:$B,'Element wise-detail Summary'!$A781)</f>
        <v>1</v>
      </c>
      <c r="J781" s="151">
        <f t="shared" si="79"/>
        <v>0</v>
      </c>
      <c r="K781" s="151">
        <f t="shared" si="80"/>
        <v>0</v>
      </c>
      <c r="L781" s="151">
        <f>SUMIF(Ere!$B:$B,'Element wise-detail Summary'!$A781,Ere!$C:$C)</f>
        <v>1</v>
      </c>
      <c r="M781" s="151">
        <f t="shared" si="81"/>
        <v>0</v>
      </c>
      <c r="N781">
        <f t="shared" si="77"/>
        <v>2.0840000000000001</v>
      </c>
    </row>
    <row r="782" spans="1:14" hidden="1" x14ac:dyDescent="0.25">
      <c r="A782" s="151" t="s">
        <v>2142</v>
      </c>
      <c r="B782" s="233" t="str">
        <f>VLOOKUP(A782,'AFC Data details'!$B:$E,4,0)</f>
        <v>PV30</v>
      </c>
      <c r="C782" s="144" t="s">
        <v>1697</v>
      </c>
      <c r="D782" s="151" t="s">
        <v>602</v>
      </c>
      <c r="E782" s="151">
        <f>VLOOKUP(A782,'AFC Data details'!$B:$P,15,0)</f>
        <v>2.0840000000000001</v>
      </c>
      <c r="F782" s="151">
        <f>SUMIFS('AFC Data details'!C:C,'AFC Data details'!$B:$B,'Element wise-detail Summary'!$A782)</f>
        <v>1</v>
      </c>
      <c r="G782" s="151">
        <f>SUMIFS(Cast!$C:$C,Cast!$B:$B,'Element wise-detail Summary'!$A782)</f>
        <v>1</v>
      </c>
      <c r="H782" s="151">
        <f t="shared" si="78"/>
        <v>0</v>
      </c>
      <c r="I782" s="151">
        <f>SUMIFS(Del!$C:$C,Del!$B:$B,'Element wise-detail Summary'!$A782)</f>
        <v>1</v>
      </c>
      <c r="J782" s="151">
        <f t="shared" si="79"/>
        <v>0</v>
      </c>
      <c r="K782" s="151">
        <f t="shared" si="80"/>
        <v>0</v>
      </c>
      <c r="L782" s="151">
        <f>SUMIF(Ere!$B:$B,'Element wise-detail Summary'!$A782,Ere!$C:$C)</f>
        <v>1</v>
      </c>
      <c r="M782" s="151">
        <f t="shared" si="81"/>
        <v>0</v>
      </c>
      <c r="N782">
        <f t="shared" si="77"/>
        <v>2.0840000000000001</v>
      </c>
    </row>
    <row r="783" spans="1:14" hidden="1" x14ac:dyDescent="0.25">
      <c r="A783" s="151" t="s">
        <v>2143</v>
      </c>
      <c r="B783" s="233" t="str">
        <f>VLOOKUP(A783,'AFC Data details'!$B:$E,4,0)</f>
        <v>PV31</v>
      </c>
      <c r="C783" s="144" t="s">
        <v>1697</v>
      </c>
      <c r="D783" s="151" t="s">
        <v>602</v>
      </c>
      <c r="E783" s="151">
        <f>VLOOKUP(A783,'AFC Data details'!$B:$P,15,0)</f>
        <v>2.0840000000000001</v>
      </c>
      <c r="F783" s="151">
        <f>SUMIFS('AFC Data details'!C:C,'AFC Data details'!$B:$B,'Element wise-detail Summary'!$A783)</f>
        <v>1</v>
      </c>
      <c r="G783" s="151">
        <f>SUMIFS(Cast!$C:$C,Cast!$B:$B,'Element wise-detail Summary'!$A783)</f>
        <v>1</v>
      </c>
      <c r="H783" s="151">
        <f t="shared" si="78"/>
        <v>0</v>
      </c>
      <c r="I783" s="151">
        <f>SUMIFS(Del!$C:$C,Del!$B:$B,'Element wise-detail Summary'!$A783)</f>
        <v>1</v>
      </c>
      <c r="J783" s="151">
        <f t="shared" si="79"/>
        <v>0</v>
      </c>
      <c r="K783" s="151">
        <f t="shared" si="80"/>
        <v>0</v>
      </c>
      <c r="L783" s="151">
        <f>SUMIF(Ere!$B:$B,'Element wise-detail Summary'!$A783,Ere!$C:$C)</f>
        <v>1</v>
      </c>
      <c r="M783" s="151">
        <f t="shared" si="81"/>
        <v>0</v>
      </c>
      <c r="N783">
        <f t="shared" si="77"/>
        <v>2.0840000000000001</v>
      </c>
    </row>
    <row r="784" spans="1:14" hidden="1" x14ac:dyDescent="0.25">
      <c r="A784" s="151" t="s">
        <v>2144</v>
      </c>
      <c r="B784" s="233" t="str">
        <f>VLOOKUP(A784,'AFC Data details'!$B:$E,4,0)</f>
        <v>PV31</v>
      </c>
      <c r="C784" s="144" t="s">
        <v>1697</v>
      </c>
      <c r="D784" s="151" t="s">
        <v>602</v>
      </c>
      <c r="E784" s="151">
        <f>VLOOKUP(A784,'AFC Data details'!$B:$P,15,0)</f>
        <v>2.0840000000000001</v>
      </c>
      <c r="F784" s="151">
        <f>SUMIFS('AFC Data details'!C:C,'AFC Data details'!$B:$B,'Element wise-detail Summary'!$A784)</f>
        <v>1</v>
      </c>
      <c r="G784" s="151">
        <f>SUMIFS(Cast!$C:$C,Cast!$B:$B,'Element wise-detail Summary'!$A784)</f>
        <v>1</v>
      </c>
      <c r="H784" s="151">
        <f t="shared" si="78"/>
        <v>0</v>
      </c>
      <c r="I784" s="151">
        <f>SUMIFS(Del!$C:$C,Del!$B:$B,'Element wise-detail Summary'!$A784)</f>
        <v>1</v>
      </c>
      <c r="J784" s="151">
        <f t="shared" si="79"/>
        <v>0</v>
      </c>
      <c r="K784" s="151">
        <f t="shared" si="80"/>
        <v>0</v>
      </c>
      <c r="L784" s="151">
        <f>SUMIF(Ere!$B:$B,'Element wise-detail Summary'!$A784,Ere!$C:$C)</f>
        <v>1</v>
      </c>
      <c r="M784" s="151">
        <f t="shared" si="81"/>
        <v>0</v>
      </c>
      <c r="N784">
        <f t="shared" si="77"/>
        <v>2.0840000000000001</v>
      </c>
    </row>
    <row r="785" spans="1:14" hidden="1" x14ac:dyDescent="0.25">
      <c r="A785" s="151" t="s">
        <v>2145</v>
      </c>
      <c r="B785" s="233" t="str">
        <f>VLOOKUP(A785,'AFC Data details'!$B:$E,4,0)</f>
        <v>PV31</v>
      </c>
      <c r="C785" s="144" t="s">
        <v>1697</v>
      </c>
      <c r="D785" s="151" t="s">
        <v>602</v>
      </c>
      <c r="E785" s="151">
        <f>VLOOKUP(A785,'AFC Data details'!$B:$P,15,0)</f>
        <v>2.0840000000000001</v>
      </c>
      <c r="F785" s="151">
        <f>SUMIFS('AFC Data details'!C:C,'AFC Data details'!$B:$B,'Element wise-detail Summary'!$A785)</f>
        <v>1</v>
      </c>
      <c r="G785" s="151">
        <f>SUMIFS(Cast!$C:$C,Cast!$B:$B,'Element wise-detail Summary'!$A785)</f>
        <v>1</v>
      </c>
      <c r="H785" s="151">
        <f t="shared" si="78"/>
        <v>0</v>
      </c>
      <c r="I785" s="151">
        <f>SUMIFS(Del!$C:$C,Del!$B:$B,'Element wise-detail Summary'!$A785)</f>
        <v>1</v>
      </c>
      <c r="J785" s="151">
        <f t="shared" si="79"/>
        <v>0</v>
      </c>
      <c r="K785" s="151">
        <f t="shared" si="80"/>
        <v>0</v>
      </c>
      <c r="L785" s="151">
        <f>SUMIF(Ere!$B:$B,'Element wise-detail Summary'!$A785,Ere!$C:$C)</f>
        <v>1</v>
      </c>
      <c r="M785" s="151">
        <f t="shared" si="81"/>
        <v>0</v>
      </c>
      <c r="N785">
        <f t="shared" si="77"/>
        <v>2.0840000000000001</v>
      </c>
    </row>
    <row r="786" spans="1:14" hidden="1" x14ac:dyDescent="0.25">
      <c r="A786" s="151" t="s">
        <v>2146</v>
      </c>
      <c r="B786" s="233" t="str">
        <f>VLOOKUP(A786,'AFC Data details'!$B:$E,4,0)</f>
        <v>PV31</v>
      </c>
      <c r="C786" s="144" t="s">
        <v>1697</v>
      </c>
      <c r="D786" s="151" t="s">
        <v>602</v>
      </c>
      <c r="E786" s="151">
        <f>VLOOKUP(A786,'AFC Data details'!$B:$P,15,0)</f>
        <v>2.0840000000000001</v>
      </c>
      <c r="F786" s="151">
        <f>SUMIFS('AFC Data details'!C:C,'AFC Data details'!$B:$B,'Element wise-detail Summary'!$A786)</f>
        <v>1</v>
      </c>
      <c r="G786" s="151">
        <f>SUMIFS(Cast!$C:$C,Cast!$B:$B,'Element wise-detail Summary'!$A786)</f>
        <v>1</v>
      </c>
      <c r="H786" s="151">
        <f t="shared" si="78"/>
        <v>0</v>
      </c>
      <c r="I786" s="151">
        <f>SUMIFS(Del!$C:$C,Del!$B:$B,'Element wise-detail Summary'!$A786)</f>
        <v>1</v>
      </c>
      <c r="J786" s="151">
        <f t="shared" si="79"/>
        <v>0</v>
      </c>
      <c r="K786" s="151">
        <f t="shared" si="80"/>
        <v>0</v>
      </c>
      <c r="L786" s="151">
        <f>SUMIF(Ere!$B:$B,'Element wise-detail Summary'!$A786,Ere!$C:$C)</f>
        <v>1</v>
      </c>
      <c r="M786" s="151">
        <f t="shared" si="81"/>
        <v>0</v>
      </c>
      <c r="N786">
        <f t="shared" si="77"/>
        <v>2.0840000000000001</v>
      </c>
    </row>
    <row r="787" spans="1:14" hidden="1" x14ac:dyDescent="0.25">
      <c r="A787" s="151" t="s">
        <v>1922</v>
      </c>
      <c r="B787" s="233" t="str">
        <f>VLOOKUP(A787,'AFC Data details'!$B:$E,4,0)</f>
        <v>PV32</v>
      </c>
      <c r="C787" s="144" t="s">
        <v>1697</v>
      </c>
      <c r="D787" s="151" t="s">
        <v>602</v>
      </c>
      <c r="E787" s="151">
        <f>VLOOKUP(A787,'AFC Data details'!$B:$P,15,0)</f>
        <v>1.1910000000000001</v>
      </c>
      <c r="F787" s="151">
        <f>SUMIFS('AFC Data details'!C:C,'AFC Data details'!$B:$B,'Element wise-detail Summary'!$A787)</f>
        <v>1</v>
      </c>
      <c r="G787" s="151">
        <f>SUMIFS(Cast!$C:$C,Cast!$B:$B,'Element wise-detail Summary'!$A787)</f>
        <v>1</v>
      </c>
      <c r="H787" s="151">
        <f t="shared" si="78"/>
        <v>0</v>
      </c>
      <c r="I787" s="151">
        <f>SUMIFS(Del!$C:$C,Del!$B:$B,'Element wise-detail Summary'!$A787)</f>
        <v>1</v>
      </c>
      <c r="J787" s="151">
        <f t="shared" si="79"/>
        <v>0</v>
      </c>
      <c r="K787" s="151">
        <f t="shared" si="80"/>
        <v>0</v>
      </c>
      <c r="L787" s="151">
        <f>SUMIF(Ere!$B:$B,'Element wise-detail Summary'!$A787,Ere!$C:$C)</f>
        <v>1</v>
      </c>
      <c r="M787" s="151">
        <f t="shared" si="81"/>
        <v>0</v>
      </c>
      <c r="N787">
        <f t="shared" si="77"/>
        <v>1.1910000000000001</v>
      </c>
    </row>
    <row r="788" spans="1:14" hidden="1" x14ac:dyDescent="0.25">
      <c r="A788" s="151" t="s">
        <v>1923</v>
      </c>
      <c r="B788" s="233" t="str">
        <f>VLOOKUP(A788,'AFC Data details'!$B:$E,4,0)</f>
        <v>PV32</v>
      </c>
      <c r="C788" s="144" t="s">
        <v>1697</v>
      </c>
      <c r="D788" s="151" t="s">
        <v>602</v>
      </c>
      <c r="E788" s="151">
        <f>VLOOKUP(A788,'AFC Data details'!$B:$P,15,0)</f>
        <v>1.3149999999999999</v>
      </c>
      <c r="F788" s="151">
        <f>SUMIFS('AFC Data details'!C:C,'AFC Data details'!$B:$B,'Element wise-detail Summary'!$A788)</f>
        <v>1</v>
      </c>
      <c r="G788" s="151">
        <f>SUMIFS(Cast!$C:$C,Cast!$B:$B,'Element wise-detail Summary'!$A788)</f>
        <v>1</v>
      </c>
      <c r="H788" s="151">
        <f t="shared" si="78"/>
        <v>0</v>
      </c>
      <c r="I788" s="151">
        <f>SUMIFS(Del!$C:$C,Del!$B:$B,'Element wise-detail Summary'!$A788)</f>
        <v>1</v>
      </c>
      <c r="J788" s="151">
        <f t="shared" si="79"/>
        <v>0</v>
      </c>
      <c r="K788" s="151">
        <f t="shared" si="80"/>
        <v>0</v>
      </c>
      <c r="L788" s="151">
        <f>SUMIF(Ere!$B:$B,'Element wise-detail Summary'!$A788,Ere!$C:$C)</f>
        <v>1</v>
      </c>
      <c r="M788" s="151">
        <f t="shared" si="81"/>
        <v>0</v>
      </c>
      <c r="N788">
        <f t="shared" si="77"/>
        <v>1.3149999999999999</v>
      </c>
    </row>
    <row r="789" spans="1:14" hidden="1" x14ac:dyDescent="0.25">
      <c r="A789" s="151" t="s">
        <v>1924</v>
      </c>
      <c r="B789" s="233" t="str">
        <f>VLOOKUP(A789,'AFC Data details'!$B:$E,4,0)</f>
        <v>PV33</v>
      </c>
      <c r="C789" s="144" t="s">
        <v>1697</v>
      </c>
      <c r="D789" s="151" t="s">
        <v>602</v>
      </c>
      <c r="E789" s="151">
        <f>VLOOKUP(A789,'AFC Data details'!$B:$P,15,0)</f>
        <v>2.0840000000000001</v>
      </c>
      <c r="F789" s="151">
        <f>SUMIFS('AFC Data details'!C:C,'AFC Data details'!$B:$B,'Element wise-detail Summary'!$A789)</f>
        <v>1</v>
      </c>
      <c r="G789" s="151">
        <f>SUMIFS(Cast!$C:$C,Cast!$B:$B,'Element wise-detail Summary'!$A789)</f>
        <v>1</v>
      </c>
      <c r="H789" s="151">
        <f t="shared" si="78"/>
        <v>0</v>
      </c>
      <c r="I789" s="151">
        <f>SUMIFS(Del!$C:$C,Del!$B:$B,'Element wise-detail Summary'!$A789)</f>
        <v>1</v>
      </c>
      <c r="J789" s="151">
        <f t="shared" si="79"/>
        <v>0</v>
      </c>
      <c r="K789" s="151">
        <f t="shared" si="80"/>
        <v>0</v>
      </c>
      <c r="L789" s="151">
        <f>SUMIF(Ere!$B:$B,'Element wise-detail Summary'!$A789,Ere!$C:$C)</f>
        <v>1</v>
      </c>
      <c r="M789" s="151">
        <f t="shared" si="81"/>
        <v>0</v>
      </c>
      <c r="N789">
        <f t="shared" si="77"/>
        <v>2.0840000000000001</v>
      </c>
    </row>
    <row r="790" spans="1:14" hidden="1" x14ac:dyDescent="0.25">
      <c r="A790" s="151" t="s">
        <v>2147</v>
      </c>
      <c r="B790" s="233" t="str">
        <f>VLOOKUP(A790,'AFC Data details'!$B:$E,4,0)</f>
        <v>PV32</v>
      </c>
      <c r="C790" s="144" t="s">
        <v>1697</v>
      </c>
      <c r="D790" s="151" t="s">
        <v>602</v>
      </c>
      <c r="E790" s="151">
        <f>VLOOKUP(A790,'AFC Data details'!$B:$P,15,0)</f>
        <v>2.0840000000000001</v>
      </c>
      <c r="F790" s="151">
        <f>SUMIFS('AFC Data details'!C:C,'AFC Data details'!$B:$B,'Element wise-detail Summary'!$A790)</f>
        <v>1</v>
      </c>
      <c r="G790" s="151">
        <f>SUMIFS(Cast!$C:$C,Cast!$B:$B,'Element wise-detail Summary'!$A790)</f>
        <v>1</v>
      </c>
      <c r="H790" s="151">
        <f t="shared" si="78"/>
        <v>0</v>
      </c>
      <c r="I790" s="151">
        <f>SUMIFS(Del!$C:$C,Del!$B:$B,'Element wise-detail Summary'!$A790)</f>
        <v>1</v>
      </c>
      <c r="J790" s="151">
        <f t="shared" si="79"/>
        <v>0</v>
      </c>
      <c r="K790" s="151">
        <f t="shared" si="80"/>
        <v>0</v>
      </c>
      <c r="L790" s="151">
        <f>SUMIF(Ere!$B:$B,'Element wise-detail Summary'!$A790,Ere!$C:$C)</f>
        <v>1</v>
      </c>
      <c r="M790" s="151">
        <f t="shared" si="81"/>
        <v>0</v>
      </c>
      <c r="N790">
        <f t="shared" si="77"/>
        <v>2.0840000000000001</v>
      </c>
    </row>
    <row r="791" spans="1:14" hidden="1" x14ac:dyDescent="0.25">
      <c r="A791" s="151" t="s">
        <v>2148</v>
      </c>
      <c r="B791" s="233" t="str">
        <f>VLOOKUP(A791,'AFC Data details'!$B:$E,4,0)</f>
        <v>PV31</v>
      </c>
      <c r="C791" s="144" t="s">
        <v>1697</v>
      </c>
      <c r="D791" s="151" t="s">
        <v>602</v>
      </c>
      <c r="E791" s="151">
        <f>VLOOKUP(A791,'AFC Data details'!$B:$P,15,0)</f>
        <v>2.0840000000000001</v>
      </c>
      <c r="F791" s="151">
        <f>SUMIFS('AFC Data details'!C:C,'AFC Data details'!$B:$B,'Element wise-detail Summary'!$A791)</f>
        <v>1</v>
      </c>
      <c r="G791" s="151">
        <f>SUMIFS(Cast!$C:$C,Cast!$B:$B,'Element wise-detail Summary'!$A791)</f>
        <v>1</v>
      </c>
      <c r="H791" s="151">
        <f t="shared" si="78"/>
        <v>0</v>
      </c>
      <c r="I791" s="151">
        <f>SUMIFS(Del!$C:$C,Del!$B:$B,'Element wise-detail Summary'!$A791)</f>
        <v>1</v>
      </c>
      <c r="J791" s="151">
        <f t="shared" si="79"/>
        <v>0</v>
      </c>
      <c r="K791" s="151">
        <f t="shared" si="80"/>
        <v>0</v>
      </c>
      <c r="L791" s="151">
        <f>SUMIF(Ere!$B:$B,'Element wise-detail Summary'!$A791,Ere!$C:$C)</f>
        <v>1</v>
      </c>
      <c r="M791" s="151">
        <f t="shared" si="81"/>
        <v>0</v>
      </c>
      <c r="N791">
        <f t="shared" si="77"/>
        <v>2.0840000000000001</v>
      </c>
    </row>
    <row r="792" spans="1:14" hidden="1" x14ac:dyDescent="0.25">
      <c r="A792" s="151" t="s">
        <v>2149</v>
      </c>
      <c r="B792" s="233" t="str">
        <f>VLOOKUP(A792,'AFC Data details'!$B:$E,4,0)</f>
        <v>PV30</v>
      </c>
      <c r="C792" s="144" t="s">
        <v>1697</v>
      </c>
      <c r="D792" s="151" t="s">
        <v>602</v>
      </c>
      <c r="E792" s="151">
        <f>VLOOKUP(A792,'AFC Data details'!$B:$P,15,0)</f>
        <v>2.0840000000000001</v>
      </c>
      <c r="F792" s="151">
        <f>SUMIFS('AFC Data details'!C:C,'AFC Data details'!$B:$B,'Element wise-detail Summary'!$A792)</f>
        <v>1</v>
      </c>
      <c r="G792" s="151">
        <f>SUMIFS(Cast!$C:$C,Cast!$B:$B,'Element wise-detail Summary'!$A792)</f>
        <v>1</v>
      </c>
      <c r="H792" s="151">
        <f t="shared" si="78"/>
        <v>0</v>
      </c>
      <c r="I792" s="151">
        <f>SUMIFS(Del!$C:$C,Del!$B:$B,'Element wise-detail Summary'!$A792)</f>
        <v>1</v>
      </c>
      <c r="J792" s="151">
        <f t="shared" si="79"/>
        <v>0</v>
      </c>
      <c r="K792" s="151">
        <f t="shared" si="80"/>
        <v>0</v>
      </c>
      <c r="L792" s="151">
        <f>SUMIF(Ere!$B:$B,'Element wise-detail Summary'!$A792,Ere!$C:$C)</f>
        <v>1</v>
      </c>
      <c r="M792" s="151">
        <f t="shared" si="81"/>
        <v>0</v>
      </c>
      <c r="N792">
        <f t="shared" si="77"/>
        <v>2.0840000000000001</v>
      </c>
    </row>
    <row r="793" spans="1:14" hidden="1" x14ac:dyDescent="0.25">
      <c r="A793" s="151" t="s">
        <v>1925</v>
      </c>
      <c r="B793" s="233" t="str">
        <f>VLOOKUP(A793,'AFC Data details'!$B:$E,4,0)</f>
        <v>PV33</v>
      </c>
      <c r="C793" s="144" t="s">
        <v>1697</v>
      </c>
      <c r="D793" s="151" t="s">
        <v>602</v>
      </c>
      <c r="E793" s="151">
        <f>VLOOKUP(A793,'AFC Data details'!$B:$P,15,0)</f>
        <v>1.3779999999999999</v>
      </c>
      <c r="F793" s="151">
        <f>SUMIFS('AFC Data details'!C:C,'AFC Data details'!$B:$B,'Element wise-detail Summary'!$A793)</f>
        <v>1</v>
      </c>
      <c r="G793" s="151">
        <f>SUMIFS(Cast!$C:$C,Cast!$B:$B,'Element wise-detail Summary'!$A793)</f>
        <v>1</v>
      </c>
      <c r="H793" s="151">
        <f t="shared" si="78"/>
        <v>0</v>
      </c>
      <c r="I793" s="151">
        <f>SUMIFS(Del!$C:$C,Del!$B:$B,'Element wise-detail Summary'!$A793)</f>
        <v>1</v>
      </c>
      <c r="J793" s="151">
        <f t="shared" si="79"/>
        <v>0</v>
      </c>
      <c r="K793" s="151">
        <f t="shared" si="80"/>
        <v>0</v>
      </c>
      <c r="L793" s="151">
        <f>SUMIF(Ere!$B:$B,'Element wise-detail Summary'!$A793,Ere!$C:$C)</f>
        <v>0</v>
      </c>
      <c r="M793" s="151">
        <f t="shared" si="81"/>
        <v>1</v>
      </c>
      <c r="N793">
        <f t="shared" si="77"/>
        <v>1.3779999999999999</v>
      </c>
    </row>
    <row r="794" spans="1:14" hidden="1" x14ac:dyDescent="0.25">
      <c r="A794" s="151" t="s">
        <v>1926</v>
      </c>
      <c r="B794" s="233" t="str">
        <f>VLOOKUP(A794,'AFC Data details'!$B:$E,4,0)</f>
        <v>PV33</v>
      </c>
      <c r="C794" s="144" t="s">
        <v>1697</v>
      </c>
      <c r="D794" s="151" t="s">
        <v>602</v>
      </c>
      <c r="E794" s="151">
        <f>VLOOKUP(A794,'AFC Data details'!$B:$P,15,0)</f>
        <v>1.2649999999999999</v>
      </c>
      <c r="F794" s="151">
        <f>SUMIFS('AFC Data details'!C:C,'AFC Data details'!$B:$B,'Element wise-detail Summary'!$A794)</f>
        <v>1</v>
      </c>
      <c r="G794" s="151">
        <f>SUMIFS(Cast!$C:$C,Cast!$B:$B,'Element wise-detail Summary'!$A794)</f>
        <v>1</v>
      </c>
      <c r="H794" s="151">
        <f t="shared" si="78"/>
        <v>0</v>
      </c>
      <c r="I794" s="151">
        <f>SUMIFS(Del!$C:$C,Del!$B:$B,'Element wise-detail Summary'!$A794)</f>
        <v>1</v>
      </c>
      <c r="J794" s="151">
        <f t="shared" si="79"/>
        <v>0</v>
      </c>
      <c r="K794" s="151">
        <f t="shared" si="80"/>
        <v>0</v>
      </c>
      <c r="L794" s="151">
        <f>SUMIF(Ere!$B:$B,'Element wise-detail Summary'!$A794,Ere!$C:$C)</f>
        <v>1</v>
      </c>
      <c r="M794" s="151">
        <f t="shared" si="81"/>
        <v>0</v>
      </c>
      <c r="N794">
        <f t="shared" si="77"/>
        <v>1.2649999999999999</v>
      </c>
    </row>
    <row r="795" spans="1:14" hidden="1" x14ac:dyDescent="0.25">
      <c r="A795" s="151" t="s">
        <v>1927</v>
      </c>
      <c r="B795" s="233" t="str">
        <f>VLOOKUP(A795,'AFC Data details'!$B:$E,4,0)</f>
        <v>PV34</v>
      </c>
      <c r="C795" s="144" t="s">
        <v>1697</v>
      </c>
      <c r="D795" s="151" t="s">
        <v>602</v>
      </c>
      <c r="E795" s="151">
        <f>VLOOKUP(A795,'AFC Data details'!$B:$P,15,0)</f>
        <v>1.0149999999999999</v>
      </c>
      <c r="F795" s="151">
        <f>SUMIFS('AFC Data details'!C:C,'AFC Data details'!$B:$B,'Element wise-detail Summary'!$A795)</f>
        <v>1</v>
      </c>
      <c r="G795" s="151">
        <f>SUMIFS(Cast!$C:$C,Cast!$B:$B,'Element wise-detail Summary'!$A795)</f>
        <v>1</v>
      </c>
      <c r="H795" s="151">
        <f t="shared" si="78"/>
        <v>0</v>
      </c>
      <c r="I795" s="151">
        <f>SUMIFS(Del!$C:$C,Del!$B:$B,'Element wise-detail Summary'!$A795)</f>
        <v>1</v>
      </c>
      <c r="J795" s="151">
        <f t="shared" si="79"/>
        <v>0</v>
      </c>
      <c r="K795" s="151">
        <f t="shared" si="80"/>
        <v>0</v>
      </c>
      <c r="L795" s="151">
        <f>SUMIF(Ere!$B:$B,'Element wise-detail Summary'!$A795,Ere!$C:$C)</f>
        <v>1</v>
      </c>
      <c r="M795" s="151">
        <f t="shared" si="81"/>
        <v>0</v>
      </c>
      <c r="N795">
        <f t="shared" si="77"/>
        <v>1.0149999999999999</v>
      </c>
    </row>
    <row r="796" spans="1:14" hidden="1" x14ac:dyDescent="0.25">
      <c r="A796" s="151" t="s">
        <v>2151</v>
      </c>
      <c r="B796" s="233" t="str">
        <f>VLOOKUP(A796,'AFC Data details'!$B:$E,4,0)</f>
        <v>PV35</v>
      </c>
      <c r="C796" s="144" t="s">
        <v>1697</v>
      </c>
      <c r="D796" s="151" t="s">
        <v>602</v>
      </c>
      <c r="E796" s="151">
        <f>VLOOKUP(A796,'AFC Data details'!$B:$P,15,0)</f>
        <v>2.0590000000000002</v>
      </c>
      <c r="F796" s="151">
        <f>SUMIFS('AFC Data details'!C:C,'AFC Data details'!$B:$B,'Element wise-detail Summary'!$A796)</f>
        <v>1</v>
      </c>
      <c r="G796" s="151">
        <f>SUMIFS(Cast!$C:$C,Cast!$B:$B,'Element wise-detail Summary'!$A796)</f>
        <v>1</v>
      </c>
      <c r="H796" s="151">
        <f t="shared" si="78"/>
        <v>0</v>
      </c>
      <c r="I796" s="151">
        <f>SUMIFS(Del!$C:$C,Del!$B:$B,'Element wise-detail Summary'!$A796)</f>
        <v>1</v>
      </c>
      <c r="J796" s="151">
        <f t="shared" si="79"/>
        <v>0</v>
      </c>
      <c r="K796" s="151">
        <f t="shared" si="80"/>
        <v>0</v>
      </c>
      <c r="L796" s="151">
        <f>SUMIF(Ere!$B:$B,'Element wise-detail Summary'!$A796,Ere!$C:$C)</f>
        <v>1</v>
      </c>
      <c r="M796" s="151">
        <f t="shared" si="81"/>
        <v>0</v>
      </c>
      <c r="N796">
        <f t="shared" si="77"/>
        <v>2.0590000000000002</v>
      </c>
    </row>
    <row r="797" spans="1:14" hidden="1" x14ac:dyDescent="0.25">
      <c r="A797" s="151" t="s">
        <v>1929</v>
      </c>
      <c r="B797" s="233" t="str">
        <f>VLOOKUP(A797,'AFC Data details'!$B:$E,4,0)</f>
        <v>PV34</v>
      </c>
      <c r="C797" s="144" t="s">
        <v>1697</v>
      </c>
      <c r="D797" s="151" t="s">
        <v>602</v>
      </c>
      <c r="E797" s="151">
        <f>VLOOKUP(A797,'AFC Data details'!$B:$P,15,0)</f>
        <v>2.0590000000000002</v>
      </c>
      <c r="F797" s="151">
        <f>SUMIFS('AFC Data details'!C:C,'AFC Data details'!$B:$B,'Element wise-detail Summary'!$A797)</f>
        <v>1</v>
      </c>
      <c r="G797" s="151">
        <f>SUMIFS(Cast!$C:$C,Cast!$B:$B,'Element wise-detail Summary'!$A797)</f>
        <v>1</v>
      </c>
      <c r="H797" s="151">
        <f t="shared" si="78"/>
        <v>0</v>
      </c>
      <c r="I797" s="151">
        <f>SUMIFS(Del!$C:$C,Del!$B:$B,'Element wise-detail Summary'!$A797)</f>
        <v>1</v>
      </c>
      <c r="J797" s="151">
        <f t="shared" si="79"/>
        <v>0</v>
      </c>
      <c r="K797" s="151">
        <f t="shared" si="80"/>
        <v>0</v>
      </c>
      <c r="L797" s="151">
        <f>SUMIF(Ere!$B:$B,'Element wise-detail Summary'!$A797,Ere!$C:$C)</f>
        <v>1</v>
      </c>
      <c r="M797" s="151">
        <f t="shared" si="81"/>
        <v>0</v>
      </c>
      <c r="N797">
        <f t="shared" si="77"/>
        <v>2.0590000000000002</v>
      </c>
    </row>
    <row r="798" spans="1:14" hidden="1" x14ac:dyDescent="0.25">
      <c r="A798" s="151" t="s">
        <v>2153</v>
      </c>
      <c r="B798" s="233" t="str">
        <f>VLOOKUP(A798,'AFC Data details'!$B:$E,4,0)</f>
        <v>PV34</v>
      </c>
      <c r="C798" s="144" t="s">
        <v>1697</v>
      </c>
      <c r="D798" s="151" t="s">
        <v>602</v>
      </c>
      <c r="E798" s="151">
        <f>VLOOKUP(A798,'AFC Data details'!$B:$P,15,0)</f>
        <v>2.0590000000000002</v>
      </c>
      <c r="F798" s="151">
        <f>SUMIFS('AFC Data details'!C:C,'AFC Data details'!$B:$B,'Element wise-detail Summary'!$A798)</f>
        <v>1</v>
      </c>
      <c r="G798" s="151">
        <f>SUMIFS(Cast!$C:$C,Cast!$B:$B,'Element wise-detail Summary'!$A798)</f>
        <v>1</v>
      </c>
      <c r="H798" s="151">
        <f t="shared" si="78"/>
        <v>0</v>
      </c>
      <c r="I798" s="151">
        <f>SUMIFS(Del!$C:$C,Del!$B:$B,'Element wise-detail Summary'!$A798)</f>
        <v>1</v>
      </c>
      <c r="J798" s="151">
        <f t="shared" si="79"/>
        <v>0</v>
      </c>
      <c r="K798" s="151">
        <f t="shared" si="80"/>
        <v>0</v>
      </c>
      <c r="L798" s="151">
        <f>SUMIF(Ere!$B:$B,'Element wise-detail Summary'!$A798,Ere!$C:$C)</f>
        <v>1</v>
      </c>
      <c r="M798" s="151">
        <f t="shared" si="81"/>
        <v>0</v>
      </c>
      <c r="N798">
        <f t="shared" si="77"/>
        <v>2.0590000000000002</v>
      </c>
    </row>
    <row r="799" spans="1:14" hidden="1" x14ac:dyDescent="0.25">
      <c r="A799" s="151" t="s">
        <v>2154</v>
      </c>
      <c r="B799" s="233" t="str">
        <f>VLOOKUP(A799,'AFC Data details'!$B:$E,4,0)</f>
        <v>PV34</v>
      </c>
      <c r="C799" s="144" t="s">
        <v>1697</v>
      </c>
      <c r="D799" s="151" t="s">
        <v>602</v>
      </c>
      <c r="E799" s="151">
        <f>VLOOKUP(A799,'AFC Data details'!$B:$P,15,0)</f>
        <v>2.0590000000000002</v>
      </c>
      <c r="F799" s="151">
        <f>SUMIFS('AFC Data details'!C:C,'AFC Data details'!$B:$B,'Element wise-detail Summary'!$A799)</f>
        <v>1</v>
      </c>
      <c r="G799" s="151">
        <f>SUMIFS(Cast!$C:$C,Cast!$B:$B,'Element wise-detail Summary'!$A799)</f>
        <v>1</v>
      </c>
      <c r="H799" s="151">
        <f t="shared" si="78"/>
        <v>0</v>
      </c>
      <c r="I799" s="151">
        <f>SUMIFS(Del!$C:$C,Del!$B:$B,'Element wise-detail Summary'!$A799)</f>
        <v>1</v>
      </c>
      <c r="J799" s="151">
        <f t="shared" si="79"/>
        <v>0</v>
      </c>
      <c r="K799" s="151">
        <f t="shared" si="80"/>
        <v>0</v>
      </c>
      <c r="L799" s="151">
        <f>SUMIF(Ere!$B:$B,'Element wise-detail Summary'!$A799,Ere!$C:$C)</f>
        <v>1</v>
      </c>
      <c r="M799" s="151">
        <f t="shared" si="81"/>
        <v>0</v>
      </c>
      <c r="N799">
        <f t="shared" si="77"/>
        <v>2.0590000000000002</v>
      </c>
    </row>
    <row r="800" spans="1:14" hidden="1" x14ac:dyDescent="0.25">
      <c r="A800" s="151" t="s">
        <v>2155</v>
      </c>
      <c r="B800" s="233" t="str">
        <f>VLOOKUP(A800,'AFC Data details'!$B:$E,4,0)</f>
        <v>PV34</v>
      </c>
      <c r="C800" s="144" t="s">
        <v>1697</v>
      </c>
      <c r="D800" s="151" t="s">
        <v>602</v>
      </c>
      <c r="E800" s="151">
        <f>VLOOKUP(A800,'AFC Data details'!$B:$P,15,0)</f>
        <v>2.0590000000000002</v>
      </c>
      <c r="F800" s="151">
        <f>SUMIFS('AFC Data details'!C:C,'AFC Data details'!$B:$B,'Element wise-detail Summary'!$A800)</f>
        <v>1</v>
      </c>
      <c r="G800" s="151">
        <f>SUMIFS(Cast!$C:$C,Cast!$B:$B,'Element wise-detail Summary'!$A800)</f>
        <v>1</v>
      </c>
      <c r="H800" s="151">
        <f t="shared" si="78"/>
        <v>0</v>
      </c>
      <c r="I800" s="151">
        <f>SUMIFS(Del!$C:$C,Del!$B:$B,'Element wise-detail Summary'!$A800)</f>
        <v>1</v>
      </c>
      <c r="J800" s="151">
        <f t="shared" si="79"/>
        <v>0</v>
      </c>
      <c r="K800" s="151">
        <f t="shared" si="80"/>
        <v>0</v>
      </c>
      <c r="L800" s="151">
        <f>SUMIF(Ere!$B:$B,'Element wise-detail Summary'!$A800,Ere!$C:$C)</f>
        <v>1</v>
      </c>
      <c r="M800" s="151">
        <f t="shared" si="81"/>
        <v>0</v>
      </c>
      <c r="N800">
        <f t="shared" si="77"/>
        <v>2.0590000000000002</v>
      </c>
    </row>
    <row r="801" spans="1:14" hidden="1" x14ac:dyDescent="0.25">
      <c r="A801" s="151" t="s">
        <v>2156</v>
      </c>
      <c r="B801" s="233" t="str">
        <f>VLOOKUP(A801,'AFC Data details'!$B:$E,4,0)</f>
        <v>PV35</v>
      </c>
      <c r="C801" s="144" t="s">
        <v>1697</v>
      </c>
      <c r="D801" s="151" t="s">
        <v>602</v>
      </c>
      <c r="E801" s="151">
        <f>VLOOKUP(A801,'AFC Data details'!$B:$P,15,0)</f>
        <v>2.0590000000000002</v>
      </c>
      <c r="F801" s="151">
        <f>SUMIFS('AFC Data details'!C:C,'AFC Data details'!$B:$B,'Element wise-detail Summary'!$A801)</f>
        <v>1</v>
      </c>
      <c r="G801" s="151">
        <f>SUMIFS(Cast!$C:$C,Cast!$B:$B,'Element wise-detail Summary'!$A801)</f>
        <v>1</v>
      </c>
      <c r="H801" s="151">
        <f t="shared" si="78"/>
        <v>0</v>
      </c>
      <c r="I801" s="151">
        <f>SUMIFS(Del!$C:$C,Del!$B:$B,'Element wise-detail Summary'!$A801)</f>
        <v>1</v>
      </c>
      <c r="J801" s="151">
        <f t="shared" si="79"/>
        <v>0</v>
      </c>
      <c r="K801" s="151">
        <f t="shared" si="80"/>
        <v>0</v>
      </c>
      <c r="L801" s="151">
        <f>SUMIF(Ere!$B:$B,'Element wise-detail Summary'!$A801,Ere!$C:$C)</f>
        <v>1</v>
      </c>
      <c r="M801" s="151">
        <f t="shared" si="81"/>
        <v>0</v>
      </c>
      <c r="N801">
        <f t="shared" si="77"/>
        <v>2.0590000000000002</v>
      </c>
    </row>
    <row r="802" spans="1:14" hidden="1" x14ac:dyDescent="0.25">
      <c r="A802" s="151" t="s">
        <v>2157</v>
      </c>
      <c r="B802" s="233" t="str">
        <f>VLOOKUP(A802,'AFC Data details'!$B:$E,4,0)</f>
        <v>PV35</v>
      </c>
      <c r="C802" s="144" t="s">
        <v>1697</v>
      </c>
      <c r="D802" s="151" t="s">
        <v>602</v>
      </c>
      <c r="E802" s="151">
        <f>VLOOKUP(A802,'AFC Data details'!$B:$P,15,0)</f>
        <v>2.0590000000000002</v>
      </c>
      <c r="F802" s="151">
        <f>SUMIFS('AFC Data details'!C:C,'AFC Data details'!$B:$B,'Element wise-detail Summary'!$A802)</f>
        <v>1</v>
      </c>
      <c r="G802" s="151">
        <f>SUMIFS(Cast!$C:$C,Cast!$B:$B,'Element wise-detail Summary'!$A802)</f>
        <v>1</v>
      </c>
      <c r="H802" s="151">
        <f t="shared" si="78"/>
        <v>0</v>
      </c>
      <c r="I802" s="151">
        <f>SUMIFS(Del!$C:$C,Del!$B:$B,'Element wise-detail Summary'!$A802)</f>
        <v>1</v>
      </c>
      <c r="J802" s="151">
        <f t="shared" si="79"/>
        <v>0</v>
      </c>
      <c r="K802" s="151">
        <f t="shared" si="80"/>
        <v>0</v>
      </c>
      <c r="L802" s="151">
        <f>SUMIF(Ere!$B:$B,'Element wise-detail Summary'!$A802,Ere!$C:$C)</f>
        <v>1</v>
      </c>
      <c r="M802" s="151">
        <f t="shared" si="81"/>
        <v>0</v>
      </c>
      <c r="N802">
        <f t="shared" si="77"/>
        <v>2.0590000000000002</v>
      </c>
    </row>
    <row r="803" spans="1:14" hidden="1" x14ac:dyDescent="0.25">
      <c r="A803" s="151" t="s">
        <v>2158</v>
      </c>
      <c r="B803" s="233" t="str">
        <f>VLOOKUP(A803,'AFC Data details'!$B:$E,4,0)</f>
        <v>PV35</v>
      </c>
      <c r="C803" s="144" t="s">
        <v>1697</v>
      </c>
      <c r="D803" s="151" t="s">
        <v>602</v>
      </c>
      <c r="E803" s="151">
        <f>VLOOKUP(A803,'AFC Data details'!$B:$P,15,0)</f>
        <v>2.0590000000000002</v>
      </c>
      <c r="F803" s="151">
        <f>SUMIFS('AFC Data details'!C:C,'AFC Data details'!$B:$B,'Element wise-detail Summary'!$A803)</f>
        <v>1</v>
      </c>
      <c r="G803" s="151">
        <f>SUMIFS(Cast!$C:$C,Cast!$B:$B,'Element wise-detail Summary'!$A803)</f>
        <v>1</v>
      </c>
      <c r="H803" s="151">
        <f t="shared" si="78"/>
        <v>0</v>
      </c>
      <c r="I803" s="151">
        <f>SUMIFS(Del!$C:$C,Del!$B:$B,'Element wise-detail Summary'!$A803)</f>
        <v>1</v>
      </c>
      <c r="J803" s="151">
        <f t="shared" si="79"/>
        <v>0</v>
      </c>
      <c r="K803" s="151">
        <f t="shared" si="80"/>
        <v>0</v>
      </c>
      <c r="L803" s="151">
        <f>SUMIF(Ere!$B:$B,'Element wise-detail Summary'!$A803,Ere!$C:$C)</f>
        <v>1</v>
      </c>
      <c r="M803" s="151">
        <f t="shared" si="81"/>
        <v>0</v>
      </c>
      <c r="N803">
        <f t="shared" si="77"/>
        <v>2.0590000000000002</v>
      </c>
    </row>
    <row r="804" spans="1:14" hidden="1" x14ac:dyDescent="0.25">
      <c r="A804" s="151" t="s">
        <v>2159</v>
      </c>
      <c r="B804" s="233" t="str">
        <f>VLOOKUP(A804,'AFC Data details'!$B:$E,4,0)</f>
        <v>PV35</v>
      </c>
      <c r="C804" s="144" t="s">
        <v>1697</v>
      </c>
      <c r="D804" s="151" t="s">
        <v>602</v>
      </c>
      <c r="E804" s="151">
        <f>VLOOKUP(A804,'AFC Data details'!$B:$P,15,0)</f>
        <v>2.0590000000000002</v>
      </c>
      <c r="F804" s="151">
        <f>SUMIFS('AFC Data details'!C:C,'AFC Data details'!$B:$B,'Element wise-detail Summary'!$A804)</f>
        <v>1</v>
      </c>
      <c r="G804" s="151">
        <f>SUMIFS(Cast!$C:$C,Cast!$B:$B,'Element wise-detail Summary'!$A804)</f>
        <v>1</v>
      </c>
      <c r="H804" s="151">
        <f t="shared" si="78"/>
        <v>0</v>
      </c>
      <c r="I804" s="151">
        <f>SUMIFS(Del!$C:$C,Del!$B:$B,'Element wise-detail Summary'!$A804)</f>
        <v>1</v>
      </c>
      <c r="J804" s="151">
        <f t="shared" si="79"/>
        <v>0</v>
      </c>
      <c r="K804" s="151">
        <f t="shared" si="80"/>
        <v>0</v>
      </c>
      <c r="L804" s="151">
        <f>SUMIF(Ere!$B:$B,'Element wise-detail Summary'!$A804,Ere!$C:$C)</f>
        <v>1</v>
      </c>
      <c r="M804" s="151">
        <f t="shared" si="81"/>
        <v>0</v>
      </c>
      <c r="N804">
        <f t="shared" si="77"/>
        <v>2.0590000000000002</v>
      </c>
    </row>
    <row r="805" spans="1:14" hidden="1" x14ac:dyDescent="0.25">
      <c r="A805" s="151" t="s">
        <v>1930</v>
      </c>
      <c r="B805" s="233" t="str">
        <f>VLOOKUP(A805,'AFC Data details'!$B:$E,4,0)</f>
        <v>PV34</v>
      </c>
      <c r="C805" s="144" t="s">
        <v>1697</v>
      </c>
      <c r="D805" s="151" t="s">
        <v>602</v>
      </c>
      <c r="E805" s="151">
        <f>VLOOKUP(A805,'AFC Data details'!$B:$P,15,0)</f>
        <v>1.2909999999999999</v>
      </c>
      <c r="F805" s="151">
        <f>SUMIFS('AFC Data details'!C:C,'AFC Data details'!$B:$B,'Element wise-detail Summary'!$A805)</f>
        <v>1</v>
      </c>
      <c r="G805" s="151">
        <f>SUMIFS(Cast!$C:$C,Cast!$B:$B,'Element wise-detail Summary'!$A805)</f>
        <v>1</v>
      </c>
      <c r="H805" s="151">
        <f t="shared" si="78"/>
        <v>0</v>
      </c>
      <c r="I805" s="151">
        <f>SUMIFS(Del!$C:$C,Del!$B:$B,'Element wise-detail Summary'!$A805)</f>
        <v>1</v>
      </c>
      <c r="J805" s="151">
        <f t="shared" si="79"/>
        <v>0</v>
      </c>
      <c r="K805" s="151">
        <f t="shared" si="80"/>
        <v>0</v>
      </c>
      <c r="L805" s="151">
        <f>SUMIF(Ere!$B:$B,'Element wise-detail Summary'!$A805,Ere!$C:$C)</f>
        <v>1</v>
      </c>
      <c r="M805" s="151">
        <f t="shared" si="81"/>
        <v>0</v>
      </c>
      <c r="N805">
        <f t="shared" si="77"/>
        <v>1.2909999999999999</v>
      </c>
    </row>
    <row r="806" spans="1:14" hidden="1" x14ac:dyDescent="0.25">
      <c r="A806" s="151" t="s">
        <v>1931</v>
      </c>
      <c r="B806" s="233" t="str">
        <f>VLOOKUP(A806,'AFC Data details'!$B:$E,4,0)</f>
        <v>PV34</v>
      </c>
      <c r="C806" s="144" t="s">
        <v>1697</v>
      </c>
      <c r="D806" s="151" t="s">
        <v>602</v>
      </c>
      <c r="E806" s="151">
        <f>VLOOKUP(A806,'AFC Data details'!$B:$P,15,0)</f>
        <v>1.399</v>
      </c>
      <c r="F806" s="151">
        <f>SUMIFS('AFC Data details'!C:C,'AFC Data details'!$B:$B,'Element wise-detail Summary'!$A806)</f>
        <v>1</v>
      </c>
      <c r="G806" s="151">
        <f>SUMIFS(Cast!$C:$C,Cast!$B:$B,'Element wise-detail Summary'!$A806)</f>
        <v>1</v>
      </c>
      <c r="H806" s="151">
        <f t="shared" si="78"/>
        <v>0</v>
      </c>
      <c r="I806" s="151">
        <f>SUMIFS(Del!$C:$C,Del!$B:$B,'Element wise-detail Summary'!$A806)</f>
        <v>1</v>
      </c>
      <c r="J806" s="151">
        <f t="shared" si="79"/>
        <v>0</v>
      </c>
      <c r="K806" s="151">
        <f t="shared" si="80"/>
        <v>0</v>
      </c>
      <c r="L806" s="151">
        <f>SUMIF(Ere!$B:$B,'Element wise-detail Summary'!$A806,Ere!$C:$C)</f>
        <v>1</v>
      </c>
      <c r="M806" s="151">
        <f t="shared" si="81"/>
        <v>0</v>
      </c>
      <c r="N806">
        <f t="shared" si="77"/>
        <v>1.399</v>
      </c>
    </row>
    <row r="807" spans="1:14" hidden="1" x14ac:dyDescent="0.25">
      <c r="A807" s="151" t="s">
        <v>1932</v>
      </c>
      <c r="B807" s="233" t="str">
        <f>VLOOKUP(A807,'AFC Data details'!$B:$E,4,0)</f>
        <v>PV35</v>
      </c>
      <c r="C807" s="144" t="s">
        <v>1697</v>
      </c>
      <c r="D807" s="151" t="s">
        <v>602</v>
      </c>
      <c r="E807" s="151">
        <f>VLOOKUP(A807,'AFC Data details'!$B:$P,15,0)</f>
        <v>1.0529999999999999</v>
      </c>
      <c r="F807" s="151">
        <f>SUMIFS('AFC Data details'!C:C,'AFC Data details'!$B:$B,'Element wise-detail Summary'!$A807)</f>
        <v>1</v>
      </c>
      <c r="G807" s="151">
        <f>SUMIFS(Cast!$C:$C,Cast!$B:$B,'Element wise-detail Summary'!$A807)</f>
        <v>1</v>
      </c>
      <c r="H807" s="151">
        <f t="shared" si="78"/>
        <v>0</v>
      </c>
      <c r="I807" s="151">
        <f>SUMIFS(Del!$C:$C,Del!$B:$B,'Element wise-detail Summary'!$A807)</f>
        <v>1</v>
      </c>
      <c r="J807" s="151">
        <f t="shared" si="79"/>
        <v>0</v>
      </c>
      <c r="K807" s="151">
        <f t="shared" si="80"/>
        <v>0</v>
      </c>
      <c r="L807" s="151">
        <f>SUMIF(Ere!$B:$B,'Element wise-detail Summary'!$A807,Ere!$C:$C)</f>
        <v>1</v>
      </c>
      <c r="M807" s="151">
        <f t="shared" si="81"/>
        <v>0</v>
      </c>
      <c r="N807">
        <f t="shared" si="77"/>
        <v>1.0529999999999999</v>
      </c>
    </row>
    <row r="808" spans="1:14" hidden="1" x14ac:dyDescent="0.25">
      <c r="A808" s="151" t="s">
        <v>1933</v>
      </c>
      <c r="B808" s="233" t="str">
        <f>VLOOKUP(A808,'AFC Data details'!$B:$E,4,0)</f>
        <v>PV35</v>
      </c>
      <c r="C808" s="144" t="s">
        <v>1697</v>
      </c>
      <c r="D808" s="151" t="s">
        <v>602</v>
      </c>
      <c r="E808" s="151">
        <f>VLOOKUP(A808,'AFC Data details'!$B:$P,15,0)</f>
        <v>2.0590000000000002</v>
      </c>
      <c r="F808" s="151">
        <f>SUMIFS('AFC Data details'!C:C,'AFC Data details'!$B:$B,'Element wise-detail Summary'!$A808)</f>
        <v>1</v>
      </c>
      <c r="G808" s="151">
        <f>SUMIFS(Cast!$C:$C,Cast!$B:$B,'Element wise-detail Summary'!$A808)</f>
        <v>1</v>
      </c>
      <c r="H808" s="151">
        <f t="shared" si="78"/>
        <v>0</v>
      </c>
      <c r="I808" s="151">
        <f>SUMIFS(Del!$C:$C,Del!$B:$B,'Element wise-detail Summary'!$A808)</f>
        <v>1</v>
      </c>
      <c r="J808" s="151">
        <f t="shared" si="79"/>
        <v>0</v>
      </c>
      <c r="K808" s="151">
        <f t="shared" si="80"/>
        <v>0</v>
      </c>
      <c r="L808" s="151">
        <f>SUMIF(Ere!$B:$B,'Element wise-detail Summary'!$A808,Ere!$C:$C)</f>
        <v>1</v>
      </c>
      <c r="M808" s="151">
        <f t="shared" si="81"/>
        <v>0</v>
      </c>
      <c r="N808">
        <f t="shared" si="77"/>
        <v>2.0590000000000002</v>
      </c>
    </row>
    <row r="809" spans="1:14" hidden="1" x14ac:dyDescent="0.25">
      <c r="A809" s="151" t="s">
        <v>2160</v>
      </c>
      <c r="B809" s="233" t="str">
        <f>VLOOKUP(A809,'AFC Data details'!$B:$E,4,0)</f>
        <v>PV34</v>
      </c>
      <c r="C809" s="144" t="s">
        <v>1697</v>
      </c>
      <c r="D809" s="151" t="s">
        <v>602</v>
      </c>
      <c r="E809" s="151">
        <f>VLOOKUP(A809,'AFC Data details'!$B:$P,15,0)</f>
        <v>2.0590000000000002</v>
      </c>
      <c r="F809" s="151">
        <f>SUMIFS('AFC Data details'!C:C,'AFC Data details'!$B:$B,'Element wise-detail Summary'!$A809)</f>
        <v>1</v>
      </c>
      <c r="G809" s="151">
        <f>SUMIFS(Cast!$C:$C,Cast!$B:$B,'Element wise-detail Summary'!$A809)</f>
        <v>1</v>
      </c>
      <c r="H809" s="151">
        <f t="shared" si="78"/>
        <v>0</v>
      </c>
      <c r="I809" s="151">
        <f>SUMIFS(Del!$C:$C,Del!$B:$B,'Element wise-detail Summary'!$A809)</f>
        <v>1</v>
      </c>
      <c r="J809" s="151">
        <f t="shared" si="79"/>
        <v>0</v>
      </c>
      <c r="K809" s="151">
        <f t="shared" si="80"/>
        <v>0</v>
      </c>
      <c r="L809" s="151">
        <f>SUMIF(Ere!$B:$B,'Element wise-detail Summary'!$A809,Ere!$C:$C)</f>
        <v>1</v>
      </c>
      <c r="M809" s="151">
        <f t="shared" si="81"/>
        <v>0</v>
      </c>
      <c r="N809">
        <f t="shared" si="77"/>
        <v>2.0590000000000002</v>
      </c>
    </row>
    <row r="810" spans="1:14" hidden="1" x14ac:dyDescent="0.25">
      <c r="A810" s="151" t="s">
        <v>1934</v>
      </c>
      <c r="B810" s="233" t="str">
        <f>VLOOKUP(A810,'AFC Data details'!$B:$E,4,0)</f>
        <v>PV35</v>
      </c>
      <c r="C810" s="144" t="s">
        <v>1697</v>
      </c>
      <c r="D810" s="151" t="s">
        <v>602</v>
      </c>
      <c r="E810" s="151">
        <f>VLOOKUP(A810,'AFC Data details'!$B:$P,15,0)</f>
        <v>1.395</v>
      </c>
      <c r="F810" s="151">
        <f>SUMIFS('AFC Data details'!C:C,'AFC Data details'!$B:$B,'Element wise-detail Summary'!$A810)</f>
        <v>1</v>
      </c>
      <c r="G810" s="151">
        <f>SUMIFS(Cast!$C:$C,Cast!$B:$B,'Element wise-detail Summary'!$A810)</f>
        <v>1</v>
      </c>
      <c r="H810" s="151">
        <f t="shared" si="78"/>
        <v>0</v>
      </c>
      <c r="I810" s="151">
        <f>SUMIFS(Del!$C:$C,Del!$B:$B,'Element wise-detail Summary'!$A810)</f>
        <v>1</v>
      </c>
      <c r="J810" s="151">
        <f t="shared" si="79"/>
        <v>0</v>
      </c>
      <c r="K810" s="151">
        <f t="shared" si="80"/>
        <v>0</v>
      </c>
      <c r="L810" s="151">
        <f>SUMIF(Ere!$B:$B,'Element wise-detail Summary'!$A810,Ere!$C:$C)</f>
        <v>1</v>
      </c>
      <c r="M810" s="151">
        <f t="shared" si="81"/>
        <v>0</v>
      </c>
      <c r="N810">
        <f t="shared" si="77"/>
        <v>1.395</v>
      </c>
    </row>
    <row r="811" spans="1:14" hidden="1" x14ac:dyDescent="0.25">
      <c r="A811" s="151" t="s">
        <v>1935</v>
      </c>
      <c r="B811" s="233" t="str">
        <f>VLOOKUP(A811,'AFC Data details'!$B:$E,4,0)</f>
        <v>PV35</v>
      </c>
      <c r="C811" s="144" t="s">
        <v>1697</v>
      </c>
      <c r="D811" s="151" t="s">
        <v>602</v>
      </c>
      <c r="E811" s="151">
        <f>VLOOKUP(A811,'AFC Data details'!$B:$P,15,0)</f>
        <v>1.2849999999999999</v>
      </c>
      <c r="F811" s="151">
        <f>SUMIFS('AFC Data details'!C:C,'AFC Data details'!$B:$B,'Element wise-detail Summary'!$A811)</f>
        <v>1</v>
      </c>
      <c r="G811" s="151">
        <f>SUMIFS(Cast!$C:$C,Cast!$B:$B,'Element wise-detail Summary'!$A811)</f>
        <v>1</v>
      </c>
      <c r="H811" s="151">
        <f t="shared" si="78"/>
        <v>0</v>
      </c>
      <c r="I811" s="151">
        <f>SUMIFS(Del!$C:$C,Del!$B:$B,'Element wise-detail Summary'!$A811)</f>
        <v>1</v>
      </c>
      <c r="J811" s="151">
        <f t="shared" si="79"/>
        <v>0</v>
      </c>
      <c r="K811" s="151">
        <f t="shared" si="80"/>
        <v>0</v>
      </c>
      <c r="L811" s="151">
        <f>SUMIF(Ere!$B:$B,'Element wise-detail Summary'!$A811,Ere!$C:$C)</f>
        <v>1</v>
      </c>
      <c r="M811" s="151">
        <f t="shared" si="81"/>
        <v>0</v>
      </c>
      <c r="N811">
        <f t="shared" si="77"/>
        <v>1.2849999999999999</v>
      </c>
    </row>
    <row r="812" spans="1:14" hidden="1" x14ac:dyDescent="0.25">
      <c r="A812" s="151" t="s">
        <v>1936</v>
      </c>
      <c r="B812" s="233" t="str">
        <f>VLOOKUP(A812,'AFC Data details'!$B:$E,4,0)</f>
        <v>PV36</v>
      </c>
      <c r="C812" s="144" t="s">
        <v>1697</v>
      </c>
      <c r="D812" s="151" t="s">
        <v>602</v>
      </c>
      <c r="E812" s="151">
        <f>VLOOKUP(A812,'AFC Data details'!$B:$P,15,0)</f>
        <v>1.944</v>
      </c>
      <c r="F812" s="151">
        <f>SUMIFS('AFC Data details'!C:C,'AFC Data details'!$B:$B,'Element wise-detail Summary'!$A812)</f>
        <v>1</v>
      </c>
      <c r="G812" s="151">
        <f>SUMIFS(Cast!$C:$C,Cast!$B:$B,'Element wise-detail Summary'!$A812)</f>
        <v>1</v>
      </c>
      <c r="H812" s="151">
        <f t="shared" si="78"/>
        <v>0</v>
      </c>
      <c r="I812" s="151">
        <f>SUMIFS(Del!$C:$C,Del!$B:$B,'Element wise-detail Summary'!$A812)</f>
        <v>1</v>
      </c>
      <c r="J812" s="151">
        <f t="shared" si="79"/>
        <v>0</v>
      </c>
      <c r="K812" s="151">
        <f t="shared" si="80"/>
        <v>0</v>
      </c>
      <c r="L812" s="151">
        <f>SUMIF(Ere!$B:$B,'Element wise-detail Summary'!$A812,Ere!$C:$C)</f>
        <v>1</v>
      </c>
      <c r="M812" s="151">
        <f t="shared" si="81"/>
        <v>0</v>
      </c>
      <c r="N812">
        <f t="shared" si="77"/>
        <v>1.944</v>
      </c>
    </row>
    <row r="813" spans="1:14" hidden="1" x14ac:dyDescent="0.25">
      <c r="A813" s="151" t="s">
        <v>1937</v>
      </c>
      <c r="B813" s="233" t="str">
        <f>VLOOKUP(A813,'AFC Data details'!$B:$E,4,0)</f>
        <v>PV36</v>
      </c>
      <c r="C813" s="144" t="s">
        <v>1697</v>
      </c>
      <c r="D813" s="151" t="s">
        <v>602</v>
      </c>
      <c r="E813" s="151">
        <f>VLOOKUP(A813,'AFC Data details'!$B:$P,15,0)</f>
        <v>2.246</v>
      </c>
      <c r="F813" s="151">
        <f>SUMIFS('AFC Data details'!C:C,'AFC Data details'!$B:$B,'Element wise-detail Summary'!$A813)</f>
        <v>1</v>
      </c>
      <c r="G813" s="151">
        <f>SUMIFS(Cast!$C:$C,Cast!$B:$B,'Element wise-detail Summary'!$A813)</f>
        <v>1</v>
      </c>
      <c r="H813" s="151">
        <f t="shared" si="78"/>
        <v>0</v>
      </c>
      <c r="I813" s="151">
        <f>SUMIFS(Del!$C:$C,Del!$B:$B,'Element wise-detail Summary'!$A813)</f>
        <v>1</v>
      </c>
      <c r="J813" s="151">
        <f t="shared" si="79"/>
        <v>0</v>
      </c>
      <c r="K813" s="151">
        <f t="shared" si="80"/>
        <v>0</v>
      </c>
      <c r="L813" s="151">
        <f>SUMIF(Ere!$B:$B,'Element wise-detail Summary'!$A813,Ere!$C:$C)</f>
        <v>1</v>
      </c>
      <c r="M813" s="151">
        <f t="shared" si="81"/>
        <v>0</v>
      </c>
      <c r="N813">
        <f t="shared" si="77"/>
        <v>2.246</v>
      </c>
    </row>
    <row r="814" spans="1:14" hidden="1" x14ac:dyDescent="0.25">
      <c r="A814" s="151" t="s">
        <v>1938</v>
      </c>
      <c r="B814" s="233" t="str">
        <f>VLOOKUP(A814,'AFC Data details'!$B:$E,4,0)</f>
        <v>PV36</v>
      </c>
      <c r="C814" s="144" t="s">
        <v>1697</v>
      </c>
      <c r="D814" s="151" t="s">
        <v>602</v>
      </c>
      <c r="E814" s="151">
        <f>VLOOKUP(A814,'AFC Data details'!$B:$P,15,0)</f>
        <v>2.246</v>
      </c>
      <c r="F814" s="151">
        <f>SUMIFS('AFC Data details'!C:C,'AFC Data details'!$B:$B,'Element wise-detail Summary'!$A814)</f>
        <v>1</v>
      </c>
      <c r="G814" s="151">
        <f>SUMIFS(Cast!$C:$C,Cast!$B:$B,'Element wise-detail Summary'!$A814)</f>
        <v>1</v>
      </c>
      <c r="H814" s="151">
        <f t="shared" si="78"/>
        <v>0</v>
      </c>
      <c r="I814" s="151">
        <f>SUMIFS(Del!$C:$C,Del!$B:$B,'Element wise-detail Summary'!$A814)</f>
        <v>1</v>
      </c>
      <c r="J814" s="151">
        <f t="shared" si="79"/>
        <v>0</v>
      </c>
      <c r="K814" s="151">
        <f t="shared" si="80"/>
        <v>0</v>
      </c>
      <c r="L814" s="151">
        <f>SUMIF(Ere!$B:$B,'Element wise-detail Summary'!$A814,Ere!$C:$C)</f>
        <v>1</v>
      </c>
      <c r="M814" s="151">
        <f t="shared" si="81"/>
        <v>0</v>
      </c>
      <c r="N814">
        <f t="shared" si="77"/>
        <v>2.246</v>
      </c>
    </row>
    <row r="815" spans="1:14" hidden="1" x14ac:dyDescent="0.25">
      <c r="A815" s="151" t="s">
        <v>2162</v>
      </c>
      <c r="B815" s="233" t="str">
        <f>VLOOKUP(A815,'AFC Data details'!$B:$E,4,0)</f>
        <v>PV36</v>
      </c>
      <c r="C815" s="144" t="s">
        <v>1697</v>
      </c>
      <c r="D815" s="151" t="s">
        <v>602</v>
      </c>
      <c r="E815" s="151">
        <f>VLOOKUP(A815,'AFC Data details'!$B:$P,15,0)</f>
        <v>2.246</v>
      </c>
      <c r="F815" s="151">
        <f>SUMIFS('AFC Data details'!C:C,'AFC Data details'!$B:$B,'Element wise-detail Summary'!$A815)</f>
        <v>1</v>
      </c>
      <c r="G815" s="151">
        <f>SUMIFS(Cast!$C:$C,Cast!$B:$B,'Element wise-detail Summary'!$A815)</f>
        <v>1</v>
      </c>
      <c r="H815" s="151">
        <f t="shared" si="78"/>
        <v>0</v>
      </c>
      <c r="I815" s="151">
        <f>SUMIFS(Del!$C:$C,Del!$B:$B,'Element wise-detail Summary'!$A815)</f>
        <v>1</v>
      </c>
      <c r="J815" s="151">
        <f t="shared" si="79"/>
        <v>0</v>
      </c>
      <c r="K815" s="151">
        <f t="shared" si="80"/>
        <v>0</v>
      </c>
      <c r="L815" s="151">
        <f>SUMIF(Ere!$B:$B,'Element wise-detail Summary'!$A815,Ere!$C:$C)</f>
        <v>1</v>
      </c>
      <c r="M815" s="151">
        <f t="shared" si="81"/>
        <v>0</v>
      </c>
      <c r="N815">
        <f t="shared" si="77"/>
        <v>2.246</v>
      </c>
    </row>
    <row r="816" spans="1:14" hidden="1" x14ac:dyDescent="0.25">
      <c r="A816" s="151" t="s">
        <v>2163</v>
      </c>
      <c r="B816" s="233" t="str">
        <f>VLOOKUP(A816,'AFC Data details'!$B:$E,4,0)</f>
        <v>PV36</v>
      </c>
      <c r="C816" s="144" t="s">
        <v>1697</v>
      </c>
      <c r="D816" s="151" t="s">
        <v>602</v>
      </c>
      <c r="E816" s="151">
        <f>VLOOKUP(A816,'AFC Data details'!$B:$P,15,0)</f>
        <v>2.246</v>
      </c>
      <c r="F816" s="151">
        <f>SUMIFS('AFC Data details'!C:C,'AFC Data details'!$B:$B,'Element wise-detail Summary'!$A816)</f>
        <v>1</v>
      </c>
      <c r="G816" s="151">
        <f>SUMIFS(Cast!$C:$C,Cast!$B:$B,'Element wise-detail Summary'!$A816)</f>
        <v>1</v>
      </c>
      <c r="H816" s="151">
        <f t="shared" si="78"/>
        <v>0</v>
      </c>
      <c r="I816" s="151">
        <f>SUMIFS(Del!$C:$C,Del!$B:$B,'Element wise-detail Summary'!$A816)</f>
        <v>1</v>
      </c>
      <c r="J816" s="151">
        <f t="shared" si="79"/>
        <v>0</v>
      </c>
      <c r="K816" s="151">
        <f t="shared" si="80"/>
        <v>0</v>
      </c>
      <c r="L816" s="151">
        <f>SUMIF(Ere!$B:$B,'Element wise-detail Summary'!$A816,Ere!$C:$C)</f>
        <v>1</v>
      </c>
      <c r="M816" s="151">
        <f t="shared" si="81"/>
        <v>0</v>
      </c>
      <c r="N816">
        <f t="shared" si="77"/>
        <v>2.246</v>
      </c>
    </row>
    <row r="817" spans="1:14" hidden="1" x14ac:dyDescent="0.25">
      <c r="A817" s="151" t="s">
        <v>1939</v>
      </c>
      <c r="B817" s="233" t="str">
        <f>VLOOKUP(A817,'AFC Data details'!$B:$E,4,0)</f>
        <v>PV36</v>
      </c>
      <c r="C817" s="144" t="s">
        <v>1697</v>
      </c>
      <c r="D817" s="151" t="s">
        <v>602</v>
      </c>
      <c r="E817" s="151">
        <f>VLOOKUP(A817,'AFC Data details'!$B:$P,15,0)</f>
        <v>2.16</v>
      </c>
      <c r="F817" s="151">
        <f>SUMIFS('AFC Data details'!C:C,'AFC Data details'!$B:$B,'Element wise-detail Summary'!$A817)</f>
        <v>1</v>
      </c>
      <c r="G817" s="151">
        <f>SUMIFS(Cast!$C:$C,Cast!$B:$B,'Element wise-detail Summary'!$A817)</f>
        <v>1</v>
      </c>
      <c r="H817" s="151">
        <f t="shared" si="78"/>
        <v>0</v>
      </c>
      <c r="I817" s="151">
        <f>SUMIFS(Del!$C:$C,Del!$B:$B,'Element wise-detail Summary'!$A817)</f>
        <v>1</v>
      </c>
      <c r="J817" s="151">
        <f t="shared" si="79"/>
        <v>0</v>
      </c>
      <c r="K817" s="151">
        <f t="shared" si="80"/>
        <v>0</v>
      </c>
      <c r="L817" s="151">
        <f>SUMIF(Ere!$B:$B,'Element wise-detail Summary'!$A817,Ere!$C:$C)</f>
        <v>1</v>
      </c>
      <c r="M817" s="151">
        <f t="shared" si="81"/>
        <v>0</v>
      </c>
      <c r="N817">
        <f t="shared" si="77"/>
        <v>2.16</v>
      </c>
    </row>
    <row r="818" spans="1:14" hidden="1" x14ac:dyDescent="0.25">
      <c r="A818" s="151" t="s">
        <v>2164</v>
      </c>
      <c r="B818" s="233" t="str">
        <f>VLOOKUP(A818,'AFC Data details'!$B:$E,4,0)</f>
        <v>PV32</v>
      </c>
      <c r="C818" s="144" t="s">
        <v>1697</v>
      </c>
      <c r="D818" s="151" t="s">
        <v>602</v>
      </c>
      <c r="E818" s="151">
        <f>VLOOKUP(A818,'AFC Data details'!$B:$P,15,0)</f>
        <v>1.4119999999999999</v>
      </c>
      <c r="F818" s="151">
        <f>SUMIFS('AFC Data details'!C:C,'AFC Data details'!$B:$B,'Element wise-detail Summary'!$A818)</f>
        <v>1</v>
      </c>
      <c r="G818" s="151">
        <f>SUMIFS(Cast!$C:$C,Cast!$B:$B,'Element wise-detail Summary'!$A818)</f>
        <v>1</v>
      </c>
      <c r="H818" s="151">
        <f t="shared" si="78"/>
        <v>0</v>
      </c>
      <c r="I818" s="151">
        <f>SUMIFS(Del!$C:$C,Del!$B:$B,'Element wise-detail Summary'!$A818)</f>
        <v>1</v>
      </c>
      <c r="J818" s="151">
        <f t="shared" si="79"/>
        <v>0</v>
      </c>
      <c r="K818" s="151">
        <f t="shared" si="80"/>
        <v>0</v>
      </c>
      <c r="L818" s="151">
        <f>SUMIF(Ere!$B:$B,'Element wise-detail Summary'!$A818,Ere!$C:$C)</f>
        <v>1</v>
      </c>
      <c r="M818" s="151">
        <f t="shared" si="81"/>
        <v>0</v>
      </c>
      <c r="N818">
        <f t="shared" si="77"/>
        <v>1.4119999999999999</v>
      </c>
    </row>
    <row r="819" spans="1:14" hidden="1" x14ac:dyDescent="0.25">
      <c r="A819" s="151" t="s">
        <v>2165</v>
      </c>
      <c r="B819" s="233" t="str">
        <f>VLOOKUP(A819,'AFC Data details'!$B:$E,4,0)</f>
        <v>PV30</v>
      </c>
      <c r="C819" s="144" t="s">
        <v>1697</v>
      </c>
      <c r="D819" s="151" t="s">
        <v>602</v>
      </c>
      <c r="E819" s="151">
        <f>VLOOKUP(A819,'AFC Data details'!$B:$P,15,0)</f>
        <v>1.4119999999999999</v>
      </c>
      <c r="F819" s="151">
        <f>SUMIFS('AFC Data details'!C:C,'AFC Data details'!$B:$B,'Element wise-detail Summary'!$A819)</f>
        <v>1</v>
      </c>
      <c r="G819" s="151">
        <f>SUMIFS(Cast!$C:$C,Cast!$B:$B,'Element wise-detail Summary'!$A819)</f>
        <v>1</v>
      </c>
      <c r="H819" s="151">
        <f t="shared" si="78"/>
        <v>0</v>
      </c>
      <c r="I819" s="151">
        <f>SUMIFS(Del!$C:$C,Del!$B:$B,'Element wise-detail Summary'!$A819)</f>
        <v>1</v>
      </c>
      <c r="J819" s="151">
        <f t="shared" si="79"/>
        <v>0</v>
      </c>
      <c r="K819" s="151">
        <f t="shared" si="80"/>
        <v>0</v>
      </c>
      <c r="L819" s="151">
        <f>SUMIF(Ere!$B:$B,'Element wise-detail Summary'!$A819,Ere!$C:$C)</f>
        <v>1</v>
      </c>
      <c r="M819" s="151">
        <f t="shared" si="81"/>
        <v>0</v>
      </c>
      <c r="N819">
        <f t="shared" si="77"/>
        <v>1.4119999999999999</v>
      </c>
    </row>
    <row r="820" spans="1:14" hidden="1" x14ac:dyDescent="0.25">
      <c r="A820" s="151" t="s">
        <v>2166</v>
      </c>
      <c r="B820" s="233" t="str">
        <f>VLOOKUP(A820,'AFC Data details'!$B:$E,4,0)</f>
        <v>PV28</v>
      </c>
      <c r="C820" s="144" t="s">
        <v>1697</v>
      </c>
      <c r="D820" s="151" t="s">
        <v>602</v>
      </c>
      <c r="E820" s="151">
        <f>VLOOKUP(A820,'AFC Data details'!$B:$P,15,0)</f>
        <v>1.4119999999999999</v>
      </c>
      <c r="F820" s="151">
        <f>SUMIFS('AFC Data details'!C:C,'AFC Data details'!$B:$B,'Element wise-detail Summary'!$A820)</f>
        <v>1</v>
      </c>
      <c r="G820" s="151">
        <f>SUMIFS(Cast!$C:$C,Cast!$B:$B,'Element wise-detail Summary'!$A820)</f>
        <v>1</v>
      </c>
      <c r="H820" s="151">
        <f t="shared" si="78"/>
        <v>0</v>
      </c>
      <c r="I820" s="151">
        <f>SUMIFS(Del!$C:$C,Del!$B:$B,'Element wise-detail Summary'!$A820)</f>
        <v>1</v>
      </c>
      <c r="J820" s="151">
        <f t="shared" si="79"/>
        <v>0</v>
      </c>
      <c r="K820" s="151">
        <f t="shared" si="80"/>
        <v>0</v>
      </c>
      <c r="L820" s="151">
        <f>SUMIF(Ere!$B:$B,'Element wise-detail Summary'!$A820,Ere!$C:$C)</f>
        <v>1</v>
      </c>
      <c r="M820" s="151">
        <f t="shared" si="81"/>
        <v>0</v>
      </c>
      <c r="N820">
        <f t="shared" si="77"/>
        <v>1.4119999999999999</v>
      </c>
    </row>
    <row r="821" spans="1:14" hidden="1" x14ac:dyDescent="0.25">
      <c r="A821" s="151" t="s">
        <v>2167</v>
      </c>
      <c r="B821" s="233" t="str">
        <f>VLOOKUP(A821,'AFC Data details'!$B:$E,4,0)</f>
        <v>PV26</v>
      </c>
      <c r="C821" s="144" t="s">
        <v>1697</v>
      </c>
      <c r="D821" s="151" t="s">
        <v>602</v>
      </c>
      <c r="E821" s="151">
        <f>VLOOKUP(A821,'AFC Data details'!$B:$P,15,0)</f>
        <v>1.4119999999999999</v>
      </c>
      <c r="F821" s="151">
        <f>SUMIFS('AFC Data details'!C:C,'AFC Data details'!$B:$B,'Element wise-detail Summary'!$A821)</f>
        <v>1</v>
      </c>
      <c r="G821" s="151">
        <f>SUMIFS(Cast!$C:$C,Cast!$B:$B,'Element wise-detail Summary'!$A821)</f>
        <v>1</v>
      </c>
      <c r="H821" s="151">
        <f t="shared" si="78"/>
        <v>0</v>
      </c>
      <c r="I821" s="151">
        <f>SUMIFS(Del!$C:$C,Del!$B:$B,'Element wise-detail Summary'!$A821)</f>
        <v>1</v>
      </c>
      <c r="J821" s="151">
        <f t="shared" si="79"/>
        <v>0</v>
      </c>
      <c r="K821" s="151">
        <f t="shared" si="80"/>
        <v>0</v>
      </c>
      <c r="L821" s="151">
        <f>SUMIF(Ere!$B:$B,'Element wise-detail Summary'!$A821,Ere!$C:$C)</f>
        <v>0</v>
      </c>
      <c r="M821" s="151">
        <f t="shared" si="81"/>
        <v>1</v>
      </c>
      <c r="N821">
        <f t="shared" si="77"/>
        <v>1.4119999999999999</v>
      </c>
    </row>
    <row r="822" spans="1:14" hidden="1" x14ac:dyDescent="0.25">
      <c r="A822" s="151" t="s">
        <v>2168</v>
      </c>
      <c r="B822" s="233" t="str">
        <f>VLOOKUP(A822,'AFC Data details'!$B:$E,4,0)</f>
        <v>PV24</v>
      </c>
      <c r="C822" s="144" t="s">
        <v>1697</v>
      </c>
      <c r="D822" s="151" t="s">
        <v>602</v>
      </c>
      <c r="E822" s="151">
        <f>VLOOKUP(A822,'AFC Data details'!$B:$P,15,0)</f>
        <v>1.4119999999999999</v>
      </c>
      <c r="F822" s="151">
        <f>SUMIFS('AFC Data details'!C:C,'AFC Data details'!$B:$B,'Element wise-detail Summary'!$A822)</f>
        <v>1</v>
      </c>
      <c r="G822" s="151">
        <f>SUMIFS(Cast!$C:$C,Cast!$B:$B,'Element wise-detail Summary'!$A822)</f>
        <v>1</v>
      </c>
      <c r="H822" s="151">
        <f t="shared" si="78"/>
        <v>0</v>
      </c>
      <c r="I822" s="151">
        <f>SUMIFS(Del!$C:$C,Del!$B:$B,'Element wise-detail Summary'!$A822)</f>
        <v>0</v>
      </c>
      <c r="J822" s="151">
        <f t="shared" si="79"/>
        <v>1</v>
      </c>
      <c r="K822" s="151">
        <f t="shared" si="80"/>
        <v>1</v>
      </c>
      <c r="L822" s="151">
        <f>SUMIF(Ere!$B:$B,'Element wise-detail Summary'!$A822,Ere!$C:$C)</f>
        <v>0</v>
      </c>
      <c r="M822" s="151">
        <f t="shared" si="81"/>
        <v>1</v>
      </c>
      <c r="N822">
        <f t="shared" si="77"/>
        <v>0</v>
      </c>
    </row>
    <row r="823" spans="1:14" hidden="1" x14ac:dyDescent="0.25">
      <c r="A823" s="151" t="s">
        <v>2169</v>
      </c>
      <c r="B823" s="233" t="str">
        <f>VLOOKUP(A823,'AFC Data details'!$B:$E,4,0)</f>
        <v>PV22</v>
      </c>
      <c r="C823" s="144" t="s">
        <v>1697</v>
      </c>
      <c r="D823" s="151" t="s">
        <v>602</v>
      </c>
      <c r="E823" s="151">
        <f>VLOOKUP(A823,'AFC Data details'!$B:$P,15,0)</f>
        <v>1.4119999999999999</v>
      </c>
      <c r="F823" s="151">
        <f>SUMIFS('AFC Data details'!C:C,'AFC Data details'!$B:$B,'Element wise-detail Summary'!$A823)</f>
        <v>1</v>
      </c>
      <c r="G823" s="151">
        <f>SUMIFS(Cast!$C:$C,Cast!$B:$B,'Element wise-detail Summary'!$A823)</f>
        <v>1</v>
      </c>
      <c r="H823" s="151">
        <f t="shared" si="78"/>
        <v>0</v>
      </c>
      <c r="I823" s="151">
        <f>SUMIFS(Del!$C:$C,Del!$B:$B,'Element wise-detail Summary'!$A823)</f>
        <v>0</v>
      </c>
      <c r="J823" s="151">
        <f t="shared" si="79"/>
        <v>1</v>
      </c>
      <c r="K823" s="151">
        <f t="shared" si="80"/>
        <v>1</v>
      </c>
      <c r="L823" s="151">
        <f>SUMIF(Ere!$B:$B,'Element wise-detail Summary'!$A823,Ere!$C:$C)</f>
        <v>0</v>
      </c>
      <c r="M823" s="151">
        <f t="shared" si="81"/>
        <v>1</v>
      </c>
      <c r="N823">
        <f t="shared" si="77"/>
        <v>0</v>
      </c>
    </row>
    <row r="824" spans="1:14" hidden="1" x14ac:dyDescent="0.25">
      <c r="A824" s="151" t="s">
        <v>2170</v>
      </c>
      <c r="B824" s="233" t="str">
        <f>VLOOKUP(A824,'AFC Data details'!$B:$E,4,0)</f>
        <v>PV20</v>
      </c>
      <c r="C824" s="144" t="s">
        <v>1697</v>
      </c>
      <c r="D824" s="151" t="s">
        <v>602</v>
      </c>
      <c r="E824" s="151">
        <f>VLOOKUP(A824,'AFC Data details'!$B:$P,15,0)</f>
        <v>1.4119999999999999</v>
      </c>
      <c r="F824" s="151">
        <f>SUMIFS('AFC Data details'!C:C,'AFC Data details'!$B:$B,'Element wise-detail Summary'!$A824)</f>
        <v>1</v>
      </c>
      <c r="G824" s="151">
        <f>SUMIFS(Cast!$C:$C,Cast!$B:$B,'Element wise-detail Summary'!$A824)</f>
        <v>1</v>
      </c>
      <c r="H824" s="151">
        <f t="shared" si="78"/>
        <v>0</v>
      </c>
      <c r="I824" s="151">
        <f>SUMIFS(Del!$C:$C,Del!$B:$B,'Element wise-detail Summary'!$A824)</f>
        <v>1</v>
      </c>
      <c r="J824" s="151">
        <f t="shared" si="79"/>
        <v>0</v>
      </c>
      <c r="K824" s="151">
        <f t="shared" si="80"/>
        <v>0</v>
      </c>
      <c r="L824" s="151">
        <f>SUMIF(Ere!$B:$B,'Element wise-detail Summary'!$A824,Ere!$C:$C)</f>
        <v>0</v>
      </c>
      <c r="M824" s="151">
        <f t="shared" si="81"/>
        <v>1</v>
      </c>
      <c r="N824">
        <f t="shared" si="77"/>
        <v>1.4119999999999999</v>
      </c>
    </row>
    <row r="825" spans="1:14" hidden="1" x14ac:dyDescent="0.25">
      <c r="A825" s="151" t="s">
        <v>2171</v>
      </c>
      <c r="B825" s="233" t="str">
        <f>VLOOKUP(A825,'AFC Data details'!$B:$E,4,0)</f>
        <v>PV18</v>
      </c>
      <c r="C825" s="144" t="s">
        <v>1697</v>
      </c>
      <c r="D825" s="151" t="s">
        <v>602</v>
      </c>
      <c r="E825" s="151">
        <f>VLOOKUP(A825,'AFC Data details'!$B:$P,15,0)</f>
        <v>1.4119999999999999</v>
      </c>
      <c r="F825" s="151">
        <f>SUMIFS('AFC Data details'!C:C,'AFC Data details'!$B:$B,'Element wise-detail Summary'!$A825)</f>
        <v>1</v>
      </c>
      <c r="G825" s="151">
        <f>SUMIFS(Cast!$C:$C,Cast!$B:$B,'Element wise-detail Summary'!$A825)</f>
        <v>1</v>
      </c>
      <c r="H825" s="151">
        <f t="shared" si="78"/>
        <v>0</v>
      </c>
      <c r="I825" s="151">
        <f>SUMIFS(Del!$C:$C,Del!$B:$B,'Element wise-detail Summary'!$A825)</f>
        <v>0</v>
      </c>
      <c r="J825" s="151">
        <f t="shared" si="79"/>
        <v>1</v>
      </c>
      <c r="K825" s="151">
        <f t="shared" si="80"/>
        <v>1</v>
      </c>
      <c r="L825" s="151">
        <f>SUMIF(Ere!$B:$B,'Element wise-detail Summary'!$A825,Ere!$C:$C)</f>
        <v>0</v>
      </c>
      <c r="M825" s="151">
        <f t="shared" si="81"/>
        <v>1</v>
      </c>
      <c r="N825">
        <f t="shared" si="77"/>
        <v>0</v>
      </c>
    </row>
    <row r="826" spans="1:14" hidden="1" x14ac:dyDescent="0.25">
      <c r="A826" s="151" t="s">
        <v>1941</v>
      </c>
      <c r="B826" s="233" t="str">
        <f>VLOOKUP(A826,'AFC Data details'!$B:$E,4,0)</f>
        <v>PV36</v>
      </c>
      <c r="C826" s="144" t="s">
        <v>1697</v>
      </c>
      <c r="D826" s="151" t="s">
        <v>602</v>
      </c>
      <c r="E826" s="151">
        <f>VLOOKUP(A826,'AFC Data details'!$B:$P,15,0)</f>
        <v>1.0589999999999999</v>
      </c>
      <c r="F826" s="151">
        <f>SUMIFS('AFC Data details'!C:C,'AFC Data details'!$B:$B,'Element wise-detail Summary'!$A826)</f>
        <v>1</v>
      </c>
      <c r="G826" s="151">
        <f>SUMIFS(Cast!$C:$C,Cast!$B:$B,'Element wise-detail Summary'!$A826)</f>
        <v>1</v>
      </c>
      <c r="H826" s="151">
        <f t="shared" si="78"/>
        <v>0</v>
      </c>
      <c r="I826" s="151">
        <f>SUMIFS(Del!$C:$C,Del!$B:$B,'Element wise-detail Summary'!$A826)</f>
        <v>1</v>
      </c>
      <c r="J826" s="151">
        <f t="shared" si="79"/>
        <v>0</v>
      </c>
      <c r="K826" s="151">
        <f t="shared" si="80"/>
        <v>0</v>
      </c>
      <c r="L826" s="151">
        <f>SUMIF(Ere!$B:$B,'Element wise-detail Summary'!$A826,Ere!$C:$C)</f>
        <v>1</v>
      </c>
      <c r="M826" s="151">
        <f t="shared" si="81"/>
        <v>0</v>
      </c>
      <c r="N826">
        <f t="shared" si="77"/>
        <v>1.0589999999999999</v>
      </c>
    </row>
    <row r="827" spans="1:14" hidden="1" x14ac:dyDescent="0.25">
      <c r="A827" s="151" t="s">
        <v>1942</v>
      </c>
      <c r="B827" s="233" t="str">
        <f>VLOOKUP(A827,'AFC Data details'!$B:$E,4,0)</f>
        <v>PV36</v>
      </c>
      <c r="C827" s="144" t="s">
        <v>1697</v>
      </c>
      <c r="D827" s="151" t="s">
        <v>602</v>
      </c>
      <c r="E827" s="151">
        <f>VLOOKUP(A827,'AFC Data details'!$B:$P,15,0)</f>
        <v>1.232</v>
      </c>
      <c r="F827" s="151">
        <f>SUMIFS('AFC Data details'!C:C,'AFC Data details'!$B:$B,'Element wise-detail Summary'!$A827)</f>
        <v>1</v>
      </c>
      <c r="G827" s="151">
        <f>SUMIFS(Cast!$C:$C,Cast!$B:$B,'Element wise-detail Summary'!$A827)</f>
        <v>1</v>
      </c>
      <c r="H827" s="151">
        <f t="shared" si="78"/>
        <v>0</v>
      </c>
      <c r="I827" s="151">
        <f>SUMIFS(Del!$C:$C,Del!$B:$B,'Element wise-detail Summary'!$A827)</f>
        <v>1</v>
      </c>
      <c r="J827" s="151">
        <f t="shared" si="79"/>
        <v>0</v>
      </c>
      <c r="K827" s="151">
        <f t="shared" si="80"/>
        <v>0</v>
      </c>
      <c r="L827" s="151">
        <f>SUMIF(Ere!$B:$B,'Element wise-detail Summary'!$A827,Ere!$C:$C)</f>
        <v>1</v>
      </c>
      <c r="M827" s="151">
        <f t="shared" si="81"/>
        <v>0</v>
      </c>
      <c r="N827">
        <f t="shared" si="77"/>
        <v>1.232</v>
      </c>
    </row>
    <row r="828" spans="1:14" hidden="1" x14ac:dyDescent="0.25">
      <c r="A828" s="151" t="s">
        <v>1943</v>
      </c>
      <c r="B828" s="233" t="str">
        <f>VLOOKUP(A828,'AFC Data details'!$B:$E,4,0)</f>
        <v>PV36</v>
      </c>
      <c r="C828" s="144" t="s">
        <v>1697</v>
      </c>
      <c r="D828" s="151" t="s">
        <v>602</v>
      </c>
      <c r="E828" s="151">
        <f>VLOOKUP(A828,'AFC Data details'!$B:$P,15,0)</f>
        <v>1.282</v>
      </c>
      <c r="F828" s="151">
        <f>SUMIFS('AFC Data details'!C:C,'AFC Data details'!$B:$B,'Element wise-detail Summary'!$A828)</f>
        <v>1</v>
      </c>
      <c r="G828" s="151">
        <f>SUMIFS(Cast!$C:$C,Cast!$B:$B,'Element wise-detail Summary'!$A828)</f>
        <v>1</v>
      </c>
      <c r="H828" s="151">
        <f t="shared" si="78"/>
        <v>0</v>
      </c>
      <c r="I828" s="151">
        <f>SUMIFS(Del!$C:$C,Del!$B:$B,'Element wise-detail Summary'!$A828)</f>
        <v>1</v>
      </c>
      <c r="J828" s="151">
        <f t="shared" si="79"/>
        <v>0</v>
      </c>
      <c r="K828" s="151">
        <f t="shared" si="80"/>
        <v>0</v>
      </c>
      <c r="L828" s="151">
        <f>SUMIF(Ere!$B:$B,'Element wise-detail Summary'!$A828,Ere!$C:$C)</f>
        <v>1</v>
      </c>
      <c r="M828" s="151">
        <f t="shared" si="81"/>
        <v>0</v>
      </c>
      <c r="N828">
        <f t="shared" si="77"/>
        <v>1.282</v>
      </c>
    </row>
    <row r="829" spans="1:14" hidden="1" x14ac:dyDescent="0.25">
      <c r="A829" s="151" t="s">
        <v>2191</v>
      </c>
      <c r="B829" s="233" t="str">
        <f>VLOOKUP(A829,'AFC Data details'!$B:$E,4,0)</f>
        <v>PV01</v>
      </c>
      <c r="C829" s="144" t="s">
        <v>1699</v>
      </c>
      <c r="D829" s="151" t="s">
        <v>602</v>
      </c>
      <c r="E829" s="151">
        <f>VLOOKUP(A829,'AFC Data details'!$B:$P,15,0)</f>
        <v>1.413</v>
      </c>
      <c r="F829" s="151">
        <f>SUMIFS('AFC Data details'!C:C,'AFC Data details'!$B:$B,'Element wise-detail Summary'!$A829)</f>
        <v>1</v>
      </c>
      <c r="G829" s="151">
        <f>SUMIFS(Cast!$C:$C,Cast!$B:$B,'Element wise-detail Summary'!$A829)</f>
        <v>1</v>
      </c>
      <c r="H829" s="151">
        <f t="shared" ref="H829" si="82">F829-G829</f>
        <v>0</v>
      </c>
      <c r="I829" s="151">
        <f>SUMIFS(Del!$C:$C,Del!$B:$B,'Element wise-detail Summary'!$A829)</f>
        <v>0</v>
      </c>
      <c r="J829" s="151">
        <f t="shared" ref="J829" si="83">F829-I829</f>
        <v>1</v>
      </c>
      <c r="K829" s="151">
        <f t="shared" ref="K829" si="84">G829-I829</f>
        <v>1</v>
      </c>
      <c r="L829" s="151">
        <f>SUMIF(Ere!$B:$B,'Element wise-detail Summary'!$A829,Ere!$C:$C)</f>
        <v>0</v>
      </c>
      <c r="M829" s="151">
        <f t="shared" ref="M829" si="85">F829-L829</f>
        <v>1</v>
      </c>
      <c r="N829">
        <f t="shared" ref="N829" si="86">I829*E829</f>
        <v>0</v>
      </c>
    </row>
    <row r="830" spans="1:14" hidden="1" x14ac:dyDescent="0.25">
      <c r="A830" s="151" t="s">
        <v>2192</v>
      </c>
      <c r="B830" s="233" t="str">
        <f>VLOOKUP(A830,'AFC Data details'!$B:$E,4,0)</f>
        <v>PV01</v>
      </c>
      <c r="C830" s="144" t="s">
        <v>1699</v>
      </c>
      <c r="D830" s="151" t="s">
        <v>602</v>
      </c>
      <c r="E830" s="151">
        <f>VLOOKUP(A830,'AFC Data details'!$B:$P,15,0)</f>
        <v>2.0830000000000002</v>
      </c>
      <c r="F830" s="151">
        <f>SUMIFS('AFC Data details'!C:C,'AFC Data details'!$B:$B,'Element wise-detail Summary'!$A830)</f>
        <v>1</v>
      </c>
      <c r="G830" s="151">
        <f>SUMIFS(Cast!$C:$C,Cast!$B:$B,'Element wise-detail Summary'!$A830)</f>
        <v>1</v>
      </c>
      <c r="H830" s="151">
        <f t="shared" ref="H830:H893" si="87">F830-G830</f>
        <v>0</v>
      </c>
      <c r="I830" s="151">
        <f>SUMIFS(Del!$C:$C,Del!$B:$B,'Element wise-detail Summary'!$A830)</f>
        <v>0</v>
      </c>
      <c r="J830" s="151">
        <f t="shared" ref="J830:J893" si="88">F830-I830</f>
        <v>1</v>
      </c>
      <c r="K830" s="151">
        <f t="shared" ref="K830:K893" si="89">G830-I830</f>
        <v>1</v>
      </c>
      <c r="L830" s="151">
        <f>SUMIF(Ere!$B:$B,'Element wise-detail Summary'!$A830,Ere!$C:$C)</f>
        <v>0</v>
      </c>
      <c r="M830" s="151">
        <f t="shared" ref="M830:M893" si="90">F830-L830</f>
        <v>1</v>
      </c>
      <c r="N830">
        <f t="shared" ref="N830:N893" si="91">I830*E830</f>
        <v>0</v>
      </c>
    </row>
    <row r="831" spans="1:14" hidden="1" x14ac:dyDescent="0.25">
      <c r="A831" s="151" t="s">
        <v>2194</v>
      </c>
      <c r="B831" s="233" t="str">
        <f>VLOOKUP(A831,'AFC Data details'!$B:$E,4,0)</f>
        <v>PV01</v>
      </c>
      <c r="C831" s="144" t="s">
        <v>1699</v>
      </c>
      <c r="D831" s="151" t="s">
        <v>602</v>
      </c>
      <c r="E831" s="151">
        <f>VLOOKUP(A831,'AFC Data details'!$B:$P,15,0)</f>
        <v>2.0830000000000002</v>
      </c>
      <c r="F831" s="151">
        <f>SUMIFS('AFC Data details'!C:C,'AFC Data details'!$B:$B,'Element wise-detail Summary'!$A831)</f>
        <v>1</v>
      </c>
      <c r="G831" s="151">
        <f>SUMIFS(Cast!$C:$C,Cast!$B:$B,'Element wise-detail Summary'!$A831)</f>
        <v>1</v>
      </c>
      <c r="H831" s="151">
        <f t="shared" si="87"/>
        <v>0</v>
      </c>
      <c r="I831" s="151">
        <f>SUMIFS(Del!$C:$C,Del!$B:$B,'Element wise-detail Summary'!$A831)</f>
        <v>0</v>
      </c>
      <c r="J831" s="151">
        <f t="shared" si="88"/>
        <v>1</v>
      </c>
      <c r="K831" s="151">
        <f t="shared" si="89"/>
        <v>1</v>
      </c>
      <c r="L831" s="151">
        <f>SUMIF(Ere!$B:$B,'Element wise-detail Summary'!$A831,Ere!$C:$C)</f>
        <v>0</v>
      </c>
      <c r="M831" s="151">
        <f t="shared" si="90"/>
        <v>1</v>
      </c>
      <c r="N831">
        <f t="shared" si="91"/>
        <v>0</v>
      </c>
    </row>
    <row r="832" spans="1:14" hidden="1" x14ac:dyDescent="0.25">
      <c r="A832" s="151" t="s">
        <v>2195</v>
      </c>
      <c r="B832" s="233" t="str">
        <f>VLOOKUP(A832,'AFC Data details'!$B:$E,4,0)</f>
        <v>PV01</v>
      </c>
      <c r="C832" s="144" t="s">
        <v>1699</v>
      </c>
      <c r="D832" s="151" t="s">
        <v>602</v>
      </c>
      <c r="E832" s="151">
        <f>VLOOKUP(A832,'AFC Data details'!$B:$P,15,0)</f>
        <v>2.2730000000000001</v>
      </c>
      <c r="F832" s="151">
        <f>SUMIFS('AFC Data details'!C:C,'AFC Data details'!$B:$B,'Element wise-detail Summary'!$A832)</f>
        <v>1</v>
      </c>
      <c r="G832" s="151">
        <f>SUMIFS(Cast!$C:$C,Cast!$B:$B,'Element wise-detail Summary'!$A832)</f>
        <v>1</v>
      </c>
      <c r="H832" s="151">
        <f t="shared" si="87"/>
        <v>0</v>
      </c>
      <c r="I832" s="151">
        <f>SUMIFS(Del!$C:$C,Del!$B:$B,'Element wise-detail Summary'!$A832)</f>
        <v>0</v>
      </c>
      <c r="J832" s="151">
        <f t="shared" si="88"/>
        <v>1</v>
      </c>
      <c r="K832" s="151">
        <f t="shared" si="89"/>
        <v>1</v>
      </c>
      <c r="L832" s="151">
        <f>SUMIF(Ere!$B:$B,'Element wise-detail Summary'!$A832,Ere!$C:$C)</f>
        <v>0</v>
      </c>
      <c r="M832" s="151">
        <f t="shared" si="90"/>
        <v>1</v>
      </c>
      <c r="N832">
        <f t="shared" si="91"/>
        <v>0</v>
      </c>
    </row>
    <row r="833" spans="1:14" hidden="1" x14ac:dyDescent="0.25">
      <c r="A833" s="151" t="s">
        <v>2196</v>
      </c>
      <c r="B833" s="233" t="str">
        <f>VLOOKUP(A833,'AFC Data details'!$B:$E,4,0)</f>
        <v>PV01</v>
      </c>
      <c r="C833" s="144" t="s">
        <v>1699</v>
      </c>
      <c r="D833" s="151" t="s">
        <v>602</v>
      </c>
      <c r="E833" s="151">
        <f>VLOOKUP(A833,'AFC Data details'!$B:$P,15,0)</f>
        <v>2.2730000000000001</v>
      </c>
      <c r="F833" s="151">
        <f>SUMIFS('AFC Data details'!C:C,'AFC Data details'!$B:$B,'Element wise-detail Summary'!$A833)</f>
        <v>1</v>
      </c>
      <c r="G833" s="151">
        <f>SUMIFS(Cast!$C:$C,Cast!$B:$B,'Element wise-detail Summary'!$A833)</f>
        <v>1</v>
      </c>
      <c r="H833" s="151">
        <f t="shared" si="87"/>
        <v>0</v>
      </c>
      <c r="I833" s="151">
        <f>SUMIFS(Del!$C:$C,Del!$B:$B,'Element wise-detail Summary'!$A833)</f>
        <v>0</v>
      </c>
      <c r="J833" s="151">
        <f t="shared" si="88"/>
        <v>1</v>
      </c>
      <c r="K833" s="151">
        <f t="shared" si="89"/>
        <v>1</v>
      </c>
      <c r="L833" s="151">
        <f>SUMIF(Ere!$B:$B,'Element wise-detail Summary'!$A833,Ere!$C:$C)</f>
        <v>0</v>
      </c>
      <c r="M833" s="151">
        <f t="shared" si="90"/>
        <v>1</v>
      </c>
      <c r="N833">
        <f t="shared" si="91"/>
        <v>0</v>
      </c>
    </row>
    <row r="834" spans="1:14" hidden="1" x14ac:dyDescent="0.25">
      <c r="A834" s="151" t="s">
        <v>2197</v>
      </c>
      <c r="B834" s="233" t="str">
        <f>VLOOKUP(A834,'AFC Data details'!$B:$E,4,0)</f>
        <v>PV01</v>
      </c>
      <c r="C834" s="144" t="s">
        <v>1699</v>
      </c>
      <c r="D834" s="151" t="s">
        <v>602</v>
      </c>
      <c r="E834" s="151">
        <f>VLOOKUP(A834,'AFC Data details'!$B:$P,15,0)</f>
        <v>2.383</v>
      </c>
      <c r="F834" s="151">
        <f>SUMIFS('AFC Data details'!C:C,'AFC Data details'!$B:$B,'Element wise-detail Summary'!$A834)</f>
        <v>1</v>
      </c>
      <c r="G834" s="151">
        <f>SUMIFS(Cast!$C:$C,Cast!$B:$B,'Element wise-detail Summary'!$A834)</f>
        <v>1</v>
      </c>
      <c r="H834" s="151">
        <f t="shared" si="87"/>
        <v>0</v>
      </c>
      <c r="I834" s="151">
        <f>SUMIFS(Del!$C:$C,Del!$B:$B,'Element wise-detail Summary'!$A834)</f>
        <v>0</v>
      </c>
      <c r="J834" s="151">
        <f t="shared" si="88"/>
        <v>1</v>
      </c>
      <c r="K834" s="151">
        <f t="shared" si="89"/>
        <v>1</v>
      </c>
      <c r="L834" s="151">
        <f>SUMIF(Ere!$B:$B,'Element wise-detail Summary'!$A834,Ere!$C:$C)</f>
        <v>0</v>
      </c>
      <c r="M834" s="151">
        <f t="shared" si="90"/>
        <v>1</v>
      </c>
      <c r="N834">
        <f t="shared" si="91"/>
        <v>0</v>
      </c>
    </row>
    <row r="835" spans="1:14" hidden="1" x14ac:dyDescent="0.25">
      <c r="A835" s="151" t="s">
        <v>2198</v>
      </c>
      <c r="B835" s="233" t="str">
        <f>VLOOKUP(A835,'AFC Data details'!$B:$E,4,0)</f>
        <v>PV01</v>
      </c>
      <c r="C835" s="144" t="s">
        <v>1699</v>
      </c>
      <c r="D835" s="151" t="s">
        <v>602</v>
      </c>
      <c r="E835" s="151">
        <f>VLOOKUP(A835,'AFC Data details'!$B:$P,15,0)</f>
        <v>2.5779999999999998</v>
      </c>
      <c r="F835" s="151">
        <f>SUMIFS('AFC Data details'!C:C,'AFC Data details'!$B:$B,'Element wise-detail Summary'!$A835)</f>
        <v>1</v>
      </c>
      <c r="G835" s="151">
        <f>SUMIFS(Cast!$C:$C,Cast!$B:$B,'Element wise-detail Summary'!$A835)</f>
        <v>1</v>
      </c>
      <c r="H835" s="151">
        <f t="shared" si="87"/>
        <v>0</v>
      </c>
      <c r="I835" s="151">
        <f>SUMIFS(Del!$C:$C,Del!$B:$B,'Element wise-detail Summary'!$A835)</f>
        <v>0</v>
      </c>
      <c r="J835" s="151">
        <f t="shared" si="88"/>
        <v>1</v>
      </c>
      <c r="K835" s="151">
        <f t="shared" si="89"/>
        <v>1</v>
      </c>
      <c r="L835" s="151">
        <f>SUMIF(Ere!$B:$B,'Element wise-detail Summary'!$A835,Ere!$C:$C)</f>
        <v>0</v>
      </c>
      <c r="M835" s="151">
        <f t="shared" si="90"/>
        <v>1</v>
      </c>
      <c r="N835">
        <f t="shared" si="91"/>
        <v>0</v>
      </c>
    </row>
    <row r="836" spans="1:14" hidden="1" x14ac:dyDescent="0.25">
      <c r="A836" s="151" t="s">
        <v>2199</v>
      </c>
      <c r="B836" s="233" t="str">
        <f>VLOOKUP(A836,'AFC Data details'!$B:$E,4,0)</f>
        <v>PV01</v>
      </c>
      <c r="C836" s="144" t="s">
        <v>1699</v>
      </c>
      <c r="D836" s="151" t="s">
        <v>602</v>
      </c>
      <c r="E836" s="151">
        <f>VLOOKUP(A836,'AFC Data details'!$B:$P,15,0)</f>
        <v>1.2290000000000001</v>
      </c>
      <c r="F836" s="151">
        <f>SUMIFS('AFC Data details'!C:C,'AFC Data details'!$B:$B,'Element wise-detail Summary'!$A836)</f>
        <v>1</v>
      </c>
      <c r="G836" s="151">
        <f>SUMIFS(Cast!$C:$C,Cast!$B:$B,'Element wise-detail Summary'!$A836)</f>
        <v>1</v>
      </c>
      <c r="H836" s="151">
        <f t="shared" si="87"/>
        <v>0</v>
      </c>
      <c r="I836" s="151">
        <f>SUMIFS(Del!$C:$C,Del!$B:$B,'Element wise-detail Summary'!$A836)</f>
        <v>0</v>
      </c>
      <c r="J836" s="151">
        <f t="shared" si="88"/>
        <v>1</v>
      </c>
      <c r="K836" s="151">
        <f t="shared" si="89"/>
        <v>1</v>
      </c>
      <c r="L836" s="151">
        <f>SUMIF(Ere!$B:$B,'Element wise-detail Summary'!$A836,Ere!$C:$C)</f>
        <v>0</v>
      </c>
      <c r="M836" s="151">
        <f t="shared" si="90"/>
        <v>1</v>
      </c>
      <c r="N836">
        <f t="shared" si="91"/>
        <v>0</v>
      </c>
    </row>
    <row r="837" spans="1:14" hidden="1" x14ac:dyDescent="0.25">
      <c r="A837" s="151" t="s">
        <v>2200</v>
      </c>
      <c r="B837" s="233" t="str">
        <f>VLOOKUP(A837,'AFC Data details'!$B:$E,4,0)</f>
        <v>PV03</v>
      </c>
      <c r="C837" s="144" t="s">
        <v>1699</v>
      </c>
      <c r="D837" s="151" t="s">
        <v>602</v>
      </c>
      <c r="E837" s="151">
        <f>VLOOKUP(A837,'AFC Data details'!$B:$P,15,0)</f>
        <v>1.413</v>
      </c>
      <c r="F837" s="151">
        <f>SUMIFS('AFC Data details'!C:C,'AFC Data details'!$B:$B,'Element wise-detail Summary'!$A837)</f>
        <v>1</v>
      </c>
      <c r="G837" s="151">
        <f>SUMIFS(Cast!$C:$C,Cast!$B:$B,'Element wise-detail Summary'!$A837)</f>
        <v>1</v>
      </c>
      <c r="H837" s="151">
        <f t="shared" si="87"/>
        <v>0</v>
      </c>
      <c r="I837" s="151">
        <f>SUMIFS(Del!$C:$C,Del!$B:$B,'Element wise-detail Summary'!$A837)</f>
        <v>0</v>
      </c>
      <c r="J837" s="151">
        <f t="shared" si="88"/>
        <v>1</v>
      </c>
      <c r="K837" s="151">
        <f t="shared" si="89"/>
        <v>1</v>
      </c>
      <c r="L837" s="151">
        <f>SUMIF(Ere!$B:$B,'Element wise-detail Summary'!$A837,Ere!$C:$C)</f>
        <v>0</v>
      </c>
      <c r="M837" s="151">
        <f t="shared" si="90"/>
        <v>1</v>
      </c>
      <c r="N837">
        <f t="shared" si="91"/>
        <v>0</v>
      </c>
    </row>
    <row r="838" spans="1:14" hidden="1" x14ac:dyDescent="0.25">
      <c r="A838" s="151" t="s">
        <v>2201</v>
      </c>
      <c r="B838" s="233" t="str">
        <f>VLOOKUP(A838,'AFC Data details'!$B:$E,4,0)</f>
        <v>PV05</v>
      </c>
      <c r="C838" s="144" t="s">
        <v>1699</v>
      </c>
      <c r="D838" s="151" t="s">
        <v>602</v>
      </c>
      <c r="E838" s="151">
        <f>VLOOKUP(A838,'AFC Data details'!$B:$P,15,0)</f>
        <v>1.413</v>
      </c>
      <c r="F838" s="151">
        <f>SUMIFS('AFC Data details'!C:C,'AFC Data details'!$B:$B,'Element wise-detail Summary'!$A838)</f>
        <v>1</v>
      </c>
      <c r="G838" s="151">
        <f>SUMIFS(Cast!$C:$C,Cast!$B:$B,'Element wise-detail Summary'!$A838)</f>
        <v>1</v>
      </c>
      <c r="H838" s="151">
        <f t="shared" si="87"/>
        <v>0</v>
      </c>
      <c r="I838" s="151">
        <f>SUMIFS(Del!$C:$C,Del!$B:$B,'Element wise-detail Summary'!$A838)</f>
        <v>0</v>
      </c>
      <c r="J838" s="151">
        <f t="shared" si="88"/>
        <v>1</v>
      </c>
      <c r="K838" s="151">
        <f t="shared" si="89"/>
        <v>1</v>
      </c>
      <c r="L838" s="151">
        <f>SUMIF(Ere!$B:$B,'Element wise-detail Summary'!$A838,Ere!$C:$C)</f>
        <v>0</v>
      </c>
      <c r="M838" s="151">
        <f t="shared" si="90"/>
        <v>1</v>
      </c>
      <c r="N838">
        <f t="shared" si="91"/>
        <v>0</v>
      </c>
    </row>
    <row r="839" spans="1:14" hidden="1" x14ac:dyDescent="0.25">
      <c r="A839" s="151" t="s">
        <v>2202</v>
      </c>
      <c r="B839" s="233" t="str">
        <f>VLOOKUP(A839,'AFC Data details'!$B:$E,4,0)</f>
        <v>PV07</v>
      </c>
      <c r="C839" s="144" t="s">
        <v>1699</v>
      </c>
      <c r="D839" s="151" t="s">
        <v>602</v>
      </c>
      <c r="E839" s="151">
        <f>VLOOKUP(A839,'AFC Data details'!$B:$P,15,0)</f>
        <v>1.413</v>
      </c>
      <c r="F839" s="151">
        <f>SUMIFS('AFC Data details'!C:C,'AFC Data details'!$B:$B,'Element wise-detail Summary'!$A839)</f>
        <v>1</v>
      </c>
      <c r="G839" s="151">
        <f>SUMIFS(Cast!$C:$C,Cast!$B:$B,'Element wise-detail Summary'!$A839)</f>
        <v>1</v>
      </c>
      <c r="H839" s="151">
        <f t="shared" si="87"/>
        <v>0</v>
      </c>
      <c r="I839" s="151">
        <f>SUMIFS(Del!$C:$C,Del!$B:$B,'Element wise-detail Summary'!$A839)</f>
        <v>0</v>
      </c>
      <c r="J839" s="151">
        <f t="shared" si="88"/>
        <v>1</v>
      </c>
      <c r="K839" s="151">
        <f t="shared" si="89"/>
        <v>1</v>
      </c>
      <c r="L839" s="151">
        <f>SUMIF(Ere!$B:$B,'Element wise-detail Summary'!$A839,Ere!$C:$C)</f>
        <v>0</v>
      </c>
      <c r="M839" s="151">
        <f t="shared" si="90"/>
        <v>1</v>
      </c>
      <c r="N839">
        <f t="shared" si="91"/>
        <v>0</v>
      </c>
    </row>
    <row r="840" spans="1:14" hidden="1" x14ac:dyDescent="0.25">
      <c r="A840" s="151" t="s">
        <v>2203</v>
      </c>
      <c r="B840" s="233" t="str">
        <f>VLOOKUP(A840,'AFC Data details'!$B:$E,4,0)</f>
        <v>PV09</v>
      </c>
      <c r="C840" s="144" t="s">
        <v>1699</v>
      </c>
      <c r="D840" s="151" t="s">
        <v>602</v>
      </c>
      <c r="E840" s="151">
        <f>VLOOKUP(A840,'AFC Data details'!$B:$P,15,0)</f>
        <v>1.413</v>
      </c>
      <c r="F840" s="151">
        <f>SUMIFS('AFC Data details'!C:C,'AFC Data details'!$B:$B,'Element wise-detail Summary'!$A840)</f>
        <v>1</v>
      </c>
      <c r="G840" s="151">
        <f>SUMIFS(Cast!$C:$C,Cast!$B:$B,'Element wise-detail Summary'!$A840)</f>
        <v>1</v>
      </c>
      <c r="H840" s="151">
        <f t="shared" si="87"/>
        <v>0</v>
      </c>
      <c r="I840" s="151">
        <f>SUMIFS(Del!$C:$C,Del!$B:$B,'Element wise-detail Summary'!$A840)</f>
        <v>0</v>
      </c>
      <c r="J840" s="151">
        <f t="shared" si="88"/>
        <v>1</v>
      </c>
      <c r="K840" s="151">
        <f t="shared" si="89"/>
        <v>1</v>
      </c>
      <c r="L840" s="151">
        <f>SUMIF(Ere!$B:$B,'Element wise-detail Summary'!$A840,Ere!$C:$C)</f>
        <v>0</v>
      </c>
      <c r="M840" s="151">
        <f t="shared" si="90"/>
        <v>1</v>
      </c>
      <c r="N840">
        <f t="shared" si="91"/>
        <v>0</v>
      </c>
    </row>
    <row r="841" spans="1:14" hidden="1" x14ac:dyDescent="0.25">
      <c r="A841" s="151" t="s">
        <v>2204</v>
      </c>
      <c r="B841" s="233" t="str">
        <f>VLOOKUP(A841,'AFC Data details'!$B:$E,4,0)</f>
        <v>PV011</v>
      </c>
      <c r="C841" s="144" t="s">
        <v>1699</v>
      </c>
      <c r="D841" s="151" t="s">
        <v>602</v>
      </c>
      <c r="E841" s="151">
        <f>VLOOKUP(A841,'AFC Data details'!$B:$P,15,0)</f>
        <v>1.413</v>
      </c>
      <c r="F841" s="151">
        <f>SUMIFS('AFC Data details'!C:C,'AFC Data details'!$B:$B,'Element wise-detail Summary'!$A841)</f>
        <v>1</v>
      </c>
      <c r="G841" s="151">
        <f>SUMIFS(Cast!$C:$C,Cast!$B:$B,'Element wise-detail Summary'!$A841)</f>
        <v>1</v>
      </c>
      <c r="H841" s="151">
        <f t="shared" si="87"/>
        <v>0</v>
      </c>
      <c r="I841" s="151">
        <f>SUMIFS(Del!$C:$C,Del!$B:$B,'Element wise-detail Summary'!$A841)</f>
        <v>0</v>
      </c>
      <c r="J841" s="151">
        <f t="shared" si="88"/>
        <v>1</v>
      </c>
      <c r="K841" s="151">
        <f t="shared" si="89"/>
        <v>1</v>
      </c>
      <c r="L841" s="151">
        <f>SUMIF(Ere!$B:$B,'Element wise-detail Summary'!$A841,Ere!$C:$C)</f>
        <v>0</v>
      </c>
      <c r="M841" s="151">
        <f t="shared" si="90"/>
        <v>1</v>
      </c>
      <c r="N841">
        <f t="shared" si="91"/>
        <v>0</v>
      </c>
    </row>
    <row r="842" spans="1:14" hidden="1" x14ac:dyDescent="0.25">
      <c r="A842" s="151" t="s">
        <v>2205</v>
      </c>
      <c r="B842" s="233" t="str">
        <f>VLOOKUP(A842,'AFC Data details'!$B:$E,4,0)</f>
        <v>PV013</v>
      </c>
      <c r="C842" s="144" t="s">
        <v>1699</v>
      </c>
      <c r="D842" s="151" t="s">
        <v>602</v>
      </c>
      <c r="E842" s="151">
        <f>VLOOKUP(A842,'AFC Data details'!$B:$P,15,0)</f>
        <v>1.413</v>
      </c>
      <c r="F842" s="151">
        <f>SUMIFS('AFC Data details'!C:C,'AFC Data details'!$B:$B,'Element wise-detail Summary'!$A842)</f>
        <v>1</v>
      </c>
      <c r="G842" s="151">
        <f>SUMIFS(Cast!$C:$C,Cast!$B:$B,'Element wise-detail Summary'!$A842)</f>
        <v>1</v>
      </c>
      <c r="H842" s="151">
        <f t="shared" si="87"/>
        <v>0</v>
      </c>
      <c r="I842" s="151">
        <f>SUMIFS(Del!$C:$C,Del!$B:$B,'Element wise-detail Summary'!$A842)</f>
        <v>0</v>
      </c>
      <c r="J842" s="151">
        <f t="shared" si="88"/>
        <v>1</v>
      </c>
      <c r="K842" s="151">
        <f t="shared" si="89"/>
        <v>1</v>
      </c>
      <c r="L842" s="151">
        <f>SUMIF(Ere!$B:$B,'Element wise-detail Summary'!$A842,Ere!$C:$C)</f>
        <v>0</v>
      </c>
      <c r="M842" s="151">
        <f t="shared" si="90"/>
        <v>1</v>
      </c>
      <c r="N842">
        <f t="shared" si="91"/>
        <v>0</v>
      </c>
    </row>
    <row r="843" spans="1:14" hidden="1" x14ac:dyDescent="0.25">
      <c r="A843" s="151" t="s">
        <v>2206</v>
      </c>
      <c r="B843" s="233" t="str">
        <f>VLOOKUP(A843,'AFC Data details'!$B:$E,4,0)</f>
        <v>PV015</v>
      </c>
      <c r="C843" s="144" t="s">
        <v>1699</v>
      </c>
      <c r="D843" s="151" t="s">
        <v>602</v>
      </c>
      <c r="E843" s="151">
        <f>VLOOKUP(A843,'AFC Data details'!$B:$P,15,0)</f>
        <v>1.413</v>
      </c>
      <c r="F843" s="151">
        <f>SUMIFS('AFC Data details'!C:C,'AFC Data details'!$B:$B,'Element wise-detail Summary'!$A843)</f>
        <v>1</v>
      </c>
      <c r="G843" s="151">
        <f>SUMIFS(Cast!$C:$C,Cast!$B:$B,'Element wise-detail Summary'!$A843)</f>
        <v>1</v>
      </c>
      <c r="H843" s="151">
        <f t="shared" si="87"/>
        <v>0</v>
      </c>
      <c r="I843" s="151">
        <f>SUMIFS(Del!$C:$C,Del!$B:$B,'Element wise-detail Summary'!$A843)</f>
        <v>0</v>
      </c>
      <c r="J843" s="151">
        <f t="shared" si="88"/>
        <v>1</v>
      </c>
      <c r="K843" s="151">
        <f t="shared" si="89"/>
        <v>1</v>
      </c>
      <c r="L843" s="151">
        <f>SUMIF(Ere!$B:$B,'Element wise-detail Summary'!$A843,Ere!$C:$C)</f>
        <v>0</v>
      </c>
      <c r="M843" s="151">
        <f t="shared" si="90"/>
        <v>1</v>
      </c>
      <c r="N843">
        <f t="shared" si="91"/>
        <v>0</v>
      </c>
    </row>
    <row r="844" spans="1:14" hidden="1" x14ac:dyDescent="0.25">
      <c r="A844" s="151" t="s">
        <v>2207</v>
      </c>
      <c r="B844" s="233" t="str">
        <f>VLOOKUP(A844,'AFC Data details'!$B:$E,4,0)</f>
        <v>PV01</v>
      </c>
      <c r="C844" s="144" t="s">
        <v>1699</v>
      </c>
      <c r="D844" s="151" t="s">
        <v>602</v>
      </c>
      <c r="E844" s="151">
        <f>VLOOKUP(A844,'AFC Data details'!$B:$P,15,0)</f>
        <v>1.657</v>
      </c>
      <c r="F844" s="151">
        <f>SUMIFS('AFC Data details'!C:C,'AFC Data details'!$B:$B,'Element wise-detail Summary'!$A844)</f>
        <v>1</v>
      </c>
      <c r="G844" s="151">
        <f>SUMIFS(Cast!$C:$C,Cast!$B:$B,'Element wise-detail Summary'!$A844)</f>
        <v>1</v>
      </c>
      <c r="H844" s="151">
        <f t="shared" si="87"/>
        <v>0</v>
      </c>
      <c r="I844" s="151">
        <f>SUMIFS(Del!$C:$C,Del!$B:$B,'Element wise-detail Summary'!$A844)</f>
        <v>0</v>
      </c>
      <c r="J844" s="151">
        <f t="shared" si="88"/>
        <v>1</v>
      </c>
      <c r="K844" s="151">
        <f t="shared" si="89"/>
        <v>1</v>
      </c>
      <c r="L844" s="151">
        <f>SUMIF(Ere!$B:$B,'Element wise-detail Summary'!$A844,Ere!$C:$C)</f>
        <v>0</v>
      </c>
      <c r="M844" s="151">
        <f t="shared" si="90"/>
        <v>1</v>
      </c>
      <c r="N844">
        <f t="shared" si="91"/>
        <v>0</v>
      </c>
    </row>
    <row r="845" spans="1:14" hidden="1" x14ac:dyDescent="0.25">
      <c r="A845" s="151" t="s">
        <v>2208</v>
      </c>
      <c r="B845" s="233" t="str">
        <f>VLOOKUP(A845,'AFC Data details'!$B:$E,4,0)</f>
        <v>PV01</v>
      </c>
      <c r="C845" s="144" t="s">
        <v>1699</v>
      </c>
      <c r="D845" s="151" t="s">
        <v>602</v>
      </c>
      <c r="E845" s="151">
        <f>VLOOKUP(A845,'AFC Data details'!$B:$P,15,0)</f>
        <v>1.554</v>
      </c>
      <c r="F845" s="151">
        <f>SUMIFS('AFC Data details'!C:C,'AFC Data details'!$B:$B,'Element wise-detail Summary'!$A845)</f>
        <v>1</v>
      </c>
      <c r="G845" s="151">
        <f>SUMIFS(Cast!$C:$C,Cast!$B:$B,'Element wise-detail Summary'!$A845)</f>
        <v>1</v>
      </c>
      <c r="H845" s="151">
        <f t="shared" si="87"/>
        <v>0</v>
      </c>
      <c r="I845" s="151">
        <f>SUMIFS(Del!$C:$C,Del!$B:$B,'Element wise-detail Summary'!$A845)</f>
        <v>0</v>
      </c>
      <c r="J845" s="151">
        <f t="shared" si="88"/>
        <v>1</v>
      </c>
      <c r="K845" s="151">
        <f t="shared" si="89"/>
        <v>1</v>
      </c>
      <c r="L845" s="151">
        <f>SUMIF(Ere!$B:$B,'Element wise-detail Summary'!$A845,Ere!$C:$C)</f>
        <v>0</v>
      </c>
      <c r="M845" s="151">
        <f t="shared" si="90"/>
        <v>1</v>
      </c>
      <c r="N845">
        <f t="shared" si="91"/>
        <v>0</v>
      </c>
    </row>
    <row r="846" spans="1:14" hidden="1" x14ac:dyDescent="0.25">
      <c r="A846" s="151" t="s">
        <v>2209</v>
      </c>
      <c r="B846" s="233" t="str">
        <f>VLOOKUP(A846,'AFC Data details'!$B:$E,4,0)</f>
        <v>PV02</v>
      </c>
      <c r="C846" s="144" t="s">
        <v>1699</v>
      </c>
      <c r="D846" s="151" t="s">
        <v>602</v>
      </c>
      <c r="E846" s="151">
        <f>VLOOKUP(A846,'AFC Data details'!$B:$P,15,0)</f>
        <v>2.0649999999999999</v>
      </c>
      <c r="F846" s="151">
        <f>SUMIFS('AFC Data details'!C:C,'AFC Data details'!$B:$B,'Element wise-detail Summary'!$A846)</f>
        <v>1</v>
      </c>
      <c r="G846" s="151">
        <f>SUMIFS(Cast!$C:$C,Cast!$B:$B,'Element wise-detail Summary'!$A846)</f>
        <v>1</v>
      </c>
      <c r="H846" s="151">
        <f t="shared" si="87"/>
        <v>0</v>
      </c>
      <c r="I846" s="151">
        <f>SUMIFS(Del!$C:$C,Del!$B:$B,'Element wise-detail Summary'!$A846)</f>
        <v>1</v>
      </c>
      <c r="J846" s="151">
        <f t="shared" si="88"/>
        <v>0</v>
      </c>
      <c r="K846" s="151">
        <f t="shared" si="89"/>
        <v>0</v>
      </c>
      <c r="L846" s="151">
        <f>SUMIF(Ere!$B:$B,'Element wise-detail Summary'!$A846,Ere!$C:$C)</f>
        <v>0</v>
      </c>
      <c r="M846" s="151">
        <f t="shared" si="90"/>
        <v>1</v>
      </c>
      <c r="N846">
        <f t="shared" si="91"/>
        <v>2.0649999999999999</v>
      </c>
    </row>
    <row r="847" spans="1:14" hidden="1" x14ac:dyDescent="0.25">
      <c r="A847" s="151" t="s">
        <v>2210</v>
      </c>
      <c r="B847" s="233" t="str">
        <f>VLOOKUP(A847,'AFC Data details'!$B:$E,4,0)</f>
        <v>PV03</v>
      </c>
      <c r="C847" s="144" t="s">
        <v>1699</v>
      </c>
      <c r="D847" s="151" t="s">
        <v>602</v>
      </c>
      <c r="E847" s="151">
        <f>VLOOKUP(A847,'AFC Data details'!$B:$P,15,0)</f>
        <v>2.0649999999999999</v>
      </c>
      <c r="F847" s="151">
        <f>SUMIFS('AFC Data details'!C:C,'AFC Data details'!$B:$B,'Element wise-detail Summary'!$A847)</f>
        <v>1</v>
      </c>
      <c r="G847" s="151">
        <f>SUMIFS(Cast!$C:$C,Cast!$B:$B,'Element wise-detail Summary'!$A847)</f>
        <v>1</v>
      </c>
      <c r="H847" s="151">
        <f t="shared" si="87"/>
        <v>0</v>
      </c>
      <c r="I847" s="151">
        <f>SUMIFS(Del!$C:$C,Del!$B:$B,'Element wise-detail Summary'!$A847)</f>
        <v>1</v>
      </c>
      <c r="J847" s="151">
        <f t="shared" si="88"/>
        <v>0</v>
      </c>
      <c r="K847" s="151">
        <f t="shared" si="89"/>
        <v>0</v>
      </c>
      <c r="L847" s="151">
        <f>SUMIF(Ere!$B:$B,'Element wise-detail Summary'!$A847,Ere!$C:$C)</f>
        <v>0</v>
      </c>
      <c r="M847" s="151">
        <f t="shared" si="90"/>
        <v>1</v>
      </c>
      <c r="N847">
        <f t="shared" si="91"/>
        <v>2.0649999999999999</v>
      </c>
    </row>
    <row r="848" spans="1:14" hidden="1" x14ac:dyDescent="0.25">
      <c r="A848" s="151" t="s">
        <v>2211</v>
      </c>
      <c r="B848" s="233" t="str">
        <f>VLOOKUP(A848,'AFC Data details'!$B:$E,4,0)</f>
        <v>PV02</v>
      </c>
      <c r="C848" s="144" t="s">
        <v>1699</v>
      </c>
      <c r="D848" s="151" t="s">
        <v>602</v>
      </c>
      <c r="E848" s="151">
        <f>VLOOKUP(A848,'AFC Data details'!$B:$P,15,0)</f>
        <v>2.0649999999999999</v>
      </c>
      <c r="F848" s="151">
        <f>SUMIFS('AFC Data details'!C:C,'AFC Data details'!$B:$B,'Element wise-detail Summary'!$A848)</f>
        <v>1</v>
      </c>
      <c r="G848" s="151">
        <f>SUMIFS(Cast!$C:$C,Cast!$B:$B,'Element wise-detail Summary'!$A848)</f>
        <v>1</v>
      </c>
      <c r="H848" s="151">
        <f t="shared" si="87"/>
        <v>0</v>
      </c>
      <c r="I848" s="151">
        <f>SUMIFS(Del!$C:$C,Del!$B:$B,'Element wise-detail Summary'!$A848)</f>
        <v>1</v>
      </c>
      <c r="J848" s="151">
        <f t="shared" si="88"/>
        <v>0</v>
      </c>
      <c r="K848" s="151">
        <f t="shared" si="89"/>
        <v>0</v>
      </c>
      <c r="L848" s="151">
        <f>SUMIF(Ere!$B:$B,'Element wise-detail Summary'!$A848,Ere!$C:$C)</f>
        <v>0</v>
      </c>
      <c r="M848" s="151">
        <f t="shared" si="90"/>
        <v>1</v>
      </c>
      <c r="N848">
        <f t="shared" si="91"/>
        <v>2.0649999999999999</v>
      </c>
    </row>
    <row r="849" spans="1:14" hidden="1" x14ac:dyDescent="0.25">
      <c r="A849" s="151" t="s">
        <v>2212</v>
      </c>
      <c r="B849" s="233" t="str">
        <f>VLOOKUP(A849,'AFC Data details'!$B:$E,4,0)</f>
        <v>PV02</v>
      </c>
      <c r="C849" s="144" t="s">
        <v>1699</v>
      </c>
      <c r="D849" s="151" t="s">
        <v>602</v>
      </c>
      <c r="E849" s="151">
        <f>VLOOKUP(A849,'AFC Data details'!$B:$P,15,0)</f>
        <v>2.0649999999999999</v>
      </c>
      <c r="F849" s="151">
        <f>SUMIFS('AFC Data details'!C:C,'AFC Data details'!$B:$B,'Element wise-detail Summary'!$A849)</f>
        <v>1</v>
      </c>
      <c r="G849" s="151">
        <f>SUMIFS(Cast!$C:$C,Cast!$B:$B,'Element wise-detail Summary'!$A849)</f>
        <v>1</v>
      </c>
      <c r="H849" s="151">
        <f t="shared" si="87"/>
        <v>0</v>
      </c>
      <c r="I849" s="151">
        <f>SUMIFS(Del!$C:$C,Del!$B:$B,'Element wise-detail Summary'!$A849)</f>
        <v>1</v>
      </c>
      <c r="J849" s="151">
        <f t="shared" si="88"/>
        <v>0</v>
      </c>
      <c r="K849" s="151">
        <f t="shared" si="89"/>
        <v>0</v>
      </c>
      <c r="L849" s="151">
        <f>SUMIF(Ere!$B:$B,'Element wise-detail Summary'!$A849,Ere!$C:$C)</f>
        <v>0</v>
      </c>
      <c r="M849" s="151">
        <f t="shared" si="90"/>
        <v>1</v>
      </c>
      <c r="N849">
        <f t="shared" si="91"/>
        <v>2.0649999999999999</v>
      </c>
    </row>
    <row r="850" spans="1:14" hidden="1" x14ac:dyDescent="0.25">
      <c r="A850" s="151" t="s">
        <v>2213</v>
      </c>
      <c r="B850" s="233" t="str">
        <f>VLOOKUP(A850,'AFC Data details'!$B:$E,4,0)</f>
        <v>PV02</v>
      </c>
      <c r="C850" s="144" t="s">
        <v>1699</v>
      </c>
      <c r="D850" s="151" t="s">
        <v>602</v>
      </c>
      <c r="E850" s="151">
        <f>VLOOKUP(A850,'AFC Data details'!$B:$P,15,0)</f>
        <v>2.0649999999999999</v>
      </c>
      <c r="F850" s="151">
        <f>SUMIFS('AFC Data details'!C:C,'AFC Data details'!$B:$B,'Element wise-detail Summary'!$A850)</f>
        <v>1</v>
      </c>
      <c r="G850" s="151">
        <f>SUMIFS(Cast!$C:$C,Cast!$B:$B,'Element wise-detail Summary'!$A850)</f>
        <v>1</v>
      </c>
      <c r="H850" s="151">
        <f t="shared" si="87"/>
        <v>0</v>
      </c>
      <c r="I850" s="151">
        <f>SUMIFS(Del!$C:$C,Del!$B:$B,'Element wise-detail Summary'!$A850)</f>
        <v>1</v>
      </c>
      <c r="J850" s="151">
        <f t="shared" si="88"/>
        <v>0</v>
      </c>
      <c r="K850" s="151">
        <f t="shared" si="89"/>
        <v>0</v>
      </c>
      <c r="L850" s="151">
        <f>SUMIF(Ere!$B:$B,'Element wise-detail Summary'!$A850,Ere!$C:$C)</f>
        <v>0</v>
      </c>
      <c r="M850" s="151">
        <f t="shared" si="90"/>
        <v>1</v>
      </c>
      <c r="N850">
        <f t="shared" si="91"/>
        <v>2.0649999999999999</v>
      </c>
    </row>
    <row r="851" spans="1:14" hidden="1" x14ac:dyDescent="0.25">
      <c r="A851" s="151" t="s">
        <v>2214</v>
      </c>
      <c r="B851" s="233" t="str">
        <f>VLOOKUP(A851,'AFC Data details'!$B:$E,4,0)</f>
        <v>PV02</v>
      </c>
      <c r="C851" s="144" t="s">
        <v>1699</v>
      </c>
      <c r="D851" s="151" t="s">
        <v>602</v>
      </c>
      <c r="E851" s="151">
        <f>VLOOKUP(A851,'AFC Data details'!$B:$P,15,0)</f>
        <v>2.0649999999999999</v>
      </c>
      <c r="F851" s="151">
        <f>SUMIFS('AFC Data details'!C:C,'AFC Data details'!$B:$B,'Element wise-detail Summary'!$A851)</f>
        <v>1</v>
      </c>
      <c r="G851" s="151">
        <f>SUMIFS(Cast!$C:$C,Cast!$B:$B,'Element wise-detail Summary'!$A851)</f>
        <v>1</v>
      </c>
      <c r="H851" s="151">
        <f t="shared" si="87"/>
        <v>0</v>
      </c>
      <c r="I851" s="151">
        <f>SUMIFS(Del!$C:$C,Del!$B:$B,'Element wise-detail Summary'!$A851)</f>
        <v>1</v>
      </c>
      <c r="J851" s="151">
        <f t="shared" si="88"/>
        <v>0</v>
      </c>
      <c r="K851" s="151">
        <f t="shared" si="89"/>
        <v>0</v>
      </c>
      <c r="L851" s="151">
        <f>SUMIF(Ere!$B:$B,'Element wise-detail Summary'!$A851,Ere!$C:$C)</f>
        <v>0</v>
      </c>
      <c r="M851" s="151">
        <f t="shared" si="90"/>
        <v>1</v>
      </c>
      <c r="N851">
        <f t="shared" si="91"/>
        <v>2.0649999999999999</v>
      </c>
    </row>
    <row r="852" spans="1:14" hidden="1" x14ac:dyDescent="0.25">
      <c r="A852" s="151" t="s">
        <v>2215</v>
      </c>
      <c r="B852" s="233" t="str">
        <f>VLOOKUP(A852,'AFC Data details'!$B:$E,4,0)</f>
        <v>PV03</v>
      </c>
      <c r="C852" s="144" t="s">
        <v>1699</v>
      </c>
      <c r="D852" s="151" t="s">
        <v>602</v>
      </c>
      <c r="E852" s="151">
        <f>VLOOKUP(A852,'AFC Data details'!$B:$P,15,0)</f>
        <v>2.0649999999999999</v>
      </c>
      <c r="F852" s="151">
        <f>SUMIFS('AFC Data details'!C:C,'AFC Data details'!$B:$B,'Element wise-detail Summary'!$A852)</f>
        <v>1</v>
      </c>
      <c r="G852" s="151">
        <f>SUMIFS(Cast!$C:$C,Cast!$B:$B,'Element wise-detail Summary'!$A852)</f>
        <v>1</v>
      </c>
      <c r="H852" s="151">
        <f t="shared" si="87"/>
        <v>0</v>
      </c>
      <c r="I852" s="151">
        <f>SUMIFS(Del!$C:$C,Del!$B:$B,'Element wise-detail Summary'!$A852)</f>
        <v>1</v>
      </c>
      <c r="J852" s="151">
        <f t="shared" si="88"/>
        <v>0</v>
      </c>
      <c r="K852" s="151">
        <f t="shared" si="89"/>
        <v>0</v>
      </c>
      <c r="L852" s="151">
        <f>SUMIF(Ere!$B:$B,'Element wise-detail Summary'!$A852,Ere!$C:$C)</f>
        <v>0</v>
      </c>
      <c r="M852" s="151">
        <f t="shared" si="90"/>
        <v>1</v>
      </c>
      <c r="N852">
        <f t="shared" si="91"/>
        <v>2.0649999999999999</v>
      </c>
    </row>
    <row r="853" spans="1:14" hidden="1" x14ac:dyDescent="0.25">
      <c r="A853" s="151" t="s">
        <v>2216</v>
      </c>
      <c r="B853" s="233" t="str">
        <f>VLOOKUP(A853,'AFC Data details'!$B:$E,4,0)</f>
        <v>PV03</v>
      </c>
      <c r="C853" s="144" t="s">
        <v>1699</v>
      </c>
      <c r="D853" s="151" t="s">
        <v>602</v>
      </c>
      <c r="E853" s="151">
        <f>VLOOKUP(A853,'AFC Data details'!$B:$P,15,0)</f>
        <v>2.0649999999999999</v>
      </c>
      <c r="F853" s="151">
        <f>SUMIFS('AFC Data details'!C:C,'AFC Data details'!$B:$B,'Element wise-detail Summary'!$A853)</f>
        <v>1</v>
      </c>
      <c r="G853" s="151">
        <f>SUMIFS(Cast!$C:$C,Cast!$B:$B,'Element wise-detail Summary'!$A853)</f>
        <v>1</v>
      </c>
      <c r="H853" s="151">
        <f t="shared" si="87"/>
        <v>0</v>
      </c>
      <c r="I853" s="151">
        <f>SUMIFS(Del!$C:$C,Del!$B:$B,'Element wise-detail Summary'!$A853)</f>
        <v>1</v>
      </c>
      <c r="J853" s="151">
        <f t="shared" si="88"/>
        <v>0</v>
      </c>
      <c r="K853" s="151">
        <f t="shared" si="89"/>
        <v>0</v>
      </c>
      <c r="L853" s="151">
        <f>SUMIF(Ere!$B:$B,'Element wise-detail Summary'!$A853,Ere!$C:$C)</f>
        <v>0</v>
      </c>
      <c r="M853" s="151">
        <f t="shared" si="90"/>
        <v>1</v>
      </c>
      <c r="N853">
        <f t="shared" si="91"/>
        <v>2.0649999999999999</v>
      </c>
    </row>
    <row r="854" spans="1:14" hidden="1" x14ac:dyDescent="0.25">
      <c r="A854" s="151" t="s">
        <v>2217</v>
      </c>
      <c r="B854" s="233" t="str">
        <f>VLOOKUP(A854,'AFC Data details'!$B:$E,4,0)</f>
        <v>PV03</v>
      </c>
      <c r="C854" s="144" t="s">
        <v>1699</v>
      </c>
      <c r="D854" s="151" t="s">
        <v>602</v>
      </c>
      <c r="E854" s="151">
        <f>VLOOKUP(A854,'AFC Data details'!$B:$P,15,0)</f>
        <v>2.0649999999999999</v>
      </c>
      <c r="F854" s="151">
        <f>SUMIFS('AFC Data details'!C:C,'AFC Data details'!$B:$B,'Element wise-detail Summary'!$A854)</f>
        <v>1</v>
      </c>
      <c r="G854" s="151">
        <f>SUMIFS(Cast!$C:$C,Cast!$B:$B,'Element wise-detail Summary'!$A854)</f>
        <v>1</v>
      </c>
      <c r="H854" s="151">
        <f t="shared" si="87"/>
        <v>0</v>
      </c>
      <c r="I854" s="151">
        <f>SUMIFS(Del!$C:$C,Del!$B:$B,'Element wise-detail Summary'!$A854)</f>
        <v>1</v>
      </c>
      <c r="J854" s="151">
        <f t="shared" si="88"/>
        <v>0</v>
      </c>
      <c r="K854" s="151">
        <f t="shared" si="89"/>
        <v>0</v>
      </c>
      <c r="L854" s="151">
        <f>SUMIF(Ere!$B:$B,'Element wise-detail Summary'!$A854,Ere!$C:$C)</f>
        <v>0</v>
      </c>
      <c r="M854" s="151">
        <f t="shared" si="90"/>
        <v>1</v>
      </c>
      <c r="N854">
        <f t="shared" si="91"/>
        <v>2.0649999999999999</v>
      </c>
    </row>
    <row r="855" spans="1:14" hidden="1" x14ac:dyDescent="0.25">
      <c r="A855" s="151" t="s">
        <v>2218</v>
      </c>
      <c r="B855" s="233" t="str">
        <f>VLOOKUP(A855,'AFC Data details'!$B:$E,4,0)</f>
        <v>PV03</v>
      </c>
      <c r="C855" s="144" t="s">
        <v>1699</v>
      </c>
      <c r="D855" s="151" t="s">
        <v>602</v>
      </c>
      <c r="E855" s="151">
        <f>VLOOKUP(A855,'AFC Data details'!$B:$P,15,0)</f>
        <v>2.0649999999999999</v>
      </c>
      <c r="F855" s="151">
        <f>SUMIFS('AFC Data details'!C:C,'AFC Data details'!$B:$B,'Element wise-detail Summary'!$A855)</f>
        <v>1</v>
      </c>
      <c r="G855" s="151">
        <f>SUMIFS(Cast!$C:$C,Cast!$B:$B,'Element wise-detail Summary'!$A855)</f>
        <v>1</v>
      </c>
      <c r="H855" s="151">
        <f t="shared" si="87"/>
        <v>0</v>
      </c>
      <c r="I855" s="151">
        <f>SUMIFS(Del!$C:$C,Del!$B:$B,'Element wise-detail Summary'!$A855)</f>
        <v>1</v>
      </c>
      <c r="J855" s="151">
        <f t="shared" si="88"/>
        <v>0</v>
      </c>
      <c r="K855" s="151">
        <f t="shared" si="89"/>
        <v>0</v>
      </c>
      <c r="L855" s="151">
        <f>SUMIF(Ere!$B:$B,'Element wise-detail Summary'!$A855,Ere!$C:$C)</f>
        <v>0</v>
      </c>
      <c r="M855" s="151">
        <f t="shared" si="90"/>
        <v>1</v>
      </c>
      <c r="N855">
        <f t="shared" si="91"/>
        <v>2.0649999999999999</v>
      </c>
    </row>
    <row r="856" spans="1:14" hidden="1" x14ac:dyDescent="0.25">
      <c r="A856" s="151" t="s">
        <v>2219</v>
      </c>
      <c r="B856" s="233" t="str">
        <f>VLOOKUP(A856,'AFC Data details'!$B:$E,4,0)</f>
        <v>PV02</v>
      </c>
      <c r="C856" s="144" t="s">
        <v>1699</v>
      </c>
      <c r="D856" s="151" t="s">
        <v>602</v>
      </c>
      <c r="E856" s="151">
        <f>VLOOKUP(A856,'AFC Data details'!$B:$P,15,0)</f>
        <v>2.0649999999999999</v>
      </c>
      <c r="F856" s="151">
        <f>SUMIFS('AFC Data details'!C:C,'AFC Data details'!$B:$B,'Element wise-detail Summary'!$A856)</f>
        <v>1</v>
      </c>
      <c r="G856" s="151">
        <f>SUMIFS(Cast!$C:$C,Cast!$B:$B,'Element wise-detail Summary'!$A856)</f>
        <v>1</v>
      </c>
      <c r="H856" s="151">
        <f t="shared" si="87"/>
        <v>0</v>
      </c>
      <c r="I856" s="151">
        <f>SUMIFS(Del!$C:$C,Del!$B:$B,'Element wise-detail Summary'!$A856)</f>
        <v>1</v>
      </c>
      <c r="J856" s="151">
        <f t="shared" si="88"/>
        <v>0</v>
      </c>
      <c r="K856" s="151">
        <f t="shared" si="89"/>
        <v>0</v>
      </c>
      <c r="L856" s="151">
        <f>SUMIF(Ere!$B:$B,'Element wise-detail Summary'!$A856,Ere!$C:$C)</f>
        <v>0</v>
      </c>
      <c r="M856" s="151">
        <f t="shared" si="90"/>
        <v>1</v>
      </c>
      <c r="N856">
        <f t="shared" si="91"/>
        <v>2.0649999999999999</v>
      </c>
    </row>
    <row r="857" spans="1:14" hidden="1" x14ac:dyDescent="0.25">
      <c r="A857" s="151" t="s">
        <v>2220</v>
      </c>
      <c r="B857" s="233" t="str">
        <f>VLOOKUP(A857,'AFC Data details'!$B:$E,4,0)</f>
        <v>PV03</v>
      </c>
      <c r="C857" s="144" t="s">
        <v>1699</v>
      </c>
      <c r="D857" s="151" t="s">
        <v>602</v>
      </c>
      <c r="E857" s="151">
        <f>VLOOKUP(A857,'AFC Data details'!$B:$P,15,0)</f>
        <v>2.0649999999999999</v>
      </c>
      <c r="F857" s="151">
        <f>SUMIFS('AFC Data details'!C:C,'AFC Data details'!$B:$B,'Element wise-detail Summary'!$A857)</f>
        <v>1</v>
      </c>
      <c r="G857" s="151">
        <f>SUMIFS(Cast!$C:$C,Cast!$B:$B,'Element wise-detail Summary'!$A857)</f>
        <v>1</v>
      </c>
      <c r="H857" s="151">
        <f t="shared" si="87"/>
        <v>0</v>
      </c>
      <c r="I857" s="151">
        <f>SUMIFS(Del!$C:$C,Del!$B:$B,'Element wise-detail Summary'!$A857)</f>
        <v>1</v>
      </c>
      <c r="J857" s="151">
        <f t="shared" si="88"/>
        <v>0</v>
      </c>
      <c r="K857" s="151">
        <f t="shared" si="89"/>
        <v>0</v>
      </c>
      <c r="L857" s="151">
        <f>SUMIF(Ere!$B:$B,'Element wise-detail Summary'!$A857,Ere!$C:$C)</f>
        <v>0</v>
      </c>
      <c r="M857" s="151">
        <f t="shared" si="90"/>
        <v>1</v>
      </c>
      <c r="N857">
        <f t="shared" si="91"/>
        <v>2.0649999999999999</v>
      </c>
    </row>
    <row r="858" spans="1:14" hidden="1" x14ac:dyDescent="0.25">
      <c r="A858" s="151" t="s">
        <v>2221</v>
      </c>
      <c r="B858" s="233" t="str">
        <f>VLOOKUP(A858,'AFC Data details'!$B:$E,4,0)</f>
        <v>PV02</v>
      </c>
      <c r="C858" s="144" t="s">
        <v>1699</v>
      </c>
      <c r="D858" s="151" t="s">
        <v>602</v>
      </c>
      <c r="E858" s="151">
        <f>VLOOKUP(A858,'AFC Data details'!$B:$P,15,0)</f>
        <v>1.617</v>
      </c>
      <c r="F858" s="151">
        <f>SUMIFS('AFC Data details'!C:C,'AFC Data details'!$B:$B,'Element wise-detail Summary'!$A858)</f>
        <v>1</v>
      </c>
      <c r="G858" s="151">
        <f>SUMIFS(Cast!$C:$C,Cast!$B:$B,'Element wise-detail Summary'!$A858)</f>
        <v>1</v>
      </c>
      <c r="H858" s="151">
        <f t="shared" si="87"/>
        <v>0</v>
      </c>
      <c r="I858" s="151">
        <f>SUMIFS(Del!$C:$C,Del!$B:$B,'Element wise-detail Summary'!$A858)</f>
        <v>0</v>
      </c>
      <c r="J858" s="151">
        <f t="shared" si="88"/>
        <v>1</v>
      </c>
      <c r="K858" s="151">
        <f t="shared" si="89"/>
        <v>1</v>
      </c>
      <c r="L858" s="151">
        <f>SUMIF(Ere!$B:$B,'Element wise-detail Summary'!$A858,Ere!$C:$C)</f>
        <v>0</v>
      </c>
      <c r="M858" s="151">
        <f t="shared" si="90"/>
        <v>1</v>
      </c>
      <c r="N858">
        <f t="shared" si="91"/>
        <v>0</v>
      </c>
    </row>
    <row r="859" spans="1:14" hidden="1" x14ac:dyDescent="0.25">
      <c r="A859" s="151" t="s">
        <v>2222</v>
      </c>
      <c r="B859" s="233" t="str">
        <f>VLOOKUP(A859,'AFC Data details'!$B:$E,4,0)</f>
        <v>PV02</v>
      </c>
      <c r="C859" s="144" t="s">
        <v>1699</v>
      </c>
      <c r="D859" s="151" t="s">
        <v>602</v>
      </c>
      <c r="E859" s="151">
        <f>VLOOKUP(A859,'AFC Data details'!$B:$P,15,0)</f>
        <v>1.242</v>
      </c>
      <c r="F859" s="151">
        <f>SUMIFS('AFC Data details'!C:C,'AFC Data details'!$B:$B,'Element wise-detail Summary'!$A859)</f>
        <v>1</v>
      </c>
      <c r="G859" s="151">
        <f>SUMIFS(Cast!$C:$C,Cast!$B:$B,'Element wise-detail Summary'!$A859)</f>
        <v>1</v>
      </c>
      <c r="H859" s="151">
        <f t="shared" si="87"/>
        <v>0</v>
      </c>
      <c r="I859" s="151">
        <f>SUMIFS(Del!$C:$C,Del!$B:$B,'Element wise-detail Summary'!$A859)</f>
        <v>0</v>
      </c>
      <c r="J859" s="151">
        <f t="shared" si="88"/>
        <v>1</v>
      </c>
      <c r="K859" s="151">
        <f t="shared" si="89"/>
        <v>1</v>
      </c>
      <c r="L859" s="151">
        <f>SUMIF(Ere!$B:$B,'Element wise-detail Summary'!$A859,Ere!$C:$C)</f>
        <v>0</v>
      </c>
      <c r="M859" s="151">
        <f t="shared" si="90"/>
        <v>1</v>
      </c>
      <c r="N859">
        <f t="shared" si="91"/>
        <v>0</v>
      </c>
    </row>
    <row r="860" spans="1:14" hidden="1" x14ac:dyDescent="0.25">
      <c r="A860" s="151" t="s">
        <v>2223</v>
      </c>
      <c r="B860" s="233" t="str">
        <f>VLOOKUP(A860,'AFC Data details'!$B:$E,4,0)</f>
        <v>PV03</v>
      </c>
      <c r="C860" s="144" t="s">
        <v>1699</v>
      </c>
      <c r="D860" s="151" t="s">
        <v>602</v>
      </c>
      <c r="E860" s="151">
        <f>VLOOKUP(A860,'AFC Data details'!$B:$P,15,0)</f>
        <v>1.095</v>
      </c>
      <c r="F860" s="151">
        <f>SUMIFS('AFC Data details'!C:C,'AFC Data details'!$B:$B,'Element wise-detail Summary'!$A860)</f>
        <v>1</v>
      </c>
      <c r="G860" s="151">
        <f>SUMIFS(Cast!$C:$C,Cast!$B:$B,'Element wise-detail Summary'!$A860)</f>
        <v>1</v>
      </c>
      <c r="H860" s="151">
        <f t="shared" si="87"/>
        <v>0</v>
      </c>
      <c r="I860" s="151">
        <f>SUMIFS(Del!$C:$C,Del!$B:$B,'Element wise-detail Summary'!$A860)</f>
        <v>0</v>
      </c>
      <c r="J860" s="151">
        <f t="shared" si="88"/>
        <v>1</v>
      </c>
      <c r="K860" s="151">
        <f t="shared" si="89"/>
        <v>1</v>
      </c>
      <c r="L860" s="151">
        <f>SUMIF(Ere!$B:$B,'Element wise-detail Summary'!$A860,Ere!$C:$C)</f>
        <v>0</v>
      </c>
      <c r="M860" s="151">
        <f t="shared" si="90"/>
        <v>1</v>
      </c>
      <c r="N860">
        <f t="shared" si="91"/>
        <v>0</v>
      </c>
    </row>
    <row r="861" spans="1:14" hidden="1" x14ac:dyDescent="0.25">
      <c r="A861" s="151" t="s">
        <v>2224</v>
      </c>
      <c r="B861" s="233" t="str">
        <f>VLOOKUP(A861,'AFC Data details'!$B:$E,4,0)</f>
        <v>PV03</v>
      </c>
      <c r="C861" s="144" t="s">
        <v>1699</v>
      </c>
      <c r="D861" s="151" t="s">
        <v>602</v>
      </c>
      <c r="E861" s="151">
        <f>VLOOKUP(A861,'AFC Data details'!$B:$P,15,0)</f>
        <v>1.611</v>
      </c>
      <c r="F861" s="151">
        <f>SUMIFS('AFC Data details'!C:C,'AFC Data details'!$B:$B,'Element wise-detail Summary'!$A861)</f>
        <v>1</v>
      </c>
      <c r="G861" s="151">
        <f>SUMIFS(Cast!$C:$C,Cast!$B:$B,'Element wise-detail Summary'!$A861)</f>
        <v>1</v>
      </c>
      <c r="H861" s="151">
        <f t="shared" si="87"/>
        <v>0</v>
      </c>
      <c r="I861" s="151">
        <f>SUMIFS(Del!$C:$C,Del!$B:$B,'Element wise-detail Summary'!$A861)</f>
        <v>0</v>
      </c>
      <c r="J861" s="151">
        <f t="shared" si="88"/>
        <v>1</v>
      </c>
      <c r="K861" s="151">
        <f t="shared" si="89"/>
        <v>1</v>
      </c>
      <c r="L861" s="151">
        <f>SUMIF(Ere!$B:$B,'Element wise-detail Summary'!$A861,Ere!$C:$C)</f>
        <v>0</v>
      </c>
      <c r="M861" s="151">
        <f t="shared" si="90"/>
        <v>1</v>
      </c>
      <c r="N861">
        <f t="shared" si="91"/>
        <v>0</v>
      </c>
    </row>
    <row r="862" spans="1:14" hidden="1" x14ac:dyDescent="0.25">
      <c r="A862" s="151" t="s">
        <v>2225</v>
      </c>
      <c r="B862" s="233" t="str">
        <f>VLOOKUP(A862,'AFC Data details'!$B:$E,4,0)</f>
        <v>PV03</v>
      </c>
      <c r="C862" s="144" t="s">
        <v>1699</v>
      </c>
      <c r="D862" s="151" t="s">
        <v>602</v>
      </c>
      <c r="E862" s="151">
        <f>VLOOKUP(A862,'AFC Data details'!$B:$P,15,0)</f>
        <v>1.3540000000000001</v>
      </c>
      <c r="F862" s="151">
        <f>SUMIFS('AFC Data details'!C:C,'AFC Data details'!$B:$B,'Element wise-detail Summary'!$A862)</f>
        <v>1</v>
      </c>
      <c r="G862" s="151">
        <f>SUMIFS(Cast!$C:$C,Cast!$B:$B,'Element wise-detail Summary'!$A862)</f>
        <v>1</v>
      </c>
      <c r="H862" s="151">
        <f t="shared" si="87"/>
        <v>0</v>
      </c>
      <c r="I862" s="151">
        <f>SUMIFS(Del!$C:$C,Del!$B:$B,'Element wise-detail Summary'!$A862)</f>
        <v>0</v>
      </c>
      <c r="J862" s="151">
        <f t="shared" si="88"/>
        <v>1</v>
      </c>
      <c r="K862" s="151">
        <f t="shared" si="89"/>
        <v>1</v>
      </c>
      <c r="L862" s="151">
        <f>SUMIF(Ere!$B:$B,'Element wise-detail Summary'!$A862,Ere!$C:$C)</f>
        <v>0</v>
      </c>
      <c r="M862" s="151">
        <f t="shared" si="90"/>
        <v>1</v>
      </c>
      <c r="N862">
        <f t="shared" si="91"/>
        <v>0</v>
      </c>
    </row>
    <row r="863" spans="1:14" hidden="1" x14ac:dyDescent="0.25">
      <c r="A863" s="151" t="s">
        <v>2226</v>
      </c>
      <c r="B863" s="233" t="str">
        <f>VLOOKUP(A863,'AFC Data details'!$B:$E,4,0)</f>
        <v>PV04</v>
      </c>
      <c r="C863" s="144" t="s">
        <v>1699</v>
      </c>
      <c r="D863" s="151" t="s">
        <v>602</v>
      </c>
      <c r="E863" s="151">
        <f>VLOOKUP(A863,'AFC Data details'!$B:$P,15,0)</f>
        <v>2.0840000000000001</v>
      </c>
      <c r="F863" s="151">
        <f>SUMIFS('AFC Data details'!C:C,'AFC Data details'!$B:$B,'Element wise-detail Summary'!$A863)</f>
        <v>1</v>
      </c>
      <c r="G863" s="151">
        <f>SUMIFS(Cast!$C:$C,Cast!$B:$B,'Element wise-detail Summary'!$A863)</f>
        <v>1</v>
      </c>
      <c r="H863" s="151">
        <f t="shared" si="87"/>
        <v>0</v>
      </c>
      <c r="I863" s="151">
        <f>SUMIFS(Del!$C:$C,Del!$B:$B,'Element wise-detail Summary'!$A863)</f>
        <v>0</v>
      </c>
      <c r="J863" s="151">
        <f t="shared" si="88"/>
        <v>1</v>
      </c>
      <c r="K863" s="151">
        <f t="shared" si="89"/>
        <v>1</v>
      </c>
      <c r="L863" s="151">
        <f>SUMIF(Ere!$B:$B,'Element wise-detail Summary'!$A863,Ere!$C:$C)</f>
        <v>0</v>
      </c>
      <c r="M863" s="151">
        <f t="shared" si="90"/>
        <v>1</v>
      </c>
      <c r="N863">
        <f t="shared" si="91"/>
        <v>0</v>
      </c>
    </row>
    <row r="864" spans="1:14" hidden="1" x14ac:dyDescent="0.25">
      <c r="A864" s="151" t="s">
        <v>2227</v>
      </c>
      <c r="B864" s="233" t="str">
        <f>VLOOKUP(A864,'AFC Data details'!$B:$E,4,0)</f>
        <v>PV05</v>
      </c>
      <c r="C864" s="144" t="s">
        <v>1699</v>
      </c>
      <c r="D864" s="151" t="s">
        <v>602</v>
      </c>
      <c r="E864" s="151">
        <f>VLOOKUP(A864,'AFC Data details'!$B:$P,15,0)</f>
        <v>2.0840000000000001</v>
      </c>
      <c r="F864" s="151">
        <f>SUMIFS('AFC Data details'!C:C,'AFC Data details'!$B:$B,'Element wise-detail Summary'!$A864)</f>
        <v>1</v>
      </c>
      <c r="G864" s="151">
        <f>SUMIFS(Cast!$C:$C,Cast!$B:$B,'Element wise-detail Summary'!$A864)</f>
        <v>1</v>
      </c>
      <c r="H864" s="151">
        <f t="shared" si="87"/>
        <v>0</v>
      </c>
      <c r="I864" s="151">
        <f>SUMIFS(Del!$C:$C,Del!$B:$B,'Element wise-detail Summary'!$A864)</f>
        <v>0</v>
      </c>
      <c r="J864" s="151">
        <f t="shared" si="88"/>
        <v>1</v>
      </c>
      <c r="K864" s="151">
        <f t="shared" si="89"/>
        <v>1</v>
      </c>
      <c r="L864" s="151">
        <f>SUMIF(Ere!$B:$B,'Element wise-detail Summary'!$A864,Ere!$C:$C)</f>
        <v>0</v>
      </c>
      <c r="M864" s="151">
        <f t="shared" si="90"/>
        <v>1</v>
      </c>
      <c r="N864">
        <f t="shared" si="91"/>
        <v>0</v>
      </c>
    </row>
    <row r="865" spans="1:14" hidden="1" x14ac:dyDescent="0.25">
      <c r="A865" s="151" t="s">
        <v>2228</v>
      </c>
      <c r="B865" s="233" t="str">
        <f>VLOOKUP(A865,'AFC Data details'!$B:$E,4,0)</f>
        <v>PV04</v>
      </c>
      <c r="C865" s="144" t="s">
        <v>1699</v>
      </c>
      <c r="D865" s="151" t="s">
        <v>602</v>
      </c>
      <c r="E865" s="151">
        <f>VLOOKUP(A865,'AFC Data details'!$B:$P,15,0)</f>
        <v>2.0840000000000001</v>
      </c>
      <c r="F865" s="151">
        <f>SUMIFS('AFC Data details'!C:C,'AFC Data details'!$B:$B,'Element wise-detail Summary'!$A865)</f>
        <v>1</v>
      </c>
      <c r="G865" s="151">
        <f>SUMIFS(Cast!$C:$C,Cast!$B:$B,'Element wise-detail Summary'!$A865)</f>
        <v>1</v>
      </c>
      <c r="H865" s="151">
        <f t="shared" si="87"/>
        <v>0</v>
      </c>
      <c r="I865" s="151">
        <f>SUMIFS(Del!$C:$C,Del!$B:$B,'Element wise-detail Summary'!$A865)</f>
        <v>0</v>
      </c>
      <c r="J865" s="151">
        <f t="shared" si="88"/>
        <v>1</v>
      </c>
      <c r="K865" s="151">
        <f t="shared" si="89"/>
        <v>1</v>
      </c>
      <c r="L865" s="151">
        <f>SUMIF(Ere!$B:$B,'Element wise-detail Summary'!$A865,Ere!$C:$C)</f>
        <v>0</v>
      </c>
      <c r="M865" s="151">
        <f t="shared" si="90"/>
        <v>1</v>
      </c>
      <c r="N865">
        <f t="shared" si="91"/>
        <v>0</v>
      </c>
    </row>
    <row r="866" spans="1:14" hidden="1" x14ac:dyDescent="0.25">
      <c r="A866" s="151" t="s">
        <v>2229</v>
      </c>
      <c r="B866" s="233" t="str">
        <f>VLOOKUP(A866,'AFC Data details'!$B:$E,4,0)</f>
        <v>PV04</v>
      </c>
      <c r="C866" s="144" t="s">
        <v>1699</v>
      </c>
      <c r="D866" s="151" t="s">
        <v>602</v>
      </c>
      <c r="E866" s="151">
        <f>VLOOKUP(A866,'AFC Data details'!$B:$P,15,0)</f>
        <v>2.0840000000000001</v>
      </c>
      <c r="F866" s="151">
        <f>SUMIFS('AFC Data details'!C:C,'AFC Data details'!$B:$B,'Element wise-detail Summary'!$A866)</f>
        <v>1</v>
      </c>
      <c r="G866" s="151">
        <f>SUMIFS(Cast!$C:$C,Cast!$B:$B,'Element wise-detail Summary'!$A866)</f>
        <v>1</v>
      </c>
      <c r="H866" s="151">
        <f t="shared" si="87"/>
        <v>0</v>
      </c>
      <c r="I866" s="151">
        <f>SUMIFS(Del!$C:$C,Del!$B:$B,'Element wise-detail Summary'!$A866)</f>
        <v>0</v>
      </c>
      <c r="J866" s="151">
        <f t="shared" si="88"/>
        <v>1</v>
      </c>
      <c r="K866" s="151">
        <f t="shared" si="89"/>
        <v>1</v>
      </c>
      <c r="L866" s="151">
        <f>SUMIF(Ere!$B:$B,'Element wise-detail Summary'!$A866,Ere!$C:$C)</f>
        <v>0</v>
      </c>
      <c r="M866" s="151">
        <f t="shared" si="90"/>
        <v>1</v>
      </c>
      <c r="N866">
        <f t="shared" si="91"/>
        <v>0</v>
      </c>
    </row>
    <row r="867" spans="1:14" hidden="1" x14ac:dyDescent="0.25">
      <c r="A867" s="151" t="s">
        <v>2230</v>
      </c>
      <c r="B867" s="233" t="str">
        <f>VLOOKUP(A867,'AFC Data details'!$B:$E,4,0)</f>
        <v>PV04</v>
      </c>
      <c r="C867" s="144" t="s">
        <v>1699</v>
      </c>
      <c r="D867" s="151" t="s">
        <v>602</v>
      </c>
      <c r="E867" s="151">
        <f>VLOOKUP(A867,'AFC Data details'!$B:$P,15,0)</f>
        <v>2.0840000000000001</v>
      </c>
      <c r="F867" s="151">
        <f>SUMIFS('AFC Data details'!C:C,'AFC Data details'!$B:$B,'Element wise-detail Summary'!$A867)</f>
        <v>1</v>
      </c>
      <c r="G867" s="151">
        <f>SUMIFS(Cast!$C:$C,Cast!$B:$B,'Element wise-detail Summary'!$A867)</f>
        <v>1</v>
      </c>
      <c r="H867" s="151">
        <f t="shared" si="87"/>
        <v>0</v>
      </c>
      <c r="I867" s="151">
        <f>SUMIFS(Del!$C:$C,Del!$B:$B,'Element wise-detail Summary'!$A867)</f>
        <v>1</v>
      </c>
      <c r="J867" s="151">
        <f t="shared" si="88"/>
        <v>0</v>
      </c>
      <c r="K867" s="151">
        <f t="shared" si="89"/>
        <v>0</v>
      </c>
      <c r="L867" s="151">
        <f>SUMIF(Ere!$B:$B,'Element wise-detail Summary'!$A867,Ere!$C:$C)</f>
        <v>0</v>
      </c>
      <c r="M867" s="151">
        <f t="shared" si="90"/>
        <v>1</v>
      </c>
      <c r="N867">
        <f t="shared" si="91"/>
        <v>2.0840000000000001</v>
      </c>
    </row>
    <row r="868" spans="1:14" hidden="1" x14ac:dyDescent="0.25">
      <c r="A868" s="151" t="s">
        <v>2231</v>
      </c>
      <c r="B868" s="233" t="str">
        <f>VLOOKUP(A868,'AFC Data details'!$B:$E,4,0)</f>
        <v>PV04</v>
      </c>
      <c r="C868" s="144" t="s">
        <v>1699</v>
      </c>
      <c r="D868" s="151" t="s">
        <v>602</v>
      </c>
      <c r="E868" s="151">
        <f>VLOOKUP(A868,'AFC Data details'!$B:$P,15,0)</f>
        <v>2.0840000000000001</v>
      </c>
      <c r="F868" s="151">
        <f>SUMIFS('AFC Data details'!C:C,'AFC Data details'!$B:$B,'Element wise-detail Summary'!$A868)</f>
        <v>1</v>
      </c>
      <c r="G868" s="151">
        <f>SUMIFS(Cast!$C:$C,Cast!$B:$B,'Element wise-detail Summary'!$A868)</f>
        <v>1</v>
      </c>
      <c r="H868" s="151">
        <f t="shared" si="87"/>
        <v>0</v>
      </c>
      <c r="I868" s="151">
        <f>SUMIFS(Del!$C:$C,Del!$B:$B,'Element wise-detail Summary'!$A868)</f>
        <v>0</v>
      </c>
      <c r="J868" s="151">
        <f t="shared" si="88"/>
        <v>1</v>
      </c>
      <c r="K868" s="151">
        <f t="shared" si="89"/>
        <v>1</v>
      </c>
      <c r="L868" s="151">
        <f>SUMIF(Ere!$B:$B,'Element wise-detail Summary'!$A868,Ere!$C:$C)</f>
        <v>0</v>
      </c>
      <c r="M868" s="151">
        <f t="shared" si="90"/>
        <v>1</v>
      </c>
      <c r="N868">
        <f t="shared" si="91"/>
        <v>0</v>
      </c>
    </row>
    <row r="869" spans="1:14" hidden="1" x14ac:dyDescent="0.25">
      <c r="A869" s="151" t="s">
        <v>2232</v>
      </c>
      <c r="B869" s="233" t="str">
        <f>VLOOKUP(A869,'AFC Data details'!$B:$E,4,0)</f>
        <v>PV05</v>
      </c>
      <c r="C869" s="144" t="s">
        <v>1699</v>
      </c>
      <c r="D869" s="151" t="s">
        <v>602</v>
      </c>
      <c r="E869" s="151">
        <f>VLOOKUP(A869,'AFC Data details'!$B:$P,15,0)</f>
        <v>2.0840000000000001</v>
      </c>
      <c r="F869" s="151">
        <f>SUMIFS('AFC Data details'!C:C,'AFC Data details'!$B:$B,'Element wise-detail Summary'!$A869)</f>
        <v>1</v>
      </c>
      <c r="G869" s="151">
        <f>SUMIFS(Cast!$C:$C,Cast!$B:$B,'Element wise-detail Summary'!$A869)</f>
        <v>1</v>
      </c>
      <c r="H869" s="151">
        <f t="shared" si="87"/>
        <v>0</v>
      </c>
      <c r="I869" s="151">
        <f>SUMIFS(Del!$C:$C,Del!$B:$B,'Element wise-detail Summary'!$A869)</f>
        <v>0</v>
      </c>
      <c r="J869" s="151">
        <f t="shared" si="88"/>
        <v>1</v>
      </c>
      <c r="K869" s="151">
        <f t="shared" si="89"/>
        <v>1</v>
      </c>
      <c r="L869" s="151">
        <f>SUMIF(Ere!$B:$B,'Element wise-detail Summary'!$A869,Ere!$C:$C)</f>
        <v>0</v>
      </c>
      <c r="M869" s="151">
        <f t="shared" si="90"/>
        <v>1</v>
      </c>
      <c r="N869">
        <f t="shared" si="91"/>
        <v>0</v>
      </c>
    </row>
    <row r="870" spans="1:14" hidden="1" x14ac:dyDescent="0.25">
      <c r="A870" s="151" t="s">
        <v>2233</v>
      </c>
      <c r="B870" s="233" t="str">
        <f>VLOOKUP(A870,'AFC Data details'!$B:$E,4,0)</f>
        <v>PV05</v>
      </c>
      <c r="C870" s="144" t="s">
        <v>1699</v>
      </c>
      <c r="D870" s="151" t="s">
        <v>602</v>
      </c>
      <c r="E870" s="151">
        <f>VLOOKUP(A870,'AFC Data details'!$B:$P,15,0)</f>
        <v>2.0840000000000001</v>
      </c>
      <c r="F870" s="151">
        <f>SUMIFS('AFC Data details'!C:C,'AFC Data details'!$B:$B,'Element wise-detail Summary'!$A870)</f>
        <v>1</v>
      </c>
      <c r="G870" s="151">
        <f>SUMIFS(Cast!$C:$C,Cast!$B:$B,'Element wise-detail Summary'!$A870)</f>
        <v>1</v>
      </c>
      <c r="H870" s="151">
        <f t="shared" si="87"/>
        <v>0</v>
      </c>
      <c r="I870" s="151">
        <f>SUMIFS(Del!$C:$C,Del!$B:$B,'Element wise-detail Summary'!$A870)</f>
        <v>0</v>
      </c>
      <c r="J870" s="151">
        <f t="shared" si="88"/>
        <v>1</v>
      </c>
      <c r="K870" s="151">
        <f t="shared" si="89"/>
        <v>1</v>
      </c>
      <c r="L870" s="151">
        <f>SUMIF(Ere!$B:$B,'Element wise-detail Summary'!$A870,Ere!$C:$C)</f>
        <v>0</v>
      </c>
      <c r="M870" s="151">
        <f t="shared" si="90"/>
        <v>1</v>
      </c>
      <c r="N870">
        <f t="shared" si="91"/>
        <v>0</v>
      </c>
    </row>
    <row r="871" spans="1:14" hidden="1" x14ac:dyDescent="0.25">
      <c r="A871" s="151" t="s">
        <v>2234</v>
      </c>
      <c r="B871" s="233" t="str">
        <f>VLOOKUP(A871,'AFC Data details'!$B:$E,4,0)</f>
        <v>PV05</v>
      </c>
      <c r="C871" s="144" t="s">
        <v>1699</v>
      </c>
      <c r="D871" s="151" t="s">
        <v>602</v>
      </c>
      <c r="E871" s="151">
        <f>VLOOKUP(A871,'AFC Data details'!$B:$P,15,0)</f>
        <v>2.0840000000000001</v>
      </c>
      <c r="F871" s="151">
        <f>SUMIFS('AFC Data details'!C:C,'AFC Data details'!$B:$B,'Element wise-detail Summary'!$A871)</f>
        <v>1</v>
      </c>
      <c r="G871" s="151">
        <f>SUMIFS(Cast!$C:$C,Cast!$B:$B,'Element wise-detail Summary'!$A871)</f>
        <v>1</v>
      </c>
      <c r="H871" s="151">
        <f t="shared" si="87"/>
        <v>0</v>
      </c>
      <c r="I871" s="151">
        <f>SUMIFS(Del!$C:$C,Del!$B:$B,'Element wise-detail Summary'!$A871)</f>
        <v>0</v>
      </c>
      <c r="J871" s="151">
        <f t="shared" si="88"/>
        <v>1</v>
      </c>
      <c r="K871" s="151">
        <f t="shared" si="89"/>
        <v>1</v>
      </c>
      <c r="L871" s="151">
        <f>SUMIF(Ere!$B:$B,'Element wise-detail Summary'!$A871,Ere!$C:$C)</f>
        <v>0</v>
      </c>
      <c r="M871" s="151">
        <f t="shared" si="90"/>
        <v>1</v>
      </c>
      <c r="N871">
        <f t="shared" si="91"/>
        <v>0</v>
      </c>
    </row>
    <row r="872" spans="1:14" hidden="1" x14ac:dyDescent="0.25">
      <c r="A872" s="151" t="s">
        <v>2235</v>
      </c>
      <c r="B872" s="233" t="str">
        <f>VLOOKUP(A872,'AFC Data details'!$B:$E,4,0)</f>
        <v>PV05</v>
      </c>
      <c r="C872" s="144" t="s">
        <v>1699</v>
      </c>
      <c r="D872" s="151" t="s">
        <v>602</v>
      </c>
      <c r="E872" s="151">
        <f>VLOOKUP(A872,'AFC Data details'!$B:$P,15,0)</f>
        <v>2.0840000000000001</v>
      </c>
      <c r="F872" s="151">
        <f>SUMIFS('AFC Data details'!C:C,'AFC Data details'!$B:$B,'Element wise-detail Summary'!$A872)</f>
        <v>1</v>
      </c>
      <c r="G872" s="151">
        <f>SUMIFS(Cast!$C:$C,Cast!$B:$B,'Element wise-detail Summary'!$A872)</f>
        <v>1</v>
      </c>
      <c r="H872" s="151">
        <f t="shared" si="87"/>
        <v>0</v>
      </c>
      <c r="I872" s="151">
        <f>SUMIFS(Del!$C:$C,Del!$B:$B,'Element wise-detail Summary'!$A872)</f>
        <v>0</v>
      </c>
      <c r="J872" s="151">
        <f t="shared" si="88"/>
        <v>1</v>
      </c>
      <c r="K872" s="151">
        <f t="shared" si="89"/>
        <v>1</v>
      </c>
      <c r="L872" s="151">
        <f>SUMIF(Ere!$B:$B,'Element wise-detail Summary'!$A872,Ere!$C:$C)</f>
        <v>0</v>
      </c>
      <c r="M872" s="151">
        <f t="shared" si="90"/>
        <v>1</v>
      </c>
      <c r="N872">
        <f t="shared" si="91"/>
        <v>0</v>
      </c>
    </row>
    <row r="873" spans="1:14" hidden="1" x14ac:dyDescent="0.25">
      <c r="A873" s="151" t="s">
        <v>2236</v>
      </c>
      <c r="B873" s="233" t="str">
        <f>VLOOKUP(A873,'AFC Data details'!$B:$E,4,0)</f>
        <v>PV04</v>
      </c>
      <c r="C873" s="144" t="s">
        <v>1699</v>
      </c>
      <c r="D873" s="151" t="s">
        <v>602</v>
      </c>
      <c r="E873" s="151">
        <f>VLOOKUP(A873,'AFC Data details'!$B:$P,15,0)</f>
        <v>2.0840000000000001</v>
      </c>
      <c r="F873" s="151">
        <f>SUMIFS('AFC Data details'!C:C,'AFC Data details'!$B:$B,'Element wise-detail Summary'!$A873)</f>
        <v>1</v>
      </c>
      <c r="G873" s="151">
        <f>SUMIFS(Cast!$C:$C,Cast!$B:$B,'Element wise-detail Summary'!$A873)</f>
        <v>1</v>
      </c>
      <c r="H873" s="151">
        <f t="shared" si="87"/>
        <v>0</v>
      </c>
      <c r="I873" s="151">
        <f>SUMIFS(Del!$C:$C,Del!$B:$B,'Element wise-detail Summary'!$A873)</f>
        <v>0</v>
      </c>
      <c r="J873" s="151">
        <f t="shared" si="88"/>
        <v>1</v>
      </c>
      <c r="K873" s="151">
        <f t="shared" si="89"/>
        <v>1</v>
      </c>
      <c r="L873" s="151">
        <f>SUMIF(Ere!$B:$B,'Element wise-detail Summary'!$A873,Ere!$C:$C)</f>
        <v>0</v>
      </c>
      <c r="M873" s="151">
        <f t="shared" si="90"/>
        <v>1</v>
      </c>
      <c r="N873">
        <f t="shared" si="91"/>
        <v>0</v>
      </c>
    </row>
    <row r="874" spans="1:14" hidden="1" x14ac:dyDescent="0.25">
      <c r="A874" s="151" t="s">
        <v>2237</v>
      </c>
      <c r="B874" s="233" t="str">
        <f>VLOOKUP(A874,'AFC Data details'!$B:$E,4,0)</f>
        <v>PV05</v>
      </c>
      <c r="C874" s="144" t="s">
        <v>1699</v>
      </c>
      <c r="D874" s="151" t="s">
        <v>602</v>
      </c>
      <c r="E874" s="151">
        <f>VLOOKUP(A874,'AFC Data details'!$B:$P,15,0)</f>
        <v>2.0840000000000001</v>
      </c>
      <c r="F874" s="151">
        <f>SUMIFS('AFC Data details'!C:C,'AFC Data details'!$B:$B,'Element wise-detail Summary'!$A874)</f>
        <v>1</v>
      </c>
      <c r="G874" s="151">
        <f>SUMIFS(Cast!$C:$C,Cast!$B:$B,'Element wise-detail Summary'!$A874)</f>
        <v>1</v>
      </c>
      <c r="H874" s="151">
        <f t="shared" si="87"/>
        <v>0</v>
      </c>
      <c r="I874" s="151">
        <f>SUMIFS(Del!$C:$C,Del!$B:$B,'Element wise-detail Summary'!$A874)</f>
        <v>0</v>
      </c>
      <c r="J874" s="151">
        <f t="shared" si="88"/>
        <v>1</v>
      </c>
      <c r="K874" s="151">
        <f t="shared" si="89"/>
        <v>1</v>
      </c>
      <c r="L874" s="151">
        <f>SUMIF(Ere!$B:$B,'Element wise-detail Summary'!$A874,Ere!$C:$C)</f>
        <v>0</v>
      </c>
      <c r="M874" s="151">
        <f t="shared" si="90"/>
        <v>1</v>
      </c>
      <c r="N874">
        <f t="shared" si="91"/>
        <v>0</v>
      </c>
    </row>
    <row r="875" spans="1:14" hidden="1" x14ac:dyDescent="0.25">
      <c r="A875" s="151" t="s">
        <v>2238</v>
      </c>
      <c r="B875" s="233" t="str">
        <f>VLOOKUP(A875,'AFC Data details'!$B:$E,4,0)</f>
        <v>PV04</v>
      </c>
      <c r="C875" s="144" t="s">
        <v>1699</v>
      </c>
      <c r="D875" s="151" t="s">
        <v>602</v>
      </c>
      <c r="E875" s="151">
        <f>VLOOKUP(A875,'AFC Data details'!$B:$P,15,0)</f>
        <v>1.331</v>
      </c>
      <c r="F875" s="151">
        <f>SUMIFS('AFC Data details'!C:C,'AFC Data details'!$B:$B,'Element wise-detail Summary'!$A875)</f>
        <v>1</v>
      </c>
      <c r="G875" s="151">
        <f>SUMIFS(Cast!$C:$C,Cast!$B:$B,'Element wise-detail Summary'!$A875)</f>
        <v>1</v>
      </c>
      <c r="H875" s="151">
        <f t="shared" si="87"/>
        <v>0</v>
      </c>
      <c r="I875" s="151">
        <f>SUMIFS(Del!$C:$C,Del!$B:$B,'Element wise-detail Summary'!$A875)</f>
        <v>0</v>
      </c>
      <c r="J875" s="151">
        <f t="shared" si="88"/>
        <v>1</v>
      </c>
      <c r="K875" s="151">
        <f t="shared" si="89"/>
        <v>1</v>
      </c>
      <c r="L875" s="151">
        <f>SUMIF(Ere!$B:$B,'Element wise-detail Summary'!$A875,Ere!$C:$C)</f>
        <v>0</v>
      </c>
      <c r="M875" s="151">
        <f t="shared" si="90"/>
        <v>1</v>
      </c>
      <c r="N875">
        <f t="shared" si="91"/>
        <v>0</v>
      </c>
    </row>
    <row r="876" spans="1:14" hidden="1" x14ac:dyDescent="0.25">
      <c r="A876" s="151" t="s">
        <v>2239</v>
      </c>
      <c r="B876" s="233" t="str">
        <f>VLOOKUP(A876,'AFC Data details'!$B:$E,4,0)</f>
        <v>PV04</v>
      </c>
      <c r="C876" s="144" t="s">
        <v>1699</v>
      </c>
      <c r="D876" s="151" t="s">
        <v>602</v>
      </c>
      <c r="E876" s="151">
        <f>VLOOKUP(A876,'AFC Data details'!$B:$P,15,0)</f>
        <v>1.585</v>
      </c>
      <c r="F876" s="151">
        <f>SUMIFS('AFC Data details'!C:C,'AFC Data details'!$B:$B,'Element wise-detail Summary'!$A876)</f>
        <v>1</v>
      </c>
      <c r="G876" s="151">
        <f>SUMIFS(Cast!$C:$C,Cast!$B:$B,'Element wise-detail Summary'!$A876)</f>
        <v>1</v>
      </c>
      <c r="H876" s="151">
        <f t="shared" si="87"/>
        <v>0</v>
      </c>
      <c r="I876" s="151">
        <f>SUMIFS(Del!$C:$C,Del!$B:$B,'Element wise-detail Summary'!$A876)</f>
        <v>0</v>
      </c>
      <c r="J876" s="151">
        <f t="shared" si="88"/>
        <v>1</v>
      </c>
      <c r="K876" s="151">
        <f t="shared" si="89"/>
        <v>1</v>
      </c>
      <c r="L876" s="151">
        <f>SUMIF(Ere!$B:$B,'Element wise-detail Summary'!$A876,Ere!$C:$C)</f>
        <v>0</v>
      </c>
      <c r="M876" s="151">
        <f t="shared" si="90"/>
        <v>1</v>
      </c>
      <c r="N876">
        <f t="shared" si="91"/>
        <v>0</v>
      </c>
    </row>
    <row r="877" spans="1:14" hidden="1" x14ac:dyDescent="0.25">
      <c r="A877" s="151" t="s">
        <v>2240</v>
      </c>
      <c r="B877" s="233" t="str">
        <f>VLOOKUP(A877,'AFC Data details'!$B:$E,4,0)</f>
        <v>PV05</v>
      </c>
      <c r="C877" s="144" t="s">
        <v>1699</v>
      </c>
      <c r="D877" s="151" t="s">
        <v>602</v>
      </c>
      <c r="E877" s="151">
        <f>VLOOKUP(A877,'AFC Data details'!$B:$P,15,0)</f>
        <v>1.4590000000000001</v>
      </c>
      <c r="F877" s="151">
        <f>SUMIFS('AFC Data details'!C:C,'AFC Data details'!$B:$B,'Element wise-detail Summary'!$A877)</f>
        <v>1</v>
      </c>
      <c r="G877" s="151">
        <f>SUMIFS(Cast!$C:$C,Cast!$B:$B,'Element wise-detail Summary'!$A877)</f>
        <v>1</v>
      </c>
      <c r="H877" s="151">
        <f t="shared" si="87"/>
        <v>0</v>
      </c>
      <c r="I877" s="151">
        <f>SUMIFS(Del!$C:$C,Del!$B:$B,'Element wise-detail Summary'!$A877)</f>
        <v>0</v>
      </c>
      <c r="J877" s="151">
        <f t="shared" si="88"/>
        <v>1</v>
      </c>
      <c r="K877" s="151">
        <f t="shared" si="89"/>
        <v>1</v>
      </c>
      <c r="L877" s="151">
        <f>SUMIF(Ere!$B:$B,'Element wise-detail Summary'!$A877,Ere!$C:$C)</f>
        <v>0</v>
      </c>
      <c r="M877" s="151">
        <f t="shared" si="90"/>
        <v>1</v>
      </c>
      <c r="N877">
        <f t="shared" si="91"/>
        <v>0</v>
      </c>
    </row>
    <row r="878" spans="1:14" hidden="1" x14ac:dyDescent="0.25">
      <c r="A878" s="151" t="s">
        <v>2241</v>
      </c>
      <c r="B878" s="233" t="str">
        <f>VLOOKUP(A878,'AFC Data details'!$B:$E,4,0)</f>
        <v>PV05</v>
      </c>
      <c r="C878" s="144" t="s">
        <v>1699</v>
      </c>
      <c r="D878" s="151" t="s">
        <v>602</v>
      </c>
      <c r="E878" s="151">
        <f>VLOOKUP(A878,'AFC Data details'!$B:$P,15,0)</f>
        <v>1.1950000000000001</v>
      </c>
      <c r="F878" s="151">
        <f>SUMIFS('AFC Data details'!C:C,'AFC Data details'!$B:$B,'Element wise-detail Summary'!$A878)</f>
        <v>1</v>
      </c>
      <c r="G878" s="151">
        <f>SUMIFS(Cast!$C:$C,Cast!$B:$B,'Element wise-detail Summary'!$A878)</f>
        <v>1</v>
      </c>
      <c r="H878" s="151">
        <f t="shared" si="87"/>
        <v>0</v>
      </c>
      <c r="I878" s="151">
        <f>SUMIFS(Del!$C:$C,Del!$B:$B,'Element wise-detail Summary'!$A878)</f>
        <v>0</v>
      </c>
      <c r="J878" s="151">
        <f t="shared" si="88"/>
        <v>1</v>
      </c>
      <c r="K878" s="151">
        <f t="shared" si="89"/>
        <v>1</v>
      </c>
      <c r="L878" s="151">
        <f>SUMIF(Ere!$B:$B,'Element wise-detail Summary'!$A878,Ere!$C:$C)</f>
        <v>0</v>
      </c>
      <c r="M878" s="151">
        <f t="shared" si="90"/>
        <v>1</v>
      </c>
      <c r="N878">
        <f t="shared" si="91"/>
        <v>0</v>
      </c>
    </row>
    <row r="879" spans="1:14" hidden="1" x14ac:dyDescent="0.25">
      <c r="A879" s="151" t="s">
        <v>2242</v>
      </c>
      <c r="B879" s="233" t="str">
        <f>VLOOKUP(A879,'AFC Data details'!$B:$E,4,0)</f>
        <v>PV06</v>
      </c>
      <c r="C879" s="144" t="s">
        <v>1699</v>
      </c>
      <c r="D879" s="151" t="s">
        <v>602</v>
      </c>
      <c r="E879" s="151">
        <f>VLOOKUP(A879,'AFC Data details'!$B:$P,15,0)</f>
        <v>0.97899999999999998</v>
      </c>
      <c r="F879" s="151">
        <f>SUMIFS('AFC Data details'!C:C,'AFC Data details'!$B:$B,'Element wise-detail Summary'!$A879)</f>
        <v>1</v>
      </c>
      <c r="G879" s="151">
        <f>SUMIFS(Cast!$C:$C,Cast!$B:$B,'Element wise-detail Summary'!$A879)</f>
        <v>1</v>
      </c>
      <c r="H879" s="151">
        <f t="shared" si="87"/>
        <v>0</v>
      </c>
      <c r="I879" s="151">
        <f>SUMIFS(Del!$C:$C,Del!$B:$B,'Element wise-detail Summary'!$A879)</f>
        <v>0</v>
      </c>
      <c r="J879" s="151">
        <f t="shared" si="88"/>
        <v>1</v>
      </c>
      <c r="K879" s="151">
        <f t="shared" si="89"/>
        <v>1</v>
      </c>
      <c r="L879" s="151">
        <f>SUMIF(Ere!$B:$B,'Element wise-detail Summary'!$A879,Ere!$C:$C)</f>
        <v>0</v>
      </c>
      <c r="M879" s="151">
        <f t="shared" si="90"/>
        <v>1</v>
      </c>
      <c r="N879">
        <f t="shared" si="91"/>
        <v>0</v>
      </c>
    </row>
    <row r="880" spans="1:14" hidden="1" x14ac:dyDescent="0.25">
      <c r="A880" s="151" t="s">
        <v>2243</v>
      </c>
      <c r="B880" s="233" t="str">
        <f>VLOOKUP(A880,'AFC Data details'!$B:$E,4,0)</f>
        <v>PV06</v>
      </c>
      <c r="C880" s="144" t="s">
        <v>1699</v>
      </c>
      <c r="D880" s="151" t="s">
        <v>602</v>
      </c>
      <c r="E880" s="151">
        <f>VLOOKUP(A880,'AFC Data details'!$B:$P,15,0)</f>
        <v>2.0840000000000001</v>
      </c>
      <c r="F880" s="151">
        <f>SUMIFS('AFC Data details'!C:C,'AFC Data details'!$B:$B,'Element wise-detail Summary'!$A880)</f>
        <v>1</v>
      </c>
      <c r="G880" s="151">
        <f>SUMIFS(Cast!$C:$C,Cast!$B:$B,'Element wise-detail Summary'!$A880)</f>
        <v>1</v>
      </c>
      <c r="H880" s="151">
        <f t="shared" si="87"/>
        <v>0</v>
      </c>
      <c r="I880" s="151">
        <f>SUMIFS(Del!$C:$C,Del!$B:$B,'Element wise-detail Summary'!$A880)</f>
        <v>0</v>
      </c>
      <c r="J880" s="151">
        <f t="shared" si="88"/>
        <v>1</v>
      </c>
      <c r="K880" s="151">
        <f t="shared" si="89"/>
        <v>1</v>
      </c>
      <c r="L880" s="151">
        <f>SUMIF(Ere!$B:$B,'Element wise-detail Summary'!$A880,Ere!$C:$C)</f>
        <v>0</v>
      </c>
      <c r="M880" s="151">
        <f t="shared" si="90"/>
        <v>1</v>
      </c>
      <c r="N880">
        <f t="shared" si="91"/>
        <v>0</v>
      </c>
    </row>
    <row r="881" spans="1:14" hidden="1" x14ac:dyDescent="0.25">
      <c r="A881" s="151" t="s">
        <v>2244</v>
      </c>
      <c r="B881" s="233" t="str">
        <f>VLOOKUP(A881,'AFC Data details'!$B:$E,4,0)</f>
        <v>PV07</v>
      </c>
      <c r="C881" s="144" t="s">
        <v>1699</v>
      </c>
      <c r="D881" s="151" t="s">
        <v>602</v>
      </c>
      <c r="E881" s="151">
        <f>VLOOKUP(A881,'AFC Data details'!$B:$P,15,0)</f>
        <v>2.0840000000000001</v>
      </c>
      <c r="F881" s="151">
        <f>SUMIFS('AFC Data details'!C:C,'AFC Data details'!$B:$B,'Element wise-detail Summary'!$A881)</f>
        <v>1</v>
      </c>
      <c r="G881" s="151">
        <f>SUMIFS(Cast!$C:$C,Cast!$B:$B,'Element wise-detail Summary'!$A881)</f>
        <v>1</v>
      </c>
      <c r="H881" s="151">
        <f t="shared" si="87"/>
        <v>0</v>
      </c>
      <c r="I881" s="151">
        <f>SUMIFS(Del!$C:$C,Del!$B:$B,'Element wise-detail Summary'!$A881)</f>
        <v>0</v>
      </c>
      <c r="J881" s="151">
        <f t="shared" si="88"/>
        <v>1</v>
      </c>
      <c r="K881" s="151">
        <f t="shared" si="89"/>
        <v>1</v>
      </c>
      <c r="L881" s="151">
        <f>SUMIF(Ere!$B:$B,'Element wise-detail Summary'!$A881,Ere!$C:$C)</f>
        <v>0</v>
      </c>
      <c r="M881" s="151">
        <f t="shared" si="90"/>
        <v>1</v>
      </c>
      <c r="N881">
        <f t="shared" si="91"/>
        <v>0</v>
      </c>
    </row>
    <row r="882" spans="1:14" hidden="1" x14ac:dyDescent="0.25">
      <c r="A882" s="151" t="s">
        <v>2245</v>
      </c>
      <c r="B882" s="233" t="str">
        <f>VLOOKUP(A882,'AFC Data details'!$B:$E,4,0)</f>
        <v>PV06</v>
      </c>
      <c r="C882" s="144" t="s">
        <v>1699</v>
      </c>
      <c r="D882" s="151" t="s">
        <v>602</v>
      </c>
      <c r="E882" s="151">
        <f>VLOOKUP(A882,'AFC Data details'!$B:$P,15,0)</f>
        <v>2.0840000000000001</v>
      </c>
      <c r="F882" s="151">
        <f>SUMIFS('AFC Data details'!C:C,'AFC Data details'!$B:$B,'Element wise-detail Summary'!$A882)</f>
        <v>1</v>
      </c>
      <c r="G882" s="151">
        <f>SUMIFS(Cast!$C:$C,Cast!$B:$B,'Element wise-detail Summary'!$A882)</f>
        <v>1</v>
      </c>
      <c r="H882" s="151">
        <f t="shared" si="87"/>
        <v>0</v>
      </c>
      <c r="I882" s="151">
        <f>SUMIFS(Del!$C:$C,Del!$B:$B,'Element wise-detail Summary'!$A882)</f>
        <v>0</v>
      </c>
      <c r="J882" s="151">
        <f t="shared" si="88"/>
        <v>1</v>
      </c>
      <c r="K882" s="151">
        <f t="shared" si="89"/>
        <v>1</v>
      </c>
      <c r="L882" s="151">
        <f>SUMIF(Ere!$B:$B,'Element wise-detail Summary'!$A882,Ere!$C:$C)</f>
        <v>0</v>
      </c>
      <c r="M882" s="151">
        <f t="shared" si="90"/>
        <v>1</v>
      </c>
      <c r="N882">
        <f t="shared" si="91"/>
        <v>0</v>
      </c>
    </row>
    <row r="883" spans="1:14" hidden="1" x14ac:dyDescent="0.25">
      <c r="A883" s="151" t="s">
        <v>2246</v>
      </c>
      <c r="B883" s="233" t="str">
        <f>VLOOKUP(A883,'AFC Data details'!$B:$E,4,0)</f>
        <v>PV06</v>
      </c>
      <c r="C883" s="144" t="s">
        <v>1699</v>
      </c>
      <c r="D883" s="151" t="s">
        <v>602</v>
      </c>
      <c r="E883" s="151">
        <f>VLOOKUP(A883,'AFC Data details'!$B:$P,15,0)</f>
        <v>2.0840000000000001</v>
      </c>
      <c r="F883" s="151">
        <f>SUMIFS('AFC Data details'!C:C,'AFC Data details'!$B:$B,'Element wise-detail Summary'!$A883)</f>
        <v>1</v>
      </c>
      <c r="G883" s="151">
        <f>SUMIFS(Cast!$C:$C,Cast!$B:$B,'Element wise-detail Summary'!$A883)</f>
        <v>1</v>
      </c>
      <c r="H883" s="151">
        <f t="shared" si="87"/>
        <v>0</v>
      </c>
      <c r="I883" s="151">
        <f>SUMIFS(Del!$C:$C,Del!$B:$B,'Element wise-detail Summary'!$A883)</f>
        <v>0</v>
      </c>
      <c r="J883" s="151">
        <f t="shared" si="88"/>
        <v>1</v>
      </c>
      <c r="K883" s="151">
        <f t="shared" si="89"/>
        <v>1</v>
      </c>
      <c r="L883" s="151">
        <f>SUMIF(Ere!$B:$B,'Element wise-detail Summary'!$A883,Ere!$C:$C)</f>
        <v>0</v>
      </c>
      <c r="M883" s="151">
        <f t="shared" si="90"/>
        <v>1</v>
      </c>
      <c r="N883">
        <f t="shared" si="91"/>
        <v>0</v>
      </c>
    </row>
    <row r="884" spans="1:14" hidden="1" x14ac:dyDescent="0.25">
      <c r="A884" s="151" t="s">
        <v>2247</v>
      </c>
      <c r="B884" s="233" t="str">
        <f>VLOOKUP(A884,'AFC Data details'!$B:$E,4,0)</f>
        <v>PV06</v>
      </c>
      <c r="C884" s="144" t="s">
        <v>1699</v>
      </c>
      <c r="D884" s="151" t="s">
        <v>602</v>
      </c>
      <c r="E884" s="151">
        <f>VLOOKUP(A884,'AFC Data details'!$B:$P,15,0)</f>
        <v>2.0840000000000001</v>
      </c>
      <c r="F884" s="151">
        <f>SUMIFS('AFC Data details'!C:C,'AFC Data details'!$B:$B,'Element wise-detail Summary'!$A884)</f>
        <v>1</v>
      </c>
      <c r="G884" s="151">
        <f>SUMIFS(Cast!$C:$C,Cast!$B:$B,'Element wise-detail Summary'!$A884)</f>
        <v>1</v>
      </c>
      <c r="H884" s="151">
        <f t="shared" si="87"/>
        <v>0</v>
      </c>
      <c r="I884" s="151">
        <f>SUMIFS(Del!$C:$C,Del!$B:$B,'Element wise-detail Summary'!$A884)</f>
        <v>0</v>
      </c>
      <c r="J884" s="151">
        <f t="shared" si="88"/>
        <v>1</v>
      </c>
      <c r="K884" s="151">
        <f t="shared" si="89"/>
        <v>1</v>
      </c>
      <c r="L884" s="151">
        <f>SUMIF(Ere!$B:$B,'Element wise-detail Summary'!$A884,Ere!$C:$C)</f>
        <v>0</v>
      </c>
      <c r="M884" s="151">
        <f t="shared" si="90"/>
        <v>1</v>
      </c>
      <c r="N884">
        <f t="shared" si="91"/>
        <v>0</v>
      </c>
    </row>
    <row r="885" spans="1:14" hidden="1" x14ac:dyDescent="0.25">
      <c r="A885" s="151" t="s">
        <v>2248</v>
      </c>
      <c r="B885" s="233" t="str">
        <f>VLOOKUP(A885,'AFC Data details'!$B:$E,4,0)</f>
        <v>PV06</v>
      </c>
      <c r="C885" s="144" t="s">
        <v>1699</v>
      </c>
      <c r="D885" s="151" t="s">
        <v>602</v>
      </c>
      <c r="E885" s="151">
        <f>VLOOKUP(A885,'AFC Data details'!$B:$P,15,0)</f>
        <v>2.0840000000000001</v>
      </c>
      <c r="F885" s="151">
        <f>SUMIFS('AFC Data details'!C:C,'AFC Data details'!$B:$B,'Element wise-detail Summary'!$A885)</f>
        <v>1</v>
      </c>
      <c r="G885" s="151">
        <f>SUMIFS(Cast!$C:$C,Cast!$B:$B,'Element wise-detail Summary'!$A885)</f>
        <v>1</v>
      </c>
      <c r="H885" s="151">
        <f t="shared" si="87"/>
        <v>0</v>
      </c>
      <c r="I885" s="151">
        <f>SUMIFS(Del!$C:$C,Del!$B:$B,'Element wise-detail Summary'!$A885)</f>
        <v>0</v>
      </c>
      <c r="J885" s="151">
        <f t="shared" si="88"/>
        <v>1</v>
      </c>
      <c r="K885" s="151">
        <f t="shared" si="89"/>
        <v>1</v>
      </c>
      <c r="L885" s="151">
        <f>SUMIF(Ere!$B:$B,'Element wise-detail Summary'!$A885,Ere!$C:$C)</f>
        <v>0</v>
      </c>
      <c r="M885" s="151">
        <f t="shared" si="90"/>
        <v>1</v>
      </c>
      <c r="N885">
        <f t="shared" si="91"/>
        <v>0</v>
      </c>
    </row>
    <row r="886" spans="1:14" hidden="1" x14ac:dyDescent="0.25">
      <c r="A886" s="151" t="s">
        <v>2249</v>
      </c>
      <c r="B886" s="233" t="str">
        <f>VLOOKUP(A886,'AFC Data details'!$B:$E,4,0)</f>
        <v>PV07</v>
      </c>
      <c r="C886" s="144" t="s">
        <v>1699</v>
      </c>
      <c r="D886" s="151" t="s">
        <v>602</v>
      </c>
      <c r="E886" s="151">
        <f>VLOOKUP(A886,'AFC Data details'!$B:$P,15,0)</f>
        <v>2.0840000000000001</v>
      </c>
      <c r="F886" s="151">
        <f>SUMIFS('AFC Data details'!C:C,'AFC Data details'!$B:$B,'Element wise-detail Summary'!$A886)</f>
        <v>1</v>
      </c>
      <c r="G886" s="151">
        <f>SUMIFS(Cast!$C:$C,Cast!$B:$B,'Element wise-detail Summary'!$A886)</f>
        <v>1</v>
      </c>
      <c r="H886" s="151">
        <f t="shared" si="87"/>
        <v>0</v>
      </c>
      <c r="I886" s="151">
        <f>SUMIFS(Del!$C:$C,Del!$B:$B,'Element wise-detail Summary'!$A886)</f>
        <v>0</v>
      </c>
      <c r="J886" s="151">
        <f t="shared" si="88"/>
        <v>1</v>
      </c>
      <c r="K886" s="151">
        <f t="shared" si="89"/>
        <v>1</v>
      </c>
      <c r="L886" s="151">
        <f>SUMIF(Ere!$B:$B,'Element wise-detail Summary'!$A886,Ere!$C:$C)</f>
        <v>0</v>
      </c>
      <c r="M886" s="151">
        <f t="shared" si="90"/>
        <v>1</v>
      </c>
      <c r="N886">
        <f t="shared" si="91"/>
        <v>0</v>
      </c>
    </row>
    <row r="887" spans="1:14" hidden="1" x14ac:dyDescent="0.25">
      <c r="A887" s="151" t="s">
        <v>2250</v>
      </c>
      <c r="B887" s="233" t="str">
        <f>VLOOKUP(A887,'AFC Data details'!$B:$E,4,0)</f>
        <v>PV07</v>
      </c>
      <c r="C887" s="144" t="s">
        <v>1699</v>
      </c>
      <c r="D887" s="151" t="s">
        <v>602</v>
      </c>
      <c r="E887" s="151">
        <f>VLOOKUP(A887,'AFC Data details'!$B:$P,15,0)</f>
        <v>2.0840000000000001</v>
      </c>
      <c r="F887" s="151">
        <f>SUMIFS('AFC Data details'!C:C,'AFC Data details'!$B:$B,'Element wise-detail Summary'!$A887)</f>
        <v>1</v>
      </c>
      <c r="G887" s="151">
        <f>SUMIFS(Cast!$C:$C,Cast!$B:$B,'Element wise-detail Summary'!$A887)</f>
        <v>1</v>
      </c>
      <c r="H887" s="151">
        <f t="shared" si="87"/>
        <v>0</v>
      </c>
      <c r="I887" s="151">
        <f>SUMIFS(Del!$C:$C,Del!$B:$B,'Element wise-detail Summary'!$A887)</f>
        <v>0</v>
      </c>
      <c r="J887" s="151">
        <f t="shared" si="88"/>
        <v>1</v>
      </c>
      <c r="K887" s="151">
        <f t="shared" si="89"/>
        <v>1</v>
      </c>
      <c r="L887" s="151">
        <f>SUMIF(Ere!$B:$B,'Element wise-detail Summary'!$A887,Ere!$C:$C)</f>
        <v>0</v>
      </c>
      <c r="M887" s="151">
        <f t="shared" si="90"/>
        <v>1</v>
      </c>
      <c r="N887">
        <f t="shared" si="91"/>
        <v>0</v>
      </c>
    </row>
    <row r="888" spans="1:14" hidden="1" x14ac:dyDescent="0.25">
      <c r="A888" s="151" t="s">
        <v>2251</v>
      </c>
      <c r="B888" s="233" t="str">
        <f>VLOOKUP(A888,'AFC Data details'!$B:$E,4,0)</f>
        <v>PV07</v>
      </c>
      <c r="C888" s="144" t="s">
        <v>1699</v>
      </c>
      <c r="D888" s="151" t="s">
        <v>602</v>
      </c>
      <c r="E888" s="151">
        <f>VLOOKUP(A888,'AFC Data details'!$B:$P,15,0)</f>
        <v>2.0840000000000001</v>
      </c>
      <c r="F888" s="151">
        <f>SUMIFS('AFC Data details'!C:C,'AFC Data details'!$B:$B,'Element wise-detail Summary'!$A888)</f>
        <v>1</v>
      </c>
      <c r="G888" s="151">
        <f>SUMIFS(Cast!$C:$C,Cast!$B:$B,'Element wise-detail Summary'!$A888)</f>
        <v>1</v>
      </c>
      <c r="H888" s="151">
        <f t="shared" si="87"/>
        <v>0</v>
      </c>
      <c r="I888" s="151">
        <f>SUMIFS(Del!$C:$C,Del!$B:$B,'Element wise-detail Summary'!$A888)</f>
        <v>0</v>
      </c>
      <c r="J888" s="151">
        <f t="shared" si="88"/>
        <v>1</v>
      </c>
      <c r="K888" s="151">
        <f t="shared" si="89"/>
        <v>1</v>
      </c>
      <c r="L888" s="151">
        <f>SUMIF(Ere!$B:$B,'Element wise-detail Summary'!$A888,Ere!$C:$C)</f>
        <v>0</v>
      </c>
      <c r="M888" s="151">
        <f t="shared" si="90"/>
        <v>1</v>
      </c>
      <c r="N888">
        <f t="shared" si="91"/>
        <v>0</v>
      </c>
    </row>
    <row r="889" spans="1:14" hidden="1" x14ac:dyDescent="0.25">
      <c r="A889" s="151" t="s">
        <v>2252</v>
      </c>
      <c r="B889" s="233" t="str">
        <f>VLOOKUP(A889,'AFC Data details'!$B:$E,4,0)</f>
        <v>PV07</v>
      </c>
      <c r="C889" s="144" t="s">
        <v>1699</v>
      </c>
      <c r="D889" s="151" t="s">
        <v>602</v>
      </c>
      <c r="E889" s="151">
        <f>VLOOKUP(A889,'AFC Data details'!$B:$P,15,0)</f>
        <v>2.0840000000000001</v>
      </c>
      <c r="F889" s="151">
        <f>SUMIFS('AFC Data details'!C:C,'AFC Data details'!$B:$B,'Element wise-detail Summary'!$A889)</f>
        <v>1</v>
      </c>
      <c r="G889" s="151">
        <f>SUMIFS(Cast!$C:$C,Cast!$B:$B,'Element wise-detail Summary'!$A889)</f>
        <v>1</v>
      </c>
      <c r="H889" s="151">
        <f t="shared" si="87"/>
        <v>0</v>
      </c>
      <c r="I889" s="151">
        <f>SUMIFS(Del!$C:$C,Del!$B:$B,'Element wise-detail Summary'!$A889)</f>
        <v>0</v>
      </c>
      <c r="J889" s="151">
        <f t="shared" si="88"/>
        <v>1</v>
      </c>
      <c r="K889" s="151">
        <f t="shared" si="89"/>
        <v>1</v>
      </c>
      <c r="L889" s="151">
        <f>SUMIF(Ere!$B:$B,'Element wise-detail Summary'!$A889,Ere!$C:$C)</f>
        <v>0</v>
      </c>
      <c r="M889" s="151">
        <f t="shared" si="90"/>
        <v>1</v>
      </c>
      <c r="N889">
        <f t="shared" si="91"/>
        <v>0</v>
      </c>
    </row>
    <row r="890" spans="1:14" hidden="1" x14ac:dyDescent="0.25">
      <c r="A890" s="151" t="s">
        <v>2253</v>
      </c>
      <c r="B890" s="233" t="str">
        <f>VLOOKUP(A890,'AFC Data details'!$B:$E,4,0)</f>
        <v>PV06</v>
      </c>
      <c r="C890" s="144" t="s">
        <v>1699</v>
      </c>
      <c r="D890" s="151" t="s">
        <v>602</v>
      </c>
      <c r="E890" s="151">
        <f>VLOOKUP(A890,'AFC Data details'!$B:$P,15,0)</f>
        <v>2.0840000000000001</v>
      </c>
      <c r="F890" s="151">
        <f>SUMIFS('AFC Data details'!C:C,'AFC Data details'!$B:$B,'Element wise-detail Summary'!$A890)</f>
        <v>1</v>
      </c>
      <c r="G890" s="151">
        <f>SUMIFS(Cast!$C:$C,Cast!$B:$B,'Element wise-detail Summary'!$A890)</f>
        <v>1</v>
      </c>
      <c r="H890" s="151">
        <f t="shared" si="87"/>
        <v>0</v>
      </c>
      <c r="I890" s="151">
        <f>SUMIFS(Del!$C:$C,Del!$B:$B,'Element wise-detail Summary'!$A890)</f>
        <v>0</v>
      </c>
      <c r="J890" s="151">
        <f t="shared" si="88"/>
        <v>1</v>
      </c>
      <c r="K890" s="151">
        <f t="shared" si="89"/>
        <v>1</v>
      </c>
      <c r="L890" s="151">
        <f>SUMIF(Ere!$B:$B,'Element wise-detail Summary'!$A890,Ere!$C:$C)</f>
        <v>0</v>
      </c>
      <c r="M890" s="151">
        <f t="shared" si="90"/>
        <v>1</v>
      </c>
      <c r="N890">
        <f t="shared" si="91"/>
        <v>0</v>
      </c>
    </row>
    <row r="891" spans="1:14" hidden="1" x14ac:dyDescent="0.25">
      <c r="A891" s="151" t="s">
        <v>2254</v>
      </c>
      <c r="B891" s="233" t="str">
        <f>VLOOKUP(A891,'AFC Data details'!$B:$E,4,0)</f>
        <v>PV07</v>
      </c>
      <c r="C891" s="144" t="s">
        <v>1699</v>
      </c>
      <c r="D891" s="151" t="s">
        <v>602</v>
      </c>
      <c r="E891" s="151">
        <f>VLOOKUP(A891,'AFC Data details'!$B:$P,15,0)</f>
        <v>2.0840000000000001</v>
      </c>
      <c r="F891" s="151">
        <f>SUMIFS('AFC Data details'!C:C,'AFC Data details'!$B:$B,'Element wise-detail Summary'!$A891)</f>
        <v>1</v>
      </c>
      <c r="G891" s="151">
        <f>SUMIFS(Cast!$C:$C,Cast!$B:$B,'Element wise-detail Summary'!$A891)</f>
        <v>1</v>
      </c>
      <c r="H891" s="151">
        <f t="shared" si="87"/>
        <v>0</v>
      </c>
      <c r="I891" s="151">
        <f>SUMIFS(Del!$C:$C,Del!$B:$B,'Element wise-detail Summary'!$A891)</f>
        <v>0</v>
      </c>
      <c r="J891" s="151">
        <f t="shared" si="88"/>
        <v>1</v>
      </c>
      <c r="K891" s="151">
        <f t="shared" si="89"/>
        <v>1</v>
      </c>
      <c r="L891" s="151">
        <f>SUMIF(Ere!$B:$B,'Element wise-detail Summary'!$A891,Ere!$C:$C)</f>
        <v>0</v>
      </c>
      <c r="M891" s="151">
        <f t="shared" si="90"/>
        <v>1</v>
      </c>
      <c r="N891">
        <f t="shared" si="91"/>
        <v>0</v>
      </c>
    </row>
    <row r="892" spans="1:14" hidden="1" x14ac:dyDescent="0.25">
      <c r="A892" s="151" t="s">
        <v>2255</v>
      </c>
      <c r="B892" s="233" t="str">
        <f>VLOOKUP(A892,'AFC Data details'!$B:$E,4,0)</f>
        <v>PV06</v>
      </c>
      <c r="C892" s="144" t="s">
        <v>1699</v>
      </c>
      <c r="D892" s="151" t="s">
        <v>602</v>
      </c>
      <c r="E892" s="151">
        <f>VLOOKUP(A892,'AFC Data details'!$B:$P,15,0)</f>
        <v>1.51</v>
      </c>
      <c r="F892" s="151">
        <f>SUMIFS('AFC Data details'!C:C,'AFC Data details'!$B:$B,'Element wise-detail Summary'!$A892)</f>
        <v>1</v>
      </c>
      <c r="G892" s="151">
        <f>SUMIFS(Cast!$C:$C,Cast!$B:$B,'Element wise-detail Summary'!$A892)</f>
        <v>1</v>
      </c>
      <c r="H892" s="151">
        <f t="shared" si="87"/>
        <v>0</v>
      </c>
      <c r="I892" s="151">
        <f>SUMIFS(Del!$C:$C,Del!$B:$B,'Element wise-detail Summary'!$A892)</f>
        <v>0</v>
      </c>
      <c r="J892" s="151">
        <f t="shared" si="88"/>
        <v>1</v>
      </c>
      <c r="K892" s="151">
        <f t="shared" si="89"/>
        <v>1</v>
      </c>
      <c r="L892" s="151">
        <f>SUMIF(Ere!$B:$B,'Element wise-detail Summary'!$A892,Ere!$C:$C)</f>
        <v>0</v>
      </c>
      <c r="M892" s="151">
        <f t="shared" si="90"/>
        <v>1</v>
      </c>
      <c r="N892">
        <f t="shared" si="91"/>
        <v>0</v>
      </c>
    </row>
    <row r="893" spans="1:14" hidden="1" x14ac:dyDescent="0.25">
      <c r="A893" s="151" t="s">
        <v>2256</v>
      </c>
      <c r="B893" s="233" t="str">
        <f>VLOOKUP(A893,'AFC Data details'!$B:$E,4,0)</f>
        <v>PV06</v>
      </c>
      <c r="C893" s="144" t="s">
        <v>1699</v>
      </c>
      <c r="D893" s="151" t="s">
        <v>602</v>
      </c>
      <c r="E893" s="151">
        <f>VLOOKUP(A893,'AFC Data details'!$B:$P,15,0)</f>
        <v>1.399</v>
      </c>
      <c r="F893" s="151">
        <f>SUMIFS('AFC Data details'!C:C,'AFC Data details'!$B:$B,'Element wise-detail Summary'!$A893)</f>
        <v>1</v>
      </c>
      <c r="G893" s="151">
        <f>SUMIFS(Cast!$C:$C,Cast!$B:$B,'Element wise-detail Summary'!$A893)</f>
        <v>1</v>
      </c>
      <c r="H893" s="151">
        <f t="shared" si="87"/>
        <v>0</v>
      </c>
      <c r="I893" s="151">
        <f>SUMIFS(Del!$C:$C,Del!$B:$B,'Element wise-detail Summary'!$A893)</f>
        <v>0</v>
      </c>
      <c r="J893" s="151">
        <f t="shared" si="88"/>
        <v>1</v>
      </c>
      <c r="K893" s="151">
        <f t="shared" si="89"/>
        <v>1</v>
      </c>
      <c r="L893" s="151">
        <f>SUMIF(Ere!$B:$B,'Element wise-detail Summary'!$A893,Ere!$C:$C)</f>
        <v>0</v>
      </c>
      <c r="M893" s="151">
        <f t="shared" si="90"/>
        <v>1</v>
      </c>
      <c r="N893">
        <f t="shared" si="91"/>
        <v>0</v>
      </c>
    </row>
    <row r="894" spans="1:14" hidden="1" x14ac:dyDescent="0.25">
      <c r="A894" s="151" t="s">
        <v>2257</v>
      </c>
      <c r="B894" s="233" t="str">
        <f>VLOOKUP(A894,'AFC Data details'!$B:$E,4,0)</f>
        <v>PV07</v>
      </c>
      <c r="C894" s="144" t="s">
        <v>1699</v>
      </c>
      <c r="D894" s="151" t="s">
        <v>602</v>
      </c>
      <c r="E894" s="151">
        <f>VLOOKUP(A894,'AFC Data details'!$B:$P,15,0)</f>
        <v>0.95499999999999996</v>
      </c>
      <c r="F894" s="151">
        <f>SUMIFS('AFC Data details'!C:C,'AFC Data details'!$B:$B,'Element wise-detail Summary'!$A894)</f>
        <v>1</v>
      </c>
      <c r="G894" s="151">
        <f>SUMIFS(Cast!$C:$C,Cast!$B:$B,'Element wise-detail Summary'!$A894)</f>
        <v>1</v>
      </c>
      <c r="H894" s="151">
        <f t="shared" ref="H894:H957" si="92">F894-G894</f>
        <v>0</v>
      </c>
      <c r="I894" s="151">
        <f>SUMIFS(Del!$C:$C,Del!$B:$B,'Element wise-detail Summary'!$A894)</f>
        <v>0</v>
      </c>
      <c r="J894" s="151">
        <f t="shared" ref="J894:J957" si="93">F894-I894</f>
        <v>1</v>
      </c>
      <c r="K894" s="151">
        <f t="shared" ref="K894:K957" si="94">G894-I894</f>
        <v>1</v>
      </c>
      <c r="L894" s="151">
        <f>SUMIF(Ere!$B:$B,'Element wise-detail Summary'!$A894,Ere!$C:$C)</f>
        <v>0</v>
      </c>
      <c r="M894" s="151">
        <f t="shared" ref="M894:M957" si="95">F894-L894</f>
        <v>1</v>
      </c>
      <c r="N894">
        <f t="shared" ref="N894:N957" si="96">I894*E894</f>
        <v>0</v>
      </c>
    </row>
    <row r="895" spans="1:14" hidden="1" x14ac:dyDescent="0.25">
      <c r="A895" s="151" t="s">
        <v>2258</v>
      </c>
      <c r="B895" s="233" t="str">
        <f>VLOOKUP(A895,'AFC Data details'!$B:$E,4,0)</f>
        <v>PV07</v>
      </c>
      <c r="C895" s="144" t="s">
        <v>1699</v>
      </c>
      <c r="D895" s="151" t="s">
        <v>602</v>
      </c>
      <c r="E895" s="151">
        <f>VLOOKUP(A895,'AFC Data details'!$B:$P,15,0)</f>
        <v>1.399</v>
      </c>
      <c r="F895" s="151">
        <f>SUMIFS('AFC Data details'!C:C,'AFC Data details'!$B:$B,'Element wise-detail Summary'!$A895)</f>
        <v>1</v>
      </c>
      <c r="G895" s="151">
        <f>SUMIFS(Cast!$C:$C,Cast!$B:$B,'Element wise-detail Summary'!$A895)</f>
        <v>1</v>
      </c>
      <c r="H895" s="151">
        <f t="shared" si="92"/>
        <v>0</v>
      </c>
      <c r="I895" s="151">
        <f>SUMIFS(Del!$C:$C,Del!$B:$B,'Element wise-detail Summary'!$A895)</f>
        <v>0</v>
      </c>
      <c r="J895" s="151">
        <f t="shared" si="93"/>
        <v>1</v>
      </c>
      <c r="K895" s="151">
        <f t="shared" si="94"/>
        <v>1</v>
      </c>
      <c r="L895" s="151">
        <f>SUMIF(Ere!$B:$B,'Element wise-detail Summary'!$A895,Ere!$C:$C)</f>
        <v>0</v>
      </c>
      <c r="M895" s="151">
        <f t="shared" si="95"/>
        <v>1</v>
      </c>
      <c r="N895">
        <f t="shared" si="96"/>
        <v>0</v>
      </c>
    </row>
    <row r="896" spans="1:14" hidden="1" x14ac:dyDescent="0.25">
      <c r="A896" s="151" t="s">
        <v>2259</v>
      </c>
      <c r="B896" s="233" t="str">
        <f>VLOOKUP(A896,'AFC Data details'!$B:$E,4,0)</f>
        <v>PV07</v>
      </c>
      <c r="C896" s="144" t="s">
        <v>1699</v>
      </c>
      <c r="D896" s="151" t="s">
        <v>602</v>
      </c>
      <c r="E896" s="151">
        <f>VLOOKUP(A896,'AFC Data details'!$B:$P,15,0)</f>
        <v>1.143</v>
      </c>
      <c r="F896" s="151">
        <f>SUMIFS('AFC Data details'!C:C,'AFC Data details'!$B:$B,'Element wise-detail Summary'!$A896)</f>
        <v>1</v>
      </c>
      <c r="G896" s="151">
        <f>SUMIFS(Cast!$C:$C,Cast!$B:$B,'Element wise-detail Summary'!$A896)</f>
        <v>1</v>
      </c>
      <c r="H896" s="151">
        <f t="shared" si="92"/>
        <v>0</v>
      </c>
      <c r="I896" s="151">
        <f>SUMIFS(Del!$C:$C,Del!$B:$B,'Element wise-detail Summary'!$A896)</f>
        <v>0</v>
      </c>
      <c r="J896" s="151">
        <f t="shared" si="93"/>
        <v>1</v>
      </c>
      <c r="K896" s="151">
        <f t="shared" si="94"/>
        <v>1</v>
      </c>
      <c r="L896" s="151">
        <f>SUMIF(Ere!$B:$B,'Element wise-detail Summary'!$A896,Ere!$C:$C)</f>
        <v>0</v>
      </c>
      <c r="M896" s="151">
        <f t="shared" si="95"/>
        <v>1</v>
      </c>
      <c r="N896">
        <f t="shared" si="96"/>
        <v>0</v>
      </c>
    </row>
    <row r="897" spans="1:14" hidden="1" x14ac:dyDescent="0.25">
      <c r="A897" s="151" t="s">
        <v>2260</v>
      </c>
      <c r="B897" s="233" t="str">
        <f>VLOOKUP(A897,'AFC Data details'!$B:$E,4,0)</f>
        <v>PV08</v>
      </c>
      <c r="C897" s="144" t="s">
        <v>1699</v>
      </c>
      <c r="D897" s="151" t="s">
        <v>602</v>
      </c>
      <c r="E897" s="151">
        <f>VLOOKUP(A897,'AFC Data details'!$B:$P,15,0)</f>
        <v>2.09</v>
      </c>
      <c r="F897" s="151">
        <f>SUMIFS('AFC Data details'!C:C,'AFC Data details'!$B:$B,'Element wise-detail Summary'!$A897)</f>
        <v>1</v>
      </c>
      <c r="G897" s="151">
        <f>SUMIFS(Cast!$C:$C,Cast!$B:$B,'Element wise-detail Summary'!$A897)</f>
        <v>1</v>
      </c>
      <c r="H897" s="151">
        <f t="shared" si="92"/>
        <v>0</v>
      </c>
      <c r="I897" s="151">
        <f>SUMIFS(Del!$C:$C,Del!$B:$B,'Element wise-detail Summary'!$A897)</f>
        <v>0</v>
      </c>
      <c r="J897" s="151">
        <f t="shared" si="93"/>
        <v>1</v>
      </c>
      <c r="K897" s="151">
        <f t="shared" si="94"/>
        <v>1</v>
      </c>
      <c r="L897" s="151">
        <f>SUMIF(Ere!$B:$B,'Element wise-detail Summary'!$A897,Ere!$C:$C)</f>
        <v>0</v>
      </c>
      <c r="M897" s="151">
        <f t="shared" si="95"/>
        <v>1</v>
      </c>
      <c r="N897">
        <f t="shared" si="96"/>
        <v>0</v>
      </c>
    </row>
    <row r="898" spans="1:14" hidden="1" x14ac:dyDescent="0.25">
      <c r="A898" s="151" t="s">
        <v>2261</v>
      </c>
      <c r="B898" s="233" t="str">
        <f>VLOOKUP(A898,'AFC Data details'!$B:$E,4,0)</f>
        <v>PV09</v>
      </c>
      <c r="C898" s="144" t="s">
        <v>1699</v>
      </c>
      <c r="D898" s="151" t="s">
        <v>602</v>
      </c>
      <c r="E898" s="151">
        <f>VLOOKUP(A898,'AFC Data details'!$B:$P,15,0)</f>
        <v>2.09</v>
      </c>
      <c r="F898" s="151">
        <f>SUMIFS('AFC Data details'!C:C,'AFC Data details'!$B:$B,'Element wise-detail Summary'!$A898)</f>
        <v>1</v>
      </c>
      <c r="G898" s="151">
        <f>SUMIFS(Cast!$C:$C,Cast!$B:$B,'Element wise-detail Summary'!$A898)</f>
        <v>1</v>
      </c>
      <c r="H898" s="151">
        <f t="shared" si="92"/>
        <v>0</v>
      </c>
      <c r="I898" s="151">
        <f>SUMIFS(Del!$C:$C,Del!$B:$B,'Element wise-detail Summary'!$A898)</f>
        <v>1</v>
      </c>
      <c r="J898" s="151">
        <f t="shared" si="93"/>
        <v>0</v>
      </c>
      <c r="K898" s="151">
        <f t="shared" si="94"/>
        <v>0</v>
      </c>
      <c r="L898" s="151">
        <f>SUMIF(Ere!$B:$B,'Element wise-detail Summary'!$A898,Ere!$C:$C)</f>
        <v>0</v>
      </c>
      <c r="M898" s="151">
        <f t="shared" si="95"/>
        <v>1</v>
      </c>
      <c r="N898">
        <f t="shared" si="96"/>
        <v>2.09</v>
      </c>
    </row>
    <row r="899" spans="1:14" hidden="1" x14ac:dyDescent="0.25">
      <c r="A899" s="151" t="s">
        <v>2262</v>
      </c>
      <c r="B899" s="233" t="str">
        <f>VLOOKUP(A899,'AFC Data details'!$B:$E,4,0)</f>
        <v>PV08</v>
      </c>
      <c r="C899" s="144" t="s">
        <v>1699</v>
      </c>
      <c r="D899" s="151" t="s">
        <v>602</v>
      </c>
      <c r="E899" s="151">
        <f>VLOOKUP(A899,'AFC Data details'!$B:$P,15,0)</f>
        <v>2.09</v>
      </c>
      <c r="F899" s="151">
        <f>SUMIFS('AFC Data details'!C:C,'AFC Data details'!$B:$B,'Element wise-detail Summary'!$A899)</f>
        <v>1</v>
      </c>
      <c r="G899" s="151">
        <f>SUMIFS(Cast!$C:$C,Cast!$B:$B,'Element wise-detail Summary'!$A899)</f>
        <v>1</v>
      </c>
      <c r="H899" s="151">
        <f t="shared" si="92"/>
        <v>0</v>
      </c>
      <c r="I899" s="151">
        <f>SUMIFS(Del!$C:$C,Del!$B:$B,'Element wise-detail Summary'!$A899)</f>
        <v>0</v>
      </c>
      <c r="J899" s="151">
        <f t="shared" si="93"/>
        <v>1</v>
      </c>
      <c r="K899" s="151">
        <f t="shared" si="94"/>
        <v>1</v>
      </c>
      <c r="L899" s="151">
        <f>SUMIF(Ere!$B:$B,'Element wise-detail Summary'!$A899,Ere!$C:$C)</f>
        <v>0</v>
      </c>
      <c r="M899" s="151">
        <f t="shared" si="95"/>
        <v>1</v>
      </c>
      <c r="N899">
        <f t="shared" si="96"/>
        <v>0</v>
      </c>
    </row>
    <row r="900" spans="1:14" hidden="1" x14ac:dyDescent="0.25">
      <c r="A900" s="151" t="s">
        <v>2263</v>
      </c>
      <c r="B900" s="233" t="str">
        <f>VLOOKUP(A900,'AFC Data details'!$B:$E,4,0)</f>
        <v>PV08</v>
      </c>
      <c r="C900" s="144" t="s">
        <v>1699</v>
      </c>
      <c r="D900" s="151" t="s">
        <v>602</v>
      </c>
      <c r="E900" s="151">
        <f>VLOOKUP(A900,'AFC Data details'!$B:$P,15,0)</f>
        <v>2.09</v>
      </c>
      <c r="F900" s="151">
        <f>SUMIFS('AFC Data details'!C:C,'AFC Data details'!$B:$B,'Element wise-detail Summary'!$A900)</f>
        <v>1</v>
      </c>
      <c r="G900" s="151">
        <f>SUMIFS(Cast!$C:$C,Cast!$B:$B,'Element wise-detail Summary'!$A900)</f>
        <v>1</v>
      </c>
      <c r="H900" s="151">
        <f t="shared" si="92"/>
        <v>0</v>
      </c>
      <c r="I900" s="151">
        <f>SUMIFS(Del!$C:$C,Del!$B:$B,'Element wise-detail Summary'!$A900)</f>
        <v>0</v>
      </c>
      <c r="J900" s="151">
        <f t="shared" si="93"/>
        <v>1</v>
      </c>
      <c r="K900" s="151">
        <f t="shared" si="94"/>
        <v>1</v>
      </c>
      <c r="L900" s="151">
        <f>SUMIF(Ere!$B:$B,'Element wise-detail Summary'!$A900,Ere!$C:$C)</f>
        <v>0</v>
      </c>
      <c r="M900" s="151">
        <f t="shared" si="95"/>
        <v>1</v>
      </c>
      <c r="N900">
        <f t="shared" si="96"/>
        <v>0</v>
      </c>
    </row>
    <row r="901" spans="1:14" hidden="1" x14ac:dyDescent="0.25">
      <c r="A901" s="151" t="s">
        <v>2264</v>
      </c>
      <c r="B901" s="233" t="str">
        <f>VLOOKUP(A901,'AFC Data details'!$B:$E,4,0)</f>
        <v>PV08</v>
      </c>
      <c r="C901" s="144" t="s">
        <v>1699</v>
      </c>
      <c r="D901" s="151" t="s">
        <v>602</v>
      </c>
      <c r="E901" s="151">
        <f>VLOOKUP(A901,'AFC Data details'!$B:$P,15,0)</f>
        <v>2.09</v>
      </c>
      <c r="F901" s="151">
        <f>SUMIFS('AFC Data details'!C:C,'AFC Data details'!$B:$B,'Element wise-detail Summary'!$A901)</f>
        <v>1</v>
      </c>
      <c r="G901" s="151">
        <f>SUMIFS(Cast!$C:$C,Cast!$B:$B,'Element wise-detail Summary'!$A901)</f>
        <v>1</v>
      </c>
      <c r="H901" s="151">
        <f t="shared" si="92"/>
        <v>0</v>
      </c>
      <c r="I901" s="151">
        <f>SUMIFS(Del!$C:$C,Del!$B:$B,'Element wise-detail Summary'!$A901)</f>
        <v>0</v>
      </c>
      <c r="J901" s="151">
        <f t="shared" si="93"/>
        <v>1</v>
      </c>
      <c r="K901" s="151">
        <f t="shared" si="94"/>
        <v>1</v>
      </c>
      <c r="L901" s="151">
        <f>SUMIF(Ere!$B:$B,'Element wise-detail Summary'!$A901,Ere!$C:$C)</f>
        <v>0</v>
      </c>
      <c r="M901" s="151">
        <f t="shared" si="95"/>
        <v>1</v>
      </c>
      <c r="N901">
        <f t="shared" si="96"/>
        <v>0</v>
      </c>
    </row>
    <row r="902" spans="1:14" hidden="1" x14ac:dyDescent="0.25">
      <c r="A902" s="151" t="s">
        <v>2265</v>
      </c>
      <c r="B902" s="233" t="str">
        <f>VLOOKUP(A902,'AFC Data details'!$B:$E,4,0)</f>
        <v>PV08</v>
      </c>
      <c r="C902" s="144" t="s">
        <v>1699</v>
      </c>
      <c r="D902" s="151" t="s">
        <v>602</v>
      </c>
      <c r="E902" s="151">
        <f>VLOOKUP(A902,'AFC Data details'!$B:$P,15,0)</f>
        <v>2.09</v>
      </c>
      <c r="F902" s="151">
        <f>SUMIFS('AFC Data details'!C:C,'AFC Data details'!$B:$B,'Element wise-detail Summary'!$A902)</f>
        <v>1</v>
      </c>
      <c r="G902" s="151">
        <f>SUMIFS(Cast!$C:$C,Cast!$B:$B,'Element wise-detail Summary'!$A902)</f>
        <v>1</v>
      </c>
      <c r="H902" s="151">
        <f t="shared" si="92"/>
        <v>0</v>
      </c>
      <c r="I902" s="151">
        <f>SUMIFS(Del!$C:$C,Del!$B:$B,'Element wise-detail Summary'!$A902)</f>
        <v>1</v>
      </c>
      <c r="J902" s="151">
        <f t="shared" si="93"/>
        <v>0</v>
      </c>
      <c r="K902" s="151">
        <f t="shared" si="94"/>
        <v>0</v>
      </c>
      <c r="L902" s="151">
        <f>SUMIF(Ere!$B:$B,'Element wise-detail Summary'!$A902,Ere!$C:$C)</f>
        <v>0</v>
      </c>
      <c r="M902" s="151">
        <f t="shared" si="95"/>
        <v>1</v>
      </c>
      <c r="N902">
        <f t="shared" si="96"/>
        <v>2.09</v>
      </c>
    </row>
    <row r="903" spans="1:14" hidden="1" x14ac:dyDescent="0.25">
      <c r="A903" s="151" t="s">
        <v>2266</v>
      </c>
      <c r="B903" s="233" t="str">
        <f>VLOOKUP(A903,'AFC Data details'!$B:$E,4,0)</f>
        <v>PV09</v>
      </c>
      <c r="C903" s="144" t="s">
        <v>1699</v>
      </c>
      <c r="D903" s="151" t="s">
        <v>602</v>
      </c>
      <c r="E903" s="151">
        <f>VLOOKUP(A903,'AFC Data details'!$B:$P,15,0)</f>
        <v>2.09</v>
      </c>
      <c r="F903" s="151">
        <f>SUMIFS('AFC Data details'!C:C,'AFC Data details'!$B:$B,'Element wise-detail Summary'!$A903)</f>
        <v>1</v>
      </c>
      <c r="G903" s="151">
        <f>SUMIFS(Cast!$C:$C,Cast!$B:$B,'Element wise-detail Summary'!$A903)</f>
        <v>1</v>
      </c>
      <c r="H903" s="151">
        <f t="shared" si="92"/>
        <v>0</v>
      </c>
      <c r="I903" s="151">
        <f>SUMIFS(Del!$C:$C,Del!$B:$B,'Element wise-detail Summary'!$A903)</f>
        <v>0</v>
      </c>
      <c r="J903" s="151">
        <f t="shared" si="93"/>
        <v>1</v>
      </c>
      <c r="K903" s="151">
        <f t="shared" si="94"/>
        <v>1</v>
      </c>
      <c r="L903" s="151">
        <f>SUMIF(Ere!$B:$B,'Element wise-detail Summary'!$A903,Ere!$C:$C)</f>
        <v>0</v>
      </c>
      <c r="M903" s="151">
        <f t="shared" si="95"/>
        <v>1</v>
      </c>
      <c r="N903">
        <f t="shared" si="96"/>
        <v>0</v>
      </c>
    </row>
    <row r="904" spans="1:14" hidden="1" x14ac:dyDescent="0.25">
      <c r="A904" s="151" t="s">
        <v>2267</v>
      </c>
      <c r="B904" s="233" t="str">
        <f>VLOOKUP(A904,'AFC Data details'!$B:$E,4,0)</f>
        <v>PV09</v>
      </c>
      <c r="C904" s="144" t="s">
        <v>1699</v>
      </c>
      <c r="D904" s="151" t="s">
        <v>602</v>
      </c>
      <c r="E904" s="151">
        <f>VLOOKUP(A904,'AFC Data details'!$B:$P,15,0)</f>
        <v>2.09</v>
      </c>
      <c r="F904" s="151">
        <f>SUMIFS('AFC Data details'!C:C,'AFC Data details'!$B:$B,'Element wise-detail Summary'!$A904)</f>
        <v>1</v>
      </c>
      <c r="G904" s="151">
        <f>SUMIFS(Cast!$C:$C,Cast!$B:$B,'Element wise-detail Summary'!$A904)</f>
        <v>1</v>
      </c>
      <c r="H904" s="151">
        <f t="shared" si="92"/>
        <v>0</v>
      </c>
      <c r="I904" s="151">
        <f>SUMIFS(Del!$C:$C,Del!$B:$B,'Element wise-detail Summary'!$A904)</f>
        <v>0</v>
      </c>
      <c r="J904" s="151">
        <f t="shared" si="93"/>
        <v>1</v>
      </c>
      <c r="K904" s="151">
        <f t="shared" si="94"/>
        <v>1</v>
      </c>
      <c r="L904" s="151">
        <f>SUMIF(Ere!$B:$B,'Element wise-detail Summary'!$A904,Ere!$C:$C)</f>
        <v>0</v>
      </c>
      <c r="M904" s="151">
        <f t="shared" si="95"/>
        <v>1</v>
      </c>
      <c r="N904">
        <f t="shared" si="96"/>
        <v>0</v>
      </c>
    </row>
    <row r="905" spans="1:14" hidden="1" x14ac:dyDescent="0.25">
      <c r="A905" s="151" t="s">
        <v>2268</v>
      </c>
      <c r="B905" s="233" t="str">
        <f>VLOOKUP(A905,'AFC Data details'!$B:$E,4,0)</f>
        <v>PV09</v>
      </c>
      <c r="C905" s="144" t="s">
        <v>1699</v>
      </c>
      <c r="D905" s="151" t="s">
        <v>602</v>
      </c>
      <c r="E905" s="151">
        <f>VLOOKUP(A905,'AFC Data details'!$B:$P,15,0)</f>
        <v>2.09</v>
      </c>
      <c r="F905" s="151">
        <f>SUMIFS('AFC Data details'!C:C,'AFC Data details'!$B:$B,'Element wise-detail Summary'!$A905)</f>
        <v>1</v>
      </c>
      <c r="G905" s="151">
        <f>SUMIFS(Cast!$C:$C,Cast!$B:$B,'Element wise-detail Summary'!$A905)</f>
        <v>1</v>
      </c>
      <c r="H905" s="151">
        <f t="shared" si="92"/>
        <v>0</v>
      </c>
      <c r="I905" s="151">
        <f>SUMIFS(Del!$C:$C,Del!$B:$B,'Element wise-detail Summary'!$A905)</f>
        <v>0</v>
      </c>
      <c r="J905" s="151">
        <f t="shared" si="93"/>
        <v>1</v>
      </c>
      <c r="K905" s="151">
        <f t="shared" si="94"/>
        <v>1</v>
      </c>
      <c r="L905" s="151">
        <f>SUMIF(Ere!$B:$B,'Element wise-detail Summary'!$A905,Ere!$C:$C)</f>
        <v>0</v>
      </c>
      <c r="M905" s="151">
        <f t="shared" si="95"/>
        <v>1</v>
      </c>
      <c r="N905">
        <f t="shared" si="96"/>
        <v>0</v>
      </c>
    </row>
    <row r="906" spans="1:14" hidden="1" x14ac:dyDescent="0.25">
      <c r="A906" s="151" t="s">
        <v>2269</v>
      </c>
      <c r="B906" s="233" t="str">
        <f>VLOOKUP(A906,'AFC Data details'!$B:$E,4,0)</f>
        <v>PV09</v>
      </c>
      <c r="C906" s="144" t="s">
        <v>1699</v>
      </c>
      <c r="D906" s="151" t="s">
        <v>602</v>
      </c>
      <c r="E906" s="151">
        <f>VLOOKUP(A906,'AFC Data details'!$B:$P,15,0)</f>
        <v>2.09</v>
      </c>
      <c r="F906" s="151">
        <f>SUMIFS('AFC Data details'!C:C,'AFC Data details'!$B:$B,'Element wise-detail Summary'!$A906)</f>
        <v>1</v>
      </c>
      <c r="G906" s="151">
        <f>SUMIFS(Cast!$C:$C,Cast!$B:$B,'Element wise-detail Summary'!$A906)</f>
        <v>1</v>
      </c>
      <c r="H906" s="151">
        <f t="shared" si="92"/>
        <v>0</v>
      </c>
      <c r="I906" s="151">
        <f>SUMIFS(Del!$C:$C,Del!$B:$B,'Element wise-detail Summary'!$A906)</f>
        <v>1</v>
      </c>
      <c r="J906" s="151">
        <f t="shared" si="93"/>
        <v>0</v>
      </c>
      <c r="K906" s="151">
        <f t="shared" si="94"/>
        <v>0</v>
      </c>
      <c r="L906" s="151">
        <f>SUMIF(Ere!$B:$B,'Element wise-detail Summary'!$A906,Ere!$C:$C)</f>
        <v>0</v>
      </c>
      <c r="M906" s="151">
        <f t="shared" si="95"/>
        <v>1</v>
      </c>
      <c r="N906">
        <f t="shared" si="96"/>
        <v>2.09</v>
      </c>
    </row>
    <row r="907" spans="1:14" hidden="1" x14ac:dyDescent="0.25">
      <c r="A907" s="151" t="s">
        <v>2270</v>
      </c>
      <c r="B907" s="233" t="str">
        <f>VLOOKUP(A907,'AFC Data details'!$B:$E,4,0)</f>
        <v>PV08</v>
      </c>
      <c r="C907" s="144" t="s">
        <v>1699</v>
      </c>
      <c r="D907" s="151" t="s">
        <v>602</v>
      </c>
      <c r="E907" s="151">
        <f>VLOOKUP(A907,'AFC Data details'!$B:$P,15,0)</f>
        <v>2.09</v>
      </c>
      <c r="F907" s="151">
        <f>SUMIFS('AFC Data details'!C:C,'AFC Data details'!$B:$B,'Element wise-detail Summary'!$A907)</f>
        <v>1</v>
      </c>
      <c r="G907" s="151">
        <f>SUMIFS(Cast!$C:$C,Cast!$B:$B,'Element wise-detail Summary'!$A907)</f>
        <v>1</v>
      </c>
      <c r="H907" s="151">
        <f t="shared" si="92"/>
        <v>0</v>
      </c>
      <c r="I907" s="151">
        <f>SUMIFS(Del!$C:$C,Del!$B:$B,'Element wise-detail Summary'!$A907)</f>
        <v>0</v>
      </c>
      <c r="J907" s="151">
        <f t="shared" si="93"/>
        <v>1</v>
      </c>
      <c r="K907" s="151">
        <f t="shared" si="94"/>
        <v>1</v>
      </c>
      <c r="L907" s="151">
        <f>SUMIF(Ere!$B:$B,'Element wise-detail Summary'!$A907,Ere!$C:$C)</f>
        <v>0</v>
      </c>
      <c r="M907" s="151">
        <f t="shared" si="95"/>
        <v>1</v>
      </c>
      <c r="N907">
        <f t="shared" si="96"/>
        <v>0</v>
      </c>
    </row>
    <row r="908" spans="1:14" hidden="1" x14ac:dyDescent="0.25">
      <c r="A908" s="151" t="s">
        <v>2271</v>
      </c>
      <c r="B908" s="233" t="str">
        <f>VLOOKUP(A908,'AFC Data details'!$B:$E,4,0)</f>
        <v>PV09</v>
      </c>
      <c r="C908" s="144" t="s">
        <v>1699</v>
      </c>
      <c r="D908" s="151" t="s">
        <v>602</v>
      </c>
      <c r="E908" s="151">
        <f>VLOOKUP(A908,'AFC Data details'!$B:$P,15,0)</f>
        <v>2.09</v>
      </c>
      <c r="F908" s="151">
        <f>SUMIFS('AFC Data details'!C:C,'AFC Data details'!$B:$B,'Element wise-detail Summary'!$A908)</f>
        <v>1</v>
      </c>
      <c r="G908" s="151">
        <f>SUMIFS(Cast!$C:$C,Cast!$B:$B,'Element wise-detail Summary'!$A908)</f>
        <v>1</v>
      </c>
      <c r="H908" s="151">
        <f t="shared" si="92"/>
        <v>0</v>
      </c>
      <c r="I908" s="151">
        <f>SUMIFS(Del!$C:$C,Del!$B:$B,'Element wise-detail Summary'!$A908)</f>
        <v>0</v>
      </c>
      <c r="J908" s="151">
        <f t="shared" si="93"/>
        <v>1</v>
      </c>
      <c r="K908" s="151">
        <f t="shared" si="94"/>
        <v>1</v>
      </c>
      <c r="L908" s="151">
        <f>SUMIF(Ere!$B:$B,'Element wise-detail Summary'!$A908,Ere!$C:$C)</f>
        <v>0</v>
      </c>
      <c r="M908" s="151">
        <f t="shared" si="95"/>
        <v>1</v>
      </c>
      <c r="N908">
        <f t="shared" si="96"/>
        <v>0</v>
      </c>
    </row>
    <row r="909" spans="1:14" hidden="1" x14ac:dyDescent="0.25">
      <c r="A909" s="151" t="s">
        <v>2272</v>
      </c>
      <c r="B909" s="233" t="str">
        <f>VLOOKUP(A909,'AFC Data details'!$B:$E,4,0)</f>
        <v>PV08</v>
      </c>
      <c r="C909" s="144" t="s">
        <v>1699</v>
      </c>
      <c r="D909" s="151" t="s">
        <v>602</v>
      </c>
      <c r="E909" s="151">
        <f>VLOOKUP(A909,'AFC Data details'!$B:$P,15,0)</f>
        <v>1.143</v>
      </c>
      <c r="F909" s="151">
        <f>SUMIFS('AFC Data details'!C:C,'AFC Data details'!$B:$B,'Element wise-detail Summary'!$A909)</f>
        <v>1</v>
      </c>
      <c r="G909" s="151">
        <f>SUMIFS(Cast!$C:$C,Cast!$B:$B,'Element wise-detail Summary'!$A909)</f>
        <v>1</v>
      </c>
      <c r="H909" s="151">
        <f t="shared" si="92"/>
        <v>0</v>
      </c>
      <c r="I909" s="151">
        <f>SUMIFS(Del!$C:$C,Del!$B:$B,'Element wise-detail Summary'!$A909)</f>
        <v>0</v>
      </c>
      <c r="J909" s="151">
        <f t="shared" si="93"/>
        <v>1</v>
      </c>
      <c r="K909" s="151">
        <f t="shared" si="94"/>
        <v>1</v>
      </c>
      <c r="L909" s="151">
        <f>SUMIF(Ere!$B:$B,'Element wise-detail Summary'!$A909,Ere!$C:$C)</f>
        <v>0</v>
      </c>
      <c r="M909" s="151">
        <f t="shared" si="95"/>
        <v>1</v>
      </c>
      <c r="N909">
        <f t="shared" si="96"/>
        <v>0</v>
      </c>
    </row>
    <row r="910" spans="1:14" hidden="1" x14ac:dyDescent="0.25">
      <c r="A910" s="151" t="s">
        <v>2273</v>
      </c>
      <c r="B910" s="233" t="str">
        <f>VLOOKUP(A910,'AFC Data details'!$B:$E,4,0)</f>
        <v>PV08</v>
      </c>
      <c r="C910" s="144" t="s">
        <v>1699</v>
      </c>
      <c r="D910" s="151" t="s">
        <v>602</v>
      </c>
      <c r="E910" s="151">
        <f>VLOOKUP(A910,'AFC Data details'!$B:$P,15,0)</f>
        <v>1.39</v>
      </c>
      <c r="F910" s="151">
        <f>SUMIFS('AFC Data details'!C:C,'AFC Data details'!$B:$B,'Element wise-detail Summary'!$A910)</f>
        <v>1</v>
      </c>
      <c r="G910" s="151">
        <f>SUMIFS(Cast!$C:$C,Cast!$B:$B,'Element wise-detail Summary'!$A910)</f>
        <v>1</v>
      </c>
      <c r="H910" s="151">
        <f t="shared" si="92"/>
        <v>0</v>
      </c>
      <c r="I910" s="151">
        <f>SUMIFS(Del!$C:$C,Del!$B:$B,'Element wise-detail Summary'!$A910)</f>
        <v>0</v>
      </c>
      <c r="J910" s="151">
        <f t="shared" si="93"/>
        <v>1</v>
      </c>
      <c r="K910" s="151">
        <f t="shared" si="94"/>
        <v>1</v>
      </c>
      <c r="L910" s="151">
        <f>SUMIF(Ere!$B:$B,'Element wise-detail Summary'!$A910,Ere!$C:$C)</f>
        <v>0</v>
      </c>
      <c r="M910" s="151">
        <f t="shared" si="95"/>
        <v>1</v>
      </c>
      <c r="N910">
        <f t="shared" si="96"/>
        <v>0</v>
      </c>
    </row>
    <row r="911" spans="1:14" hidden="1" x14ac:dyDescent="0.25">
      <c r="A911" s="151" t="s">
        <v>2274</v>
      </c>
      <c r="B911" s="233" t="str">
        <f>VLOOKUP(A911,'AFC Data details'!$B:$E,4,0)</f>
        <v>PV09</v>
      </c>
      <c r="C911" s="144" t="s">
        <v>1699</v>
      </c>
      <c r="D911" s="151" t="s">
        <v>602</v>
      </c>
      <c r="E911" s="151">
        <f>VLOOKUP(A911,'AFC Data details'!$B:$P,15,0)</f>
        <v>0.97499999999999998</v>
      </c>
      <c r="F911" s="151">
        <f>SUMIFS('AFC Data details'!C:C,'AFC Data details'!$B:$B,'Element wise-detail Summary'!$A911)</f>
        <v>1</v>
      </c>
      <c r="G911" s="151">
        <f>SUMIFS(Cast!$C:$C,Cast!$B:$B,'Element wise-detail Summary'!$A911)</f>
        <v>1</v>
      </c>
      <c r="H911" s="151">
        <f t="shared" si="92"/>
        <v>0</v>
      </c>
      <c r="I911" s="151">
        <f>SUMIFS(Del!$C:$C,Del!$B:$B,'Element wise-detail Summary'!$A911)</f>
        <v>0</v>
      </c>
      <c r="J911" s="151">
        <f t="shared" si="93"/>
        <v>1</v>
      </c>
      <c r="K911" s="151">
        <f t="shared" si="94"/>
        <v>1</v>
      </c>
      <c r="L911" s="151">
        <f>SUMIF(Ere!$B:$B,'Element wise-detail Summary'!$A911,Ere!$C:$C)</f>
        <v>0</v>
      </c>
      <c r="M911" s="151">
        <f t="shared" si="95"/>
        <v>1</v>
      </c>
      <c r="N911">
        <f t="shared" si="96"/>
        <v>0</v>
      </c>
    </row>
    <row r="912" spans="1:14" hidden="1" x14ac:dyDescent="0.25">
      <c r="A912" s="151" t="s">
        <v>2275</v>
      </c>
      <c r="B912" s="233" t="str">
        <f>VLOOKUP(A912,'AFC Data details'!$B:$E,4,0)</f>
        <v>PV09</v>
      </c>
      <c r="C912" s="144" t="s">
        <v>1699</v>
      </c>
      <c r="D912" s="151" t="s">
        <v>602</v>
      </c>
      <c r="E912" s="151">
        <f>VLOOKUP(A912,'AFC Data details'!$B:$P,15,0)</f>
        <v>1.03</v>
      </c>
      <c r="F912" s="151">
        <f>SUMIFS('AFC Data details'!C:C,'AFC Data details'!$B:$B,'Element wise-detail Summary'!$A912)</f>
        <v>1</v>
      </c>
      <c r="G912" s="151">
        <f>SUMIFS(Cast!$C:$C,Cast!$B:$B,'Element wise-detail Summary'!$A912)</f>
        <v>1</v>
      </c>
      <c r="H912" s="151">
        <f t="shared" si="92"/>
        <v>0</v>
      </c>
      <c r="I912" s="151">
        <f>SUMIFS(Del!$C:$C,Del!$B:$B,'Element wise-detail Summary'!$A912)</f>
        <v>0</v>
      </c>
      <c r="J912" s="151">
        <f t="shared" si="93"/>
        <v>1</v>
      </c>
      <c r="K912" s="151">
        <f t="shared" si="94"/>
        <v>1</v>
      </c>
      <c r="L912" s="151">
        <f>SUMIF(Ere!$B:$B,'Element wise-detail Summary'!$A912,Ere!$C:$C)</f>
        <v>0</v>
      </c>
      <c r="M912" s="151">
        <f t="shared" si="95"/>
        <v>1</v>
      </c>
      <c r="N912">
        <f t="shared" si="96"/>
        <v>0</v>
      </c>
    </row>
    <row r="913" spans="1:14" hidden="1" x14ac:dyDescent="0.25">
      <c r="A913" s="151" t="s">
        <v>2276</v>
      </c>
      <c r="B913" s="233" t="str">
        <f>VLOOKUP(A913,'AFC Data details'!$B:$E,4,0)</f>
        <v>PV09</v>
      </c>
      <c r="C913" s="144" t="s">
        <v>1699</v>
      </c>
      <c r="D913" s="151" t="s">
        <v>602</v>
      </c>
      <c r="E913" s="151">
        <f>VLOOKUP(A913,'AFC Data details'!$B:$P,15,0)</f>
        <v>0.84799999999999998</v>
      </c>
      <c r="F913" s="151">
        <f>SUMIFS('AFC Data details'!C:C,'AFC Data details'!$B:$B,'Element wise-detail Summary'!$A913)</f>
        <v>1</v>
      </c>
      <c r="G913" s="151">
        <f>SUMIFS(Cast!$C:$C,Cast!$B:$B,'Element wise-detail Summary'!$A913)</f>
        <v>1</v>
      </c>
      <c r="H913" s="151">
        <f t="shared" si="92"/>
        <v>0</v>
      </c>
      <c r="I913" s="151">
        <f>SUMIFS(Del!$C:$C,Del!$B:$B,'Element wise-detail Summary'!$A913)</f>
        <v>0</v>
      </c>
      <c r="J913" s="151">
        <f t="shared" si="93"/>
        <v>1</v>
      </c>
      <c r="K913" s="151">
        <f t="shared" si="94"/>
        <v>1</v>
      </c>
      <c r="L913" s="151">
        <f>SUMIF(Ere!$B:$B,'Element wise-detail Summary'!$A913,Ere!$C:$C)</f>
        <v>0</v>
      </c>
      <c r="M913" s="151">
        <f t="shared" si="95"/>
        <v>1</v>
      </c>
      <c r="N913">
        <f t="shared" si="96"/>
        <v>0</v>
      </c>
    </row>
    <row r="914" spans="1:14" hidden="1" x14ac:dyDescent="0.25">
      <c r="A914" s="151" t="s">
        <v>2277</v>
      </c>
      <c r="B914" s="233" t="str">
        <f>VLOOKUP(A914,'AFC Data details'!$B:$E,4,0)</f>
        <v>PV09</v>
      </c>
      <c r="C914" s="144" t="s">
        <v>1699</v>
      </c>
      <c r="D914" s="151" t="s">
        <v>602</v>
      </c>
      <c r="E914" s="151">
        <f>VLOOKUP(A914,'AFC Data details'!$B:$P,15,0)</f>
        <v>0.79200000000000004</v>
      </c>
      <c r="F914" s="151">
        <f>SUMIFS('AFC Data details'!C:C,'AFC Data details'!$B:$B,'Element wise-detail Summary'!$A914)</f>
        <v>1</v>
      </c>
      <c r="G914" s="151">
        <f>SUMIFS(Cast!$C:$C,Cast!$B:$B,'Element wise-detail Summary'!$A914)</f>
        <v>1</v>
      </c>
      <c r="H914" s="151">
        <f t="shared" si="92"/>
        <v>0</v>
      </c>
      <c r="I914" s="151">
        <f>SUMIFS(Del!$C:$C,Del!$B:$B,'Element wise-detail Summary'!$A914)</f>
        <v>0</v>
      </c>
      <c r="J914" s="151">
        <f t="shared" si="93"/>
        <v>1</v>
      </c>
      <c r="K914" s="151">
        <f t="shared" si="94"/>
        <v>1</v>
      </c>
      <c r="L914" s="151">
        <f>SUMIF(Ere!$B:$B,'Element wise-detail Summary'!$A914,Ere!$C:$C)</f>
        <v>0</v>
      </c>
      <c r="M914" s="151">
        <f t="shared" si="95"/>
        <v>1</v>
      </c>
      <c r="N914">
        <f t="shared" si="96"/>
        <v>0</v>
      </c>
    </row>
    <row r="915" spans="1:14" hidden="1" x14ac:dyDescent="0.25">
      <c r="A915" s="151" t="s">
        <v>2278</v>
      </c>
      <c r="B915" s="233" t="str">
        <f>VLOOKUP(A915,'AFC Data details'!$B:$E,4,0)</f>
        <v>PV10</v>
      </c>
      <c r="C915" s="144" t="s">
        <v>1699</v>
      </c>
      <c r="D915" s="151" t="s">
        <v>602</v>
      </c>
      <c r="E915" s="151">
        <f>VLOOKUP(A915,'AFC Data details'!$B:$P,15,0)</f>
        <v>1.958</v>
      </c>
      <c r="F915" s="151">
        <f>SUMIFS('AFC Data details'!C:C,'AFC Data details'!$B:$B,'Element wise-detail Summary'!$A915)</f>
        <v>1</v>
      </c>
      <c r="G915" s="151">
        <f>SUMIFS(Cast!$C:$C,Cast!$B:$B,'Element wise-detail Summary'!$A915)</f>
        <v>1</v>
      </c>
      <c r="H915" s="151">
        <f t="shared" si="92"/>
        <v>0</v>
      </c>
      <c r="I915" s="151">
        <f>SUMIFS(Del!$C:$C,Del!$B:$B,'Element wise-detail Summary'!$A915)</f>
        <v>0</v>
      </c>
      <c r="J915" s="151">
        <f t="shared" si="93"/>
        <v>1</v>
      </c>
      <c r="K915" s="151">
        <f t="shared" si="94"/>
        <v>1</v>
      </c>
      <c r="L915" s="151">
        <f>SUMIF(Ere!$B:$B,'Element wise-detail Summary'!$A915,Ere!$C:$C)</f>
        <v>0</v>
      </c>
      <c r="M915" s="151">
        <f t="shared" si="95"/>
        <v>1</v>
      </c>
      <c r="N915">
        <f t="shared" si="96"/>
        <v>0</v>
      </c>
    </row>
    <row r="916" spans="1:14" hidden="1" x14ac:dyDescent="0.25">
      <c r="A916" s="151" t="s">
        <v>2279</v>
      </c>
      <c r="B916" s="233" t="str">
        <f>VLOOKUP(A916,'AFC Data details'!$B:$E,4,0)</f>
        <v>PV10</v>
      </c>
      <c r="C916" s="144" t="s">
        <v>1699</v>
      </c>
      <c r="D916" s="151" t="s">
        <v>602</v>
      </c>
      <c r="E916" s="151">
        <f>VLOOKUP(A916,'AFC Data details'!$B:$P,15,0)</f>
        <v>1.958</v>
      </c>
      <c r="F916" s="151">
        <f>SUMIFS('AFC Data details'!C:C,'AFC Data details'!$B:$B,'Element wise-detail Summary'!$A916)</f>
        <v>1</v>
      </c>
      <c r="G916" s="151">
        <f>SUMIFS(Cast!$C:$C,Cast!$B:$B,'Element wise-detail Summary'!$A916)</f>
        <v>1</v>
      </c>
      <c r="H916" s="151">
        <f t="shared" si="92"/>
        <v>0</v>
      </c>
      <c r="I916" s="151">
        <f>SUMIFS(Del!$C:$C,Del!$B:$B,'Element wise-detail Summary'!$A916)</f>
        <v>0</v>
      </c>
      <c r="J916" s="151">
        <f t="shared" si="93"/>
        <v>1</v>
      </c>
      <c r="K916" s="151">
        <f t="shared" si="94"/>
        <v>1</v>
      </c>
      <c r="L916" s="151">
        <f>SUMIF(Ere!$B:$B,'Element wise-detail Summary'!$A916,Ere!$C:$C)</f>
        <v>0</v>
      </c>
      <c r="M916" s="151">
        <f t="shared" si="95"/>
        <v>1</v>
      </c>
      <c r="N916">
        <f t="shared" si="96"/>
        <v>0</v>
      </c>
    </row>
    <row r="917" spans="1:14" hidden="1" x14ac:dyDescent="0.25">
      <c r="A917" s="151" t="s">
        <v>2280</v>
      </c>
      <c r="B917" s="233" t="str">
        <f>VLOOKUP(A917,'AFC Data details'!$B:$E,4,0)</f>
        <v>PV10</v>
      </c>
      <c r="C917" s="144" t="s">
        <v>1699</v>
      </c>
      <c r="D917" s="151" t="s">
        <v>602</v>
      </c>
      <c r="E917" s="151">
        <f>VLOOKUP(A917,'AFC Data details'!$B:$P,15,0)</f>
        <v>1.958</v>
      </c>
      <c r="F917" s="151">
        <f>SUMIFS('AFC Data details'!C:C,'AFC Data details'!$B:$B,'Element wise-detail Summary'!$A917)</f>
        <v>1</v>
      </c>
      <c r="G917" s="151">
        <f>SUMIFS(Cast!$C:$C,Cast!$B:$B,'Element wise-detail Summary'!$A917)</f>
        <v>1</v>
      </c>
      <c r="H917" s="151">
        <f t="shared" si="92"/>
        <v>0</v>
      </c>
      <c r="I917" s="151">
        <f>SUMIFS(Del!$C:$C,Del!$B:$B,'Element wise-detail Summary'!$A917)</f>
        <v>0</v>
      </c>
      <c r="J917" s="151">
        <f t="shared" si="93"/>
        <v>1</v>
      </c>
      <c r="K917" s="151">
        <f t="shared" si="94"/>
        <v>1</v>
      </c>
      <c r="L917" s="151">
        <f>SUMIF(Ere!$B:$B,'Element wise-detail Summary'!$A917,Ere!$C:$C)</f>
        <v>0</v>
      </c>
      <c r="M917" s="151">
        <f t="shared" si="95"/>
        <v>1</v>
      </c>
      <c r="N917">
        <f t="shared" si="96"/>
        <v>0</v>
      </c>
    </row>
    <row r="918" spans="1:14" hidden="1" x14ac:dyDescent="0.25">
      <c r="A918" s="151" t="s">
        <v>2281</v>
      </c>
      <c r="B918" s="233" t="str">
        <f>VLOOKUP(A918,'AFC Data details'!$B:$E,4,0)</f>
        <v>PV10</v>
      </c>
      <c r="C918" s="144" t="s">
        <v>1699</v>
      </c>
      <c r="D918" s="151" t="s">
        <v>602</v>
      </c>
      <c r="E918" s="151">
        <f>VLOOKUP(A918,'AFC Data details'!$B:$P,15,0)</f>
        <v>1.958</v>
      </c>
      <c r="F918" s="151">
        <f>SUMIFS('AFC Data details'!C:C,'AFC Data details'!$B:$B,'Element wise-detail Summary'!$A918)</f>
        <v>1</v>
      </c>
      <c r="G918" s="151">
        <f>SUMIFS(Cast!$C:$C,Cast!$B:$B,'Element wise-detail Summary'!$A918)</f>
        <v>1</v>
      </c>
      <c r="H918" s="151">
        <f t="shared" si="92"/>
        <v>0</v>
      </c>
      <c r="I918" s="151">
        <f>SUMIFS(Del!$C:$C,Del!$B:$B,'Element wise-detail Summary'!$A918)</f>
        <v>0</v>
      </c>
      <c r="J918" s="151">
        <f t="shared" si="93"/>
        <v>1</v>
      </c>
      <c r="K918" s="151">
        <f t="shared" si="94"/>
        <v>1</v>
      </c>
      <c r="L918" s="151">
        <f>SUMIF(Ere!$B:$B,'Element wise-detail Summary'!$A918,Ere!$C:$C)</f>
        <v>0</v>
      </c>
      <c r="M918" s="151">
        <f t="shared" si="95"/>
        <v>1</v>
      </c>
      <c r="N918">
        <f t="shared" si="96"/>
        <v>0</v>
      </c>
    </row>
    <row r="919" spans="1:14" hidden="1" x14ac:dyDescent="0.25">
      <c r="A919" s="151" t="s">
        <v>2282</v>
      </c>
      <c r="B919" s="233" t="str">
        <f>VLOOKUP(A919,'AFC Data details'!$B:$E,4,0)</f>
        <v>PV10</v>
      </c>
      <c r="C919" s="144" t="s">
        <v>1699</v>
      </c>
      <c r="D919" s="151" t="s">
        <v>602</v>
      </c>
      <c r="E919" s="151">
        <f>VLOOKUP(A919,'AFC Data details'!$B:$P,15,0)</f>
        <v>1.958</v>
      </c>
      <c r="F919" s="151">
        <f>SUMIFS('AFC Data details'!C:C,'AFC Data details'!$B:$B,'Element wise-detail Summary'!$A919)</f>
        <v>1</v>
      </c>
      <c r="G919" s="151">
        <f>SUMIFS(Cast!$C:$C,Cast!$B:$B,'Element wise-detail Summary'!$A919)</f>
        <v>1</v>
      </c>
      <c r="H919" s="151">
        <f t="shared" si="92"/>
        <v>0</v>
      </c>
      <c r="I919" s="151">
        <f>SUMIFS(Del!$C:$C,Del!$B:$B,'Element wise-detail Summary'!$A919)</f>
        <v>0</v>
      </c>
      <c r="J919" s="151">
        <f t="shared" si="93"/>
        <v>1</v>
      </c>
      <c r="K919" s="151">
        <f t="shared" si="94"/>
        <v>1</v>
      </c>
      <c r="L919" s="151">
        <f>SUMIF(Ere!$B:$B,'Element wise-detail Summary'!$A919,Ere!$C:$C)</f>
        <v>0</v>
      </c>
      <c r="M919" s="151">
        <f t="shared" si="95"/>
        <v>1</v>
      </c>
      <c r="N919">
        <f t="shared" si="96"/>
        <v>0</v>
      </c>
    </row>
    <row r="920" spans="1:14" hidden="1" x14ac:dyDescent="0.25">
      <c r="A920" s="151" t="s">
        <v>2283</v>
      </c>
      <c r="B920" s="233" t="str">
        <f>VLOOKUP(A920,'AFC Data details'!$B:$E,4,0)</f>
        <v>PV10</v>
      </c>
      <c r="C920" s="144" t="s">
        <v>1699</v>
      </c>
      <c r="D920" s="151" t="s">
        <v>602</v>
      </c>
      <c r="E920" s="151">
        <f>VLOOKUP(A920,'AFC Data details'!$B:$P,15,0)</f>
        <v>1.958</v>
      </c>
      <c r="F920" s="151">
        <f>SUMIFS('AFC Data details'!C:C,'AFC Data details'!$B:$B,'Element wise-detail Summary'!$A920)</f>
        <v>1</v>
      </c>
      <c r="G920" s="151">
        <f>SUMIFS(Cast!$C:$C,Cast!$B:$B,'Element wise-detail Summary'!$A920)</f>
        <v>1</v>
      </c>
      <c r="H920" s="151">
        <f t="shared" si="92"/>
        <v>0</v>
      </c>
      <c r="I920" s="151">
        <f>SUMIFS(Del!$C:$C,Del!$B:$B,'Element wise-detail Summary'!$A920)</f>
        <v>0</v>
      </c>
      <c r="J920" s="151">
        <f t="shared" si="93"/>
        <v>1</v>
      </c>
      <c r="K920" s="151">
        <f t="shared" si="94"/>
        <v>1</v>
      </c>
      <c r="L920" s="151">
        <f>SUMIF(Ere!$B:$B,'Element wise-detail Summary'!$A920,Ere!$C:$C)</f>
        <v>0</v>
      </c>
      <c r="M920" s="151">
        <f t="shared" si="95"/>
        <v>1</v>
      </c>
      <c r="N920">
        <f t="shared" si="96"/>
        <v>0</v>
      </c>
    </row>
    <row r="921" spans="1:14" hidden="1" x14ac:dyDescent="0.25">
      <c r="A921" s="151" t="s">
        <v>2284</v>
      </c>
      <c r="B921" s="233" t="str">
        <f>VLOOKUP(A921,'AFC Data details'!$B:$E,4,0)</f>
        <v>PV10</v>
      </c>
      <c r="C921" s="144" t="s">
        <v>1699</v>
      </c>
      <c r="D921" s="151" t="s">
        <v>602</v>
      </c>
      <c r="E921" s="151">
        <f>VLOOKUP(A921,'AFC Data details'!$B:$P,15,0)</f>
        <v>0.79500000000000004</v>
      </c>
      <c r="F921" s="151">
        <f>SUMIFS('AFC Data details'!C:C,'AFC Data details'!$B:$B,'Element wise-detail Summary'!$A921)</f>
        <v>1</v>
      </c>
      <c r="G921" s="151">
        <f>SUMIFS(Cast!$C:$C,Cast!$B:$B,'Element wise-detail Summary'!$A921)</f>
        <v>1</v>
      </c>
      <c r="H921" s="151">
        <f t="shared" si="92"/>
        <v>0</v>
      </c>
      <c r="I921" s="151">
        <f>SUMIFS(Del!$C:$C,Del!$B:$B,'Element wise-detail Summary'!$A921)</f>
        <v>0</v>
      </c>
      <c r="J921" s="151">
        <f t="shared" si="93"/>
        <v>1</v>
      </c>
      <c r="K921" s="151">
        <f t="shared" si="94"/>
        <v>1</v>
      </c>
      <c r="L921" s="151">
        <f>SUMIF(Ere!$B:$B,'Element wise-detail Summary'!$A921,Ere!$C:$C)</f>
        <v>0</v>
      </c>
      <c r="M921" s="151">
        <f t="shared" si="95"/>
        <v>1</v>
      </c>
      <c r="N921">
        <f t="shared" si="96"/>
        <v>0</v>
      </c>
    </row>
    <row r="922" spans="1:14" hidden="1" x14ac:dyDescent="0.25">
      <c r="A922" s="151" t="s">
        <v>2285</v>
      </c>
      <c r="B922" s="233" t="str">
        <f>VLOOKUP(A922,'AFC Data details'!$B:$E,4,0)</f>
        <v>PV10</v>
      </c>
      <c r="C922" s="144" t="s">
        <v>1699</v>
      </c>
      <c r="D922" s="151" t="s">
        <v>602</v>
      </c>
      <c r="E922" s="151">
        <f>VLOOKUP(A922,'AFC Data details'!$B:$P,15,0)</f>
        <v>0.85099999999999998</v>
      </c>
      <c r="F922" s="151">
        <f>SUMIFS('AFC Data details'!C:C,'AFC Data details'!$B:$B,'Element wise-detail Summary'!$A922)</f>
        <v>1</v>
      </c>
      <c r="G922" s="151">
        <f>SUMIFS(Cast!$C:$C,Cast!$B:$B,'Element wise-detail Summary'!$A922)</f>
        <v>1</v>
      </c>
      <c r="H922" s="151">
        <f t="shared" si="92"/>
        <v>0</v>
      </c>
      <c r="I922" s="151">
        <f>SUMIFS(Del!$C:$C,Del!$B:$B,'Element wise-detail Summary'!$A922)</f>
        <v>0</v>
      </c>
      <c r="J922" s="151">
        <f t="shared" si="93"/>
        <v>1</v>
      </c>
      <c r="K922" s="151">
        <f t="shared" si="94"/>
        <v>1</v>
      </c>
      <c r="L922" s="151">
        <f>SUMIF(Ere!$B:$B,'Element wise-detail Summary'!$A922,Ere!$C:$C)</f>
        <v>0</v>
      </c>
      <c r="M922" s="151">
        <f t="shared" si="95"/>
        <v>1</v>
      </c>
      <c r="N922">
        <f t="shared" si="96"/>
        <v>0</v>
      </c>
    </row>
    <row r="923" spans="1:14" hidden="1" x14ac:dyDescent="0.25">
      <c r="A923" s="151" t="s">
        <v>2286</v>
      </c>
      <c r="B923" s="233" t="str">
        <f>VLOOKUP(A923,'AFC Data details'!$B:$E,4,0)</f>
        <v>PV10</v>
      </c>
      <c r="C923" s="144" t="s">
        <v>1699</v>
      </c>
      <c r="D923" s="151" t="s">
        <v>602</v>
      </c>
      <c r="E923" s="151">
        <f>VLOOKUP(A923,'AFC Data details'!$B:$P,15,0)</f>
        <v>1.0229999999999999</v>
      </c>
      <c r="F923" s="151">
        <f>SUMIFS('AFC Data details'!C:C,'AFC Data details'!$B:$B,'Element wise-detail Summary'!$A923)</f>
        <v>1</v>
      </c>
      <c r="G923" s="151">
        <f>SUMIFS(Cast!$C:$C,Cast!$B:$B,'Element wise-detail Summary'!$A923)</f>
        <v>1</v>
      </c>
      <c r="H923" s="151">
        <f t="shared" si="92"/>
        <v>0</v>
      </c>
      <c r="I923" s="151">
        <f>SUMIFS(Del!$C:$C,Del!$B:$B,'Element wise-detail Summary'!$A923)</f>
        <v>0</v>
      </c>
      <c r="J923" s="151">
        <f t="shared" si="93"/>
        <v>1</v>
      </c>
      <c r="K923" s="151">
        <f t="shared" si="94"/>
        <v>1</v>
      </c>
      <c r="L923" s="151">
        <f>SUMIF(Ere!$B:$B,'Element wise-detail Summary'!$A923,Ere!$C:$C)</f>
        <v>0</v>
      </c>
      <c r="M923" s="151">
        <f t="shared" si="95"/>
        <v>1</v>
      </c>
      <c r="N923">
        <f t="shared" si="96"/>
        <v>0</v>
      </c>
    </row>
    <row r="924" spans="1:14" hidden="1" x14ac:dyDescent="0.25">
      <c r="A924" s="151" t="s">
        <v>2287</v>
      </c>
      <c r="B924" s="233" t="str">
        <f>VLOOKUP(A924,'AFC Data details'!$B:$E,4,0)</f>
        <v>PV11</v>
      </c>
      <c r="C924" s="144" t="s">
        <v>1699</v>
      </c>
      <c r="D924" s="151" t="s">
        <v>602</v>
      </c>
      <c r="E924" s="151">
        <f>VLOOKUP(A924,'AFC Data details'!$B:$P,15,0)</f>
        <v>0.98599999999999999</v>
      </c>
      <c r="F924" s="151">
        <f>SUMIFS('AFC Data details'!C:C,'AFC Data details'!$B:$B,'Element wise-detail Summary'!$A924)</f>
        <v>1</v>
      </c>
      <c r="G924" s="151">
        <f>SUMIFS(Cast!$C:$C,Cast!$B:$B,'Element wise-detail Summary'!$A924)</f>
        <v>1</v>
      </c>
      <c r="H924" s="151">
        <f t="shared" si="92"/>
        <v>0</v>
      </c>
      <c r="I924" s="151">
        <f>SUMIFS(Del!$C:$C,Del!$B:$B,'Element wise-detail Summary'!$A924)</f>
        <v>0</v>
      </c>
      <c r="J924" s="151">
        <f t="shared" si="93"/>
        <v>1</v>
      </c>
      <c r="K924" s="151">
        <f t="shared" si="94"/>
        <v>1</v>
      </c>
      <c r="L924" s="151">
        <f>SUMIF(Ere!$B:$B,'Element wise-detail Summary'!$A924,Ere!$C:$C)</f>
        <v>0</v>
      </c>
      <c r="M924" s="151">
        <f t="shared" si="95"/>
        <v>1</v>
      </c>
      <c r="N924">
        <f t="shared" si="96"/>
        <v>0</v>
      </c>
    </row>
    <row r="925" spans="1:14" hidden="1" x14ac:dyDescent="0.25">
      <c r="A925" s="151" t="s">
        <v>2288</v>
      </c>
      <c r="B925" s="233" t="str">
        <f>VLOOKUP(A925,'AFC Data details'!$B:$E,4,0)</f>
        <v>PV11</v>
      </c>
      <c r="C925" s="144" t="s">
        <v>1699</v>
      </c>
      <c r="D925" s="151" t="s">
        <v>602</v>
      </c>
      <c r="E925" s="151">
        <f>VLOOKUP(A925,'AFC Data details'!$B:$P,15,0)</f>
        <v>1.8420000000000001</v>
      </c>
      <c r="F925" s="151">
        <f>SUMIFS('AFC Data details'!C:C,'AFC Data details'!$B:$B,'Element wise-detail Summary'!$A925)</f>
        <v>1</v>
      </c>
      <c r="G925" s="151">
        <f>SUMIFS(Cast!$C:$C,Cast!$B:$B,'Element wise-detail Summary'!$A925)</f>
        <v>1</v>
      </c>
      <c r="H925" s="151">
        <f t="shared" si="92"/>
        <v>0</v>
      </c>
      <c r="I925" s="151">
        <f>SUMIFS(Del!$C:$C,Del!$B:$B,'Element wise-detail Summary'!$A925)</f>
        <v>0</v>
      </c>
      <c r="J925" s="151">
        <f t="shared" si="93"/>
        <v>1</v>
      </c>
      <c r="K925" s="151">
        <f t="shared" si="94"/>
        <v>1</v>
      </c>
      <c r="L925" s="151">
        <f>SUMIF(Ere!$B:$B,'Element wise-detail Summary'!$A925,Ere!$C:$C)</f>
        <v>0</v>
      </c>
      <c r="M925" s="151">
        <f t="shared" si="95"/>
        <v>1</v>
      </c>
      <c r="N925">
        <f t="shared" si="96"/>
        <v>0</v>
      </c>
    </row>
    <row r="926" spans="1:14" hidden="1" x14ac:dyDescent="0.25">
      <c r="A926" s="151" t="s">
        <v>2289</v>
      </c>
      <c r="B926" s="233" t="str">
        <f>VLOOKUP(A926,'AFC Data details'!$B:$E,4,0)</f>
        <v>PV11</v>
      </c>
      <c r="C926" s="144" t="s">
        <v>1699</v>
      </c>
      <c r="D926" s="151" t="s">
        <v>602</v>
      </c>
      <c r="E926" s="151">
        <f>VLOOKUP(A926,'AFC Data details'!$B:$P,15,0)</f>
        <v>2.0459999999999998</v>
      </c>
      <c r="F926" s="151">
        <f>SUMIFS('AFC Data details'!C:C,'AFC Data details'!$B:$B,'Element wise-detail Summary'!$A926)</f>
        <v>1</v>
      </c>
      <c r="G926" s="151">
        <f>SUMIFS(Cast!$C:$C,Cast!$B:$B,'Element wise-detail Summary'!$A926)</f>
        <v>1</v>
      </c>
      <c r="H926" s="151">
        <f t="shared" si="92"/>
        <v>0</v>
      </c>
      <c r="I926" s="151">
        <f>SUMIFS(Del!$C:$C,Del!$B:$B,'Element wise-detail Summary'!$A926)</f>
        <v>0</v>
      </c>
      <c r="J926" s="151">
        <f t="shared" si="93"/>
        <v>1</v>
      </c>
      <c r="K926" s="151">
        <f t="shared" si="94"/>
        <v>1</v>
      </c>
      <c r="L926" s="151">
        <f>SUMIF(Ere!$B:$B,'Element wise-detail Summary'!$A926,Ere!$C:$C)</f>
        <v>0</v>
      </c>
      <c r="M926" s="151">
        <f t="shared" si="95"/>
        <v>1</v>
      </c>
      <c r="N926">
        <f t="shared" si="96"/>
        <v>0</v>
      </c>
    </row>
    <row r="927" spans="1:14" hidden="1" x14ac:dyDescent="0.25">
      <c r="A927" s="151" t="s">
        <v>2290</v>
      </c>
      <c r="B927" s="233" t="str">
        <f>VLOOKUP(A927,'AFC Data details'!$B:$E,4,0)</f>
        <v>PV11</v>
      </c>
      <c r="C927" s="144" t="s">
        <v>1699</v>
      </c>
      <c r="D927" s="151" t="s">
        <v>602</v>
      </c>
      <c r="E927" s="151">
        <f>VLOOKUP(A927,'AFC Data details'!$B:$P,15,0)</f>
        <v>2.0449999999999999</v>
      </c>
      <c r="F927" s="151">
        <f>SUMIFS('AFC Data details'!C:C,'AFC Data details'!$B:$B,'Element wise-detail Summary'!$A927)</f>
        <v>1</v>
      </c>
      <c r="G927" s="151">
        <f>SUMIFS(Cast!$C:$C,Cast!$B:$B,'Element wise-detail Summary'!$A927)</f>
        <v>1</v>
      </c>
      <c r="H927" s="151">
        <f t="shared" si="92"/>
        <v>0</v>
      </c>
      <c r="I927" s="151">
        <f>SUMIFS(Del!$C:$C,Del!$B:$B,'Element wise-detail Summary'!$A927)</f>
        <v>0</v>
      </c>
      <c r="J927" s="151">
        <f t="shared" si="93"/>
        <v>1</v>
      </c>
      <c r="K927" s="151">
        <f t="shared" si="94"/>
        <v>1</v>
      </c>
      <c r="L927" s="151">
        <f>SUMIF(Ere!$B:$B,'Element wise-detail Summary'!$A927,Ere!$C:$C)</f>
        <v>0</v>
      </c>
      <c r="M927" s="151">
        <f t="shared" si="95"/>
        <v>1</v>
      </c>
      <c r="N927">
        <f t="shared" si="96"/>
        <v>0</v>
      </c>
    </row>
    <row r="928" spans="1:14" hidden="1" x14ac:dyDescent="0.25">
      <c r="A928" s="151" t="s">
        <v>2291</v>
      </c>
      <c r="B928" s="233" t="str">
        <f>VLOOKUP(A928,'AFC Data details'!$B:$E,4,0)</f>
        <v>PV11</v>
      </c>
      <c r="C928" s="144" t="s">
        <v>1699</v>
      </c>
      <c r="D928" s="151" t="s">
        <v>602</v>
      </c>
      <c r="E928" s="151">
        <f>VLOOKUP(A928,'AFC Data details'!$B:$P,15,0)</f>
        <v>2.0449999999999999</v>
      </c>
      <c r="F928" s="151">
        <f>SUMIFS('AFC Data details'!C:C,'AFC Data details'!$B:$B,'Element wise-detail Summary'!$A928)</f>
        <v>1</v>
      </c>
      <c r="G928" s="151">
        <f>SUMIFS(Cast!$C:$C,Cast!$B:$B,'Element wise-detail Summary'!$A928)</f>
        <v>1</v>
      </c>
      <c r="H928" s="151">
        <f t="shared" si="92"/>
        <v>0</v>
      </c>
      <c r="I928" s="151">
        <f>SUMIFS(Del!$C:$C,Del!$B:$B,'Element wise-detail Summary'!$A928)</f>
        <v>0</v>
      </c>
      <c r="J928" s="151">
        <f t="shared" si="93"/>
        <v>1</v>
      </c>
      <c r="K928" s="151">
        <f t="shared" si="94"/>
        <v>1</v>
      </c>
      <c r="L928" s="151">
        <f>SUMIF(Ere!$B:$B,'Element wise-detail Summary'!$A928,Ere!$C:$C)</f>
        <v>0</v>
      </c>
      <c r="M928" s="151">
        <f t="shared" si="95"/>
        <v>1</v>
      </c>
      <c r="N928">
        <f t="shared" si="96"/>
        <v>0</v>
      </c>
    </row>
    <row r="929" spans="1:14" hidden="1" x14ac:dyDescent="0.25">
      <c r="A929" s="151" t="s">
        <v>2292</v>
      </c>
      <c r="B929" s="233" t="str">
        <f>VLOOKUP(A929,'AFC Data details'!$B:$E,4,0)</f>
        <v>PV11</v>
      </c>
      <c r="C929" s="144" t="s">
        <v>1699</v>
      </c>
      <c r="D929" s="151" t="s">
        <v>602</v>
      </c>
      <c r="E929" s="151">
        <f>VLOOKUP(A929,'AFC Data details'!$B:$P,15,0)</f>
        <v>2.0449999999999999</v>
      </c>
      <c r="F929" s="151">
        <f>SUMIFS('AFC Data details'!C:C,'AFC Data details'!$B:$B,'Element wise-detail Summary'!$A929)</f>
        <v>1</v>
      </c>
      <c r="G929" s="151">
        <f>SUMIFS(Cast!$C:$C,Cast!$B:$B,'Element wise-detail Summary'!$A929)</f>
        <v>1</v>
      </c>
      <c r="H929" s="151">
        <f t="shared" si="92"/>
        <v>0</v>
      </c>
      <c r="I929" s="151">
        <f>SUMIFS(Del!$C:$C,Del!$B:$B,'Element wise-detail Summary'!$A929)</f>
        <v>0</v>
      </c>
      <c r="J929" s="151">
        <f t="shared" si="93"/>
        <v>1</v>
      </c>
      <c r="K929" s="151">
        <f t="shared" si="94"/>
        <v>1</v>
      </c>
      <c r="L929" s="151">
        <f>SUMIF(Ere!$B:$B,'Element wise-detail Summary'!$A929,Ere!$C:$C)</f>
        <v>0</v>
      </c>
      <c r="M929" s="151">
        <f t="shared" si="95"/>
        <v>1</v>
      </c>
      <c r="N929">
        <f t="shared" si="96"/>
        <v>0</v>
      </c>
    </row>
    <row r="930" spans="1:14" hidden="1" x14ac:dyDescent="0.25">
      <c r="A930" s="151" t="s">
        <v>2293</v>
      </c>
      <c r="B930" s="233" t="str">
        <f>VLOOKUP(A930,'AFC Data details'!$B:$E,4,0)</f>
        <v>PV11</v>
      </c>
      <c r="C930" s="144" t="s">
        <v>1699</v>
      </c>
      <c r="D930" s="151" t="s">
        <v>602</v>
      </c>
      <c r="E930" s="151">
        <f>VLOOKUP(A930,'AFC Data details'!$B:$P,15,0)</f>
        <v>2.0449999999999999</v>
      </c>
      <c r="F930" s="151">
        <f>SUMIFS('AFC Data details'!C:C,'AFC Data details'!$B:$B,'Element wise-detail Summary'!$A930)</f>
        <v>1</v>
      </c>
      <c r="G930" s="151">
        <f>SUMIFS(Cast!$C:$C,Cast!$B:$B,'Element wise-detail Summary'!$A930)</f>
        <v>1</v>
      </c>
      <c r="H930" s="151">
        <f t="shared" si="92"/>
        <v>0</v>
      </c>
      <c r="I930" s="151">
        <f>SUMIFS(Del!$C:$C,Del!$B:$B,'Element wise-detail Summary'!$A930)</f>
        <v>0</v>
      </c>
      <c r="J930" s="151">
        <f t="shared" si="93"/>
        <v>1</v>
      </c>
      <c r="K930" s="151">
        <f t="shared" si="94"/>
        <v>1</v>
      </c>
      <c r="L930" s="151">
        <f>SUMIF(Ere!$B:$B,'Element wise-detail Summary'!$A930,Ere!$C:$C)</f>
        <v>0</v>
      </c>
      <c r="M930" s="151">
        <f t="shared" si="95"/>
        <v>1</v>
      </c>
      <c r="N930">
        <f t="shared" si="96"/>
        <v>0</v>
      </c>
    </row>
    <row r="931" spans="1:14" hidden="1" x14ac:dyDescent="0.25">
      <c r="A931" s="151" t="s">
        <v>2294</v>
      </c>
      <c r="B931" s="233" t="str">
        <f>VLOOKUP(A931,'AFC Data details'!$B:$E,4,0)</f>
        <v>PV11</v>
      </c>
      <c r="C931" s="144" t="s">
        <v>1699</v>
      </c>
      <c r="D931" s="151" t="s">
        <v>602</v>
      </c>
      <c r="E931" s="151">
        <f>VLOOKUP(A931,'AFC Data details'!$B:$P,15,0)</f>
        <v>1.3280000000000001</v>
      </c>
      <c r="F931" s="151">
        <f>SUMIFS('AFC Data details'!C:C,'AFC Data details'!$B:$B,'Element wise-detail Summary'!$A931)</f>
        <v>1</v>
      </c>
      <c r="G931" s="151">
        <f>SUMIFS(Cast!$C:$C,Cast!$B:$B,'Element wise-detail Summary'!$A931)</f>
        <v>1</v>
      </c>
      <c r="H931" s="151">
        <f t="shared" si="92"/>
        <v>0</v>
      </c>
      <c r="I931" s="151">
        <f>SUMIFS(Del!$C:$C,Del!$B:$B,'Element wise-detail Summary'!$A931)</f>
        <v>0</v>
      </c>
      <c r="J931" s="151">
        <f t="shared" si="93"/>
        <v>1</v>
      </c>
      <c r="K931" s="151">
        <f t="shared" si="94"/>
        <v>1</v>
      </c>
      <c r="L931" s="151">
        <f>SUMIF(Ere!$B:$B,'Element wise-detail Summary'!$A931,Ere!$C:$C)</f>
        <v>0</v>
      </c>
      <c r="M931" s="151">
        <f t="shared" si="95"/>
        <v>1</v>
      </c>
      <c r="N931">
        <f t="shared" si="96"/>
        <v>0</v>
      </c>
    </row>
    <row r="932" spans="1:14" hidden="1" x14ac:dyDescent="0.25">
      <c r="A932" s="151" t="s">
        <v>2295</v>
      </c>
      <c r="B932" s="233" t="str">
        <f>VLOOKUP(A932,'AFC Data details'!$B:$E,4,0)</f>
        <v>PV11</v>
      </c>
      <c r="C932" s="144" t="s">
        <v>1699</v>
      </c>
      <c r="D932" s="151" t="s">
        <v>602</v>
      </c>
      <c r="E932" s="151">
        <f>VLOOKUP(A932,'AFC Data details'!$B:$P,15,0)</f>
        <v>1.1559999999999999</v>
      </c>
      <c r="F932" s="151">
        <f>SUMIFS('AFC Data details'!C:C,'AFC Data details'!$B:$B,'Element wise-detail Summary'!$A932)</f>
        <v>1</v>
      </c>
      <c r="G932" s="151">
        <f>SUMIFS(Cast!$C:$C,Cast!$B:$B,'Element wise-detail Summary'!$A932)</f>
        <v>1</v>
      </c>
      <c r="H932" s="151">
        <f t="shared" si="92"/>
        <v>0</v>
      </c>
      <c r="I932" s="151">
        <f>SUMIFS(Del!$C:$C,Del!$B:$B,'Element wise-detail Summary'!$A932)</f>
        <v>0</v>
      </c>
      <c r="J932" s="151">
        <f t="shared" si="93"/>
        <v>1</v>
      </c>
      <c r="K932" s="151">
        <f t="shared" si="94"/>
        <v>1</v>
      </c>
      <c r="L932" s="151">
        <f>SUMIF(Ere!$B:$B,'Element wise-detail Summary'!$A932,Ere!$C:$C)</f>
        <v>0</v>
      </c>
      <c r="M932" s="151">
        <f t="shared" si="95"/>
        <v>1</v>
      </c>
      <c r="N932">
        <f t="shared" si="96"/>
        <v>0</v>
      </c>
    </row>
    <row r="933" spans="1:14" hidden="1" x14ac:dyDescent="0.25">
      <c r="A933" s="151" t="s">
        <v>2296</v>
      </c>
      <c r="B933" s="233" t="str">
        <f>VLOOKUP(A933,'AFC Data details'!$B:$E,4,0)</f>
        <v>PV11</v>
      </c>
      <c r="C933" s="144" t="s">
        <v>1699</v>
      </c>
      <c r="D933" s="151" t="s">
        <v>602</v>
      </c>
      <c r="E933" s="151">
        <f>VLOOKUP(A933,'AFC Data details'!$B:$P,15,0)</f>
        <v>1.1559999999999999</v>
      </c>
      <c r="F933" s="151">
        <f>SUMIFS('AFC Data details'!C:C,'AFC Data details'!$B:$B,'Element wise-detail Summary'!$A933)</f>
        <v>1</v>
      </c>
      <c r="G933" s="151">
        <f>SUMIFS(Cast!$C:$C,Cast!$B:$B,'Element wise-detail Summary'!$A933)</f>
        <v>1</v>
      </c>
      <c r="H933" s="151">
        <f t="shared" si="92"/>
        <v>0</v>
      </c>
      <c r="I933" s="151">
        <f>SUMIFS(Del!$C:$C,Del!$B:$B,'Element wise-detail Summary'!$A933)</f>
        <v>0</v>
      </c>
      <c r="J933" s="151">
        <f t="shared" si="93"/>
        <v>1</v>
      </c>
      <c r="K933" s="151">
        <f t="shared" si="94"/>
        <v>1</v>
      </c>
      <c r="L933" s="151">
        <f>SUMIF(Ere!$B:$B,'Element wise-detail Summary'!$A933,Ere!$C:$C)</f>
        <v>0</v>
      </c>
      <c r="M933" s="151">
        <f t="shared" si="95"/>
        <v>1</v>
      </c>
      <c r="N933">
        <f t="shared" si="96"/>
        <v>0</v>
      </c>
    </row>
    <row r="934" spans="1:14" hidden="1" x14ac:dyDescent="0.25">
      <c r="A934" s="151" t="s">
        <v>2297</v>
      </c>
      <c r="B934" s="233" t="str">
        <f>VLOOKUP(A934,'AFC Data details'!$B:$E,4,0)</f>
        <v>PV11</v>
      </c>
      <c r="C934" s="144" t="s">
        <v>1699</v>
      </c>
      <c r="D934" s="151" t="s">
        <v>602</v>
      </c>
      <c r="E934" s="151">
        <f>VLOOKUP(A934,'AFC Data details'!$B:$P,15,0)</f>
        <v>1.0840000000000001</v>
      </c>
      <c r="F934" s="151">
        <f>SUMIFS('AFC Data details'!C:C,'AFC Data details'!$B:$B,'Element wise-detail Summary'!$A934)</f>
        <v>1</v>
      </c>
      <c r="G934" s="151">
        <f>SUMIFS(Cast!$C:$C,Cast!$B:$B,'Element wise-detail Summary'!$A934)</f>
        <v>1</v>
      </c>
      <c r="H934" s="151">
        <f t="shared" si="92"/>
        <v>0</v>
      </c>
      <c r="I934" s="151">
        <f>SUMIFS(Del!$C:$C,Del!$B:$B,'Element wise-detail Summary'!$A934)</f>
        <v>0</v>
      </c>
      <c r="J934" s="151">
        <f t="shared" si="93"/>
        <v>1</v>
      </c>
      <c r="K934" s="151">
        <f t="shared" si="94"/>
        <v>1</v>
      </c>
      <c r="L934" s="151">
        <f>SUMIF(Ere!$B:$B,'Element wise-detail Summary'!$A934,Ere!$C:$C)</f>
        <v>0</v>
      </c>
      <c r="M934" s="151">
        <f t="shared" si="95"/>
        <v>1</v>
      </c>
      <c r="N934">
        <f t="shared" si="96"/>
        <v>0</v>
      </c>
    </row>
    <row r="935" spans="1:14" hidden="1" x14ac:dyDescent="0.25">
      <c r="A935" s="151" t="s">
        <v>2298</v>
      </c>
      <c r="B935" s="233" t="str">
        <f>VLOOKUP(A935,'AFC Data details'!$B:$E,4,0)</f>
        <v>PV12</v>
      </c>
      <c r="C935" s="144" t="s">
        <v>1699</v>
      </c>
      <c r="D935" s="151" t="s">
        <v>602</v>
      </c>
      <c r="E935" s="151">
        <f>VLOOKUP(A935,'AFC Data details'!$B:$P,15,0)</f>
        <v>2.09</v>
      </c>
      <c r="F935" s="151">
        <f>SUMIFS('AFC Data details'!C:C,'AFC Data details'!$B:$B,'Element wise-detail Summary'!$A935)</f>
        <v>1</v>
      </c>
      <c r="G935" s="151">
        <f>SUMIFS(Cast!$C:$C,Cast!$B:$B,'Element wise-detail Summary'!$A935)</f>
        <v>1</v>
      </c>
      <c r="H935" s="151">
        <f t="shared" si="92"/>
        <v>0</v>
      </c>
      <c r="I935" s="151">
        <f>SUMIFS(Del!$C:$C,Del!$B:$B,'Element wise-detail Summary'!$A935)</f>
        <v>0</v>
      </c>
      <c r="J935" s="151">
        <f t="shared" si="93"/>
        <v>1</v>
      </c>
      <c r="K935" s="151">
        <f t="shared" si="94"/>
        <v>1</v>
      </c>
      <c r="L935" s="151">
        <f>SUMIF(Ere!$B:$B,'Element wise-detail Summary'!$A935,Ere!$C:$C)</f>
        <v>0</v>
      </c>
      <c r="M935" s="151">
        <f t="shared" si="95"/>
        <v>1</v>
      </c>
      <c r="N935">
        <f t="shared" si="96"/>
        <v>0</v>
      </c>
    </row>
    <row r="936" spans="1:14" hidden="1" x14ac:dyDescent="0.25">
      <c r="A936" s="151" t="s">
        <v>2299</v>
      </c>
      <c r="B936" s="233" t="str">
        <f>VLOOKUP(A936,'AFC Data details'!$B:$E,4,0)</f>
        <v>PV13</v>
      </c>
      <c r="C936" s="144" t="s">
        <v>1699</v>
      </c>
      <c r="D936" s="151" t="s">
        <v>602</v>
      </c>
      <c r="E936" s="151">
        <f>VLOOKUP(A936,'AFC Data details'!$B:$P,15,0)</f>
        <v>2.09</v>
      </c>
      <c r="F936" s="151">
        <f>SUMIFS('AFC Data details'!C:C,'AFC Data details'!$B:$B,'Element wise-detail Summary'!$A936)</f>
        <v>1</v>
      </c>
      <c r="G936" s="151">
        <f>SUMIFS(Cast!$C:$C,Cast!$B:$B,'Element wise-detail Summary'!$A936)</f>
        <v>1</v>
      </c>
      <c r="H936" s="151">
        <f t="shared" si="92"/>
        <v>0</v>
      </c>
      <c r="I936" s="151">
        <f>SUMIFS(Del!$C:$C,Del!$B:$B,'Element wise-detail Summary'!$A936)</f>
        <v>0</v>
      </c>
      <c r="J936" s="151">
        <f t="shared" si="93"/>
        <v>1</v>
      </c>
      <c r="K936" s="151">
        <f t="shared" si="94"/>
        <v>1</v>
      </c>
      <c r="L936" s="151">
        <f>SUMIF(Ere!$B:$B,'Element wise-detail Summary'!$A936,Ere!$C:$C)</f>
        <v>0</v>
      </c>
      <c r="M936" s="151">
        <f t="shared" si="95"/>
        <v>1</v>
      </c>
      <c r="N936">
        <f t="shared" si="96"/>
        <v>0</v>
      </c>
    </row>
    <row r="937" spans="1:14" hidden="1" x14ac:dyDescent="0.25">
      <c r="A937" s="151" t="s">
        <v>2300</v>
      </c>
      <c r="B937" s="233" t="str">
        <f>VLOOKUP(A937,'AFC Data details'!$B:$E,4,0)</f>
        <v>PV12</v>
      </c>
      <c r="C937" s="144" t="s">
        <v>1699</v>
      </c>
      <c r="D937" s="151" t="s">
        <v>602</v>
      </c>
      <c r="E937" s="151">
        <f>VLOOKUP(A937,'AFC Data details'!$B:$P,15,0)</f>
        <v>2.09</v>
      </c>
      <c r="F937" s="151">
        <f>SUMIFS('AFC Data details'!C:C,'AFC Data details'!$B:$B,'Element wise-detail Summary'!$A937)</f>
        <v>1</v>
      </c>
      <c r="G937" s="151">
        <f>SUMIFS(Cast!$C:$C,Cast!$B:$B,'Element wise-detail Summary'!$A937)</f>
        <v>1</v>
      </c>
      <c r="H937" s="151">
        <f t="shared" si="92"/>
        <v>0</v>
      </c>
      <c r="I937" s="151">
        <f>SUMIFS(Del!$C:$C,Del!$B:$B,'Element wise-detail Summary'!$A937)</f>
        <v>0</v>
      </c>
      <c r="J937" s="151">
        <f t="shared" si="93"/>
        <v>1</v>
      </c>
      <c r="K937" s="151">
        <f t="shared" si="94"/>
        <v>1</v>
      </c>
      <c r="L937" s="151">
        <f>SUMIF(Ere!$B:$B,'Element wise-detail Summary'!$A937,Ere!$C:$C)</f>
        <v>0</v>
      </c>
      <c r="M937" s="151">
        <f t="shared" si="95"/>
        <v>1</v>
      </c>
      <c r="N937">
        <f t="shared" si="96"/>
        <v>0</v>
      </c>
    </row>
    <row r="938" spans="1:14" hidden="1" x14ac:dyDescent="0.25">
      <c r="A938" s="151" t="s">
        <v>2301</v>
      </c>
      <c r="B938" s="233" t="str">
        <f>VLOOKUP(A938,'AFC Data details'!$B:$E,4,0)</f>
        <v>PV12</v>
      </c>
      <c r="C938" s="144" t="s">
        <v>1699</v>
      </c>
      <c r="D938" s="151" t="s">
        <v>602</v>
      </c>
      <c r="E938" s="151">
        <f>VLOOKUP(A938,'AFC Data details'!$B:$P,15,0)</f>
        <v>2.09</v>
      </c>
      <c r="F938" s="151">
        <f>SUMIFS('AFC Data details'!C:C,'AFC Data details'!$B:$B,'Element wise-detail Summary'!$A938)</f>
        <v>1</v>
      </c>
      <c r="G938" s="151">
        <f>SUMIFS(Cast!$C:$C,Cast!$B:$B,'Element wise-detail Summary'!$A938)</f>
        <v>1</v>
      </c>
      <c r="H938" s="151">
        <f t="shared" si="92"/>
        <v>0</v>
      </c>
      <c r="I938" s="151">
        <f>SUMIFS(Del!$C:$C,Del!$B:$B,'Element wise-detail Summary'!$A938)</f>
        <v>0</v>
      </c>
      <c r="J938" s="151">
        <f t="shared" si="93"/>
        <v>1</v>
      </c>
      <c r="K938" s="151">
        <f t="shared" si="94"/>
        <v>1</v>
      </c>
      <c r="L938" s="151">
        <f>SUMIF(Ere!$B:$B,'Element wise-detail Summary'!$A938,Ere!$C:$C)</f>
        <v>0</v>
      </c>
      <c r="M938" s="151">
        <f t="shared" si="95"/>
        <v>1</v>
      </c>
      <c r="N938">
        <f t="shared" si="96"/>
        <v>0</v>
      </c>
    </row>
    <row r="939" spans="1:14" hidden="1" x14ac:dyDescent="0.25">
      <c r="A939" s="151" t="s">
        <v>2302</v>
      </c>
      <c r="B939" s="233" t="str">
        <f>VLOOKUP(A939,'AFC Data details'!$B:$E,4,0)</f>
        <v>PV12</v>
      </c>
      <c r="C939" s="144" t="s">
        <v>1699</v>
      </c>
      <c r="D939" s="151" t="s">
        <v>602</v>
      </c>
      <c r="E939" s="151">
        <f>VLOOKUP(A939,'AFC Data details'!$B:$P,15,0)</f>
        <v>2.09</v>
      </c>
      <c r="F939" s="151">
        <f>SUMIFS('AFC Data details'!C:C,'AFC Data details'!$B:$B,'Element wise-detail Summary'!$A939)</f>
        <v>1</v>
      </c>
      <c r="G939" s="151">
        <f>SUMIFS(Cast!$C:$C,Cast!$B:$B,'Element wise-detail Summary'!$A939)</f>
        <v>1</v>
      </c>
      <c r="H939" s="151">
        <f t="shared" si="92"/>
        <v>0</v>
      </c>
      <c r="I939" s="151">
        <f>SUMIFS(Del!$C:$C,Del!$B:$B,'Element wise-detail Summary'!$A939)</f>
        <v>0</v>
      </c>
      <c r="J939" s="151">
        <f t="shared" si="93"/>
        <v>1</v>
      </c>
      <c r="K939" s="151">
        <f t="shared" si="94"/>
        <v>1</v>
      </c>
      <c r="L939" s="151">
        <f>SUMIF(Ere!$B:$B,'Element wise-detail Summary'!$A939,Ere!$C:$C)</f>
        <v>0</v>
      </c>
      <c r="M939" s="151">
        <f t="shared" si="95"/>
        <v>1</v>
      </c>
      <c r="N939">
        <f t="shared" si="96"/>
        <v>0</v>
      </c>
    </row>
    <row r="940" spans="1:14" hidden="1" x14ac:dyDescent="0.25">
      <c r="A940" s="151" t="s">
        <v>2303</v>
      </c>
      <c r="B940" s="233" t="str">
        <f>VLOOKUP(A940,'AFC Data details'!$B:$E,4,0)</f>
        <v>PV12</v>
      </c>
      <c r="C940" s="144" t="s">
        <v>1699</v>
      </c>
      <c r="D940" s="151" t="s">
        <v>602</v>
      </c>
      <c r="E940" s="151">
        <f>VLOOKUP(A940,'AFC Data details'!$B:$P,15,0)</f>
        <v>2.09</v>
      </c>
      <c r="F940" s="151">
        <f>SUMIFS('AFC Data details'!C:C,'AFC Data details'!$B:$B,'Element wise-detail Summary'!$A940)</f>
        <v>1</v>
      </c>
      <c r="G940" s="151">
        <f>SUMIFS(Cast!$C:$C,Cast!$B:$B,'Element wise-detail Summary'!$A940)</f>
        <v>1</v>
      </c>
      <c r="H940" s="151">
        <f t="shared" si="92"/>
        <v>0</v>
      </c>
      <c r="I940" s="151">
        <f>SUMIFS(Del!$C:$C,Del!$B:$B,'Element wise-detail Summary'!$A940)</f>
        <v>0</v>
      </c>
      <c r="J940" s="151">
        <f t="shared" si="93"/>
        <v>1</v>
      </c>
      <c r="K940" s="151">
        <f t="shared" si="94"/>
        <v>1</v>
      </c>
      <c r="L940" s="151">
        <f>SUMIF(Ere!$B:$B,'Element wise-detail Summary'!$A940,Ere!$C:$C)</f>
        <v>0</v>
      </c>
      <c r="M940" s="151">
        <f t="shared" si="95"/>
        <v>1</v>
      </c>
      <c r="N940">
        <f t="shared" si="96"/>
        <v>0</v>
      </c>
    </row>
    <row r="941" spans="1:14" hidden="1" x14ac:dyDescent="0.25">
      <c r="A941" s="151" t="s">
        <v>2304</v>
      </c>
      <c r="B941" s="233" t="str">
        <f>VLOOKUP(A941,'AFC Data details'!$B:$E,4,0)</f>
        <v>PV13</v>
      </c>
      <c r="C941" s="144" t="s">
        <v>1699</v>
      </c>
      <c r="D941" s="151" t="s">
        <v>602</v>
      </c>
      <c r="E941" s="151">
        <f>VLOOKUP(A941,'AFC Data details'!$B:$P,15,0)</f>
        <v>2.09</v>
      </c>
      <c r="F941" s="151">
        <f>SUMIFS('AFC Data details'!C:C,'AFC Data details'!$B:$B,'Element wise-detail Summary'!$A941)</f>
        <v>1</v>
      </c>
      <c r="G941" s="151">
        <f>SUMIFS(Cast!$C:$C,Cast!$B:$B,'Element wise-detail Summary'!$A941)</f>
        <v>1</v>
      </c>
      <c r="H941" s="151">
        <f t="shared" si="92"/>
        <v>0</v>
      </c>
      <c r="I941" s="151">
        <f>SUMIFS(Del!$C:$C,Del!$B:$B,'Element wise-detail Summary'!$A941)</f>
        <v>0</v>
      </c>
      <c r="J941" s="151">
        <f t="shared" si="93"/>
        <v>1</v>
      </c>
      <c r="K941" s="151">
        <f t="shared" si="94"/>
        <v>1</v>
      </c>
      <c r="L941" s="151">
        <f>SUMIF(Ere!$B:$B,'Element wise-detail Summary'!$A941,Ere!$C:$C)</f>
        <v>0</v>
      </c>
      <c r="M941" s="151">
        <f t="shared" si="95"/>
        <v>1</v>
      </c>
      <c r="N941">
        <f t="shared" si="96"/>
        <v>0</v>
      </c>
    </row>
    <row r="942" spans="1:14" hidden="1" x14ac:dyDescent="0.25">
      <c r="A942" s="151" t="s">
        <v>2305</v>
      </c>
      <c r="B942" s="233" t="str">
        <f>VLOOKUP(A942,'AFC Data details'!$B:$E,4,0)</f>
        <v>PV13</v>
      </c>
      <c r="C942" s="144" t="s">
        <v>1699</v>
      </c>
      <c r="D942" s="151" t="s">
        <v>602</v>
      </c>
      <c r="E942" s="151">
        <f>VLOOKUP(A942,'AFC Data details'!$B:$P,15,0)</f>
        <v>2.09</v>
      </c>
      <c r="F942" s="151">
        <f>SUMIFS('AFC Data details'!C:C,'AFC Data details'!$B:$B,'Element wise-detail Summary'!$A942)</f>
        <v>1</v>
      </c>
      <c r="G942" s="151">
        <f>SUMIFS(Cast!$C:$C,Cast!$B:$B,'Element wise-detail Summary'!$A942)</f>
        <v>1</v>
      </c>
      <c r="H942" s="151">
        <f t="shared" si="92"/>
        <v>0</v>
      </c>
      <c r="I942" s="151">
        <f>SUMIFS(Del!$C:$C,Del!$B:$B,'Element wise-detail Summary'!$A942)</f>
        <v>1</v>
      </c>
      <c r="J942" s="151">
        <f t="shared" si="93"/>
        <v>0</v>
      </c>
      <c r="K942" s="151">
        <f t="shared" si="94"/>
        <v>0</v>
      </c>
      <c r="L942" s="151">
        <f>SUMIF(Ere!$B:$B,'Element wise-detail Summary'!$A942,Ere!$C:$C)</f>
        <v>0</v>
      </c>
      <c r="M942" s="151">
        <f t="shared" si="95"/>
        <v>1</v>
      </c>
      <c r="N942">
        <f t="shared" si="96"/>
        <v>2.09</v>
      </c>
    </row>
    <row r="943" spans="1:14" hidden="1" x14ac:dyDescent="0.25">
      <c r="A943" s="151" t="s">
        <v>2306</v>
      </c>
      <c r="B943" s="233" t="str">
        <f>VLOOKUP(A943,'AFC Data details'!$B:$E,4,0)</f>
        <v>PV13</v>
      </c>
      <c r="C943" s="144" t="s">
        <v>1699</v>
      </c>
      <c r="D943" s="151" t="s">
        <v>602</v>
      </c>
      <c r="E943" s="151">
        <f>VLOOKUP(A943,'AFC Data details'!$B:$P,15,0)</f>
        <v>2.09</v>
      </c>
      <c r="F943" s="151">
        <f>SUMIFS('AFC Data details'!C:C,'AFC Data details'!$B:$B,'Element wise-detail Summary'!$A943)</f>
        <v>1</v>
      </c>
      <c r="G943" s="151">
        <f>SUMIFS(Cast!$C:$C,Cast!$B:$B,'Element wise-detail Summary'!$A943)</f>
        <v>1</v>
      </c>
      <c r="H943" s="151">
        <f t="shared" si="92"/>
        <v>0</v>
      </c>
      <c r="I943" s="151">
        <f>SUMIFS(Del!$C:$C,Del!$B:$B,'Element wise-detail Summary'!$A943)</f>
        <v>1</v>
      </c>
      <c r="J943" s="151">
        <f t="shared" si="93"/>
        <v>0</v>
      </c>
      <c r="K943" s="151">
        <f t="shared" si="94"/>
        <v>0</v>
      </c>
      <c r="L943" s="151">
        <f>SUMIF(Ere!$B:$B,'Element wise-detail Summary'!$A943,Ere!$C:$C)</f>
        <v>0</v>
      </c>
      <c r="M943" s="151">
        <f t="shared" si="95"/>
        <v>1</v>
      </c>
      <c r="N943">
        <f t="shared" si="96"/>
        <v>2.09</v>
      </c>
    </row>
    <row r="944" spans="1:14" hidden="1" x14ac:dyDescent="0.25">
      <c r="A944" s="151" t="s">
        <v>2307</v>
      </c>
      <c r="B944" s="233" t="str">
        <f>VLOOKUP(A944,'AFC Data details'!$B:$E,4,0)</f>
        <v>PV13</v>
      </c>
      <c r="C944" s="144" t="s">
        <v>1699</v>
      </c>
      <c r="D944" s="151" t="s">
        <v>602</v>
      </c>
      <c r="E944" s="151">
        <f>VLOOKUP(A944,'AFC Data details'!$B:$P,15,0)</f>
        <v>2.09</v>
      </c>
      <c r="F944" s="151">
        <f>SUMIFS('AFC Data details'!C:C,'AFC Data details'!$B:$B,'Element wise-detail Summary'!$A944)</f>
        <v>1</v>
      </c>
      <c r="G944" s="151">
        <f>SUMIFS(Cast!$C:$C,Cast!$B:$B,'Element wise-detail Summary'!$A944)</f>
        <v>1</v>
      </c>
      <c r="H944" s="151">
        <f t="shared" si="92"/>
        <v>0</v>
      </c>
      <c r="I944" s="151">
        <f>SUMIFS(Del!$C:$C,Del!$B:$B,'Element wise-detail Summary'!$A944)</f>
        <v>1</v>
      </c>
      <c r="J944" s="151">
        <f t="shared" si="93"/>
        <v>0</v>
      </c>
      <c r="K944" s="151">
        <f t="shared" si="94"/>
        <v>0</v>
      </c>
      <c r="L944" s="151">
        <f>SUMIF(Ere!$B:$B,'Element wise-detail Summary'!$A944,Ere!$C:$C)</f>
        <v>0</v>
      </c>
      <c r="M944" s="151">
        <f t="shared" si="95"/>
        <v>1</v>
      </c>
      <c r="N944">
        <f t="shared" si="96"/>
        <v>2.09</v>
      </c>
    </row>
    <row r="945" spans="1:14" hidden="1" x14ac:dyDescent="0.25">
      <c r="A945" s="151" t="s">
        <v>2308</v>
      </c>
      <c r="B945" s="233" t="str">
        <f>VLOOKUP(A945,'AFC Data details'!$B:$E,4,0)</f>
        <v>PV12</v>
      </c>
      <c r="C945" s="144" t="s">
        <v>1699</v>
      </c>
      <c r="D945" s="151" t="s">
        <v>602</v>
      </c>
      <c r="E945" s="151">
        <f>VLOOKUP(A945,'AFC Data details'!$B:$P,15,0)</f>
        <v>2.09</v>
      </c>
      <c r="F945" s="151">
        <f>SUMIFS('AFC Data details'!C:C,'AFC Data details'!$B:$B,'Element wise-detail Summary'!$A945)</f>
        <v>1</v>
      </c>
      <c r="G945" s="151">
        <f>SUMIFS(Cast!$C:$C,Cast!$B:$B,'Element wise-detail Summary'!$A945)</f>
        <v>1</v>
      </c>
      <c r="H945" s="151">
        <f t="shared" si="92"/>
        <v>0</v>
      </c>
      <c r="I945" s="151">
        <f>SUMIFS(Del!$C:$C,Del!$B:$B,'Element wise-detail Summary'!$A945)</f>
        <v>0</v>
      </c>
      <c r="J945" s="151">
        <f t="shared" si="93"/>
        <v>1</v>
      </c>
      <c r="K945" s="151">
        <f t="shared" si="94"/>
        <v>1</v>
      </c>
      <c r="L945" s="151">
        <f>SUMIF(Ere!$B:$B,'Element wise-detail Summary'!$A945,Ere!$C:$C)</f>
        <v>0</v>
      </c>
      <c r="M945" s="151">
        <f t="shared" si="95"/>
        <v>1</v>
      </c>
      <c r="N945">
        <f t="shared" si="96"/>
        <v>0</v>
      </c>
    </row>
    <row r="946" spans="1:14" hidden="1" x14ac:dyDescent="0.25">
      <c r="A946" s="151" t="s">
        <v>2309</v>
      </c>
      <c r="B946" s="233" t="str">
        <f>VLOOKUP(A946,'AFC Data details'!$B:$E,4,0)</f>
        <v>PV13</v>
      </c>
      <c r="C946" s="144" t="s">
        <v>1699</v>
      </c>
      <c r="D946" s="151" t="s">
        <v>602</v>
      </c>
      <c r="E946" s="151">
        <f>VLOOKUP(A946,'AFC Data details'!$B:$P,15,0)</f>
        <v>2.09</v>
      </c>
      <c r="F946" s="151">
        <f>SUMIFS('AFC Data details'!C:C,'AFC Data details'!$B:$B,'Element wise-detail Summary'!$A946)</f>
        <v>1</v>
      </c>
      <c r="G946" s="151">
        <f>SUMIFS(Cast!$C:$C,Cast!$B:$B,'Element wise-detail Summary'!$A946)</f>
        <v>1</v>
      </c>
      <c r="H946" s="151">
        <f t="shared" si="92"/>
        <v>0</v>
      </c>
      <c r="I946" s="151">
        <f>SUMIFS(Del!$C:$C,Del!$B:$B,'Element wise-detail Summary'!$A946)</f>
        <v>0</v>
      </c>
      <c r="J946" s="151">
        <f t="shared" si="93"/>
        <v>1</v>
      </c>
      <c r="K946" s="151">
        <f t="shared" si="94"/>
        <v>1</v>
      </c>
      <c r="L946" s="151">
        <f>SUMIF(Ere!$B:$B,'Element wise-detail Summary'!$A946,Ere!$C:$C)</f>
        <v>0</v>
      </c>
      <c r="M946" s="151">
        <f t="shared" si="95"/>
        <v>1</v>
      </c>
      <c r="N946">
        <f t="shared" si="96"/>
        <v>0</v>
      </c>
    </row>
    <row r="947" spans="1:14" hidden="1" x14ac:dyDescent="0.25">
      <c r="A947" s="151" t="s">
        <v>2310</v>
      </c>
      <c r="B947" s="233" t="str">
        <f>VLOOKUP(A947,'AFC Data details'!$B:$E,4,0)</f>
        <v>PV12</v>
      </c>
      <c r="C947" s="144" t="s">
        <v>1699</v>
      </c>
      <c r="D947" s="151" t="s">
        <v>602</v>
      </c>
      <c r="E947" s="151">
        <f>VLOOKUP(A947,'AFC Data details'!$B:$P,15,0)</f>
        <v>1.119</v>
      </c>
      <c r="F947" s="151">
        <f>SUMIFS('AFC Data details'!C:C,'AFC Data details'!$B:$B,'Element wise-detail Summary'!$A947)</f>
        <v>1</v>
      </c>
      <c r="G947" s="151">
        <f>SUMIFS(Cast!$C:$C,Cast!$B:$B,'Element wise-detail Summary'!$A947)</f>
        <v>1</v>
      </c>
      <c r="H947" s="151">
        <f t="shared" si="92"/>
        <v>0</v>
      </c>
      <c r="I947" s="151">
        <f>SUMIFS(Del!$C:$C,Del!$B:$B,'Element wise-detail Summary'!$A947)</f>
        <v>0</v>
      </c>
      <c r="J947" s="151">
        <f t="shared" si="93"/>
        <v>1</v>
      </c>
      <c r="K947" s="151">
        <f t="shared" si="94"/>
        <v>1</v>
      </c>
      <c r="L947" s="151">
        <f>SUMIF(Ere!$B:$B,'Element wise-detail Summary'!$A947,Ere!$C:$C)</f>
        <v>0</v>
      </c>
      <c r="M947" s="151">
        <f t="shared" si="95"/>
        <v>1</v>
      </c>
      <c r="N947">
        <f t="shared" si="96"/>
        <v>0</v>
      </c>
    </row>
    <row r="948" spans="1:14" hidden="1" x14ac:dyDescent="0.25">
      <c r="A948" s="151" t="s">
        <v>2311</v>
      </c>
      <c r="B948" s="233" t="str">
        <f>VLOOKUP(A948,'AFC Data details'!$B:$E,4,0)</f>
        <v>PV12</v>
      </c>
      <c r="C948" s="144" t="s">
        <v>1699</v>
      </c>
      <c r="D948" s="151" t="s">
        <v>602</v>
      </c>
      <c r="E948" s="151">
        <f>VLOOKUP(A948,'AFC Data details'!$B:$P,15,0)</f>
        <v>1.371</v>
      </c>
      <c r="F948" s="151">
        <f>SUMIFS('AFC Data details'!C:C,'AFC Data details'!$B:$B,'Element wise-detail Summary'!$A948)</f>
        <v>1</v>
      </c>
      <c r="G948" s="151">
        <f>SUMIFS(Cast!$C:$C,Cast!$B:$B,'Element wise-detail Summary'!$A948)</f>
        <v>1</v>
      </c>
      <c r="H948" s="151">
        <f t="shared" si="92"/>
        <v>0</v>
      </c>
      <c r="I948" s="151">
        <f>SUMIFS(Del!$C:$C,Del!$B:$B,'Element wise-detail Summary'!$A948)</f>
        <v>0</v>
      </c>
      <c r="J948" s="151">
        <f t="shared" si="93"/>
        <v>1</v>
      </c>
      <c r="K948" s="151">
        <f t="shared" si="94"/>
        <v>1</v>
      </c>
      <c r="L948" s="151">
        <f>SUMIF(Ere!$B:$B,'Element wise-detail Summary'!$A948,Ere!$C:$C)</f>
        <v>0</v>
      </c>
      <c r="M948" s="151">
        <f t="shared" si="95"/>
        <v>1</v>
      </c>
      <c r="N948">
        <f t="shared" si="96"/>
        <v>0</v>
      </c>
    </row>
    <row r="949" spans="1:14" hidden="1" x14ac:dyDescent="0.25">
      <c r="A949" s="151" t="s">
        <v>2312</v>
      </c>
      <c r="B949" s="233" t="str">
        <f>VLOOKUP(A949,'AFC Data details'!$B:$E,4,0)</f>
        <v>PV13</v>
      </c>
      <c r="C949" s="144" t="s">
        <v>1699</v>
      </c>
      <c r="D949" s="151" t="s">
        <v>602</v>
      </c>
      <c r="E949" s="151">
        <f>VLOOKUP(A949,'AFC Data details'!$B:$P,15,0)</f>
        <v>1.006</v>
      </c>
      <c r="F949" s="151">
        <f>SUMIFS('AFC Data details'!C:C,'AFC Data details'!$B:$B,'Element wise-detail Summary'!$A949)</f>
        <v>1</v>
      </c>
      <c r="G949" s="151">
        <f>SUMIFS(Cast!$C:$C,Cast!$B:$B,'Element wise-detail Summary'!$A949)</f>
        <v>1</v>
      </c>
      <c r="H949" s="151">
        <f t="shared" si="92"/>
        <v>0</v>
      </c>
      <c r="I949" s="151">
        <f>SUMIFS(Del!$C:$C,Del!$B:$B,'Element wise-detail Summary'!$A949)</f>
        <v>0</v>
      </c>
      <c r="J949" s="151">
        <f t="shared" si="93"/>
        <v>1</v>
      </c>
      <c r="K949" s="151">
        <f t="shared" si="94"/>
        <v>1</v>
      </c>
      <c r="L949" s="151">
        <f>SUMIF(Ere!$B:$B,'Element wise-detail Summary'!$A949,Ere!$C:$C)</f>
        <v>0</v>
      </c>
      <c r="M949" s="151">
        <f t="shared" si="95"/>
        <v>1</v>
      </c>
      <c r="N949">
        <f t="shared" si="96"/>
        <v>0</v>
      </c>
    </row>
    <row r="950" spans="1:14" hidden="1" x14ac:dyDescent="0.25">
      <c r="A950" s="151" t="s">
        <v>2313</v>
      </c>
      <c r="B950" s="233" t="str">
        <f>VLOOKUP(A950,'AFC Data details'!$B:$E,4,0)</f>
        <v>PV13</v>
      </c>
      <c r="C950" s="144" t="s">
        <v>1699</v>
      </c>
      <c r="D950" s="151" t="s">
        <v>602</v>
      </c>
      <c r="E950" s="151">
        <f>VLOOKUP(A950,'AFC Data details'!$B:$P,15,0)</f>
        <v>1.399</v>
      </c>
      <c r="F950" s="151">
        <f>SUMIFS('AFC Data details'!C:C,'AFC Data details'!$B:$B,'Element wise-detail Summary'!$A950)</f>
        <v>1</v>
      </c>
      <c r="G950" s="151">
        <f>SUMIFS(Cast!$C:$C,Cast!$B:$B,'Element wise-detail Summary'!$A950)</f>
        <v>1</v>
      </c>
      <c r="H950" s="151">
        <f t="shared" si="92"/>
        <v>0</v>
      </c>
      <c r="I950" s="151">
        <f>SUMIFS(Del!$C:$C,Del!$B:$B,'Element wise-detail Summary'!$A950)</f>
        <v>0</v>
      </c>
      <c r="J950" s="151">
        <f t="shared" si="93"/>
        <v>1</v>
      </c>
      <c r="K950" s="151">
        <f t="shared" si="94"/>
        <v>1</v>
      </c>
      <c r="L950" s="151">
        <f>SUMIF(Ere!$B:$B,'Element wise-detail Summary'!$A950,Ere!$C:$C)</f>
        <v>0</v>
      </c>
      <c r="M950" s="151">
        <f t="shared" si="95"/>
        <v>1</v>
      </c>
      <c r="N950">
        <f t="shared" si="96"/>
        <v>0</v>
      </c>
    </row>
    <row r="951" spans="1:14" hidden="1" x14ac:dyDescent="0.25">
      <c r="A951" s="151" t="s">
        <v>2314</v>
      </c>
      <c r="B951" s="233" t="str">
        <f>VLOOKUP(A951,'AFC Data details'!$B:$E,4,0)</f>
        <v>PV13</v>
      </c>
      <c r="C951" s="144" t="s">
        <v>1699</v>
      </c>
      <c r="D951" s="151" t="s">
        <v>602</v>
      </c>
      <c r="E951" s="151">
        <f>VLOOKUP(A951,'AFC Data details'!$B:$P,15,0)</f>
        <v>1.163</v>
      </c>
      <c r="F951" s="151">
        <f>SUMIFS('AFC Data details'!C:C,'AFC Data details'!$B:$B,'Element wise-detail Summary'!$A951)</f>
        <v>1</v>
      </c>
      <c r="G951" s="151">
        <f>SUMIFS(Cast!$C:$C,Cast!$B:$B,'Element wise-detail Summary'!$A951)</f>
        <v>1</v>
      </c>
      <c r="H951" s="151">
        <f t="shared" si="92"/>
        <v>0</v>
      </c>
      <c r="I951" s="151">
        <f>SUMIFS(Del!$C:$C,Del!$B:$B,'Element wise-detail Summary'!$A951)</f>
        <v>0</v>
      </c>
      <c r="J951" s="151">
        <f t="shared" si="93"/>
        <v>1</v>
      </c>
      <c r="K951" s="151">
        <f t="shared" si="94"/>
        <v>1</v>
      </c>
      <c r="L951" s="151">
        <f>SUMIF(Ere!$B:$B,'Element wise-detail Summary'!$A951,Ere!$C:$C)</f>
        <v>0</v>
      </c>
      <c r="M951" s="151">
        <f t="shared" si="95"/>
        <v>1</v>
      </c>
      <c r="N951">
        <f t="shared" si="96"/>
        <v>0</v>
      </c>
    </row>
    <row r="952" spans="1:14" hidden="1" x14ac:dyDescent="0.25">
      <c r="A952" s="151" t="s">
        <v>2315</v>
      </c>
      <c r="B952" s="233" t="str">
        <f>VLOOKUP(A952,'AFC Data details'!$B:$E,4,0)</f>
        <v>PV14</v>
      </c>
      <c r="C952" s="144" t="s">
        <v>1699</v>
      </c>
      <c r="D952" s="151" t="s">
        <v>602</v>
      </c>
      <c r="E952" s="151">
        <f>VLOOKUP(A952,'AFC Data details'!$B:$P,15,0)</f>
        <v>2.0840000000000001</v>
      </c>
      <c r="F952" s="151">
        <f>SUMIFS('AFC Data details'!C:C,'AFC Data details'!$B:$B,'Element wise-detail Summary'!$A952)</f>
        <v>1</v>
      </c>
      <c r="G952" s="151">
        <f>SUMIFS(Cast!$C:$C,Cast!$B:$B,'Element wise-detail Summary'!$A952)</f>
        <v>1</v>
      </c>
      <c r="H952" s="151">
        <f t="shared" si="92"/>
        <v>0</v>
      </c>
      <c r="I952" s="151">
        <f>SUMIFS(Del!$C:$C,Del!$B:$B,'Element wise-detail Summary'!$A952)</f>
        <v>0</v>
      </c>
      <c r="J952" s="151">
        <f t="shared" si="93"/>
        <v>1</v>
      </c>
      <c r="K952" s="151">
        <f t="shared" si="94"/>
        <v>1</v>
      </c>
      <c r="L952" s="151">
        <f>SUMIF(Ere!$B:$B,'Element wise-detail Summary'!$A952,Ere!$C:$C)</f>
        <v>0</v>
      </c>
      <c r="M952" s="151">
        <f t="shared" si="95"/>
        <v>1</v>
      </c>
      <c r="N952">
        <f t="shared" si="96"/>
        <v>0</v>
      </c>
    </row>
    <row r="953" spans="1:14" hidden="1" x14ac:dyDescent="0.25">
      <c r="A953" s="151" t="s">
        <v>2316</v>
      </c>
      <c r="B953" s="233" t="str">
        <f>VLOOKUP(A953,'AFC Data details'!$B:$E,4,0)</f>
        <v>PV15</v>
      </c>
      <c r="C953" s="144" t="s">
        <v>1699</v>
      </c>
      <c r="D953" s="151" t="s">
        <v>602</v>
      </c>
      <c r="E953" s="151">
        <f>VLOOKUP(A953,'AFC Data details'!$B:$P,15,0)</f>
        <v>2.0840000000000001</v>
      </c>
      <c r="F953" s="151">
        <f>SUMIFS('AFC Data details'!C:C,'AFC Data details'!$B:$B,'Element wise-detail Summary'!$A953)</f>
        <v>1</v>
      </c>
      <c r="G953" s="151">
        <f>SUMIFS(Cast!$C:$C,Cast!$B:$B,'Element wise-detail Summary'!$A953)</f>
        <v>1</v>
      </c>
      <c r="H953" s="151">
        <f t="shared" si="92"/>
        <v>0</v>
      </c>
      <c r="I953" s="151">
        <f>SUMIFS(Del!$C:$C,Del!$B:$B,'Element wise-detail Summary'!$A953)</f>
        <v>1</v>
      </c>
      <c r="J953" s="151">
        <f t="shared" si="93"/>
        <v>0</v>
      </c>
      <c r="K953" s="151">
        <f t="shared" si="94"/>
        <v>0</v>
      </c>
      <c r="L953" s="151">
        <f>SUMIF(Ere!$B:$B,'Element wise-detail Summary'!$A953,Ere!$C:$C)</f>
        <v>0</v>
      </c>
      <c r="M953" s="151">
        <f t="shared" si="95"/>
        <v>1</v>
      </c>
      <c r="N953">
        <f t="shared" si="96"/>
        <v>2.0840000000000001</v>
      </c>
    </row>
    <row r="954" spans="1:14" hidden="1" x14ac:dyDescent="0.25">
      <c r="A954" s="151" t="s">
        <v>2317</v>
      </c>
      <c r="B954" s="233" t="str">
        <f>VLOOKUP(A954,'AFC Data details'!$B:$E,4,0)</f>
        <v>PV14</v>
      </c>
      <c r="C954" s="144" t="s">
        <v>1699</v>
      </c>
      <c r="D954" s="151" t="s">
        <v>602</v>
      </c>
      <c r="E954" s="151">
        <f>VLOOKUP(A954,'AFC Data details'!$B:$P,15,0)</f>
        <v>2.0840000000000001</v>
      </c>
      <c r="F954" s="151">
        <f>SUMIFS('AFC Data details'!C:C,'AFC Data details'!$B:$B,'Element wise-detail Summary'!$A954)</f>
        <v>1</v>
      </c>
      <c r="G954" s="151">
        <f>SUMIFS(Cast!$C:$C,Cast!$B:$B,'Element wise-detail Summary'!$A954)</f>
        <v>1</v>
      </c>
      <c r="H954" s="151">
        <f t="shared" si="92"/>
        <v>0</v>
      </c>
      <c r="I954" s="151">
        <f>SUMIFS(Del!$C:$C,Del!$B:$B,'Element wise-detail Summary'!$A954)</f>
        <v>0</v>
      </c>
      <c r="J954" s="151">
        <f t="shared" si="93"/>
        <v>1</v>
      </c>
      <c r="K954" s="151">
        <f t="shared" si="94"/>
        <v>1</v>
      </c>
      <c r="L954" s="151">
        <f>SUMIF(Ere!$B:$B,'Element wise-detail Summary'!$A954,Ere!$C:$C)</f>
        <v>0</v>
      </c>
      <c r="M954" s="151">
        <f t="shared" si="95"/>
        <v>1</v>
      </c>
      <c r="N954">
        <f t="shared" si="96"/>
        <v>0</v>
      </c>
    </row>
    <row r="955" spans="1:14" hidden="1" x14ac:dyDescent="0.25">
      <c r="A955" s="151" t="s">
        <v>2318</v>
      </c>
      <c r="B955" s="233" t="str">
        <f>VLOOKUP(A955,'AFC Data details'!$B:$E,4,0)</f>
        <v>PV14</v>
      </c>
      <c r="C955" s="144" t="s">
        <v>1699</v>
      </c>
      <c r="D955" s="151" t="s">
        <v>602</v>
      </c>
      <c r="E955" s="151">
        <f>VLOOKUP(A955,'AFC Data details'!$B:$P,15,0)</f>
        <v>2.0840000000000001</v>
      </c>
      <c r="F955" s="151">
        <f>SUMIFS('AFC Data details'!C:C,'AFC Data details'!$B:$B,'Element wise-detail Summary'!$A955)</f>
        <v>1</v>
      </c>
      <c r="G955" s="151">
        <f>SUMIFS(Cast!$C:$C,Cast!$B:$B,'Element wise-detail Summary'!$A955)</f>
        <v>1</v>
      </c>
      <c r="H955" s="151">
        <f t="shared" si="92"/>
        <v>0</v>
      </c>
      <c r="I955" s="151">
        <f>SUMIFS(Del!$C:$C,Del!$B:$B,'Element wise-detail Summary'!$A955)</f>
        <v>0</v>
      </c>
      <c r="J955" s="151">
        <f t="shared" si="93"/>
        <v>1</v>
      </c>
      <c r="K955" s="151">
        <f t="shared" si="94"/>
        <v>1</v>
      </c>
      <c r="L955" s="151">
        <f>SUMIF(Ere!$B:$B,'Element wise-detail Summary'!$A955,Ere!$C:$C)</f>
        <v>0</v>
      </c>
      <c r="M955" s="151">
        <f t="shared" si="95"/>
        <v>1</v>
      </c>
      <c r="N955">
        <f t="shared" si="96"/>
        <v>0</v>
      </c>
    </row>
    <row r="956" spans="1:14" hidden="1" x14ac:dyDescent="0.25">
      <c r="A956" s="151" t="s">
        <v>2319</v>
      </c>
      <c r="B956" s="233" t="str">
        <f>VLOOKUP(A956,'AFC Data details'!$B:$E,4,0)</f>
        <v>PV14</v>
      </c>
      <c r="C956" s="144" t="s">
        <v>1699</v>
      </c>
      <c r="D956" s="151" t="s">
        <v>602</v>
      </c>
      <c r="E956" s="151">
        <f>VLOOKUP(A956,'AFC Data details'!$B:$P,15,0)</f>
        <v>2.0840000000000001</v>
      </c>
      <c r="F956" s="151">
        <f>SUMIFS('AFC Data details'!C:C,'AFC Data details'!$B:$B,'Element wise-detail Summary'!$A956)</f>
        <v>1</v>
      </c>
      <c r="G956" s="151">
        <f>SUMIFS(Cast!$C:$C,Cast!$B:$B,'Element wise-detail Summary'!$A956)</f>
        <v>1</v>
      </c>
      <c r="H956" s="151">
        <f t="shared" si="92"/>
        <v>0</v>
      </c>
      <c r="I956" s="151">
        <f>SUMIFS(Del!$C:$C,Del!$B:$B,'Element wise-detail Summary'!$A956)</f>
        <v>0</v>
      </c>
      <c r="J956" s="151">
        <f t="shared" si="93"/>
        <v>1</v>
      </c>
      <c r="K956" s="151">
        <f t="shared" si="94"/>
        <v>1</v>
      </c>
      <c r="L956" s="151">
        <f>SUMIF(Ere!$B:$B,'Element wise-detail Summary'!$A956,Ere!$C:$C)</f>
        <v>0</v>
      </c>
      <c r="M956" s="151">
        <f t="shared" si="95"/>
        <v>1</v>
      </c>
      <c r="N956">
        <f t="shared" si="96"/>
        <v>0</v>
      </c>
    </row>
    <row r="957" spans="1:14" hidden="1" x14ac:dyDescent="0.25">
      <c r="A957" s="151" t="s">
        <v>2320</v>
      </c>
      <c r="B957" s="233" t="str">
        <f>VLOOKUP(A957,'AFC Data details'!$B:$E,4,0)</f>
        <v>PV14</v>
      </c>
      <c r="C957" s="144" t="s">
        <v>1699</v>
      </c>
      <c r="D957" s="151" t="s">
        <v>602</v>
      </c>
      <c r="E957" s="151">
        <f>VLOOKUP(A957,'AFC Data details'!$B:$P,15,0)</f>
        <v>2.0840000000000001</v>
      </c>
      <c r="F957" s="151">
        <f>SUMIFS('AFC Data details'!C:C,'AFC Data details'!$B:$B,'Element wise-detail Summary'!$A957)</f>
        <v>1</v>
      </c>
      <c r="G957" s="151">
        <f>SUMIFS(Cast!$C:$C,Cast!$B:$B,'Element wise-detail Summary'!$A957)</f>
        <v>1</v>
      </c>
      <c r="H957" s="151">
        <f t="shared" si="92"/>
        <v>0</v>
      </c>
      <c r="I957" s="151">
        <f>SUMIFS(Del!$C:$C,Del!$B:$B,'Element wise-detail Summary'!$A957)</f>
        <v>0</v>
      </c>
      <c r="J957" s="151">
        <f t="shared" si="93"/>
        <v>1</v>
      </c>
      <c r="K957" s="151">
        <f t="shared" si="94"/>
        <v>1</v>
      </c>
      <c r="L957" s="151">
        <f>SUMIF(Ere!$B:$B,'Element wise-detail Summary'!$A957,Ere!$C:$C)</f>
        <v>0</v>
      </c>
      <c r="M957" s="151">
        <f t="shared" si="95"/>
        <v>1</v>
      </c>
      <c r="N957">
        <f t="shared" si="96"/>
        <v>0</v>
      </c>
    </row>
    <row r="958" spans="1:14" hidden="1" x14ac:dyDescent="0.25">
      <c r="A958" s="151" t="s">
        <v>2321</v>
      </c>
      <c r="B958" s="233" t="str">
        <f>VLOOKUP(A958,'AFC Data details'!$B:$E,4,0)</f>
        <v>PV15</v>
      </c>
      <c r="C958" s="144" t="s">
        <v>1699</v>
      </c>
      <c r="D958" s="151" t="s">
        <v>602</v>
      </c>
      <c r="E958" s="151">
        <f>VLOOKUP(A958,'AFC Data details'!$B:$P,15,0)</f>
        <v>2.0840000000000001</v>
      </c>
      <c r="F958" s="151">
        <f>SUMIFS('AFC Data details'!C:C,'AFC Data details'!$B:$B,'Element wise-detail Summary'!$A958)</f>
        <v>1</v>
      </c>
      <c r="G958" s="151">
        <f>SUMIFS(Cast!$C:$C,Cast!$B:$B,'Element wise-detail Summary'!$A958)</f>
        <v>1</v>
      </c>
      <c r="H958" s="151">
        <f t="shared" ref="H958:H1021" si="97">F958-G958</f>
        <v>0</v>
      </c>
      <c r="I958" s="151">
        <f>SUMIFS(Del!$C:$C,Del!$B:$B,'Element wise-detail Summary'!$A958)</f>
        <v>0</v>
      </c>
      <c r="J958" s="151">
        <f t="shared" ref="J958:J1021" si="98">F958-I958</f>
        <v>1</v>
      </c>
      <c r="K958" s="151">
        <f t="shared" ref="K958:K1021" si="99">G958-I958</f>
        <v>1</v>
      </c>
      <c r="L958" s="151">
        <f>SUMIF(Ere!$B:$B,'Element wise-detail Summary'!$A958,Ere!$C:$C)</f>
        <v>0</v>
      </c>
      <c r="M958" s="151">
        <f t="shared" ref="M958:M1021" si="100">F958-L958</f>
        <v>1</v>
      </c>
      <c r="N958">
        <f t="shared" ref="N958:N1021" si="101">I958*E958</f>
        <v>0</v>
      </c>
    </row>
    <row r="959" spans="1:14" hidden="1" x14ac:dyDescent="0.25">
      <c r="A959" s="151" t="s">
        <v>2322</v>
      </c>
      <c r="B959" s="233" t="str">
        <f>VLOOKUP(A959,'AFC Data details'!$B:$E,4,0)</f>
        <v>PV15</v>
      </c>
      <c r="C959" s="144" t="s">
        <v>1699</v>
      </c>
      <c r="D959" s="151" t="s">
        <v>602</v>
      </c>
      <c r="E959" s="151">
        <f>VLOOKUP(A959,'AFC Data details'!$B:$P,15,0)</f>
        <v>2.0840000000000001</v>
      </c>
      <c r="F959" s="151">
        <f>SUMIFS('AFC Data details'!C:C,'AFC Data details'!$B:$B,'Element wise-detail Summary'!$A959)</f>
        <v>1</v>
      </c>
      <c r="G959" s="151">
        <f>SUMIFS(Cast!$C:$C,Cast!$B:$B,'Element wise-detail Summary'!$A959)</f>
        <v>1</v>
      </c>
      <c r="H959" s="151">
        <f t="shared" si="97"/>
        <v>0</v>
      </c>
      <c r="I959" s="151">
        <f>SUMIFS(Del!$C:$C,Del!$B:$B,'Element wise-detail Summary'!$A959)</f>
        <v>0</v>
      </c>
      <c r="J959" s="151">
        <f t="shared" si="98"/>
        <v>1</v>
      </c>
      <c r="K959" s="151">
        <f t="shared" si="99"/>
        <v>1</v>
      </c>
      <c r="L959" s="151">
        <f>SUMIF(Ere!$B:$B,'Element wise-detail Summary'!$A959,Ere!$C:$C)</f>
        <v>0</v>
      </c>
      <c r="M959" s="151">
        <f t="shared" si="100"/>
        <v>1</v>
      </c>
      <c r="N959">
        <f t="shared" si="101"/>
        <v>0</v>
      </c>
    </row>
    <row r="960" spans="1:14" hidden="1" x14ac:dyDescent="0.25">
      <c r="A960" s="151" t="s">
        <v>2323</v>
      </c>
      <c r="B960" s="233" t="str">
        <f>VLOOKUP(A960,'AFC Data details'!$B:$E,4,0)</f>
        <v>PV15</v>
      </c>
      <c r="C960" s="144" t="s">
        <v>1699</v>
      </c>
      <c r="D960" s="151" t="s">
        <v>602</v>
      </c>
      <c r="E960" s="151">
        <f>VLOOKUP(A960,'AFC Data details'!$B:$P,15,0)</f>
        <v>2.0840000000000001</v>
      </c>
      <c r="F960" s="151">
        <f>SUMIFS('AFC Data details'!C:C,'AFC Data details'!$B:$B,'Element wise-detail Summary'!$A960)</f>
        <v>1</v>
      </c>
      <c r="G960" s="151">
        <f>SUMIFS(Cast!$C:$C,Cast!$B:$B,'Element wise-detail Summary'!$A960)</f>
        <v>1</v>
      </c>
      <c r="H960" s="151">
        <f t="shared" si="97"/>
        <v>0</v>
      </c>
      <c r="I960" s="151">
        <f>SUMIFS(Del!$C:$C,Del!$B:$B,'Element wise-detail Summary'!$A960)</f>
        <v>0</v>
      </c>
      <c r="J960" s="151">
        <f t="shared" si="98"/>
        <v>1</v>
      </c>
      <c r="K960" s="151">
        <f t="shared" si="99"/>
        <v>1</v>
      </c>
      <c r="L960" s="151">
        <f>SUMIF(Ere!$B:$B,'Element wise-detail Summary'!$A960,Ere!$C:$C)</f>
        <v>0</v>
      </c>
      <c r="M960" s="151">
        <f t="shared" si="100"/>
        <v>1</v>
      </c>
      <c r="N960">
        <f t="shared" si="101"/>
        <v>0</v>
      </c>
    </row>
    <row r="961" spans="1:14" hidden="1" x14ac:dyDescent="0.25">
      <c r="A961" s="151" t="s">
        <v>2324</v>
      </c>
      <c r="B961" s="233" t="str">
        <f>VLOOKUP(A961,'AFC Data details'!$B:$E,4,0)</f>
        <v>PV15</v>
      </c>
      <c r="C961" s="144" t="s">
        <v>1699</v>
      </c>
      <c r="D961" s="151" t="s">
        <v>602</v>
      </c>
      <c r="E961" s="151">
        <f>VLOOKUP(A961,'AFC Data details'!$B:$P,15,0)</f>
        <v>2.0840000000000001</v>
      </c>
      <c r="F961" s="151">
        <f>SUMIFS('AFC Data details'!C:C,'AFC Data details'!$B:$B,'Element wise-detail Summary'!$A961)</f>
        <v>1</v>
      </c>
      <c r="G961" s="151">
        <f>SUMIFS(Cast!$C:$C,Cast!$B:$B,'Element wise-detail Summary'!$A961)</f>
        <v>1</v>
      </c>
      <c r="H961" s="151">
        <f t="shared" si="97"/>
        <v>0</v>
      </c>
      <c r="I961" s="151">
        <f>SUMIFS(Del!$C:$C,Del!$B:$B,'Element wise-detail Summary'!$A961)</f>
        <v>0</v>
      </c>
      <c r="J961" s="151">
        <f t="shared" si="98"/>
        <v>1</v>
      </c>
      <c r="K961" s="151">
        <f t="shared" si="99"/>
        <v>1</v>
      </c>
      <c r="L961" s="151">
        <f>SUMIF(Ere!$B:$B,'Element wise-detail Summary'!$A961,Ere!$C:$C)</f>
        <v>0</v>
      </c>
      <c r="M961" s="151">
        <f t="shared" si="100"/>
        <v>1</v>
      </c>
      <c r="N961">
        <f t="shared" si="101"/>
        <v>0</v>
      </c>
    </row>
    <row r="962" spans="1:14" hidden="1" x14ac:dyDescent="0.25">
      <c r="A962" s="151" t="s">
        <v>2325</v>
      </c>
      <c r="B962" s="233" t="str">
        <f>VLOOKUP(A962,'AFC Data details'!$B:$E,4,0)</f>
        <v>PV14</v>
      </c>
      <c r="C962" s="144" t="s">
        <v>1699</v>
      </c>
      <c r="D962" s="151" t="s">
        <v>602</v>
      </c>
      <c r="E962" s="151">
        <f>VLOOKUP(A962,'AFC Data details'!$B:$P,15,0)</f>
        <v>2.0840000000000001</v>
      </c>
      <c r="F962" s="151">
        <f>SUMIFS('AFC Data details'!C:C,'AFC Data details'!$B:$B,'Element wise-detail Summary'!$A962)</f>
        <v>1</v>
      </c>
      <c r="G962" s="151">
        <f>SUMIFS(Cast!$C:$C,Cast!$B:$B,'Element wise-detail Summary'!$A962)</f>
        <v>1</v>
      </c>
      <c r="H962" s="151">
        <f t="shared" si="97"/>
        <v>0</v>
      </c>
      <c r="I962" s="151">
        <f>SUMIFS(Del!$C:$C,Del!$B:$B,'Element wise-detail Summary'!$A962)</f>
        <v>0</v>
      </c>
      <c r="J962" s="151">
        <f t="shared" si="98"/>
        <v>1</v>
      </c>
      <c r="K962" s="151">
        <f t="shared" si="99"/>
        <v>1</v>
      </c>
      <c r="L962" s="151">
        <f>SUMIF(Ere!$B:$B,'Element wise-detail Summary'!$A962,Ere!$C:$C)</f>
        <v>0</v>
      </c>
      <c r="M962" s="151">
        <f t="shared" si="100"/>
        <v>1</v>
      </c>
      <c r="N962">
        <f t="shared" si="101"/>
        <v>0</v>
      </c>
    </row>
    <row r="963" spans="1:14" hidden="1" x14ac:dyDescent="0.25">
      <c r="A963" s="151" t="s">
        <v>2326</v>
      </c>
      <c r="B963" s="233" t="str">
        <f>VLOOKUP(A963,'AFC Data details'!$B:$E,4,0)</f>
        <v>PV15</v>
      </c>
      <c r="C963" s="144" t="s">
        <v>1699</v>
      </c>
      <c r="D963" s="151" t="s">
        <v>602</v>
      </c>
      <c r="E963" s="151">
        <f>VLOOKUP(A963,'AFC Data details'!$B:$P,15,0)</f>
        <v>2.0840000000000001</v>
      </c>
      <c r="F963" s="151">
        <f>SUMIFS('AFC Data details'!C:C,'AFC Data details'!$B:$B,'Element wise-detail Summary'!$A963)</f>
        <v>1</v>
      </c>
      <c r="G963" s="151">
        <f>SUMIFS(Cast!$C:$C,Cast!$B:$B,'Element wise-detail Summary'!$A963)</f>
        <v>1</v>
      </c>
      <c r="H963" s="151">
        <f t="shared" si="97"/>
        <v>0</v>
      </c>
      <c r="I963" s="151">
        <f>SUMIFS(Del!$C:$C,Del!$B:$B,'Element wise-detail Summary'!$A963)</f>
        <v>0</v>
      </c>
      <c r="J963" s="151">
        <f t="shared" si="98"/>
        <v>1</v>
      </c>
      <c r="K963" s="151">
        <f t="shared" si="99"/>
        <v>1</v>
      </c>
      <c r="L963" s="151">
        <f>SUMIF(Ere!$B:$B,'Element wise-detail Summary'!$A963,Ere!$C:$C)</f>
        <v>0</v>
      </c>
      <c r="M963" s="151">
        <f t="shared" si="100"/>
        <v>1</v>
      </c>
      <c r="N963">
        <f t="shared" si="101"/>
        <v>0</v>
      </c>
    </row>
    <row r="964" spans="1:14" hidden="1" x14ac:dyDescent="0.25">
      <c r="A964" s="151" t="s">
        <v>2327</v>
      </c>
      <c r="B964" s="233" t="str">
        <f>VLOOKUP(A964,'AFC Data details'!$B:$E,4,0)</f>
        <v>PV14</v>
      </c>
      <c r="C964" s="144" t="s">
        <v>1699</v>
      </c>
      <c r="D964" s="151" t="s">
        <v>602</v>
      </c>
      <c r="E964" s="151">
        <f>VLOOKUP(A964,'AFC Data details'!$B:$P,15,0)</f>
        <v>1.1539999999999999</v>
      </c>
      <c r="F964" s="151">
        <f>SUMIFS('AFC Data details'!C:C,'AFC Data details'!$B:$B,'Element wise-detail Summary'!$A964)</f>
        <v>1</v>
      </c>
      <c r="G964" s="151">
        <f>SUMIFS(Cast!$C:$C,Cast!$B:$B,'Element wise-detail Summary'!$A964)</f>
        <v>1</v>
      </c>
      <c r="H964" s="151">
        <f t="shared" si="97"/>
        <v>0</v>
      </c>
      <c r="I964" s="151">
        <f>SUMIFS(Del!$C:$C,Del!$B:$B,'Element wise-detail Summary'!$A964)</f>
        <v>0</v>
      </c>
      <c r="J964" s="151">
        <f t="shared" si="98"/>
        <v>1</v>
      </c>
      <c r="K964" s="151">
        <f t="shared" si="99"/>
        <v>1</v>
      </c>
      <c r="L964" s="151">
        <f>SUMIF(Ere!$B:$B,'Element wise-detail Summary'!$A964,Ere!$C:$C)</f>
        <v>0</v>
      </c>
      <c r="M964" s="151">
        <f t="shared" si="100"/>
        <v>1</v>
      </c>
      <c r="N964">
        <f t="shared" si="101"/>
        <v>0</v>
      </c>
    </row>
    <row r="965" spans="1:14" hidden="1" x14ac:dyDescent="0.25">
      <c r="A965" s="151" t="s">
        <v>2328</v>
      </c>
      <c r="B965" s="233" t="str">
        <f>VLOOKUP(A965,'AFC Data details'!$B:$E,4,0)</f>
        <v>PV14</v>
      </c>
      <c r="C965" s="144" t="s">
        <v>1699</v>
      </c>
      <c r="D965" s="151" t="s">
        <v>602</v>
      </c>
      <c r="E965" s="151">
        <f>VLOOKUP(A965,'AFC Data details'!$B:$P,15,0)</f>
        <v>1.411</v>
      </c>
      <c r="F965" s="151">
        <f>SUMIFS('AFC Data details'!C:C,'AFC Data details'!$B:$B,'Element wise-detail Summary'!$A965)</f>
        <v>1</v>
      </c>
      <c r="G965" s="151">
        <f>SUMIFS(Cast!$C:$C,Cast!$B:$B,'Element wise-detail Summary'!$A965)</f>
        <v>1</v>
      </c>
      <c r="H965" s="151">
        <f t="shared" si="97"/>
        <v>0</v>
      </c>
      <c r="I965" s="151">
        <f>SUMIFS(Del!$C:$C,Del!$B:$B,'Element wise-detail Summary'!$A965)</f>
        <v>0</v>
      </c>
      <c r="J965" s="151">
        <f t="shared" si="98"/>
        <v>1</v>
      </c>
      <c r="K965" s="151">
        <f t="shared" si="99"/>
        <v>1</v>
      </c>
      <c r="L965" s="151">
        <f>SUMIF(Ere!$B:$B,'Element wise-detail Summary'!$A965,Ere!$C:$C)</f>
        <v>0</v>
      </c>
      <c r="M965" s="151">
        <f t="shared" si="100"/>
        <v>1</v>
      </c>
      <c r="N965">
        <f t="shared" si="101"/>
        <v>0</v>
      </c>
    </row>
    <row r="966" spans="1:14" hidden="1" x14ac:dyDescent="0.25">
      <c r="A966" s="151" t="s">
        <v>2329</v>
      </c>
      <c r="B966" s="233" t="str">
        <f>VLOOKUP(A966,'AFC Data details'!$B:$E,4,0)</f>
        <v>PV15</v>
      </c>
      <c r="C966" s="144" t="s">
        <v>1699</v>
      </c>
      <c r="D966" s="151" t="s">
        <v>602</v>
      </c>
      <c r="E966" s="151">
        <f>VLOOKUP(A966,'AFC Data details'!$B:$P,15,0)</f>
        <v>0.97099999999999997</v>
      </c>
      <c r="F966" s="151">
        <f>SUMIFS('AFC Data details'!C:C,'AFC Data details'!$B:$B,'Element wise-detail Summary'!$A966)</f>
        <v>1</v>
      </c>
      <c r="G966" s="151">
        <f>SUMIFS(Cast!$C:$C,Cast!$B:$B,'Element wise-detail Summary'!$A966)</f>
        <v>1</v>
      </c>
      <c r="H966" s="151">
        <f t="shared" si="97"/>
        <v>0</v>
      </c>
      <c r="I966" s="151">
        <f>SUMIFS(Del!$C:$C,Del!$B:$B,'Element wise-detail Summary'!$A966)</f>
        <v>0</v>
      </c>
      <c r="J966" s="151">
        <f t="shared" si="98"/>
        <v>1</v>
      </c>
      <c r="K966" s="151">
        <f t="shared" si="99"/>
        <v>1</v>
      </c>
      <c r="L966" s="151">
        <f>SUMIF(Ere!$B:$B,'Element wise-detail Summary'!$A966,Ere!$C:$C)</f>
        <v>0</v>
      </c>
      <c r="M966" s="151">
        <f t="shared" si="100"/>
        <v>1</v>
      </c>
      <c r="N966">
        <f t="shared" si="101"/>
        <v>0</v>
      </c>
    </row>
    <row r="967" spans="1:14" hidden="1" x14ac:dyDescent="0.25">
      <c r="A967" s="151" t="s">
        <v>2330</v>
      </c>
      <c r="B967" s="233" t="str">
        <f>VLOOKUP(A967,'AFC Data details'!$B:$E,4,0)</f>
        <v>PV15</v>
      </c>
      <c r="C967" s="144" t="s">
        <v>1699</v>
      </c>
      <c r="D967" s="151" t="s">
        <v>602</v>
      </c>
      <c r="E967" s="151">
        <f>VLOOKUP(A967,'AFC Data details'!$B:$P,15,0)</f>
        <v>1.3819999999999999</v>
      </c>
      <c r="F967" s="151">
        <f>SUMIFS('AFC Data details'!C:C,'AFC Data details'!$B:$B,'Element wise-detail Summary'!$A967)</f>
        <v>1</v>
      </c>
      <c r="G967" s="151">
        <f>SUMIFS(Cast!$C:$C,Cast!$B:$B,'Element wise-detail Summary'!$A967)</f>
        <v>1</v>
      </c>
      <c r="H967" s="151">
        <f t="shared" si="97"/>
        <v>0</v>
      </c>
      <c r="I967" s="151">
        <f>SUMIFS(Del!$C:$C,Del!$B:$B,'Element wise-detail Summary'!$A967)</f>
        <v>0</v>
      </c>
      <c r="J967" s="151">
        <f t="shared" si="98"/>
        <v>1</v>
      </c>
      <c r="K967" s="151">
        <f t="shared" si="99"/>
        <v>1</v>
      </c>
      <c r="L967" s="151">
        <f>SUMIF(Ere!$B:$B,'Element wise-detail Summary'!$A967,Ere!$C:$C)</f>
        <v>0</v>
      </c>
      <c r="M967" s="151">
        <f t="shared" si="100"/>
        <v>1</v>
      </c>
      <c r="N967">
        <f t="shared" si="101"/>
        <v>0</v>
      </c>
    </row>
    <row r="968" spans="1:14" hidden="1" x14ac:dyDescent="0.25">
      <c r="A968" s="151" t="s">
        <v>2331</v>
      </c>
      <c r="B968" s="233" t="str">
        <f>VLOOKUP(A968,'AFC Data details'!$B:$E,4,0)</f>
        <v>PV15</v>
      </c>
      <c r="C968" s="144" t="s">
        <v>1699</v>
      </c>
      <c r="D968" s="151" t="s">
        <v>602</v>
      </c>
      <c r="E968" s="151">
        <f>VLOOKUP(A968,'AFC Data details'!$B:$P,15,0)</f>
        <v>1.1359999999999999</v>
      </c>
      <c r="F968" s="151">
        <f>SUMIFS('AFC Data details'!C:C,'AFC Data details'!$B:$B,'Element wise-detail Summary'!$A968)</f>
        <v>1</v>
      </c>
      <c r="G968" s="151">
        <f>SUMIFS(Cast!$C:$C,Cast!$B:$B,'Element wise-detail Summary'!$A968)</f>
        <v>1</v>
      </c>
      <c r="H968" s="151">
        <f t="shared" si="97"/>
        <v>0</v>
      </c>
      <c r="I968" s="151">
        <f>SUMIFS(Del!$C:$C,Del!$B:$B,'Element wise-detail Summary'!$A968)</f>
        <v>0</v>
      </c>
      <c r="J968" s="151">
        <f t="shared" si="98"/>
        <v>1</v>
      </c>
      <c r="K968" s="151">
        <f t="shared" si="99"/>
        <v>1</v>
      </c>
      <c r="L968" s="151">
        <f>SUMIF(Ere!$B:$B,'Element wise-detail Summary'!$A968,Ere!$C:$C)</f>
        <v>0</v>
      </c>
      <c r="M968" s="151">
        <f t="shared" si="100"/>
        <v>1</v>
      </c>
      <c r="N968">
        <f t="shared" si="101"/>
        <v>0</v>
      </c>
    </row>
    <row r="969" spans="1:14" hidden="1" x14ac:dyDescent="0.25">
      <c r="A969" s="151" t="s">
        <v>2332</v>
      </c>
      <c r="B969" s="233" t="str">
        <f>VLOOKUP(A969,'AFC Data details'!$B:$E,4,0)</f>
        <v>PV16</v>
      </c>
      <c r="C969" s="144" t="s">
        <v>1699</v>
      </c>
      <c r="D969" s="151" t="s">
        <v>602</v>
      </c>
      <c r="E969" s="151">
        <f>VLOOKUP(A969,'AFC Data details'!$B:$P,15,0)</f>
        <v>2.008</v>
      </c>
      <c r="F969" s="151">
        <f>SUMIFS('AFC Data details'!C:C,'AFC Data details'!$B:$B,'Element wise-detail Summary'!$A969)</f>
        <v>1</v>
      </c>
      <c r="G969" s="151">
        <f>SUMIFS(Cast!$C:$C,Cast!$B:$B,'Element wise-detail Summary'!$A969)</f>
        <v>1</v>
      </c>
      <c r="H969" s="151">
        <f t="shared" si="97"/>
        <v>0</v>
      </c>
      <c r="I969" s="151">
        <f>SUMIFS(Del!$C:$C,Del!$B:$B,'Element wise-detail Summary'!$A969)</f>
        <v>0</v>
      </c>
      <c r="J969" s="151">
        <f t="shared" si="98"/>
        <v>1</v>
      </c>
      <c r="K969" s="151">
        <f t="shared" si="99"/>
        <v>1</v>
      </c>
      <c r="L969" s="151">
        <f>SUMIF(Ere!$B:$B,'Element wise-detail Summary'!$A969,Ere!$C:$C)</f>
        <v>0</v>
      </c>
      <c r="M969" s="151">
        <f t="shared" si="100"/>
        <v>1</v>
      </c>
      <c r="N969">
        <f t="shared" si="101"/>
        <v>0</v>
      </c>
    </row>
    <row r="970" spans="1:14" hidden="1" x14ac:dyDescent="0.25">
      <c r="A970" s="151" t="s">
        <v>2333</v>
      </c>
      <c r="B970" s="233" t="str">
        <f>VLOOKUP(A970,'AFC Data details'!$B:$E,4,0)</f>
        <v>PV16</v>
      </c>
      <c r="C970" s="144" t="s">
        <v>1699</v>
      </c>
      <c r="D970" s="151" t="s">
        <v>602</v>
      </c>
      <c r="E970" s="151">
        <f>VLOOKUP(A970,'AFC Data details'!$B:$P,15,0)</f>
        <v>2.008</v>
      </c>
      <c r="F970" s="151">
        <f>SUMIFS('AFC Data details'!C:C,'AFC Data details'!$B:$B,'Element wise-detail Summary'!$A970)</f>
        <v>1</v>
      </c>
      <c r="G970" s="151">
        <f>SUMIFS(Cast!$C:$C,Cast!$B:$B,'Element wise-detail Summary'!$A970)</f>
        <v>1</v>
      </c>
      <c r="H970" s="151">
        <f t="shared" si="97"/>
        <v>0</v>
      </c>
      <c r="I970" s="151">
        <f>SUMIFS(Del!$C:$C,Del!$B:$B,'Element wise-detail Summary'!$A970)</f>
        <v>0</v>
      </c>
      <c r="J970" s="151">
        <f t="shared" si="98"/>
        <v>1</v>
      </c>
      <c r="K970" s="151">
        <f t="shared" si="99"/>
        <v>1</v>
      </c>
      <c r="L970" s="151">
        <f>SUMIF(Ere!$B:$B,'Element wise-detail Summary'!$A970,Ere!$C:$C)</f>
        <v>0</v>
      </c>
      <c r="M970" s="151">
        <f t="shared" si="100"/>
        <v>1</v>
      </c>
      <c r="N970">
        <f t="shared" si="101"/>
        <v>0</v>
      </c>
    </row>
    <row r="971" spans="1:14" hidden="1" x14ac:dyDescent="0.25">
      <c r="A971" s="151" t="s">
        <v>2334</v>
      </c>
      <c r="B971" s="233" t="str">
        <f>VLOOKUP(A971,'AFC Data details'!$B:$E,4,0)</f>
        <v>PV16</v>
      </c>
      <c r="C971" s="144" t="s">
        <v>1699</v>
      </c>
      <c r="D971" s="151" t="s">
        <v>602</v>
      </c>
      <c r="E971" s="151">
        <f>VLOOKUP(A971,'AFC Data details'!$B:$P,15,0)</f>
        <v>2.008</v>
      </c>
      <c r="F971" s="151">
        <f>SUMIFS('AFC Data details'!C:C,'AFC Data details'!$B:$B,'Element wise-detail Summary'!$A971)</f>
        <v>1</v>
      </c>
      <c r="G971" s="151">
        <f>SUMIFS(Cast!$C:$C,Cast!$B:$B,'Element wise-detail Summary'!$A971)</f>
        <v>1</v>
      </c>
      <c r="H971" s="151">
        <f t="shared" si="97"/>
        <v>0</v>
      </c>
      <c r="I971" s="151">
        <f>SUMIFS(Del!$C:$C,Del!$B:$B,'Element wise-detail Summary'!$A971)</f>
        <v>0</v>
      </c>
      <c r="J971" s="151">
        <f t="shared" si="98"/>
        <v>1</v>
      </c>
      <c r="K971" s="151">
        <f t="shared" si="99"/>
        <v>1</v>
      </c>
      <c r="L971" s="151">
        <f>SUMIF(Ere!$B:$B,'Element wise-detail Summary'!$A971,Ere!$C:$C)</f>
        <v>0</v>
      </c>
      <c r="M971" s="151">
        <f t="shared" si="100"/>
        <v>1</v>
      </c>
      <c r="N971">
        <f t="shared" si="101"/>
        <v>0</v>
      </c>
    </row>
    <row r="972" spans="1:14" hidden="1" x14ac:dyDescent="0.25">
      <c r="A972" s="151" t="s">
        <v>2335</v>
      </c>
      <c r="B972" s="233" t="str">
        <f>VLOOKUP(A972,'AFC Data details'!$B:$E,4,0)</f>
        <v>PV16</v>
      </c>
      <c r="C972" s="144" t="s">
        <v>1699</v>
      </c>
      <c r="D972" s="151" t="s">
        <v>602</v>
      </c>
      <c r="E972" s="151">
        <f>VLOOKUP(A972,'AFC Data details'!$B:$P,15,0)</f>
        <v>1.9390000000000001</v>
      </c>
      <c r="F972" s="151">
        <f>SUMIFS('AFC Data details'!C:C,'AFC Data details'!$B:$B,'Element wise-detail Summary'!$A972)</f>
        <v>1</v>
      </c>
      <c r="G972" s="151">
        <f>SUMIFS(Cast!$C:$C,Cast!$B:$B,'Element wise-detail Summary'!$A972)</f>
        <v>1</v>
      </c>
      <c r="H972" s="151">
        <f t="shared" si="97"/>
        <v>0</v>
      </c>
      <c r="I972" s="151">
        <f>SUMIFS(Del!$C:$C,Del!$B:$B,'Element wise-detail Summary'!$A972)</f>
        <v>0</v>
      </c>
      <c r="J972" s="151">
        <f t="shared" si="98"/>
        <v>1</v>
      </c>
      <c r="K972" s="151">
        <f t="shared" si="99"/>
        <v>1</v>
      </c>
      <c r="L972" s="151">
        <f>SUMIF(Ere!$B:$B,'Element wise-detail Summary'!$A972,Ere!$C:$C)</f>
        <v>0</v>
      </c>
      <c r="M972" s="151">
        <f t="shared" si="100"/>
        <v>1</v>
      </c>
      <c r="N972">
        <f t="shared" si="101"/>
        <v>0</v>
      </c>
    </row>
    <row r="973" spans="1:14" hidden="1" x14ac:dyDescent="0.25">
      <c r="A973" s="151" t="s">
        <v>2336</v>
      </c>
      <c r="B973" s="233" t="str">
        <f>VLOOKUP(A973,'AFC Data details'!$B:$E,4,0)</f>
        <v>PV16</v>
      </c>
      <c r="C973" s="144" t="s">
        <v>1699</v>
      </c>
      <c r="D973" s="151" t="s">
        <v>602</v>
      </c>
      <c r="E973" s="151">
        <f>VLOOKUP(A973,'AFC Data details'!$B:$P,15,0)</f>
        <v>1.9390000000000001</v>
      </c>
      <c r="F973" s="151">
        <f>SUMIFS('AFC Data details'!C:C,'AFC Data details'!$B:$B,'Element wise-detail Summary'!$A973)</f>
        <v>1</v>
      </c>
      <c r="G973" s="151">
        <f>SUMIFS(Cast!$C:$C,Cast!$B:$B,'Element wise-detail Summary'!$A973)</f>
        <v>1</v>
      </c>
      <c r="H973" s="151">
        <f t="shared" si="97"/>
        <v>0</v>
      </c>
      <c r="I973" s="151">
        <f>SUMIFS(Del!$C:$C,Del!$B:$B,'Element wise-detail Summary'!$A973)</f>
        <v>1</v>
      </c>
      <c r="J973" s="151">
        <f t="shared" si="98"/>
        <v>0</v>
      </c>
      <c r="K973" s="151">
        <f t="shared" si="99"/>
        <v>0</v>
      </c>
      <c r="L973" s="151">
        <f>SUMIF(Ere!$B:$B,'Element wise-detail Summary'!$A973,Ere!$C:$C)</f>
        <v>0</v>
      </c>
      <c r="M973" s="151">
        <f t="shared" si="100"/>
        <v>1</v>
      </c>
      <c r="N973">
        <f t="shared" si="101"/>
        <v>1.9390000000000001</v>
      </c>
    </row>
    <row r="974" spans="1:14" hidden="1" x14ac:dyDescent="0.25">
      <c r="A974" s="151" t="s">
        <v>2337</v>
      </c>
      <c r="B974" s="233" t="str">
        <f>VLOOKUP(A974,'AFC Data details'!$B:$E,4,0)</f>
        <v>PV16</v>
      </c>
      <c r="C974" s="144" t="s">
        <v>1699</v>
      </c>
      <c r="D974" s="151" t="s">
        <v>602</v>
      </c>
      <c r="E974" s="151">
        <f>VLOOKUP(A974,'AFC Data details'!$B:$P,15,0)</f>
        <v>1.9390000000000001</v>
      </c>
      <c r="F974" s="151">
        <f>SUMIFS('AFC Data details'!C:C,'AFC Data details'!$B:$B,'Element wise-detail Summary'!$A974)</f>
        <v>1</v>
      </c>
      <c r="G974" s="151">
        <f>SUMIFS(Cast!$C:$C,Cast!$B:$B,'Element wise-detail Summary'!$A974)</f>
        <v>1</v>
      </c>
      <c r="H974" s="151">
        <f t="shared" si="97"/>
        <v>0</v>
      </c>
      <c r="I974" s="151">
        <f>SUMIFS(Del!$C:$C,Del!$B:$B,'Element wise-detail Summary'!$A974)</f>
        <v>0</v>
      </c>
      <c r="J974" s="151">
        <f t="shared" si="98"/>
        <v>1</v>
      </c>
      <c r="K974" s="151">
        <f t="shared" si="99"/>
        <v>1</v>
      </c>
      <c r="L974" s="151">
        <f>SUMIF(Ere!$B:$B,'Element wise-detail Summary'!$A974,Ere!$C:$C)</f>
        <v>0</v>
      </c>
      <c r="M974" s="151">
        <f t="shared" si="100"/>
        <v>1</v>
      </c>
      <c r="N974">
        <f t="shared" si="101"/>
        <v>0</v>
      </c>
    </row>
    <row r="975" spans="1:14" hidden="1" x14ac:dyDescent="0.25">
      <c r="A975" s="151" t="s">
        <v>2338</v>
      </c>
      <c r="B975" s="233" t="str">
        <f>VLOOKUP(A975,'AFC Data details'!$B:$E,4,0)</f>
        <v>PV16</v>
      </c>
      <c r="C975" s="144" t="s">
        <v>1699</v>
      </c>
      <c r="D975" s="151" t="s">
        <v>602</v>
      </c>
      <c r="E975" s="151">
        <f>VLOOKUP(A975,'AFC Data details'!$B:$P,15,0)</f>
        <v>1.1359999999999999</v>
      </c>
      <c r="F975" s="151">
        <f>SUMIFS('AFC Data details'!C:C,'AFC Data details'!$B:$B,'Element wise-detail Summary'!$A975)</f>
        <v>1</v>
      </c>
      <c r="G975" s="151">
        <f>SUMIFS(Cast!$C:$C,Cast!$B:$B,'Element wise-detail Summary'!$A975)</f>
        <v>1</v>
      </c>
      <c r="H975" s="151">
        <f t="shared" si="97"/>
        <v>0</v>
      </c>
      <c r="I975" s="151">
        <f>SUMIFS(Del!$C:$C,Del!$B:$B,'Element wise-detail Summary'!$A975)</f>
        <v>0</v>
      </c>
      <c r="J975" s="151">
        <f t="shared" si="98"/>
        <v>1</v>
      </c>
      <c r="K975" s="151">
        <f t="shared" si="99"/>
        <v>1</v>
      </c>
      <c r="L975" s="151">
        <f>SUMIF(Ere!$B:$B,'Element wise-detail Summary'!$A975,Ere!$C:$C)</f>
        <v>0</v>
      </c>
      <c r="M975" s="151">
        <f t="shared" si="100"/>
        <v>1</v>
      </c>
      <c r="N975">
        <f t="shared" si="101"/>
        <v>0</v>
      </c>
    </row>
    <row r="976" spans="1:14" hidden="1" x14ac:dyDescent="0.25">
      <c r="A976" s="151" t="s">
        <v>2339</v>
      </c>
      <c r="B976" s="233" t="str">
        <f>VLOOKUP(A976,'AFC Data details'!$B:$E,4,0)</f>
        <v>PV16</v>
      </c>
      <c r="C976" s="144" t="s">
        <v>1699</v>
      </c>
      <c r="D976" s="151" t="s">
        <v>602</v>
      </c>
      <c r="E976" s="151">
        <f>VLOOKUP(A976,'AFC Data details'!$B:$P,15,0)</f>
        <v>1.3320000000000001</v>
      </c>
      <c r="F976" s="151">
        <f>SUMIFS('AFC Data details'!C:C,'AFC Data details'!$B:$B,'Element wise-detail Summary'!$A976)</f>
        <v>1</v>
      </c>
      <c r="G976" s="151">
        <f>SUMIFS(Cast!$C:$C,Cast!$B:$B,'Element wise-detail Summary'!$A976)</f>
        <v>1</v>
      </c>
      <c r="H976" s="151">
        <f t="shared" si="97"/>
        <v>0</v>
      </c>
      <c r="I976" s="151">
        <f>SUMIFS(Del!$C:$C,Del!$B:$B,'Element wise-detail Summary'!$A976)</f>
        <v>0</v>
      </c>
      <c r="J976" s="151">
        <f t="shared" si="98"/>
        <v>1</v>
      </c>
      <c r="K976" s="151">
        <f t="shared" si="99"/>
        <v>1</v>
      </c>
      <c r="L976" s="151">
        <f>SUMIF(Ere!$B:$B,'Element wise-detail Summary'!$A976,Ere!$C:$C)</f>
        <v>0</v>
      </c>
      <c r="M976" s="151">
        <f t="shared" si="100"/>
        <v>1</v>
      </c>
      <c r="N976">
        <f t="shared" si="101"/>
        <v>0</v>
      </c>
    </row>
    <row r="977" spans="1:14" hidden="1" x14ac:dyDescent="0.25">
      <c r="A977" s="151" t="s">
        <v>2340</v>
      </c>
      <c r="B977" s="233" t="str">
        <f>VLOOKUP(A977,'AFC Data details'!$B:$E,4,0)</f>
        <v>PV37</v>
      </c>
      <c r="C977" s="144" t="s">
        <v>1700</v>
      </c>
      <c r="D977" s="151" t="s">
        <v>602</v>
      </c>
      <c r="E977" s="151">
        <f>VLOOKUP(A977,'AFC Data details'!$B:$P,15,0)</f>
        <v>1.9870000000000001</v>
      </c>
      <c r="F977" s="151">
        <f>SUMIFS('AFC Data details'!C:C,'AFC Data details'!$B:$B,'Element wise-detail Summary'!$A977)</f>
        <v>1</v>
      </c>
      <c r="G977" s="151">
        <f>SUMIFS(Cast!$C:$C,Cast!$B:$B,'Element wise-detail Summary'!$A977)</f>
        <v>1</v>
      </c>
      <c r="H977" s="151">
        <f t="shared" si="97"/>
        <v>0</v>
      </c>
      <c r="I977" s="151">
        <f>SUMIFS(Del!$C:$C,Del!$B:$B,'Element wise-detail Summary'!$A977)</f>
        <v>0</v>
      </c>
      <c r="J977" s="151">
        <f t="shared" si="98"/>
        <v>1</v>
      </c>
      <c r="K977" s="151">
        <f t="shared" si="99"/>
        <v>1</v>
      </c>
      <c r="L977" s="151">
        <f>SUMIF(Ere!$B:$B,'Element wise-detail Summary'!$A977,Ere!$C:$C)</f>
        <v>0</v>
      </c>
      <c r="M977" s="151">
        <f t="shared" si="100"/>
        <v>1</v>
      </c>
      <c r="N977">
        <f t="shared" si="101"/>
        <v>0</v>
      </c>
    </row>
    <row r="978" spans="1:14" hidden="1" x14ac:dyDescent="0.25">
      <c r="A978" s="151" t="s">
        <v>2342</v>
      </c>
      <c r="B978" s="233" t="str">
        <f>VLOOKUP(A978,'AFC Data details'!$B:$E,4,0)</f>
        <v>PV37</v>
      </c>
      <c r="C978" s="144" t="s">
        <v>1700</v>
      </c>
      <c r="D978" s="151" t="s">
        <v>602</v>
      </c>
      <c r="E978" s="151">
        <f>VLOOKUP(A978,'AFC Data details'!$B:$P,15,0)</f>
        <v>1.9870000000000001</v>
      </c>
      <c r="F978" s="151">
        <f>SUMIFS('AFC Data details'!C:C,'AFC Data details'!$B:$B,'Element wise-detail Summary'!$A978)</f>
        <v>1</v>
      </c>
      <c r="G978" s="151">
        <f>SUMIFS(Cast!$C:$C,Cast!$B:$B,'Element wise-detail Summary'!$A978)</f>
        <v>1</v>
      </c>
      <c r="H978" s="151">
        <f t="shared" si="97"/>
        <v>0</v>
      </c>
      <c r="I978" s="151">
        <f>SUMIFS(Del!$C:$C,Del!$B:$B,'Element wise-detail Summary'!$A978)</f>
        <v>0</v>
      </c>
      <c r="J978" s="151">
        <f t="shared" si="98"/>
        <v>1</v>
      </c>
      <c r="K978" s="151">
        <f t="shared" si="99"/>
        <v>1</v>
      </c>
      <c r="L978" s="151">
        <f>SUMIF(Ere!$B:$B,'Element wise-detail Summary'!$A978,Ere!$C:$C)</f>
        <v>0</v>
      </c>
      <c r="M978" s="151">
        <f t="shared" si="100"/>
        <v>1</v>
      </c>
      <c r="N978">
        <f t="shared" si="101"/>
        <v>0</v>
      </c>
    </row>
    <row r="979" spans="1:14" hidden="1" x14ac:dyDescent="0.25">
      <c r="A979" s="151" t="s">
        <v>2343</v>
      </c>
      <c r="B979" s="233" t="str">
        <f>VLOOKUP(A979,'AFC Data details'!$B:$E,4,0)</f>
        <v>PV37</v>
      </c>
      <c r="C979" s="144" t="s">
        <v>1700</v>
      </c>
      <c r="D979" s="151" t="s">
        <v>602</v>
      </c>
      <c r="E979" s="151">
        <f>VLOOKUP(A979,'AFC Data details'!$B:$P,15,0)</f>
        <v>1.9870000000000001</v>
      </c>
      <c r="F979" s="151">
        <f>SUMIFS('AFC Data details'!C:C,'AFC Data details'!$B:$B,'Element wise-detail Summary'!$A979)</f>
        <v>1</v>
      </c>
      <c r="G979" s="151">
        <f>SUMIFS(Cast!$C:$C,Cast!$B:$B,'Element wise-detail Summary'!$A979)</f>
        <v>1</v>
      </c>
      <c r="H979" s="151">
        <f t="shared" si="97"/>
        <v>0</v>
      </c>
      <c r="I979" s="151">
        <f>SUMIFS(Del!$C:$C,Del!$B:$B,'Element wise-detail Summary'!$A979)</f>
        <v>0</v>
      </c>
      <c r="J979" s="151">
        <f t="shared" si="98"/>
        <v>1</v>
      </c>
      <c r="K979" s="151">
        <f t="shared" si="99"/>
        <v>1</v>
      </c>
      <c r="L979" s="151">
        <f>SUMIF(Ere!$B:$B,'Element wise-detail Summary'!$A979,Ere!$C:$C)</f>
        <v>0</v>
      </c>
      <c r="M979" s="151">
        <f t="shared" si="100"/>
        <v>1</v>
      </c>
      <c r="N979">
        <f t="shared" si="101"/>
        <v>0</v>
      </c>
    </row>
    <row r="980" spans="1:14" hidden="1" x14ac:dyDescent="0.25">
      <c r="A980" s="151" t="s">
        <v>2344</v>
      </c>
      <c r="B980" s="233" t="str">
        <f>VLOOKUP(A980,'AFC Data details'!$B:$E,4,0)</f>
        <v>PV37</v>
      </c>
      <c r="C980" s="144" t="s">
        <v>1700</v>
      </c>
      <c r="D980" s="151" t="s">
        <v>602</v>
      </c>
      <c r="E980" s="151">
        <f>VLOOKUP(A980,'AFC Data details'!$B:$P,15,0)</f>
        <v>1.9870000000000001</v>
      </c>
      <c r="F980" s="151">
        <f>SUMIFS('AFC Data details'!C:C,'AFC Data details'!$B:$B,'Element wise-detail Summary'!$A980)</f>
        <v>1</v>
      </c>
      <c r="G980" s="151">
        <f>SUMIFS(Cast!$C:$C,Cast!$B:$B,'Element wise-detail Summary'!$A980)</f>
        <v>1</v>
      </c>
      <c r="H980" s="151">
        <f t="shared" si="97"/>
        <v>0</v>
      </c>
      <c r="I980" s="151">
        <f>SUMIFS(Del!$C:$C,Del!$B:$B,'Element wise-detail Summary'!$A980)</f>
        <v>0</v>
      </c>
      <c r="J980" s="151">
        <f t="shared" si="98"/>
        <v>1</v>
      </c>
      <c r="K980" s="151">
        <f t="shared" si="99"/>
        <v>1</v>
      </c>
      <c r="L980" s="151">
        <f>SUMIF(Ere!$B:$B,'Element wise-detail Summary'!$A980,Ere!$C:$C)</f>
        <v>0</v>
      </c>
      <c r="M980" s="151">
        <f t="shared" si="100"/>
        <v>1</v>
      </c>
      <c r="N980">
        <f t="shared" si="101"/>
        <v>0</v>
      </c>
    </row>
    <row r="981" spans="1:14" hidden="1" x14ac:dyDescent="0.25">
      <c r="A981" s="151" t="s">
        <v>2345</v>
      </c>
      <c r="B981" s="233" t="str">
        <f>VLOOKUP(A981,'AFC Data details'!$B:$E,4,0)</f>
        <v>PV37</v>
      </c>
      <c r="C981" s="144" t="s">
        <v>1700</v>
      </c>
      <c r="D981" s="151" t="s">
        <v>602</v>
      </c>
      <c r="E981" s="151">
        <f>VLOOKUP(A981,'AFC Data details'!$B:$P,15,0)</f>
        <v>1.921</v>
      </c>
      <c r="F981" s="151">
        <f>SUMIFS('AFC Data details'!C:C,'AFC Data details'!$B:$B,'Element wise-detail Summary'!$A981)</f>
        <v>1</v>
      </c>
      <c r="G981" s="151">
        <f>SUMIFS(Cast!$C:$C,Cast!$B:$B,'Element wise-detail Summary'!$A981)</f>
        <v>1</v>
      </c>
      <c r="H981" s="151">
        <f t="shared" si="97"/>
        <v>0</v>
      </c>
      <c r="I981" s="151">
        <f>SUMIFS(Del!$C:$C,Del!$B:$B,'Element wise-detail Summary'!$A981)</f>
        <v>0</v>
      </c>
      <c r="J981" s="151">
        <f t="shared" si="98"/>
        <v>1</v>
      </c>
      <c r="K981" s="151">
        <f t="shared" si="99"/>
        <v>1</v>
      </c>
      <c r="L981" s="151">
        <f>SUMIF(Ere!$B:$B,'Element wise-detail Summary'!$A981,Ere!$C:$C)</f>
        <v>0</v>
      </c>
      <c r="M981" s="151">
        <f t="shared" si="100"/>
        <v>1</v>
      </c>
      <c r="N981">
        <f t="shared" si="101"/>
        <v>0</v>
      </c>
    </row>
    <row r="982" spans="1:14" hidden="1" x14ac:dyDescent="0.25">
      <c r="A982" s="151" t="s">
        <v>2346</v>
      </c>
      <c r="B982" s="233" t="str">
        <f>VLOOKUP(A982,'AFC Data details'!$B:$E,4,0)</f>
        <v>PV37</v>
      </c>
      <c r="C982" s="144" t="s">
        <v>1700</v>
      </c>
      <c r="D982" s="151" t="s">
        <v>602</v>
      </c>
      <c r="E982" s="151">
        <f>VLOOKUP(A982,'AFC Data details'!$B:$P,15,0)</f>
        <v>1.921</v>
      </c>
      <c r="F982" s="151">
        <f>SUMIFS('AFC Data details'!C:C,'AFC Data details'!$B:$B,'Element wise-detail Summary'!$A982)</f>
        <v>1</v>
      </c>
      <c r="G982" s="151">
        <f>SUMIFS(Cast!$C:$C,Cast!$B:$B,'Element wise-detail Summary'!$A982)</f>
        <v>1</v>
      </c>
      <c r="H982" s="151">
        <f t="shared" si="97"/>
        <v>0</v>
      </c>
      <c r="I982" s="151">
        <f>SUMIFS(Del!$C:$C,Del!$B:$B,'Element wise-detail Summary'!$A982)</f>
        <v>0</v>
      </c>
      <c r="J982" s="151">
        <f t="shared" si="98"/>
        <v>1</v>
      </c>
      <c r="K982" s="151">
        <f t="shared" si="99"/>
        <v>1</v>
      </c>
      <c r="L982" s="151">
        <f>SUMIF(Ere!$B:$B,'Element wise-detail Summary'!$A982,Ere!$C:$C)</f>
        <v>0</v>
      </c>
      <c r="M982" s="151">
        <f t="shared" si="100"/>
        <v>1</v>
      </c>
      <c r="N982">
        <f t="shared" si="101"/>
        <v>0</v>
      </c>
    </row>
    <row r="983" spans="1:14" hidden="1" x14ac:dyDescent="0.25">
      <c r="A983" s="151" t="s">
        <v>2347</v>
      </c>
      <c r="B983" s="233" t="str">
        <f>VLOOKUP(A983,'AFC Data details'!$B:$E,4,0)</f>
        <v>PV37</v>
      </c>
      <c r="C983" s="144" t="s">
        <v>1700</v>
      </c>
      <c r="D983" s="151" t="s">
        <v>602</v>
      </c>
      <c r="E983" s="151">
        <f>VLOOKUP(A983,'AFC Data details'!$B:$P,15,0)</f>
        <v>1.413</v>
      </c>
      <c r="F983" s="151">
        <f>SUMIFS('AFC Data details'!C:C,'AFC Data details'!$B:$B,'Element wise-detail Summary'!$A983)</f>
        <v>1</v>
      </c>
      <c r="G983" s="151">
        <f>SUMIFS(Cast!$C:$C,Cast!$B:$B,'Element wise-detail Summary'!$A983)</f>
        <v>1</v>
      </c>
      <c r="H983" s="151">
        <f t="shared" si="97"/>
        <v>0</v>
      </c>
      <c r="I983" s="151">
        <f>SUMIFS(Del!$C:$C,Del!$B:$B,'Element wise-detail Summary'!$A983)</f>
        <v>0</v>
      </c>
      <c r="J983" s="151">
        <f t="shared" si="98"/>
        <v>1</v>
      </c>
      <c r="K983" s="151">
        <f t="shared" si="99"/>
        <v>1</v>
      </c>
      <c r="L983" s="151">
        <f>SUMIF(Ere!$B:$B,'Element wise-detail Summary'!$A983,Ere!$C:$C)</f>
        <v>0</v>
      </c>
      <c r="M983" s="151">
        <f t="shared" si="100"/>
        <v>1</v>
      </c>
      <c r="N983">
        <f t="shared" si="101"/>
        <v>0</v>
      </c>
    </row>
    <row r="984" spans="1:14" hidden="1" x14ac:dyDescent="0.25">
      <c r="A984" s="151" t="s">
        <v>2348</v>
      </c>
      <c r="B984" s="233" t="str">
        <f>VLOOKUP(A984,'AFC Data details'!$B:$E,4,0)</f>
        <v>PV39</v>
      </c>
      <c r="C984" s="144" t="s">
        <v>1700</v>
      </c>
      <c r="D984" s="151" t="s">
        <v>602</v>
      </c>
      <c r="E984" s="151">
        <f>VLOOKUP(A984,'AFC Data details'!$B:$P,15,0)</f>
        <v>1.413</v>
      </c>
      <c r="F984" s="151">
        <f>SUMIFS('AFC Data details'!C:C,'AFC Data details'!$B:$B,'Element wise-detail Summary'!$A984)</f>
        <v>1</v>
      </c>
      <c r="G984" s="151">
        <f>SUMIFS(Cast!$C:$C,Cast!$B:$B,'Element wise-detail Summary'!$A984)</f>
        <v>1</v>
      </c>
      <c r="H984" s="151">
        <f t="shared" si="97"/>
        <v>0</v>
      </c>
      <c r="I984" s="151">
        <f>SUMIFS(Del!$C:$C,Del!$B:$B,'Element wise-detail Summary'!$A984)</f>
        <v>0</v>
      </c>
      <c r="J984" s="151">
        <f t="shared" si="98"/>
        <v>1</v>
      </c>
      <c r="K984" s="151">
        <f t="shared" si="99"/>
        <v>1</v>
      </c>
      <c r="L984" s="151">
        <f>SUMIF(Ere!$B:$B,'Element wise-detail Summary'!$A984,Ere!$C:$C)</f>
        <v>0</v>
      </c>
      <c r="M984" s="151">
        <f t="shared" si="100"/>
        <v>1</v>
      </c>
      <c r="N984">
        <f t="shared" si="101"/>
        <v>0</v>
      </c>
    </row>
    <row r="985" spans="1:14" hidden="1" x14ac:dyDescent="0.25">
      <c r="A985" s="151" t="s">
        <v>2349</v>
      </c>
      <c r="B985" s="233" t="str">
        <f>VLOOKUP(A985,'AFC Data details'!$B:$E,4,0)</f>
        <v>PV41</v>
      </c>
      <c r="C985" s="144" t="s">
        <v>1700</v>
      </c>
      <c r="D985" s="151" t="s">
        <v>602</v>
      </c>
      <c r="E985" s="151">
        <f>VLOOKUP(A985,'AFC Data details'!$B:$P,15,0)</f>
        <v>1.413</v>
      </c>
      <c r="F985" s="151">
        <f>SUMIFS('AFC Data details'!C:C,'AFC Data details'!$B:$B,'Element wise-detail Summary'!$A985)</f>
        <v>1</v>
      </c>
      <c r="G985" s="151">
        <f>SUMIFS(Cast!$C:$C,Cast!$B:$B,'Element wise-detail Summary'!$A985)</f>
        <v>1</v>
      </c>
      <c r="H985" s="151">
        <f t="shared" si="97"/>
        <v>0</v>
      </c>
      <c r="I985" s="151">
        <f>SUMIFS(Del!$C:$C,Del!$B:$B,'Element wise-detail Summary'!$A985)</f>
        <v>0</v>
      </c>
      <c r="J985" s="151">
        <f t="shared" si="98"/>
        <v>1</v>
      </c>
      <c r="K985" s="151">
        <f t="shared" si="99"/>
        <v>1</v>
      </c>
      <c r="L985" s="151">
        <f>SUMIF(Ere!$B:$B,'Element wise-detail Summary'!$A985,Ere!$C:$C)</f>
        <v>0</v>
      </c>
      <c r="M985" s="151">
        <f t="shared" si="100"/>
        <v>1</v>
      </c>
      <c r="N985">
        <f t="shared" si="101"/>
        <v>0</v>
      </c>
    </row>
    <row r="986" spans="1:14" hidden="1" x14ac:dyDescent="0.25">
      <c r="A986" s="151" t="s">
        <v>2350</v>
      </c>
      <c r="B986" s="233" t="str">
        <f>VLOOKUP(A986,'AFC Data details'!$B:$E,4,0)</f>
        <v>PV37</v>
      </c>
      <c r="C986" s="144" t="s">
        <v>1700</v>
      </c>
      <c r="D986" s="151" t="s">
        <v>602</v>
      </c>
      <c r="E986" s="151">
        <f>VLOOKUP(A986,'AFC Data details'!$B:$P,15,0)</f>
        <v>1.385</v>
      </c>
      <c r="F986" s="151">
        <f>SUMIFS('AFC Data details'!C:C,'AFC Data details'!$B:$B,'Element wise-detail Summary'!$A986)</f>
        <v>1</v>
      </c>
      <c r="G986" s="151">
        <f>SUMIFS(Cast!$C:$C,Cast!$B:$B,'Element wise-detail Summary'!$A986)</f>
        <v>1</v>
      </c>
      <c r="H986" s="151">
        <f t="shared" si="97"/>
        <v>0</v>
      </c>
      <c r="I986" s="151">
        <f>SUMIFS(Del!$C:$C,Del!$B:$B,'Element wise-detail Summary'!$A986)</f>
        <v>0</v>
      </c>
      <c r="J986" s="151">
        <f t="shared" si="98"/>
        <v>1</v>
      </c>
      <c r="K986" s="151">
        <f t="shared" si="99"/>
        <v>1</v>
      </c>
      <c r="L986" s="151">
        <f>SUMIF(Ere!$B:$B,'Element wise-detail Summary'!$A986,Ere!$C:$C)</f>
        <v>0</v>
      </c>
      <c r="M986" s="151">
        <f t="shared" si="100"/>
        <v>1</v>
      </c>
      <c r="N986">
        <f t="shared" si="101"/>
        <v>0</v>
      </c>
    </row>
    <row r="987" spans="1:14" hidden="1" x14ac:dyDescent="0.25">
      <c r="A987" s="151" t="s">
        <v>2351</v>
      </c>
      <c r="B987" s="233" t="str">
        <f>VLOOKUP(A987,'AFC Data details'!$B:$E,4,0)</f>
        <v>PV37</v>
      </c>
      <c r="C987" s="144" t="s">
        <v>1700</v>
      </c>
      <c r="D987" s="151" t="s">
        <v>602</v>
      </c>
      <c r="E987" s="151">
        <f>VLOOKUP(A987,'AFC Data details'!$B:$P,15,0)</f>
        <v>1.137</v>
      </c>
      <c r="F987" s="151">
        <f>SUMIFS('AFC Data details'!C:C,'AFC Data details'!$B:$B,'Element wise-detail Summary'!$A987)</f>
        <v>1</v>
      </c>
      <c r="G987" s="151">
        <f>SUMIFS(Cast!$C:$C,Cast!$B:$B,'Element wise-detail Summary'!$A987)</f>
        <v>1</v>
      </c>
      <c r="H987" s="151">
        <f t="shared" si="97"/>
        <v>0</v>
      </c>
      <c r="I987" s="151">
        <f>SUMIFS(Del!$C:$C,Del!$B:$B,'Element wise-detail Summary'!$A987)</f>
        <v>0</v>
      </c>
      <c r="J987" s="151">
        <f t="shared" si="98"/>
        <v>1</v>
      </c>
      <c r="K987" s="151">
        <f t="shared" si="99"/>
        <v>1</v>
      </c>
      <c r="L987" s="151">
        <f>SUMIF(Ere!$B:$B,'Element wise-detail Summary'!$A987,Ere!$C:$C)</f>
        <v>0</v>
      </c>
      <c r="M987" s="151">
        <f t="shared" si="100"/>
        <v>1</v>
      </c>
      <c r="N987">
        <f t="shared" si="101"/>
        <v>0</v>
      </c>
    </row>
    <row r="988" spans="1:14" hidden="1" x14ac:dyDescent="0.25">
      <c r="A988" s="151" t="s">
        <v>2352</v>
      </c>
      <c r="B988" s="233" t="str">
        <f>VLOOKUP(A988,'AFC Data details'!$B:$E,4,0)</f>
        <v>PV38</v>
      </c>
      <c r="C988" s="144" t="s">
        <v>1700</v>
      </c>
      <c r="D988" s="151" t="s">
        <v>602</v>
      </c>
      <c r="E988" s="151">
        <f>VLOOKUP(A988,'AFC Data details'!$B:$P,15,0)</f>
        <v>0.95499999999999996</v>
      </c>
      <c r="F988" s="151">
        <f>SUMIFS('AFC Data details'!C:C,'AFC Data details'!$B:$B,'Element wise-detail Summary'!$A988)</f>
        <v>1</v>
      </c>
      <c r="G988" s="151">
        <f>SUMIFS(Cast!$C:$C,Cast!$B:$B,'Element wise-detail Summary'!$A988)</f>
        <v>1</v>
      </c>
      <c r="H988" s="151">
        <f t="shared" si="97"/>
        <v>0</v>
      </c>
      <c r="I988" s="151">
        <f>SUMIFS(Del!$C:$C,Del!$B:$B,'Element wise-detail Summary'!$A988)</f>
        <v>0</v>
      </c>
      <c r="J988" s="151">
        <f t="shared" si="98"/>
        <v>1</v>
      </c>
      <c r="K988" s="151">
        <f t="shared" si="99"/>
        <v>1</v>
      </c>
      <c r="L988" s="151">
        <f>SUMIF(Ere!$B:$B,'Element wise-detail Summary'!$A988,Ere!$C:$C)</f>
        <v>0</v>
      </c>
      <c r="M988" s="151">
        <f t="shared" si="100"/>
        <v>1</v>
      </c>
      <c r="N988">
        <f t="shared" si="101"/>
        <v>0</v>
      </c>
    </row>
    <row r="989" spans="1:14" hidden="1" x14ac:dyDescent="0.25">
      <c r="A989" s="151" t="s">
        <v>2353</v>
      </c>
      <c r="B989" s="233" t="str">
        <f>VLOOKUP(A989,'AFC Data details'!$B:$E,4,0)</f>
        <v>PV38</v>
      </c>
      <c r="C989" s="144" t="s">
        <v>1700</v>
      </c>
      <c r="D989" s="151" t="s">
        <v>602</v>
      </c>
      <c r="E989" s="151">
        <f>VLOOKUP(A989,'AFC Data details'!$B:$P,15,0)</f>
        <v>2.1280000000000001</v>
      </c>
      <c r="F989" s="151">
        <f>SUMIFS('AFC Data details'!C:C,'AFC Data details'!$B:$B,'Element wise-detail Summary'!$A989)</f>
        <v>1</v>
      </c>
      <c r="G989" s="151">
        <f>SUMIFS(Cast!$C:$C,Cast!$B:$B,'Element wise-detail Summary'!$A989)</f>
        <v>1</v>
      </c>
      <c r="H989" s="151">
        <f t="shared" si="97"/>
        <v>0</v>
      </c>
      <c r="I989" s="151">
        <f>SUMIFS(Del!$C:$C,Del!$B:$B,'Element wise-detail Summary'!$A989)</f>
        <v>0</v>
      </c>
      <c r="J989" s="151">
        <f t="shared" si="98"/>
        <v>1</v>
      </c>
      <c r="K989" s="151">
        <f t="shared" si="99"/>
        <v>1</v>
      </c>
      <c r="L989" s="151">
        <f>SUMIF(Ere!$B:$B,'Element wise-detail Summary'!$A989,Ere!$C:$C)</f>
        <v>0</v>
      </c>
      <c r="M989" s="151">
        <f t="shared" si="100"/>
        <v>1</v>
      </c>
      <c r="N989">
        <f t="shared" si="101"/>
        <v>0</v>
      </c>
    </row>
    <row r="990" spans="1:14" hidden="1" x14ac:dyDescent="0.25">
      <c r="A990" s="151" t="s">
        <v>2354</v>
      </c>
      <c r="B990" s="233" t="str">
        <f>VLOOKUP(A990,'AFC Data details'!$B:$E,4,0)</f>
        <v>PV39</v>
      </c>
      <c r="C990" s="144" t="s">
        <v>1700</v>
      </c>
      <c r="D990" s="151" t="s">
        <v>602</v>
      </c>
      <c r="E990" s="151">
        <f>VLOOKUP(A990,'AFC Data details'!$B:$P,15,0)</f>
        <v>2.1280000000000001</v>
      </c>
      <c r="F990" s="151">
        <f>SUMIFS('AFC Data details'!C:C,'AFC Data details'!$B:$B,'Element wise-detail Summary'!$A990)</f>
        <v>1</v>
      </c>
      <c r="G990" s="151">
        <f>SUMIFS(Cast!$C:$C,Cast!$B:$B,'Element wise-detail Summary'!$A990)</f>
        <v>1</v>
      </c>
      <c r="H990" s="151">
        <f t="shared" si="97"/>
        <v>0</v>
      </c>
      <c r="I990" s="151">
        <f>SUMIFS(Del!$C:$C,Del!$B:$B,'Element wise-detail Summary'!$A990)</f>
        <v>0</v>
      </c>
      <c r="J990" s="151">
        <f t="shared" si="98"/>
        <v>1</v>
      </c>
      <c r="K990" s="151">
        <f t="shared" si="99"/>
        <v>1</v>
      </c>
      <c r="L990" s="151">
        <f>SUMIF(Ere!$B:$B,'Element wise-detail Summary'!$A990,Ere!$C:$C)</f>
        <v>0</v>
      </c>
      <c r="M990" s="151">
        <f t="shared" si="100"/>
        <v>1</v>
      </c>
      <c r="N990">
        <f t="shared" si="101"/>
        <v>0</v>
      </c>
    </row>
    <row r="991" spans="1:14" hidden="1" x14ac:dyDescent="0.25">
      <c r="A991" s="151" t="s">
        <v>2355</v>
      </c>
      <c r="B991" s="233" t="str">
        <f>VLOOKUP(A991,'AFC Data details'!$B:$E,4,0)</f>
        <v>PV38</v>
      </c>
      <c r="C991" s="144" t="s">
        <v>1700</v>
      </c>
      <c r="D991" s="151" t="s">
        <v>602</v>
      </c>
      <c r="E991" s="151">
        <f>VLOOKUP(A991,'AFC Data details'!$B:$P,15,0)</f>
        <v>2.1280000000000001</v>
      </c>
      <c r="F991" s="151">
        <f>SUMIFS('AFC Data details'!C:C,'AFC Data details'!$B:$B,'Element wise-detail Summary'!$A991)</f>
        <v>1</v>
      </c>
      <c r="G991" s="151">
        <f>SUMIFS(Cast!$C:$C,Cast!$B:$B,'Element wise-detail Summary'!$A991)</f>
        <v>1</v>
      </c>
      <c r="H991" s="151">
        <f t="shared" si="97"/>
        <v>0</v>
      </c>
      <c r="I991" s="151">
        <f>SUMIFS(Del!$C:$C,Del!$B:$B,'Element wise-detail Summary'!$A991)</f>
        <v>0</v>
      </c>
      <c r="J991" s="151">
        <f t="shared" si="98"/>
        <v>1</v>
      </c>
      <c r="K991" s="151">
        <f t="shared" si="99"/>
        <v>1</v>
      </c>
      <c r="L991" s="151">
        <f>SUMIF(Ere!$B:$B,'Element wise-detail Summary'!$A991,Ere!$C:$C)</f>
        <v>0</v>
      </c>
      <c r="M991" s="151">
        <f t="shared" si="100"/>
        <v>1</v>
      </c>
      <c r="N991">
        <f t="shared" si="101"/>
        <v>0</v>
      </c>
    </row>
    <row r="992" spans="1:14" hidden="1" x14ac:dyDescent="0.25">
      <c r="A992" s="151" t="s">
        <v>2356</v>
      </c>
      <c r="B992" s="233" t="str">
        <f>VLOOKUP(A992,'AFC Data details'!$B:$E,4,0)</f>
        <v>PV38</v>
      </c>
      <c r="C992" s="144" t="s">
        <v>1700</v>
      </c>
      <c r="D992" s="151" t="s">
        <v>602</v>
      </c>
      <c r="E992" s="151">
        <f>VLOOKUP(A992,'AFC Data details'!$B:$P,15,0)</f>
        <v>2.1280000000000001</v>
      </c>
      <c r="F992" s="151">
        <f>SUMIFS('AFC Data details'!C:C,'AFC Data details'!$B:$B,'Element wise-detail Summary'!$A992)</f>
        <v>1</v>
      </c>
      <c r="G992" s="151">
        <f>SUMIFS(Cast!$C:$C,Cast!$B:$B,'Element wise-detail Summary'!$A992)</f>
        <v>1</v>
      </c>
      <c r="H992" s="151">
        <f t="shared" si="97"/>
        <v>0</v>
      </c>
      <c r="I992" s="151">
        <f>SUMIFS(Del!$C:$C,Del!$B:$B,'Element wise-detail Summary'!$A992)</f>
        <v>0</v>
      </c>
      <c r="J992" s="151">
        <f t="shared" si="98"/>
        <v>1</v>
      </c>
      <c r="K992" s="151">
        <f t="shared" si="99"/>
        <v>1</v>
      </c>
      <c r="L992" s="151">
        <f>SUMIF(Ere!$B:$B,'Element wise-detail Summary'!$A992,Ere!$C:$C)</f>
        <v>0</v>
      </c>
      <c r="M992" s="151">
        <f t="shared" si="100"/>
        <v>1</v>
      </c>
      <c r="N992">
        <f t="shared" si="101"/>
        <v>0</v>
      </c>
    </row>
    <row r="993" spans="1:14" hidden="1" x14ac:dyDescent="0.25">
      <c r="A993" s="151" t="s">
        <v>2357</v>
      </c>
      <c r="B993" s="233" t="str">
        <f>VLOOKUP(A993,'AFC Data details'!$B:$E,4,0)</f>
        <v>PV38</v>
      </c>
      <c r="C993" s="144" t="s">
        <v>1700</v>
      </c>
      <c r="D993" s="151" t="s">
        <v>602</v>
      </c>
      <c r="E993" s="151">
        <f>VLOOKUP(A993,'AFC Data details'!$B:$P,15,0)</f>
        <v>2.1280000000000001</v>
      </c>
      <c r="F993" s="151">
        <f>SUMIFS('AFC Data details'!C:C,'AFC Data details'!$B:$B,'Element wise-detail Summary'!$A993)</f>
        <v>1</v>
      </c>
      <c r="G993" s="151">
        <f>SUMIFS(Cast!$C:$C,Cast!$B:$B,'Element wise-detail Summary'!$A993)</f>
        <v>1</v>
      </c>
      <c r="H993" s="151">
        <f t="shared" si="97"/>
        <v>0</v>
      </c>
      <c r="I993" s="151">
        <f>SUMIFS(Del!$C:$C,Del!$B:$B,'Element wise-detail Summary'!$A993)</f>
        <v>0</v>
      </c>
      <c r="J993" s="151">
        <f t="shared" si="98"/>
        <v>1</v>
      </c>
      <c r="K993" s="151">
        <f t="shared" si="99"/>
        <v>1</v>
      </c>
      <c r="L993" s="151">
        <f>SUMIF(Ere!$B:$B,'Element wise-detail Summary'!$A993,Ere!$C:$C)</f>
        <v>0</v>
      </c>
      <c r="M993" s="151">
        <f t="shared" si="100"/>
        <v>1</v>
      </c>
      <c r="N993">
        <f t="shared" si="101"/>
        <v>0</v>
      </c>
    </row>
    <row r="994" spans="1:14" hidden="1" x14ac:dyDescent="0.25">
      <c r="A994" s="151" t="s">
        <v>2358</v>
      </c>
      <c r="B994" s="233" t="str">
        <f>VLOOKUP(A994,'AFC Data details'!$B:$E,4,0)</f>
        <v>PV38</v>
      </c>
      <c r="C994" s="144" t="s">
        <v>1700</v>
      </c>
      <c r="D994" s="151" t="s">
        <v>602</v>
      </c>
      <c r="E994" s="151">
        <f>VLOOKUP(A994,'AFC Data details'!$B:$P,15,0)</f>
        <v>2.1280000000000001</v>
      </c>
      <c r="F994" s="151">
        <f>SUMIFS('AFC Data details'!C:C,'AFC Data details'!$B:$B,'Element wise-detail Summary'!$A994)</f>
        <v>1</v>
      </c>
      <c r="G994" s="151">
        <f>SUMIFS(Cast!$C:$C,Cast!$B:$B,'Element wise-detail Summary'!$A994)</f>
        <v>1</v>
      </c>
      <c r="H994" s="151">
        <f t="shared" si="97"/>
        <v>0</v>
      </c>
      <c r="I994" s="151">
        <f>SUMIFS(Del!$C:$C,Del!$B:$B,'Element wise-detail Summary'!$A994)</f>
        <v>0</v>
      </c>
      <c r="J994" s="151">
        <f t="shared" si="98"/>
        <v>1</v>
      </c>
      <c r="K994" s="151">
        <f t="shared" si="99"/>
        <v>1</v>
      </c>
      <c r="L994" s="151">
        <f>SUMIF(Ere!$B:$B,'Element wise-detail Summary'!$A994,Ere!$C:$C)</f>
        <v>0</v>
      </c>
      <c r="M994" s="151">
        <f t="shared" si="100"/>
        <v>1</v>
      </c>
      <c r="N994">
        <f t="shared" si="101"/>
        <v>0</v>
      </c>
    </row>
    <row r="995" spans="1:14" hidden="1" x14ac:dyDescent="0.25">
      <c r="A995" s="151" t="s">
        <v>2359</v>
      </c>
      <c r="B995" s="233" t="str">
        <f>VLOOKUP(A995,'AFC Data details'!$B:$E,4,0)</f>
        <v>PV39</v>
      </c>
      <c r="C995" s="144" t="s">
        <v>1700</v>
      </c>
      <c r="D995" s="151" t="s">
        <v>602</v>
      </c>
      <c r="E995" s="151">
        <f>VLOOKUP(A995,'AFC Data details'!$B:$P,15,0)</f>
        <v>2.1280000000000001</v>
      </c>
      <c r="F995" s="151">
        <f>SUMIFS('AFC Data details'!C:C,'AFC Data details'!$B:$B,'Element wise-detail Summary'!$A995)</f>
        <v>1</v>
      </c>
      <c r="G995" s="151">
        <f>SUMIFS(Cast!$C:$C,Cast!$B:$B,'Element wise-detail Summary'!$A995)</f>
        <v>1</v>
      </c>
      <c r="H995" s="151">
        <f t="shared" si="97"/>
        <v>0</v>
      </c>
      <c r="I995" s="151">
        <f>SUMIFS(Del!$C:$C,Del!$B:$B,'Element wise-detail Summary'!$A995)</f>
        <v>0</v>
      </c>
      <c r="J995" s="151">
        <f t="shared" si="98"/>
        <v>1</v>
      </c>
      <c r="K995" s="151">
        <f t="shared" si="99"/>
        <v>1</v>
      </c>
      <c r="L995" s="151">
        <f>SUMIF(Ere!$B:$B,'Element wise-detail Summary'!$A995,Ere!$C:$C)</f>
        <v>0</v>
      </c>
      <c r="M995" s="151">
        <f t="shared" si="100"/>
        <v>1</v>
      </c>
      <c r="N995">
        <f t="shared" si="101"/>
        <v>0</v>
      </c>
    </row>
    <row r="996" spans="1:14" hidden="1" x14ac:dyDescent="0.25">
      <c r="A996" s="151" t="s">
        <v>2360</v>
      </c>
      <c r="B996" s="233" t="str">
        <f>VLOOKUP(A996,'AFC Data details'!$B:$E,4,0)</f>
        <v>PV39</v>
      </c>
      <c r="C996" s="144" t="s">
        <v>1700</v>
      </c>
      <c r="D996" s="151" t="s">
        <v>602</v>
      </c>
      <c r="E996" s="151">
        <f>VLOOKUP(A996,'AFC Data details'!$B:$P,15,0)</f>
        <v>2.1280000000000001</v>
      </c>
      <c r="F996" s="151">
        <f>SUMIFS('AFC Data details'!C:C,'AFC Data details'!$B:$B,'Element wise-detail Summary'!$A996)</f>
        <v>1</v>
      </c>
      <c r="G996" s="151">
        <f>SUMIFS(Cast!$C:$C,Cast!$B:$B,'Element wise-detail Summary'!$A996)</f>
        <v>1</v>
      </c>
      <c r="H996" s="151">
        <f t="shared" si="97"/>
        <v>0</v>
      </c>
      <c r="I996" s="151">
        <f>SUMIFS(Del!$C:$C,Del!$B:$B,'Element wise-detail Summary'!$A996)</f>
        <v>0</v>
      </c>
      <c r="J996" s="151">
        <f t="shared" si="98"/>
        <v>1</v>
      </c>
      <c r="K996" s="151">
        <f t="shared" si="99"/>
        <v>1</v>
      </c>
      <c r="L996" s="151">
        <f>SUMIF(Ere!$B:$B,'Element wise-detail Summary'!$A996,Ere!$C:$C)</f>
        <v>0</v>
      </c>
      <c r="M996" s="151">
        <f t="shared" si="100"/>
        <v>1</v>
      </c>
      <c r="N996">
        <f t="shared" si="101"/>
        <v>0</v>
      </c>
    </row>
    <row r="997" spans="1:14" hidden="1" x14ac:dyDescent="0.25">
      <c r="A997" s="151" t="s">
        <v>2361</v>
      </c>
      <c r="B997" s="233" t="str">
        <f>VLOOKUP(A997,'AFC Data details'!$B:$E,4,0)</f>
        <v>PV39</v>
      </c>
      <c r="C997" s="144" t="s">
        <v>1700</v>
      </c>
      <c r="D997" s="151" t="s">
        <v>602</v>
      </c>
      <c r="E997" s="151">
        <f>VLOOKUP(A997,'AFC Data details'!$B:$P,15,0)</f>
        <v>2.1280000000000001</v>
      </c>
      <c r="F997" s="151">
        <f>SUMIFS('AFC Data details'!C:C,'AFC Data details'!$B:$B,'Element wise-detail Summary'!$A997)</f>
        <v>1</v>
      </c>
      <c r="G997" s="151">
        <f>SUMIFS(Cast!$C:$C,Cast!$B:$B,'Element wise-detail Summary'!$A997)</f>
        <v>1</v>
      </c>
      <c r="H997" s="151">
        <f t="shared" si="97"/>
        <v>0</v>
      </c>
      <c r="I997" s="151">
        <f>SUMIFS(Del!$C:$C,Del!$B:$B,'Element wise-detail Summary'!$A997)</f>
        <v>0</v>
      </c>
      <c r="J997" s="151">
        <f t="shared" si="98"/>
        <v>1</v>
      </c>
      <c r="K997" s="151">
        <f t="shared" si="99"/>
        <v>1</v>
      </c>
      <c r="L997" s="151">
        <f>SUMIF(Ere!$B:$B,'Element wise-detail Summary'!$A997,Ere!$C:$C)</f>
        <v>0</v>
      </c>
      <c r="M997" s="151">
        <f t="shared" si="100"/>
        <v>1</v>
      </c>
      <c r="N997">
        <f t="shared" si="101"/>
        <v>0</v>
      </c>
    </row>
    <row r="998" spans="1:14" hidden="1" x14ac:dyDescent="0.25">
      <c r="A998" s="151" t="s">
        <v>2362</v>
      </c>
      <c r="B998" s="233" t="str">
        <f>VLOOKUP(A998,'AFC Data details'!$B:$E,4,0)</f>
        <v>PV39</v>
      </c>
      <c r="C998" s="144" t="s">
        <v>1700</v>
      </c>
      <c r="D998" s="151" t="s">
        <v>602</v>
      </c>
      <c r="E998" s="151">
        <f>VLOOKUP(A998,'AFC Data details'!$B:$P,15,0)</f>
        <v>2.1280000000000001</v>
      </c>
      <c r="F998" s="151">
        <f>SUMIFS('AFC Data details'!C:C,'AFC Data details'!$B:$B,'Element wise-detail Summary'!$A998)</f>
        <v>1</v>
      </c>
      <c r="G998" s="151">
        <f>SUMIFS(Cast!$C:$C,Cast!$B:$B,'Element wise-detail Summary'!$A998)</f>
        <v>1</v>
      </c>
      <c r="H998" s="151">
        <f t="shared" si="97"/>
        <v>0</v>
      </c>
      <c r="I998" s="151">
        <f>SUMIFS(Del!$C:$C,Del!$B:$B,'Element wise-detail Summary'!$A998)</f>
        <v>0</v>
      </c>
      <c r="J998" s="151">
        <f t="shared" si="98"/>
        <v>1</v>
      </c>
      <c r="K998" s="151">
        <f t="shared" si="99"/>
        <v>1</v>
      </c>
      <c r="L998" s="151">
        <f>SUMIF(Ere!$B:$B,'Element wise-detail Summary'!$A998,Ere!$C:$C)</f>
        <v>0</v>
      </c>
      <c r="M998" s="151">
        <f t="shared" si="100"/>
        <v>1</v>
      </c>
      <c r="N998">
        <f t="shared" si="101"/>
        <v>0</v>
      </c>
    </row>
    <row r="999" spans="1:14" hidden="1" x14ac:dyDescent="0.25">
      <c r="A999" s="151" t="s">
        <v>2363</v>
      </c>
      <c r="B999" s="233" t="str">
        <f>VLOOKUP(A999,'AFC Data details'!$B:$E,4,0)</f>
        <v>PV38</v>
      </c>
      <c r="C999" s="144" t="s">
        <v>1700</v>
      </c>
      <c r="D999" s="151" t="s">
        <v>602</v>
      </c>
      <c r="E999" s="151">
        <f>VLOOKUP(A999,'AFC Data details'!$B:$P,15,0)</f>
        <v>2.1280000000000001</v>
      </c>
      <c r="F999" s="151">
        <f>SUMIFS('AFC Data details'!C:C,'AFC Data details'!$B:$B,'Element wise-detail Summary'!$A999)</f>
        <v>1</v>
      </c>
      <c r="G999" s="151">
        <f>SUMIFS(Cast!$C:$C,Cast!$B:$B,'Element wise-detail Summary'!$A999)</f>
        <v>1</v>
      </c>
      <c r="H999" s="151">
        <f t="shared" si="97"/>
        <v>0</v>
      </c>
      <c r="I999" s="151">
        <f>SUMIFS(Del!$C:$C,Del!$B:$B,'Element wise-detail Summary'!$A999)</f>
        <v>0</v>
      </c>
      <c r="J999" s="151">
        <f t="shared" si="98"/>
        <v>1</v>
      </c>
      <c r="K999" s="151">
        <f t="shared" si="99"/>
        <v>1</v>
      </c>
      <c r="L999" s="151">
        <f>SUMIF(Ere!$B:$B,'Element wise-detail Summary'!$A999,Ere!$C:$C)</f>
        <v>0</v>
      </c>
      <c r="M999" s="151">
        <f t="shared" si="100"/>
        <v>1</v>
      </c>
      <c r="N999">
        <f t="shared" si="101"/>
        <v>0</v>
      </c>
    </row>
    <row r="1000" spans="1:14" hidden="1" x14ac:dyDescent="0.25">
      <c r="A1000" s="151" t="s">
        <v>2364</v>
      </c>
      <c r="B1000" s="233" t="str">
        <f>VLOOKUP(A1000,'AFC Data details'!$B:$E,4,0)</f>
        <v>PV39</v>
      </c>
      <c r="C1000" s="144" t="s">
        <v>1700</v>
      </c>
      <c r="D1000" s="151" t="s">
        <v>602</v>
      </c>
      <c r="E1000" s="151">
        <f>VLOOKUP(A1000,'AFC Data details'!$B:$P,15,0)</f>
        <v>2.1280000000000001</v>
      </c>
      <c r="F1000" s="151">
        <f>SUMIFS('AFC Data details'!C:C,'AFC Data details'!$B:$B,'Element wise-detail Summary'!$A1000)</f>
        <v>1</v>
      </c>
      <c r="G1000" s="151">
        <f>SUMIFS(Cast!$C:$C,Cast!$B:$B,'Element wise-detail Summary'!$A1000)</f>
        <v>1</v>
      </c>
      <c r="H1000" s="151">
        <f t="shared" si="97"/>
        <v>0</v>
      </c>
      <c r="I1000" s="151">
        <f>SUMIFS(Del!$C:$C,Del!$B:$B,'Element wise-detail Summary'!$A1000)</f>
        <v>0</v>
      </c>
      <c r="J1000" s="151">
        <f t="shared" si="98"/>
        <v>1</v>
      </c>
      <c r="K1000" s="151">
        <f t="shared" si="99"/>
        <v>1</v>
      </c>
      <c r="L1000" s="151">
        <f>SUMIF(Ere!$B:$B,'Element wise-detail Summary'!$A1000,Ere!$C:$C)</f>
        <v>0</v>
      </c>
      <c r="M1000" s="151">
        <f t="shared" si="100"/>
        <v>1</v>
      </c>
      <c r="N1000">
        <f t="shared" si="101"/>
        <v>0</v>
      </c>
    </row>
    <row r="1001" spans="1:14" hidden="1" x14ac:dyDescent="0.25">
      <c r="A1001" s="151" t="s">
        <v>2365</v>
      </c>
      <c r="B1001" s="233" t="str">
        <f>VLOOKUP(A1001,'AFC Data details'!$B:$E,4,0)</f>
        <v>PV38</v>
      </c>
      <c r="C1001" s="144" t="s">
        <v>1700</v>
      </c>
      <c r="D1001" s="151" t="s">
        <v>602</v>
      </c>
      <c r="E1001" s="151">
        <f>VLOOKUP(A1001,'AFC Data details'!$B:$P,15,0)</f>
        <v>1.1859999999999999</v>
      </c>
      <c r="F1001" s="151">
        <f>SUMIFS('AFC Data details'!C:C,'AFC Data details'!$B:$B,'Element wise-detail Summary'!$A1001)</f>
        <v>1</v>
      </c>
      <c r="G1001" s="151">
        <f>SUMIFS(Cast!$C:$C,Cast!$B:$B,'Element wise-detail Summary'!$A1001)</f>
        <v>1</v>
      </c>
      <c r="H1001" s="151">
        <f t="shared" si="97"/>
        <v>0</v>
      </c>
      <c r="I1001" s="151">
        <f>SUMIFS(Del!$C:$C,Del!$B:$B,'Element wise-detail Summary'!$A1001)</f>
        <v>0</v>
      </c>
      <c r="J1001" s="151">
        <f t="shared" si="98"/>
        <v>1</v>
      </c>
      <c r="K1001" s="151">
        <f t="shared" si="99"/>
        <v>1</v>
      </c>
      <c r="L1001" s="151">
        <f>SUMIF(Ere!$B:$B,'Element wise-detail Summary'!$A1001,Ere!$C:$C)</f>
        <v>0</v>
      </c>
      <c r="M1001" s="151">
        <f t="shared" si="100"/>
        <v>1</v>
      </c>
      <c r="N1001">
        <f t="shared" si="101"/>
        <v>0</v>
      </c>
    </row>
    <row r="1002" spans="1:14" hidden="1" x14ac:dyDescent="0.25">
      <c r="A1002" s="151" t="s">
        <v>2366</v>
      </c>
      <c r="B1002" s="233" t="str">
        <f>VLOOKUP(A1002,'AFC Data details'!$B:$E,4,0)</f>
        <v>PV38</v>
      </c>
      <c r="C1002" s="144" t="s">
        <v>1700</v>
      </c>
      <c r="D1002" s="151" t="s">
        <v>602</v>
      </c>
      <c r="E1002" s="151">
        <f>VLOOKUP(A1002,'AFC Data details'!$B:$P,15,0)</f>
        <v>1.4650000000000001</v>
      </c>
      <c r="F1002" s="151">
        <f>SUMIFS('AFC Data details'!C:C,'AFC Data details'!$B:$B,'Element wise-detail Summary'!$A1002)</f>
        <v>1</v>
      </c>
      <c r="G1002" s="151">
        <f>SUMIFS(Cast!$C:$C,Cast!$B:$B,'Element wise-detail Summary'!$A1002)</f>
        <v>1</v>
      </c>
      <c r="H1002" s="151">
        <f t="shared" si="97"/>
        <v>0</v>
      </c>
      <c r="I1002" s="151">
        <f>SUMIFS(Del!$C:$C,Del!$B:$B,'Element wise-detail Summary'!$A1002)</f>
        <v>0</v>
      </c>
      <c r="J1002" s="151">
        <f t="shared" si="98"/>
        <v>1</v>
      </c>
      <c r="K1002" s="151">
        <f t="shared" si="99"/>
        <v>1</v>
      </c>
      <c r="L1002" s="151">
        <f>SUMIF(Ere!$B:$B,'Element wise-detail Summary'!$A1002,Ere!$C:$C)</f>
        <v>0</v>
      </c>
      <c r="M1002" s="151">
        <f t="shared" si="100"/>
        <v>1</v>
      </c>
      <c r="N1002">
        <f t="shared" si="101"/>
        <v>0</v>
      </c>
    </row>
    <row r="1003" spans="1:14" hidden="1" x14ac:dyDescent="0.25">
      <c r="A1003" s="151" t="s">
        <v>2367</v>
      </c>
      <c r="B1003" s="233" t="str">
        <f>VLOOKUP(A1003,'AFC Data details'!$B:$E,4,0)</f>
        <v>PV39</v>
      </c>
      <c r="C1003" s="144" t="s">
        <v>1700</v>
      </c>
      <c r="D1003" s="151" t="s">
        <v>602</v>
      </c>
      <c r="E1003" s="151">
        <f>VLOOKUP(A1003,'AFC Data details'!$B:$P,15,0)</f>
        <v>1.4119999999999999</v>
      </c>
      <c r="F1003" s="151">
        <f>SUMIFS('AFC Data details'!C:C,'AFC Data details'!$B:$B,'Element wise-detail Summary'!$A1003)</f>
        <v>1</v>
      </c>
      <c r="G1003" s="151">
        <f>SUMIFS(Cast!$C:$C,Cast!$B:$B,'Element wise-detail Summary'!$A1003)</f>
        <v>1</v>
      </c>
      <c r="H1003" s="151">
        <f t="shared" si="97"/>
        <v>0</v>
      </c>
      <c r="I1003" s="151">
        <f>SUMIFS(Del!$C:$C,Del!$B:$B,'Element wise-detail Summary'!$A1003)</f>
        <v>0</v>
      </c>
      <c r="J1003" s="151">
        <f t="shared" si="98"/>
        <v>1</v>
      </c>
      <c r="K1003" s="151">
        <f t="shared" si="99"/>
        <v>1</v>
      </c>
      <c r="L1003" s="151">
        <f>SUMIF(Ere!$B:$B,'Element wise-detail Summary'!$A1003,Ere!$C:$C)</f>
        <v>0</v>
      </c>
      <c r="M1003" s="151">
        <f t="shared" si="100"/>
        <v>1</v>
      </c>
      <c r="N1003">
        <f t="shared" si="101"/>
        <v>0</v>
      </c>
    </row>
    <row r="1004" spans="1:14" hidden="1" x14ac:dyDescent="0.25">
      <c r="A1004" s="151" t="s">
        <v>2368</v>
      </c>
      <c r="B1004" s="233" t="str">
        <f>VLOOKUP(A1004,'AFC Data details'!$B:$E,4,0)</f>
        <v>PV39</v>
      </c>
      <c r="C1004" s="144" t="s">
        <v>1700</v>
      </c>
      <c r="D1004" s="151" t="s">
        <v>602</v>
      </c>
      <c r="E1004" s="151">
        <f>VLOOKUP(A1004,'AFC Data details'!$B:$P,15,0)</f>
        <v>1.1379999999999999</v>
      </c>
      <c r="F1004" s="151">
        <f>SUMIFS('AFC Data details'!C:C,'AFC Data details'!$B:$B,'Element wise-detail Summary'!$A1004)</f>
        <v>1</v>
      </c>
      <c r="G1004" s="151">
        <f>SUMIFS(Cast!$C:$C,Cast!$B:$B,'Element wise-detail Summary'!$A1004)</f>
        <v>1</v>
      </c>
      <c r="H1004" s="151">
        <f t="shared" si="97"/>
        <v>0</v>
      </c>
      <c r="I1004" s="151">
        <f>SUMIFS(Del!$C:$C,Del!$B:$B,'Element wise-detail Summary'!$A1004)</f>
        <v>0</v>
      </c>
      <c r="J1004" s="151">
        <f t="shared" si="98"/>
        <v>1</v>
      </c>
      <c r="K1004" s="151">
        <f t="shared" si="99"/>
        <v>1</v>
      </c>
      <c r="L1004" s="151">
        <f>SUMIF(Ere!$B:$B,'Element wise-detail Summary'!$A1004,Ere!$C:$C)</f>
        <v>0</v>
      </c>
      <c r="M1004" s="151">
        <f t="shared" si="100"/>
        <v>1</v>
      </c>
      <c r="N1004">
        <f t="shared" si="101"/>
        <v>0</v>
      </c>
    </row>
    <row r="1005" spans="1:14" hidden="1" x14ac:dyDescent="0.25">
      <c r="A1005" s="151" t="s">
        <v>2369</v>
      </c>
      <c r="B1005" s="233" t="str">
        <f>VLOOKUP(A1005,'AFC Data details'!$B:$E,4,0)</f>
        <v>PV40</v>
      </c>
      <c r="C1005" s="144" t="s">
        <v>1700</v>
      </c>
      <c r="D1005" s="151" t="s">
        <v>602</v>
      </c>
      <c r="E1005" s="151">
        <f>VLOOKUP(A1005,'AFC Data details'!$B:$P,15,0)</f>
        <v>0.95499999999999996</v>
      </c>
      <c r="F1005" s="151">
        <f>SUMIFS('AFC Data details'!C:C,'AFC Data details'!$B:$B,'Element wise-detail Summary'!$A1005)</f>
        <v>1</v>
      </c>
      <c r="G1005" s="151">
        <f>SUMIFS(Cast!$C:$C,Cast!$B:$B,'Element wise-detail Summary'!$A1005)</f>
        <v>1</v>
      </c>
      <c r="H1005" s="151">
        <f t="shared" si="97"/>
        <v>0</v>
      </c>
      <c r="I1005" s="151">
        <f>SUMIFS(Del!$C:$C,Del!$B:$B,'Element wise-detail Summary'!$A1005)</f>
        <v>0</v>
      </c>
      <c r="J1005" s="151">
        <f t="shared" si="98"/>
        <v>1</v>
      </c>
      <c r="K1005" s="151">
        <f t="shared" si="99"/>
        <v>1</v>
      </c>
      <c r="L1005" s="151">
        <f>SUMIF(Ere!$B:$B,'Element wise-detail Summary'!$A1005,Ere!$C:$C)</f>
        <v>0</v>
      </c>
      <c r="M1005" s="151">
        <f t="shared" si="100"/>
        <v>1</v>
      </c>
      <c r="N1005">
        <f t="shared" si="101"/>
        <v>0</v>
      </c>
    </row>
    <row r="1006" spans="1:14" hidden="1" x14ac:dyDescent="0.25">
      <c r="A1006" s="151" t="s">
        <v>2370</v>
      </c>
      <c r="B1006" s="233" t="str">
        <f>VLOOKUP(A1006,'AFC Data details'!$B:$E,4,0)</f>
        <v>PV40</v>
      </c>
      <c r="C1006" s="144" t="s">
        <v>1700</v>
      </c>
      <c r="D1006" s="151" t="s">
        <v>602</v>
      </c>
      <c r="E1006" s="151">
        <f>VLOOKUP(A1006,'AFC Data details'!$B:$P,15,0)</f>
        <v>2.1850000000000001</v>
      </c>
      <c r="F1006" s="151">
        <f>SUMIFS('AFC Data details'!C:C,'AFC Data details'!$B:$B,'Element wise-detail Summary'!$A1006)</f>
        <v>1</v>
      </c>
      <c r="G1006" s="151">
        <f>SUMIFS(Cast!$C:$C,Cast!$B:$B,'Element wise-detail Summary'!$A1006)</f>
        <v>1</v>
      </c>
      <c r="H1006" s="151">
        <f t="shared" si="97"/>
        <v>0</v>
      </c>
      <c r="I1006" s="151">
        <f>SUMIFS(Del!$C:$C,Del!$B:$B,'Element wise-detail Summary'!$A1006)</f>
        <v>0</v>
      </c>
      <c r="J1006" s="151">
        <f t="shared" si="98"/>
        <v>1</v>
      </c>
      <c r="K1006" s="151">
        <f t="shared" si="99"/>
        <v>1</v>
      </c>
      <c r="L1006" s="151">
        <f>SUMIF(Ere!$B:$B,'Element wise-detail Summary'!$A1006,Ere!$C:$C)</f>
        <v>0</v>
      </c>
      <c r="M1006" s="151">
        <f t="shared" si="100"/>
        <v>1</v>
      </c>
      <c r="N1006">
        <f t="shared" si="101"/>
        <v>0</v>
      </c>
    </row>
    <row r="1007" spans="1:14" hidden="1" x14ac:dyDescent="0.25">
      <c r="A1007" s="151" t="s">
        <v>2371</v>
      </c>
      <c r="B1007" s="233" t="str">
        <f>VLOOKUP(A1007,'AFC Data details'!$B:$E,4,0)</f>
        <v>PV41</v>
      </c>
      <c r="C1007" s="144" t="s">
        <v>1700</v>
      </c>
      <c r="D1007" s="151" t="s">
        <v>602</v>
      </c>
      <c r="E1007" s="151">
        <f>VLOOKUP(A1007,'AFC Data details'!$B:$P,15,0)</f>
        <v>2.1850000000000001</v>
      </c>
      <c r="F1007" s="151">
        <f>SUMIFS('AFC Data details'!C:C,'AFC Data details'!$B:$B,'Element wise-detail Summary'!$A1007)</f>
        <v>1</v>
      </c>
      <c r="G1007" s="151">
        <f>SUMIFS(Cast!$C:$C,Cast!$B:$B,'Element wise-detail Summary'!$A1007)</f>
        <v>1</v>
      </c>
      <c r="H1007" s="151">
        <f t="shared" si="97"/>
        <v>0</v>
      </c>
      <c r="I1007" s="151">
        <f>SUMIFS(Del!$C:$C,Del!$B:$B,'Element wise-detail Summary'!$A1007)</f>
        <v>0</v>
      </c>
      <c r="J1007" s="151">
        <f t="shared" si="98"/>
        <v>1</v>
      </c>
      <c r="K1007" s="151">
        <f t="shared" si="99"/>
        <v>1</v>
      </c>
      <c r="L1007" s="151">
        <f>SUMIF(Ere!$B:$B,'Element wise-detail Summary'!$A1007,Ere!$C:$C)</f>
        <v>0</v>
      </c>
      <c r="M1007" s="151">
        <f t="shared" si="100"/>
        <v>1</v>
      </c>
      <c r="N1007">
        <f t="shared" si="101"/>
        <v>0</v>
      </c>
    </row>
    <row r="1008" spans="1:14" hidden="1" x14ac:dyDescent="0.25">
      <c r="A1008" s="151" t="s">
        <v>2372</v>
      </c>
      <c r="B1008" s="233" t="str">
        <f>VLOOKUP(A1008,'AFC Data details'!$B:$E,4,0)</f>
        <v>PV40</v>
      </c>
      <c r="C1008" s="144" t="s">
        <v>1700</v>
      </c>
      <c r="D1008" s="151" t="s">
        <v>602</v>
      </c>
      <c r="E1008" s="151">
        <f>VLOOKUP(A1008,'AFC Data details'!$B:$P,15,0)</f>
        <v>2.1850000000000001</v>
      </c>
      <c r="F1008" s="151">
        <f>SUMIFS('AFC Data details'!C:C,'AFC Data details'!$B:$B,'Element wise-detail Summary'!$A1008)</f>
        <v>1</v>
      </c>
      <c r="G1008" s="151">
        <f>SUMIFS(Cast!$C:$C,Cast!$B:$B,'Element wise-detail Summary'!$A1008)</f>
        <v>1</v>
      </c>
      <c r="H1008" s="151">
        <f t="shared" si="97"/>
        <v>0</v>
      </c>
      <c r="I1008" s="151">
        <f>SUMIFS(Del!$C:$C,Del!$B:$B,'Element wise-detail Summary'!$A1008)</f>
        <v>0</v>
      </c>
      <c r="J1008" s="151">
        <f t="shared" si="98"/>
        <v>1</v>
      </c>
      <c r="K1008" s="151">
        <f t="shared" si="99"/>
        <v>1</v>
      </c>
      <c r="L1008" s="151">
        <f>SUMIF(Ere!$B:$B,'Element wise-detail Summary'!$A1008,Ere!$C:$C)</f>
        <v>0</v>
      </c>
      <c r="M1008" s="151">
        <f t="shared" si="100"/>
        <v>1</v>
      </c>
      <c r="N1008">
        <f t="shared" si="101"/>
        <v>0</v>
      </c>
    </row>
    <row r="1009" spans="1:14" hidden="1" x14ac:dyDescent="0.25">
      <c r="A1009" s="151" t="s">
        <v>2373</v>
      </c>
      <c r="B1009" s="233" t="str">
        <f>VLOOKUP(A1009,'AFC Data details'!$B:$E,4,0)</f>
        <v>PV40</v>
      </c>
      <c r="C1009" s="144" t="s">
        <v>1700</v>
      </c>
      <c r="D1009" s="151" t="s">
        <v>602</v>
      </c>
      <c r="E1009" s="151">
        <f>VLOOKUP(A1009,'AFC Data details'!$B:$P,15,0)</f>
        <v>2.1850000000000001</v>
      </c>
      <c r="F1009" s="151">
        <f>SUMIFS('AFC Data details'!C:C,'AFC Data details'!$B:$B,'Element wise-detail Summary'!$A1009)</f>
        <v>1</v>
      </c>
      <c r="G1009" s="151">
        <f>SUMIFS(Cast!$C:$C,Cast!$B:$B,'Element wise-detail Summary'!$A1009)</f>
        <v>1</v>
      </c>
      <c r="H1009" s="151">
        <f t="shared" si="97"/>
        <v>0</v>
      </c>
      <c r="I1009" s="151">
        <f>SUMIFS(Del!$C:$C,Del!$B:$B,'Element wise-detail Summary'!$A1009)</f>
        <v>0</v>
      </c>
      <c r="J1009" s="151">
        <f t="shared" si="98"/>
        <v>1</v>
      </c>
      <c r="K1009" s="151">
        <f t="shared" si="99"/>
        <v>1</v>
      </c>
      <c r="L1009" s="151">
        <f>SUMIF(Ere!$B:$B,'Element wise-detail Summary'!$A1009,Ere!$C:$C)</f>
        <v>0</v>
      </c>
      <c r="M1009" s="151">
        <f t="shared" si="100"/>
        <v>1</v>
      </c>
      <c r="N1009">
        <f t="shared" si="101"/>
        <v>0</v>
      </c>
    </row>
    <row r="1010" spans="1:14" hidden="1" x14ac:dyDescent="0.25">
      <c r="A1010" s="151" t="s">
        <v>2374</v>
      </c>
      <c r="B1010" s="233" t="str">
        <f>VLOOKUP(A1010,'AFC Data details'!$B:$E,4,0)</f>
        <v>PV40</v>
      </c>
      <c r="C1010" s="144" t="s">
        <v>1700</v>
      </c>
      <c r="D1010" s="151" t="s">
        <v>602</v>
      </c>
      <c r="E1010" s="151">
        <f>VLOOKUP(A1010,'AFC Data details'!$B:$P,15,0)</f>
        <v>2.1850000000000001</v>
      </c>
      <c r="F1010" s="151">
        <f>SUMIFS('AFC Data details'!C:C,'AFC Data details'!$B:$B,'Element wise-detail Summary'!$A1010)</f>
        <v>1</v>
      </c>
      <c r="G1010" s="151">
        <f>SUMIFS(Cast!$C:$C,Cast!$B:$B,'Element wise-detail Summary'!$A1010)</f>
        <v>1</v>
      </c>
      <c r="H1010" s="151">
        <f t="shared" si="97"/>
        <v>0</v>
      </c>
      <c r="I1010" s="151">
        <f>SUMIFS(Del!$C:$C,Del!$B:$B,'Element wise-detail Summary'!$A1010)</f>
        <v>0</v>
      </c>
      <c r="J1010" s="151">
        <f t="shared" si="98"/>
        <v>1</v>
      </c>
      <c r="K1010" s="151">
        <f t="shared" si="99"/>
        <v>1</v>
      </c>
      <c r="L1010" s="151">
        <f>SUMIF(Ere!$B:$B,'Element wise-detail Summary'!$A1010,Ere!$C:$C)</f>
        <v>0</v>
      </c>
      <c r="M1010" s="151">
        <f t="shared" si="100"/>
        <v>1</v>
      </c>
      <c r="N1010">
        <f t="shared" si="101"/>
        <v>0</v>
      </c>
    </row>
    <row r="1011" spans="1:14" hidden="1" x14ac:dyDescent="0.25">
      <c r="A1011" s="151" t="s">
        <v>2375</v>
      </c>
      <c r="B1011" s="233" t="str">
        <f>VLOOKUP(A1011,'AFC Data details'!$B:$E,4,0)</f>
        <v>PV40</v>
      </c>
      <c r="C1011" s="144" t="s">
        <v>1700</v>
      </c>
      <c r="D1011" s="151" t="s">
        <v>602</v>
      </c>
      <c r="E1011" s="151">
        <f>VLOOKUP(A1011,'AFC Data details'!$B:$P,15,0)</f>
        <v>2.1850000000000001</v>
      </c>
      <c r="F1011" s="151">
        <f>SUMIFS('AFC Data details'!C:C,'AFC Data details'!$B:$B,'Element wise-detail Summary'!$A1011)</f>
        <v>1</v>
      </c>
      <c r="G1011" s="151">
        <f>SUMIFS(Cast!$C:$C,Cast!$B:$B,'Element wise-detail Summary'!$A1011)</f>
        <v>1</v>
      </c>
      <c r="H1011" s="151">
        <f t="shared" si="97"/>
        <v>0</v>
      </c>
      <c r="I1011" s="151">
        <f>SUMIFS(Del!$C:$C,Del!$B:$B,'Element wise-detail Summary'!$A1011)</f>
        <v>0</v>
      </c>
      <c r="J1011" s="151">
        <f t="shared" si="98"/>
        <v>1</v>
      </c>
      <c r="K1011" s="151">
        <f t="shared" si="99"/>
        <v>1</v>
      </c>
      <c r="L1011" s="151">
        <f>SUMIF(Ere!$B:$B,'Element wise-detail Summary'!$A1011,Ere!$C:$C)</f>
        <v>0</v>
      </c>
      <c r="M1011" s="151">
        <f t="shared" si="100"/>
        <v>1</v>
      </c>
      <c r="N1011">
        <f t="shared" si="101"/>
        <v>0</v>
      </c>
    </row>
    <row r="1012" spans="1:14" hidden="1" x14ac:dyDescent="0.25">
      <c r="A1012" s="151" t="s">
        <v>2376</v>
      </c>
      <c r="B1012" s="233" t="str">
        <f>VLOOKUP(A1012,'AFC Data details'!$B:$E,4,0)</f>
        <v>PV41</v>
      </c>
      <c r="C1012" s="144" t="s">
        <v>1700</v>
      </c>
      <c r="D1012" s="151" t="s">
        <v>602</v>
      </c>
      <c r="E1012" s="151">
        <f>VLOOKUP(A1012,'AFC Data details'!$B:$P,15,0)</f>
        <v>2.1850000000000001</v>
      </c>
      <c r="F1012" s="151">
        <f>SUMIFS('AFC Data details'!C:C,'AFC Data details'!$B:$B,'Element wise-detail Summary'!$A1012)</f>
        <v>1</v>
      </c>
      <c r="G1012" s="151">
        <f>SUMIFS(Cast!$C:$C,Cast!$B:$B,'Element wise-detail Summary'!$A1012)</f>
        <v>1</v>
      </c>
      <c r="H1012" s="151">
        <f t="shared" si="97"/>
        <v>0</v>
      </c>
      <c r="I1012" s="151">
        <f>SUMIFS(Del!$C:$C,Del!$B:$B,'Element wise-detail Summary'!$A1012)</f>
        <v>0</v>
      </c>
      <c r="J1012" s="151">
        <f t="shared" si="98"/>
        <v>1</v>
      </c>
      <c r="K1012" s="151">
        <f t="shared" si="99"/>
        <v>1</v>
      </c>
      <c r="L1012" s="151">
        <f>SUMIF(Ere!$B:$B,'Element wise-detail Summary'!$A1012,Ere!$C:$C)</f>
        <v>0</v>
      </c>
      <c r="M1012" s="151">
        <f t="shared" si="100"/>
        <v>1</v>
      </c>
      <c r="N1012">
        <f t="shared" si="101"/>
        <v>0</v>
      </c>
    </row>
    <row r="1013" spans="1:14" hidden="1" x14ac:dyDescent="0.25">
      <c r="A1013" s="151" t="s">
        <v>2377</v>
      </c>
      <c r="B1013" s="233" t="str">
        <f>VLOOKUP(A1013,'AFC Data details'!$B:$E,4,0)</f>
        <v>PV41</v>
      </c>
      <c r="C1013" s="144" t="s">
        <v>1700</v>
      </c>
      <c r="D1013" s="151" t="s">
        <v>602</v>
      </c>
      <c r="E1013" s="151">
        <f>VLOOKUP(A1013,'AFC Data details'!$B:$P,15,0)</f>
        <v>2.1850000000000001</v>
      </c>
      <c r="F1013" s="151">
        <f>SUMIFS('AFC Data details'!C:C,'AFC Data details'!$B:$B,'Element wise-detail Summary'!$A1013)</f>
        <v>1</v>
      </c>
      <c r="G1013" s="151">
        <f>SUMIFS(Cast!$C:$C,Cast!$B:$B,'Element wise-detail Summary'!$A1013)</f>
        <v>1</v>
      </c>
      <c r="H1013" s="151">
        <f t="shared" si="97"/>
        <v>0</v>
      </c>
      <c r="I1013" s="151">
        <f>SUMIFS(Del!$C:$C,Del!$B:$B,'Element wise-detail Summary'!$A1013)</f>
        <v>0</v>
      </c>
      <c r="J1013" s="151">
        <f t="shared" si="98"/>
        <v>1</v>
      </c>
      <c r="K1013" s="151">
        <f t="shared" si="99"/>
        <v>1</v>
      </c>
      <c r="L1013" s="151">
        <f>SUMIF(Ere!$B:$B,'Element wise-detail Summary'!$A1013,Ere!$C:$C)</f>
        <v>0</v>
      </c>
      <c r="M1013" s="151">
        <f t="shared" si="100"/>
        <v>1</v>
      </c>
      <c r="N1013">
        <f t="shared" si="101"/>
        <v>0</v>
      </c>
    </row>
    <row r="1014" spans="1:14" hidden="1" x14ac:dyDescent="0.25">
      <c r="A1014" s="151" t="s">
        <v>2378</v>
      </c>
      <c r="B1014" s="233" t="str">
        <f>VLOOKUP(A1014,'AFC Data details'!$B:$E,4,0)</f>
        <v>PV41</v>
      </c>
      <c r="C1014" s="144" t="s">
        <v>1700</v>
      </c>
      <c r="D1014" s="151" t="s">
        <v>602</v>
      </c>
      <c r="E1014" s="151">
        <f>VLOOKUP(A1014,'AFC Data details'!$B:$P,15,0)</f>
        <v>2.1850000000000001</v>
      </c>
      <c r="F1014" s="151">
        <f>SUMIFS('AFC Data details'!C:C,'AFC Data details'!$B:$B,'Element wise-detail Summary'!$A1014)</f>
        <v>1</v>
      </c>
      <c r="G1014" s="151">
        <f>SUMIFS(Cast!$C:$C,Cast!$B:$B,'Element wise-detail Summary'!$A1014)</f>
        <v>1</v>
      </c>
      <c r="H1014" s="151">
        <f t="shared" si="97"/>
        <v>0</v>
      </c>
      <c r="I1014" s="151">
        <f>SUMIFS(Del!$C:$C,Del!$B:$B,'Element wise-detail Summary'!$A1014)</f>
        <v>0</v>
      </c>
      <c r="J1014" s="151">
        <f t="shared" si="98"/>
        <v>1</v>
      </c>
      <c r="K1014" s="151">
        <f t="shared" si="99"/>
        <v>1</v>
      </c>
      <c r="L1014" s="151">
        <f>SUMIF(Ere!$B:$B,'Element wise-detail Summary'!$A1014,Ere!$C:$C)</f>
        <v>0</v>
      </c>
      <c r="M1014" s="151">
        <f t="shared" si="100"/>
        <v>1</v>
      </c>
      <c r="N1014">
        <f t="shared" si="101"/>
        <v>0</v>
      </c>
    </row>
    <row r="1015" spans="1:14" hidden="1" x14ac:dyDescent="0.25">
      <c r="A1015" s="151" t="s">
        <v>2379</v>
      </c>
      <c r="B1015" s="233" t="str">
        <f>VLOOKUP(A1015,'AFC Data details'!$B:$E,4,0)</f>
        <v>PV41</v>
      </c>
      <c r="C1015" s="144" t="s">
        <v>1700</v>
      </c>
      <c r="D1015" s="151" t="s">
        <v>602</v>
      </c>
      <c r="E1015" s="151">
        <f>VLOOKUP(A1015,'AFC Data details'!$B:$P,15,0)</f>
        <v>2.1850000000000001</v>
      </c>
      <c r="F1015" s="151">
        <f>SUMIFS('AFC Data details'!C:C,'AFC Data details'!$B:$B,'Element wise-detail Summary'!$A1015)</f>
        <v>1</v>
      </c>
      <c r="G1015" s="151">
        <f>SUMIFS(Cast!$C:$C,Cast!$B:$B,'Element wise-detail Summary'!$A1015)</f>
        <v>1</v>
      </c>
      <c r="H1015" s="151">
        <f t="shared" si="97"/>
        <v>0</v>
      </c>
      <c r="I1015" s="151">
        <f>SUMIFS(Del!$C:$C,Del!$B:$B,'Element wise-detail Summary'!$A1015)</f>
        <v>0</v>
      </c>
      <c r="J1015" s="151">
        <f t="shared" si="98"/>
        <v>1</v>
      </c>
      <c r="K1015" s="151">
        <f t="shared" si="99"/>
        <v>1</v>
      </c>
      <c r="L1015" s="151">
        <f>SUMIF(Ere!$B:$B,'Element wise-detail Summary'!$A1015,Ere!$C:$C)</f>
        <v>0</v>
      </c>
      <c r="M1015" s="151">
        <f t="shared" si="100"/>
        <v>1</v>
      </c>
      <c r="N1015">
        <f t="shared" si="101"/>
        <v>0</v>
      </c>
    </row>
    <row r="1016" spans="1:14" hidden="1" x14ac:dyDescent="0.25">
      <c r="A1016" s="151" t="s">
        <v>2380</v>
      </c>
      <c r="B1016" s="233" t="str">
        <f>VLOOKUP(A1016,'AFC Data details'!$B:$E,4,0)</f>
        <v>PV40</v>
      </c>
      <c r="C1016" s="144" t="s">
        <v>1700</v>
      </c>
      <c r="D1016" s="151" t="s">
        <v>602</v>
      </c>
      <c r="E1016" s="151">
        <f>VLOOKUP(A1016,'AFC Data details'!$B:$P,15,0)</f>
        <v>2.1850000000000001</v>
      </c>
      <c r="F1016" s="151">
        <f>SUMIFS('AFC Data details'!C:C,'AFC Data details'!$B:$B,'Element wise-detail Summary'!$A1016)</f>
        <v>1</v>
      </c>
      <c r="G1016" s="151">
        <f>SUMIFS(Cast!$C:$C,Cast!$B:$B,'Element wise-detail Summary'!$A1016)</f>
        <v>1</v>
      </c>
      <c r="H1016" s="151">
        <f t="shared" si="97"/>
        <v>0</v>
      </c>
      <c r="I1016" s="151">
        <f>SUMIFS(Del!$C:$C,Del!$B:$B,'Element wise-detail Summary'!$A1016)</f>
        <v>0</v>
      </c>
      <c r="J1016" s="151">
        <f t="shared" si="98"/>
        <v>1</v>
      </c>
      <c r="K1016" s="151">
        <f t="shared" si="99"/>
        <v>1</v>
      </c>
      <c r="L1016" s="151">
        <f>SUMIF(Ere!$B:$B,'Element wise-detail Summary'!$A1016,Ere!$C:$C)</f>
        <v>0</v>
      </c>
      <c r="M1016" s="151">
        <f t="shared" si="100"/>
        <v>1</v>
      </c>
      <c r="N1016">
        <f t="shared" si="101"/>
        <v>0</v>
      </c>
    </row>
    <row r="1017" spans="1:14" hidden="1" x14ac:dyDescent="0.25">
      <c r="A1017" s="151" t="s">
        <v>2381</v>
      </c>
      <c r="B1017" s="233" t="str">
        <f>VLOOKUP(A1017,'AFC Data details'!$B:$E,4,0)</f>
        <v>PV41</v>
      </c>
      <c r="C1017" s="144" t="s">
        <v>1700</v>
      </c>
      <c r="D1017" s="151" t="s">
        <v>602</v>
      </c>
      <c r="E1017" s="151">
        <f>VLOOKUP(A1017,'AFC Data details'!$B:$P,15,0)</f>
        <v>2.1850000000000001</v>
      </c>
      <c r="F1017" s="151">
        <f>SUMIFS('AFC Data details'!C:C,'AFC Data details'!$B:$B,'Element wise-detail Summary'!$A1017)</f>
        <v>1</v>
      </c>
      <c r="G1017" s="151">
        <f>SUMIFS(Cast!$C:$C,Cast!$B:$B,'Element wise-detail Summary'!$A1017)</f>
        <v>1</v>
      </c>
      <c r="H1017" s="151">
        <f t="shared" si="97"/>
        <v>0</v>
      </c>
      <c r="I1017" s="151">
        <f>SUMIFS(Del!$C:$C,Del!$B:$B,'Element wise-detail Summary'!$A1017)</f>
        <v>0</v>
      </c>
      <c r="J1017" s="151">
        <f t="shared" si="98"/>
        <v>1</v>
      </c>
      <c r="K1017" s="151">
        <f t="shared" si="99"/>
        <v>1</v>
      </c>
      <c r="L1017" s="151">
        <f>SUMIF(Ere!$B:$B,'Element wise-detail Summary'!$A1017,Ere!$C:$C)</f>
        <v>0</v>
      </c>
      <c r="M1017" s="151">
        <f t="shared" si="100"/>
        <v>1</v>
      </c>
      <c r="N1017">
        <f t="shared" si="101"/>
        <v>0</v>
      </c>
    </row>
    <row r="1018" spans="1:14" hidden="1" x14ac:dyDescent="0.25">
      <c r="A1018" s="151" t="s">
        <v>2382</v>
      </c>
      <c r="B1018" s="233" t="str">
        <f>VLOOKUP(A1018,'AFC Data details'!$B:$E,4,0)</f>
        <v>PV40</v>
      </c>
      <c r="C1018" s="144" t="s">
        <v>1700</v>
      </c>
      <c r="D1018" s="151" t="s">
        <v>602</v>
      </c>
      <c r="E1018" s="151">
        <f>VLOOKUP(A1018,'AFC Data details'!$B:$P,15,0)</f>
        <v>1.2490000000000001</v>
      </c>
      <c r="F1018" s="151">
        <f>SUMIFS('AFC Data details'!C:C,'AFC Data details'!$B:$B,'Element wise-detail Summary'!$A1018)</f>
        <v>1</v>
      </c>
      <c r="G1018" s="151">
        <f>SUMIFS(Cast!$C:$C,Cast!$B:$B,'Element wise-detail Summary'!$A1018)</f>
        <v>1</v>
      </c>
      <c r="H1018" s="151">
        <f t="shared" si="97"/>
        <v>0</v>
      </c>
      <c r="I1018" s="151">
        <f>SUMIFS(Del!$C:$C,Del!$B:$B,'Element wise-detail Summary'!$A1018)</f>
        <v>0</v>
      </c>
      <c r="J1018" s="151">
        <f t="shared" si="98"/>
        <v>1</v>
      </c>
      <c r="K1018" s="151">
        <f t="shared" si="99"/>
        <v>1</v>
      </c>
      <c r="L1018" s="151">
        <f>SUMIF(Ere!$B:$B,'Element wise-detail Summary'!$A1018,Ere!$C:$C)</f>
        <v>0</v>
      </c>
      <c r="M1018" s="151">
        <f t="shared" si="100"/>
        <v>1</v>
      </c>
      <c r="N1018">
        <f t="shared" si="101"/>
        <v>0</v>
      </c>
    </row>
    <row r="1019" spans="1:14" hidden="1" x14ac:dyDescent="0.25">
      <c r="A1019" s="151" t="s">
        <v>2383</v>
      </c>
      <c r="B1019" s="233" t="str">
        <f>VLOOKUP(A1019,'AFC Data details'!$B:$E,4,0)</f>
        <v>PV40</v>
      </c>
      <c r="C1019" s="144" t="s">
        <v>1700</v>
      </c>
      <c r="D1019" s="151" t="s">
        <v>602</v>
      </c>
      <c r="E1019" s="151">
        <f>VLOOKUP(A1019,'AFC Data details'!$B:$P,15,0)</f>
        <v>1.579</v>
      </c>
      <c r="F1019" s="151">
        <f>SUMIFS('AFC Data details'!C:C,'AFC Data details'!$B:$B,'Element wise-detail Summary'!$A1019)</f>
        <v>1</v>
      </c>
      <c r="G1019" s="151">
        <f>SUMIFS(Cast!$C:$C,Cast!$B:$B,'Element wise-detail Summary'!$A1019)</f>
        <v>1</v>
      </c>
      <c r="H1019" s="151">
        <f t="shared" si="97"/>
        <v>0</v>
      </c>
      <c r="I1019" s="151">
        <f>SUMIFS(Del!$C:$C,Del!$B:$B,'Element wise-detail Summary'!$A1019)</f>
        <v>0</v>
      </c>
      <c r="J1019" s="151">
        <f t="shared" si="98"/>
        <v>1</v>
      </c>
      <c r="K1019" s="151">
        <f t="shared" si="99"/>
        <v>1</v>
      </c>
      <c r="L1019" s="151">
        <f>SUMIF(Ere!$B:$B,'Element wise-detail Summary'!$A1019,Ere!$C:$C)</f>
        <v>0</v>
      </c>
      <c r="M1019" s="151">
        <f t="shared" si="100"/>
        <v>1</v>
      </c>
      <c r="N1019">
        <f t="shared" si="101"/>
        <v>0</v>
      </c>
    </row>
    <row r="1020" spans="1:14" hidden="1" x14ac:dyDescent="0.25">
      <c r="A1020" s="151" t="s">
        <v>2384</v>
      </c>
      <c r="B1020" s="233" t="str">
        <f>VLOOKUP(A1020,'AFC Data details'!$B:$E,4,0)</f>
        <v>PV41</v>
      </c>
      <c r="C1020" s="144" t="s">
        <v>1700</v>
      </c>
      <c r="D1020" s="151" t="s">
        <v>602</v>
      </c>
      <c r="E1020" s="151">
        <f>VLOOKUP(A1020,'AFC Data details'!$B:$P,15,0)</f>
        <v>1.5309999999999999</v>
      </c>
      <c r="F1020" s="151">
        <f>SUMIFS('AFC Data details'!C:C,'AFC Data details'!$B:$B,'Element wise-detail Summary'!$A1020)</f>
        <v>1</v>
      </c>
      <c r="G1020" s="151">
        <f>SUMIFS(Cast!$C:$C,Cast!$B:$B,'Element wise-detail Summary'!$A1020)</f>
        <v>1</v>
      </c>
      <c r="H1020" s="151">
        <f t="shared" si="97"/>
        <v>0</v>
      </c>
      <c r="I1020" s="151">
        <f>SUMIFS(Del!$C:$C,Del!$B:$B,'Element wise-detail Summary'!$A1020)</f>
        <v>0</v>
      </c>
      <c r="J1020" s="151">
        <f t="shared" si="98"/>
        <v>1</v>
      </c>
      <c r="K1020" s="151">
        <f t="shared" si="99"/>
        <v>1</v>
      </c>
      <c r="L1020" s="151">
        <f>SUMIF(Ere!$B:$B,'Element wise-detail Summary'!$A1020,Ere!$C:$C)</f>
        <v>0</v>
      </c>
      <c r="M1020" s="151">
        <f t="shared" si="100"/>
        <v>1</v>
      </c>
      <c r="N1020">
        <f t="shared" si="101"/>
        <v>0</v>
      </c>
    </row>
    <row r="1021" spans="1:14" hidden="1" x14ac:dyDescent="0.25">
      <c r="A1021" s="151" t="s">
        <v>2385</v>
      </c>
      <c r="B1021" s="233" t="str">
        <f>VLOOKUP(A1021,'AFC Data details'!$B:$E,4,0)</f>
        <v>PV41</v>
      </c>
      <c r="C1021" s="144" t="s">
        <v>1700</v>
      </c>
      <c r="D1021" s="151" t="s">
        <v>602</v>
      </c>
      <c r="E1021" s="151">
        <f>VLOOKUP(A1021,'AFC Data details'!$B:$P,15,0)</f>
        <v>1.3049999999999999</v>
      </c>
      <c r="F1021" s="151">
        <f>SUMIFS('AFC Data details'!C:C,'AFC Data details'!$B:$B,'Element wise-detail Summary'!$A1021)</f>
        <v>1</v>
      </c>
      <c r="G1021" s="151">
        <f>SUMIFS(Cast!$C:$C,Cast!$B:$B,'Element wise-detail Summary'!$A1021)</f>
        <v>1</v>
      </c>
      <c r="H1021" s="151">
        <f t="shared" si="97"/>
        <v>0</v>
      </c>
      <c r="I1021" s="151">
        <f>SUMIFS(Del!$C:$C,Del!$B:$B,'Element wise-detail Summary'!$A1021)</f>
        <v>0</v>
      </c>
      <c r="J1021" s="151">
        <f t="shared" si="98"/>
        <v>1</v>
      </c>
      <c r="K1021" s="151">
        <f t="shared" si="99"/>
        <v>1</v>
      </c>
      <c r="L1021" s="151">
        <f>SUMIF(Ere!$B:$B,'Element wise-detail Summary'!$A1021,Ere!$C:$C)</f>
        <v>0</v>
      </c>
      <c r="M1021" s="151">
        <f t="shared" si="100"/>
        <v>1</v>
      </c>
      <c r="N1021">
        <f t="shared" si="101"/>
        <v>0</v>
      </c>
    </row>
    <row r="1022" spans="1:14" hidden="1" x14ac:dyDescent="0.25">
      <c r="A1022" s="151" t="s">
        <v>2386</v>
      </c>
      <c r="B1022" s="233" t="str">
        <f>VLOOKUP(A1022,'AFC Data details'!$B:$E,4,0)</f>
        <v>PV42</v>
      </c>
      <c r="C1022" s="144" t="s">
        <v>1700</v>
      </c>
      <c r="D1022" s="151" t="s">
        <v>602</v>
      </c>
      <c r="E1022" s="151">
        <f>VLOOKUP(A1022,'AFC Data details'!$B:$P,15,0)</f>
        <v>1.0840000000000001</v>
      </c>
      <c r="F1022" s="151">
        <f>SUMIFS('AFC Data details'!C:C,'AFC Data details'!$B:$B,'Element wise-detail Summary'!$A1022)</f>
        <v>1</v>
      </c>
      <c r="G1022" s="151">
        <f>SUMIFS(Cast!$C:$C,Cast!$B:$B,'Element wise-detail Summary'!$A1022)</f>
        <v>1</v>
      </c>
      <c r="H1022" s="151">
        <f t="shared" ref="H1022:H1050" si="102">F1022-G1022</f>
        <v>0</v>
      </c>
      <c r="I1022" s="151">
        <f>SUMIFS(Del!$C:$C,Del!$B:$B,'Element wise-detail Summary'!$A1022)</f>
        <v>0</v>
      </c>
      <c r="J1022" s="151">
        <f t="shared" ref="J1022:J1050" si="103">F1022-I1022</f>
        <v>1</v>
      </c>
      <c r="K1022" s="151">
        <f t="shared" ref="K1022:K1050" si="104">G1022-I1022</f>
        <v>1</v>
      </c>
      <c r="L1022" s="151">
        <f>SUMIF(Ere!$B:$B,'Element wise-detail Summary'!$A1022,Ere!$C:$C)</f>
        <v>0</v>
      </c>
      <c r="M1022" s="151">
        <f t="shared" ref="M1022:M1050" si="105">F1022-L1022</f>
        <v>1</v>
      </c>
      <c r="N1022">
        <f t="shared" ref="N1022:N1050" si="106">I1022*E1022</f>
        <v>0</v>
      </c>
    </row>
    <row r="1023" spans="1:14" hidden="1" x14ac:dyDescent="0.25">
      <c r="A1023" s="151" t="s">
        <v>2387</v>
      </c>
      <c r="B1023" s="233" t="str">
        <f>VLOOKUP(A1023,'AFC Data details'!$B:$E,4,0)</f>
        <v>PV42</v>
      </c>
      <c r="C1023" s="144" t="s">
        <v>1700</v>
      </c>
      <c r="D1023" s="151" t="s">
        <v>602</v>
      </c>
      <c r="E1023" s="151">
        <f>VLOOKUP(A1023,'AFC Data details'!$B:$P,15,0)</f>
        <v>2.1909999999999998</v>
      </c>
      <c r="F1023" s="151">
        <f>SUMIFS('AFC Data details'!C:C,'AFC Data details'!$B:$B,'Element wise-detail Summary'!$A1023)</f>
        <v>1</v>
      </c>
      <c r="G1023" s="151">
        <f>SUMIFS(Cast!$C:$C,Cast!$B:$B,'Element wise-detail Summary'!$A1023)</f>
        <v>1</v>
      </c>
      <c r="H1023" s="151">
        <f t="shared" si="102"/>
        <v>0</v>
      </c>
      <c r="I1023" s="151">
        <f>SUMIFS(Del!$C:$C,Del!$B:$B,'Element wise-detail Summary'!$A1023)</f>
        <v>0</v>
      </c>
      <c r="J1023" s="151">
        <f t="shared" si="103"/>
        <v>1</v>
      </c>
      <c r="K1023" s="151">
        <f t="shared" si="104"/>
        <v>1</v>
      </c>
      <c r="L1023" s="151">
        <f>SUMIF(Ere!$B:$B,'Element wise-detail Summary'!$A1023,Ere!$C:$C)</f>
        <v>0</v>
      </c>
      <c r="M1023" s="151">
        <f t="shared" si="105"/>
        <v>1</v>
      </c>
      <c r="N1023">
        <f t="shared" si="106"/>
        <v>0</v>
      </c>
    </row>
    <row r="1024" spans="1:14" hidden="1" x14ac:dyDescent="0.25">
      <c r="A1024" s="151" t="s">
        <v>2388</v>
      </c>
      <c r="B1024" s="233" t="str">
        <f>VLOOKUP(A1024,'AFC Data details'!$B:$E,4,0)</f>
        <v>PV43</v>
      </c>
      <c r="C1024" s="144" t="s">
        <v>1700</v>
      </c>
      <c r="D1024" s="151" t="s">
        <v>602</v>
      </c>
      <c r="E1024" s="151">
        <f>VLOOKUP(A1024,'AFC Data details'!$B:$P,15,0)</f>
        <v>2.1909999999999998</v>
      </c>
      <c r="F1024" s="151">
        <f>SUMIFS('AFC Data details'!C:C,'AFC Data details'!$B:$B,'Element wise-detail Summary'!$A1024)</f>
        <v>1</v>
      </c>
      <c r="G1024" s="151">
        <f>SUMIFS(Cast!$C:$C,Cast!$B:$B,'Element wise-detail Summary'!$A1024)</f>
        <v>1</v>
      </c>
      <c r="H1024" s="151">
        <f t="shared" si="102"/>
        <v>0</v>
      </c>
      <c r="I1024" s="151">
        <f>SUMIFS(Del!$C:$C,Del!$B:$B,'Element wise-detail Summary'!$A1024)</f>
        <v>0</v>
      </c>
      <c r="J1024" s="151">
        <f t="shared" si="103"/>
        <v>1</v>
      </c>
      <c r="K1024" s="151">
        <f t="shared" si="104"/>
        <v>1</v>
      </c>
      <c r="L1024" s="151">
        <f>SUMIF(Ere!$B:$B,'Element wise-detail Summary'!$A1024,Ere!$C:$C)</f>
        <v>0</v>
      </c>
      <c r="M1024" s="151">
        <f t="shared" si="105"/>
        <v>1</v>
      </c>
      <c r="N1024">
        <f t="shared" si="106"/>
        <v>0</v>
      </c>
    </row>
    <row r="1025" spans="1:14" hidden="1" x14ac:dyDescent="0.25">
      <c r="A1025" s="151" t="s">
        <v>2389</v>
      </c>
      <c r="B1025" s="233" t="str">
        <f>VLOOKUP(A1025,'AFC Data details'!$B:$E,4,0)</f>
        <v>PV42</v>
      </c>
      <c r="C1025" s="144" t="s">
        <v>1700</v>
      </c>
      <c r="D1025" s="151" t="s">
        <v>602</v>
      </c>
      <c r="E1025" s="151">
        <f>VLOOKUP(A1025,'AFC Data details'!$B:$P,15,0)</f>
        <v>2.1909999999999998</v>
      </c>
      <c r="F1025" s="151">
        <f>SUMIFS('AFC Data details'!C:C,'AFC Data details'!$B:$B,'Element wise-detail Summary'!$A1025)</f>
        <v>1</v>
      </c>
      <c r="G1025" s="151">
        <f>SUMIFS(Cast!$C:$C,Cast!$B:$B,'Element wise-detail Summary'!$A1025)</f>
        <v>1</v>
      </c>
      <c r="H1025" s="151">
        <f t="shared" si="102"/>
        <v>0</v>
      </c>
      <c r="I1025" s="151">
        <f>SUMIFS(Del!$C:$C,Del!$B:$B,'Element wise-detail Summary'!$A1025)</f>
        <v>0</v>
      </c>
      <c r="J1025" s="151">
        <f t="shared" si="103"/>
        <v>1</v>
      </c>
      <c r="K1025" s="151">
        <f t="shared" si="104"/>
        <v>1</v>
      </c>
      <c r="L1025" s="151">
        <f>SUMIF(Ere!$B:$B,'Element wise-detail Summary'!$A1025,Ere!$C:$C)</f>
        <v>0</v>
      </c>
      <c r="M1025" s="151">
        <f t="shared" si="105"/>
        <v>1</v>
      </c>
      <c r="N1025">
        <f t="shared" si="106"/>
        <v>0</v>
      </c>
    </row>
    <row r="1026" spans="1:14" hidden="1" x14ac:dyDescent="0.25">
      <c r="A1026" s="151" t="s">
        <v>2390</v>
      </c>
      <c r="B1026" s="233" t="str">
        <f>VLOOKUP(A1026,'AFC Data details'!$B:$E,4,0)</f>
        <v>PV42</v>
      </c>
      <c r="C1026" s="144" t="s">
        <v>1700</v>
      </c>
      <c r="D1026" s="151" t="s">
        <v>602</v>
      </c>
      <c r="E1026" s="151">
        <f>VLOOKUP(A1026,'AFC Data details'!$B:$P,15,0)</f>
        <v>2.1909999999999998</v>
      </c>
      <c r="F1026" s="151">
        <f>SUMIFS('AFC Data details'!C:C,'AFC Data details'!$B:$B,'Element wise-detail Summary'!$A1026)</f>
        <v>1</v>
      </c>
      <c r="G1026" s="151">
        <f>SUMIFS(Cast!$C:$C,Cast!$B:$B,'Element wise-detail Summary'!$A1026)</f>
        <v>1</v>
      </c>
      <c r="H1026" s="151">
        <f t="shared" si="102"/>
        <v>0</v>
      </c>
      <c r="I1026" s="151">
        <f>SUMIFS(Del!$C:$C,Del!$B:$B,'Element wise-detail Summary'!$A1026)</f>
        <v>0</v>
      </c>
      <c r="J1026" s="151">
        <f t="shared" si="103"/>
        <v>1</v>
      </c>
      <c r="K1026" s="151">
        <f t="shared" si="104"/>
        <v>1</v>
      </c>
      <c r="L1026" s="151">
        <f>SUMIF(Ere!$B:$B,'Element wise-detail Summary'!$A1026,Ere!$C:$C)</f>
        <v>0</v>
      </c>
      <c r="M1026" s="151">
        <f t="shared" si="105"/>
        <v>1</v>
      </c>
      <c r="N1026">
        <f t="shared" si="106"/>
        <v>0</v>
      </c>
    </row>
    <row r="1027" spans="1:14" hidden="1" x14ac:dyDescent="0.25">
      <c r="A1027" s="151" t="s">
        <v>2391</v>
      </c>
      <c r="B1027" s="233" t="str">
        <f>VLOOKUP(A1027,'AFC Data details'!$B:$E,4,0)</f>
        <v>PV42</v>
      </c>
      <c r="C1027" s="144" t="s">
        <v>1700</v>
      </c>
      <c r="D1027" s="151" t="s">
        <v>602</v>
      </c>
      <c r="E1027" s="151">
        <f>VLOOKUP(A1027,'AFC Data details'!$B:$P,15,0)</f>
        <v>2.1909999999999998</v>
      </c>
      <c r="F1027" s="151">
        <f>SUMIFS('AFC Data details'!C:C,'AFC Data details'!$B:$B,'Element wise-detail Summary'!$A1027)</f>
        <v>1</v>
      </c>
      <c r="G1027" s="151">
        <f>SUMIFS(Cast!$C:$C,Cast!$B:$B,'Element wise-detail Summary'!$A1027)</f>
        <v>1</v>
      </c>
      <c r="H1027" s="151">
        <f t="shared" si="102"/>
        <v>0</v>
      </c>
      <c r="I1027" s="151">
        <f>SUMIFS(Del!$C:$C,Del!$B:$B,'Element wise-detail Summary'!$A1027)</f>
        <v>0</v>
      </c>
      <c r="J1027" s="151">
        <f t="shared" si="103"/>
        <v>1</v>
      </c>
      <c r="K1027" s="151">
        <f t="shared" si="104"/>
        <v>1</v>
      </c>
      <c r="L1027" s="151">
        <f>SUMIF(Ere!$B:$B,'Element wise-detail Summary'!$A1027,Ere!$C:$C)</f>
        <v>0</v>
      </c>
      <c r="M1027" s="151">
        <f t="shared" si="105"/>
        <v>1</v>
      </c>
      <c r="N1027">
        <f t="shared" si="106"/>
        <v>0</v>
      </c>
    </row>
    <row r="1028" spans="1:14" hidden="1" x14ac:dyDescent="0.25">
      <c r="A1028" s="151" t="s">
        <v>2392</v>
      </c>
      <c r="B1028" s="233" t="str">
        <f>VLOOKUP(A1028,'AFC Data details'!$B:$E,4,0)</f>
        <v>PV42</v>
      </c>
      <c r="C1028" s="144" t="s">
        <v>1700</v>
      </c>
      <c r="D1028" s="151" t="s">
        <v>602</v>
      </c>
      <c r="E1028" s="151">
        <f>VLOOKUP(A1028,'AFC Data details'!$B:$P,15,0)</f>
        <v>2.1909999999999998</v>
      </c>
      <c r="F1028" s="151">
        <f>SUMIFS('AFC Data details'!C:C,'AFC Data details'!$B:$B,'Element wise-detail Summary'!$A1028)</f>
        <v>1</v>
      </c>
      <c r="G1028" s="151">
        <f>SUMIFS(Cast!$C:$C,Cast!$B:$B,'Element wise-detail Summary'!$A1028)</f>
        <v>1</v>
      </c>
      <c r="H1028" s="151">
        <f t="shared" si="102"/>
        <v>0</v>
      </c>
      <c r="I1028" s="151">
        <f>SUMIFS(Del!$C:$C,Del!$B:$B,'Element wise-detail Summary'!$A1028)</f>
        <v>0</v>
      </c>
      <c r="J1028" s="151">
        <f t="shared" si="103"/>
        <v>1</v>
      </c>
      <c r="K1028" s="151">
        <f t="shared" si="104"/>
        <v>1</v>
      </c>
      <c r="L1028" s="151">
        <f>SUMIF(Ere!$B:$B,'Element wise-detail Summary'!$A1028,Ere!$C:$C)</f>
        <v>0</v>
      </c>
      <c r="M1028" s="151">
        <f t="shared" si="105"/>
        <v>1</v>
      </c>
      <c r="N1028">
        <f t="shared" si="106"/>
        <v>0</v>
      </c>
    </row>
    <row r="1029" spans="1:14" hidden="1" x14ac:dyDescent="0.25">
      <c r="A1029" s="151" t="s">
        <v>2393</v>
      </c>
      <c r="B1029" s="233" t="str">
        <f>VLOOKUP(A1029,'AFC Data details'!$B:$E,4,0)</f>
        <v>PV43</v>
      </c>
      <c r="C1029" s="144" t="s">
        <v>1700</v>
      </c>
      <c r="D1029" s="151" t="s">
        <v>602</v>
      </c>
      <c r="E1029" s="151">
        <f>VLOOKUP(A1029,'AFC Data details'!$B:$P,15,0)</f>
        <v>2.1909999999999998</v>
      </c>
      <c r="F1029" s="151">
        <f>SUMIFS('AFC Data details'!C:C,'AFC Data details'!$B:$B,'Element wise-detail Summary'!$A1029)</f>
        <v>1</v>
      </c>
      <c r="G1029" s="151">
        <f>SUMIFS(Cast!$C:$C,Cast!$B:$B,'Element wise-detail Summary'!$A1029)</f>
        <v>1</v>
      </c>
      <c r="H1029" s="151">
        <f t="shared" si="102"/>
        <v>0</v>
      </c>
      <c r="I1029" s="151">
        <f>SUMIFS(Del!$C:$C,Del!$B:$B,'Element wise-detail Summary'!$A1029)</f>
        <v>0</v>
      </c>
      <c r="J1029" s="151">
        <f t="shared" si="103"/>
        <v>1</v>
      </c>
      <c r="K1029" s="151">
        <f t="shared" si="104"/>
        <v>1</v>
      </c>
      <c r="L1029" s="151">
        <f>SUMIF(Ere!$B:$B,'Element wise-detail Summary'!$A1029,Ere!$C:$C)</f>
        <v>0</v>
      </c>
      <c r="M1029" s="151">
        <f t="shared" si="105"/>
        <v>1</v>
      </c>
      <c r="N1029">
        <f t="shared" si="106"/>
        <v>0</v>
      </c>
    </row>
    <row r="1030" spans="1:14" hidden="1" x14ac:dyDescent="0.25">
      <c r="A1030" s="151" t="s">
        <v>2394</v>
      </c>
      <c r="B1030" s="233" t="str">
        <f>VLOOKUP(A1030,'AFC Data details'!$B:$E,4,0)</f>
        <v>PV43</v>
      </c>
      <c r="C1030" s="144" t="s">
        <v>1700</v>
      </c>
      <c r="D1030" s="151" t="s">
        <v>602</v>
      </c>
      <c r="E1030" s="151">
        <f>VLOOKUP(A1030,'AFC Data details'!$B:$P,15,0)</f>
        <v>2.1909999999999998</v>
      </c>
      <c r="F1030" s="151">
        <f>SUMIFS('AFC Data details'!C:C,'AFC Data details'!$B:$B,'Element wise-detail Summary'!$A1030)</f>
        <v>1</v>
      </c>
      <c r="G1030" s="151">
        <f>SUMIFS(Cast!$C:$C,Cast!$B:$B,'Element wise-detail Summary'!$A1030)</f>
        <v>1</v>
      </c>
      <c r="H1030" s="151">
        <f t="shared" si="102"/>
        <v>0</v>
      </c>
      <c r="I1030" s="151">
        <f>SUMIFS(Del!$C:$C,Del!$B:$B,'Element wise-detail Summary'!$A1030)</f>
        <v>0</v>
      </c>
      <c r="J1030" s="151">
        <f t="shared" si="103"/>
        <v>1</v>
      </c>
      <c r="K1030" s="151">
        <f t="shared" si="104"/>
        <v>1</v>
      </c>
      <c r="L1030" s="151">
        <f>SUMIF(Ere!$B:$B,'Element wise-detail Summary'!$A1030,Ere!$C:$C)</f>
        <v>0</v>
      </c>
      <c r="M1030" s="151">
        <f t="shared" si="105"/>
        <v>1</v>
      </c>
      <c r="N1030">
        <f t="shared" si="106"/>
        <v>0</v>
      </c>
    </row>
    <row r="1031" spans="1:14" hidden="1" x14ac:dyDescent="0.25">
      <c r="A1031" s="151" t="s">
        <v>2395</v>
      </c>
      <c r="B1031" s="233" t="str">
        <f>VLOOKUP(A1031,'AFC Data details'!$B:$E,4,0)</f>
        <v>PV43</v>
      </c>
      <c r="C1031" s="144" t="s">
        <v>1700</v>
      </c>
      <c r="D1031" s="151" t="s">
        <v>602</v>
      </c>
      <c r="E1031" s="151">
        <f>VLOOKUP(A1031,'AFC Data details'!$B:$P,15,0)</f>
        <v>2.1909999999999998</v>
      </c>
      <c r="F1031" s="151">
        <f>SUMIFS('AFC Data details'!C:C,'AFC Data details'!$B:$B,'Element wise-detail Summary'!$A1031)</f>
        <v>1</v>
      </c>
      <c r="G1031" s="151">
        <f>SUMIFS(Cast!$C:$C,Cast!$B:$B,'Element wise-detail Summary'!$A1031)</f>
        <v>1</v>
      </c>
      <c r="H1031" s="151">
        <f t="shared" si="102"/>
        <v>0</v>
      </c>
      <c r="I1031" s="151">
        <f>SUMIFS(Del!$C:$C,Del!$B:$B,'Element wise-detail Summary'!$A1031)</f>
        <v>0</v>
      </c>
      <c r="J1031" s="151">
        <f t="shared" si="103"/>
        <v>1</v>
      </c>
      <c r="K1031" s="151">
        <f t="shared" si="104"/>
        <v>1</v>
      </c>
      <c r="L1031" s="151">
        <f>SUMIF(Ere!$B:$B,'Element wise-detail Summary'!$A1031,Ere!$C:$C)</f>
        <v>0</v>
      </c>
      <c r="M1031" s="151">
        <f t="shared" si="105"/>
        <v>1</v>
      </c>
      <c r="N1031">
        <f t="shared" si="106"/>
        <v>0</v>
      </c>
    </row>
    <row r="1032" spans="1:14" hidden="1" x14ac:dyDescent="0.25">
      <c r="A1032" s="151" t="s">
        <v>2396</v>
      </c>
      <c r="B1032" s="233" t="str">
        <f>VLOOKUP(A1032,'AFC Data details'!$B:$E,4,0)</f>
        <v>PV43</v>
      </c>
      <c r="C1032" s="144" t="s">
        <v>1700</v>
      </c>
      <c r="D1032" s="151" t="s">
        <v>602</v>
      </c>
      <c r="E1032" s="151">
        <f>VLOOKUP(A1032,'AFC Data details'!$B:$P,15,0)</f>
        <v>2.1909999999999998</v>
      </c>
      <c r="F1032" s="151">
        <f>SUMIFS('AFC Data details'!C:C,'AFC Data details'!$B:$B,'Element wise-detail Summary'!$A1032)</f>
        <v>1</v>
      </c>
      <c r="G1032" s="151">
        <f>SUMIFS(Cast!$C:$C,Cast!$B:$B,'Element wise-detail Summary'!$A1032)</f>
        <v>1</v>
      </c>
      <c r="H1032" s="151">
        <f t="shared" si="102"/>
        <v>0</v>
      </c>
      <c r="I1032" s="151">
        <f>SUMIFS(Del!$C:$C,Del!$B:$B,'Element wise-detail Summary'!$A1032)</f>
        <v>0</v>
      </c>
      <c r="J1032" s="151">
        <f t="shared" si="103"/>
        <v>1</v>
      </c>
      <c r="K1032" s="151">
        <f t="shared" si="104"/>
        <v>1</v>
      </c>
      <c r="L1032" s="151">
        <f>SUMIF(Ere!$B:$B,'Element wise-detail Summary'!$A1032,Ere!$C:$C)</f>
        <v>0</v>
      </c>
      <c r="M1032" s="151">
        <f t="shared" si="105"/>
        <v>1</v>
      </c>
      <c r="N1032">
        <f t="shared" si="106"/>
        <v>0</v>
      </c>
    </row>
    <row r="1033" spans="1:14" hidden="1" x14ac:dyDescent="0.25">
      <c r="A1033" s="151" t="s">
        <v>2397</v>
      </c>
      <c r="B1033" s="233" t="str">
        <f>VLOOKUP(A1033,'AFC Data details'!$B:$E,4,0)</f>
        <v>PV42</v>
      </c>
      <c r="C1033" s="144" t="s">
        <v>1700</v>
      </c>
      <c r="D1033" s="151" t="s">
        <v>602</v>
      </c>
      <c r="E1033" s="151">
        <f>VLOOKUP(A1033,'AFC Data details'!$B:$P,15,0)</f>
        <v>2.1909999999999998</v>
      </c>
      <c r="F1033" s="151">
        <f>SUMIFS('AFC Data details'!C:C,'AFC Data details'!$B:$B,'Element wise-detail Summary'!$A1033)</f>
        <v>1</v>
      </c>
      <c r="G1033" s="151">
        <f>SUMIFS(Cast!$C:$C,Cast!$B:$B,'Element wise-detail Summary'!$A1033)</f>
        <v>1</v>
      </c>
      <c r="H1033" s="151">
        <f t="shared" si="102"/>
        <v>0</v>
      </c>
      <c r="I1033" s="151">
        <f>SUMIFS(Del!$C:$C,Del!$B:$B,'Element wise-detail Summary'!$A1033)</f>
        <v>0</v>
      </c>
      <c r="J1033" s="151">
        <f t="shared" si="103"/>
        <v>1</v>
      </c>
      <c r="K1033" s="151">
        <f t="shared" si="104"/>
        <v>1</v>
      </c>
      <c r="L1033" s="151">
        <f>SUMIF(Ere!$B:$B,'Element wise-detail Summary'!$A1033,Ere!$C:$C)</f>
        <v>0</v>
      </c>
      <c r="M1033" s="151">
        <f t="shared" si="105"/>
        <v>1</v>
      </c>
      <c r="N1033">
        <f t="shared" si="106"/>
        <v>0</v>
      </c>
    </row>
    <row r="1034" spans="1:14" hidden="1" x14ac:dyDescent="0.25">
      <c r="A1034" s="151" t="s">
        <v>2398</v>
      </c>
      <c r="B1034" s="233" t="str">
        <f>VLOOKUP(A1034,'AFC Data details'!$B:$E,4,0)</f>
        <v>PV43</v>
      </c>
      <c r="C1034" s="144" t="s">
        <v>1700</v>
      </c>
      <c r="D1034" s="151" t="s">
        <v>602</v>
      </c>
      <c r="E1034" s="151">
        <f>VLOOKUP(A1034,'AFC Data details'!$B:$P,15,0)</f>
        <v>2.1909999999999998</v>
      </c>
      <c r="F1034" s="151">
        <f>SUMIFS('AFC Data details'!C:C,'AFC Data details'!$B:$B,'Element wise-detail Summary'!$A1034)</f>
        <v>1</v>
      </c>
      <c r="G1034" s="151">
        <f>SUMIFS(Cast!$C:$C,Cast!$B:$B,'Element wise-detail Summary'!$A1034)</f>
        <v>1</v>
      </c>
      <c r="H1034" s="151">
        <f t="shared" si="102"/>
        <v>0</v>
      </c>
      <c r="I1034" s="151">
        <f>SUMIFS(Del!$C:$C,Del!$B:$B,'Element wise-detail Summary'!$A1034)</f>
        <v>0</v>
      </c>
      <c r="J1034" s="151">
        <f t="shared" si="103"/>
        <v>1</v>
      </c>
      <c r="K1034" s="151">
        <f t="shared" si="104"/>
        <v>1</v>
      </c>
      <c r="L1034" s="151">
        <f>SUMIF(Ere!$B:$B,'Element wise-detail Summary'!$A1034,Ere!$C:$C)</f>
        <v>0</v>
      </c>
      <c r="M1034" s="151">
        <f t="shared" si="105"/>
        <v>1</v>
      </c>
      <c r="N1034">
        <f t="shared" si="106"/>
        <v>0</v>
      </c>
    </row>
    <row r="1035" spans="1:14" hidden="1" x14ac:dyDescent="0.25">
      <c r="A1035" s="151" t="s">
        <v>2399</v>
      </c>
      <c r="B1035" s="233" t="str">
        <f>VLOOKUP(A1035,'AFC Data details'!$B:$E,4,0)</f>
        <v>PV42</v>
      </c>
      <c r="C1035" s="144" t="s">
        <v>1700</v>
      </c>
      <c r="D1035" s="151" t="s">
        <v>602</v>
      </c>
      <c r="E1035" s="151">
        <f>VLOOKUP(A1035,'AFC Data details'!$B:$P,15,0)</f>
        <v>1.33</v>
      </c>
      <c r="F1035" s="151">
        <f>SUMIFS('AFC Data details'!C:C,'AFC Data details'!$B:$B,'Element wise-detail Summary'!$A1035)</f>
        <v>1</v>
      </c>
      <c r="G1035" s="151">
        <f>SUMIFS(Cast!$C:$C,Cast!$B:$B,'Element wise-detail Summary'!$A1035)</f>
        <v>1</v>
      </c>
      <c r="H1035" s="151">
        <f t="shared" si="102"/>
        <v>0</v>
      </c>
      <c r="I1035" s="151">
        <f>SUMIFS(Del!$C:$C,Del!$B:$B,'Element wise-detail Summary'!$A1035)</f>
        <v>0</v>
      </c>
      <c r="J1035" s="151">
        <f t="shared" si="103"/>
        <v>1</v>
      </c>
      <c r="K1035" s="151">
        <f t="shared" si="104"/>
        <v>1</v>
      </c>
      <c r="L1035" s="151">
        <f>SUMIF(Ere!$B:$B,'Element wise-detail Summary'!$A1035,Ere!$C:$C)</f>
        <v>0</v>
      </c>
      <c r="M1035" s="151">
        <f t="shared" si="105"/>
        <v>1</v>
      </c>
      <c r="N1035">
        <f t="shared" si="106"/>
        <v>0</v>
      </c>
    </row>
    <row r="1036" spans="1:14" hidden="1" x14ac:dyDescent="0.25">
      <c r="A1036" s="151" t="s">
        <v>2400</v>
      </c>
      <c r="B1036" s="233" t="str">
        <f>VLOOKUP(A1036,'AFC Data details'!$B:$E,4,0)</f>
        <v>PV42</v>
      </c>
      <c r="C1036" s="144" t="s">
        <v>1700</v>
      </c>
      <c r="D1036" s="151" t="s">
        <v>602</v>
      </c>
      <c r="E1036" s="151">
        <f>VLOOKUP(A1036,'AFC Data details'!$B:$P,15,0)</f>
        <v>1.583</v>
      </c>
      <c r="F1036" s="151">
        <f>SUMIFS('AFC Data details'!C:C,'AFC Data details'!$B:$B,'Element wise-detail Summary'!$A1036)</f>
        <v>1</v>
      </c>
      <c r="G1036" s="151">
        <f>SUMIFS(Cast!$C:$C,Cast!$B:$B,'Element wise-detail Summary'!$A1036)</f>
        <v>1</v>
      </c>
      <c r="H1036" s="151">
        <f t="shared" si="102"/>
        <v>0</v>
      </c>
      <c r="I1036" s="151">
        <f>SUMIFS(Del!$C:$C,Del!$B:$B,'Element wise-detail Summary'!$A1036)</f>
        <v>0</v>
      </c>
      <c r="J1036" s="151">
        <f t="shared" si="103"/>
        <v>1</v>
      </c>
      <c r="K1036" s="151">
        <f t="shared" si="104"/>
        <v>1</v>
      </c>
      <c r="L1036" s="151">
        <f>SUMIF(Ere!$B:$B,'Element wise-detail Summary'!$A1036,Ere!$C:$C)</f>
        <v>0</v>
      </c>
      <c r="M1036" s="151">
        <f t="shared" si="105"/>
        <v>1</v>
      </c>
      <c r="N1036">
        <f t="shared" si="106"/>
        <v>0</v>
      </c>
    </row>
    <row r="1037" spans="1:14" hidden="1" x14ac:dyDescent="0.25">
      <c r="A1037" s="151" t="s">
        <v>2401</v>
      </c>
      <c r="B1037" s="233" t="str">
        <f>VLOOKUP(A1037,'AFC Data details'!$B:$E,4,0)</f>
        <v>PV43</v>
      </c>
      <c r="C1037" s="144" t="s">
        <v>1700</v>
      </c>
      <c r="D1037" s="151" t="s">
        <v>602</v>
      </c>
      <c r="E1037" s="151">
        <f>VLOOKUP(A1037,'AFC Data details'!$B:$P,15,0)</f>
        <v>1.8220000000000001</v>
      </c>
      <c r="F1037" s="151">
        <f>SUMIFS('AFC Data details'!C:C,'AFC Data details'!$B:$B,'Element wise-detail Summary'!$A1037)</f>
        <v>1</v>
      </c>
      <c r="G1037" s="151">
        <f>SUMIFS(Cast!$C:$C,Cast!$B:$B,'Element wise-detail Summary'!$A1037)</f>
        <v>1</v>
      </c>
      <c r="H1037" s="151">
        <f t="shared" si="102"/>
        <v>0</v>
      </c>
      <c r="I1037" s="151">
        <f>SUMIFS(Del!$C:$C,Del!$B:$B,'Element wise-detail Summary'!$A1037)</f>
        <v>0</v>
      </c>
      <c r="J1037" s="151">
        <f t="shared" si="103"/>
        <v>1</v>
      </c>
      <c r="K1037" s="151">
        <f t="shared" si="104"/>
        <v>1</v>
      </c>
      <c r="L1037" s="151">
        <f>SUMIF(Ere!$B:$B,'Element wise-detail Summary'!$A1037,Ere!$C:$C)</f>
        <v>0</v>
      </c>
      <c r="M1037" s="151">
        <f t="shared" si="105"/>
        <v>1</v>
      </c>
      <c r="N1037">
        <f t="shared" si="106"/>
        <v>0</v>
      </c>
    </row>
    <row r="1038" spans="1:14" hidden="1" x14ac:dyDescent="0.25">
      <c r="A1038" s="151" t="s">
        <v>2402</v>
      </c>
      <c r="B1038" s="233" t="str">
        <f>VLOOKUP(A1038,'AFC Data details'!$B:$E,4,0)</f>
        <v>PV43</v>
      </c>
      <c r="C1038" s="144" t="s">
        <v>1700</v>
      </c>
      <c r="D1038" s="151" t="s">
        <v>602</v>
      </c>
      <c r="E1038" s="151">
        <f>VLOOKUP(A1038,'AFC Data details'!$B:$P,15,0)</f>
        <v>1.4379999999999999</v>
      </c>
      <c r="F1038" s="151">
        <f>SUMIFS('AFC Data details'!C:C,'AFC Data details'!$B:$B,'Element wise-detail Summary'!$A1038)</f>
        <v>1</v>
      </c>
      <c r="G1038" s="151">
        <f>SUMIFS(Cast!$C:$C,Cast!$B:$B,'Element wise-detail Summary'!$A1038)</f>
        <v>1</v>
      </c>
      <c r="H1038" s="151">
        <f t="shared" si="102"/>
        <v>0</v>
      </c>
      <c r="I1038" s="151">
        <f>SUMIFS(Del!$C:$C,Del!$B:$B,'Element wise-detail Summary'!$A1038)</f>
        <v>0</v>
      </c>
      <c r="J1038" s="151">
        <f t="shared" si="103"/>
        <v>1</v>
      </c>
      <c r="K1038" s="151">
        <f t="shared" si="104"/>
        <v>1</v>
      </c>
      <c r="L1038" s="151">
        <f>SUMIF(Ere!$B:$B,'Element wise-detail Summary'!$A1038,Ere!$C:$C)</f>
        <v>0</v>
      </c>
      <c r="M1038" s="151">
        <f t="shared" si="105"/>
        <v>1</v>
      </c>
      <c r="N1038">
        <f t="shared" si="106"/>
        <v>0</v>
      </c>
    </row>
    <row r="1039" spans="1:14" hidden="1" x14ac:dyDescent="0.25">
      <c r="A1039" s="151" t="s">
        <v>2403</v>
      </c>
      <c r="B1039" s="233" t="str">
        <f>VLOOKUP(A1039,'AFC Data details'!$B:$E,4,0)</f>
        <v>PV43</v>
      </c>
      <c r="C1039" s="144" t="s">
        <v>1700</v>
      </c>
      <c r="D1039" s="151" t="s">
        <v>602</v>
      </c>
      <c r="E1039" s="151">
        <f>VLOOKUP(A1039,'AFC Data details'!$B:$P,15,0)</f>
        <v>1.1499999999999999</v>
      </c>
      <c r="F1039" s="151">
        <f>SUMIFS('AFC Data details'!C:C,'AFC Data details'!$B:$B,'Element wise-detail Summary'!$A1039)</f>
        <v>1</v>
      </c>
      <c r="G1039" s="151">
        <f>SUMIFS(Cast!$C:$C,Cast!$B:$B,'Element wise-detail Summary'!$A1039)</f>
        <v>1</v>
      </c>
      <c r="H1039" s="151">
        <f t="shared" si="102"/>
        <v>0</v>
      </c>
      <c r="I1039" s="151">
        <f>SUMIFS(Del!$C:$C,Del!$B:$B,'Element wise-detail Summary'!$A1039)</f>
        <v>0</v>
      </c>
      <c r="J1039" s="151">
        <f t="shared" si="103"/>
        <v>1</v>
      </c>
      <c r="K1039" s="151">
        <f t="shared" si="104"/>
        <v>1</v>
      </c>
      <c r="L1039" s="151">
        <f>SUMIF(Ere!$B:$B,'Element wise-detail Summary'!$A1039,Ere!$C:$C)</f>
        <v>0</v>
      </c>
      <c r="M1039" s="151">
        <f t="shared" si="105"/>
        <v>1</v>
      </c>
      <c r="N1039">
        <f t="shared" si="106"/>
        <v>0</v>
      </c>
    </row>
    <row r="1040" spans="1:14" hidden="1" x14ac:dyDescent="0.25">
      <c r="A1040" s="151" t="s">
        <v>2404</v>
      </c>
      <c r="B1040" s="233" t="str">
        <f>VLOOKUP(A1040,'AFC Data details'!$B:$E,4,0)</f>
        <v>PV44</v>
      </c>
      <c r="C1040" s="144" t="s">
        <v>1700</v>
      </c>
      <c r="D1040" s="151" t="s">
        <v>602</v>
      </c>
      <c r="E1040" s="151">
        <f>VLOOKUP(A1040,'AFC Data details'!$B:$P,15,0)</f>
        <v>0.96499999999999997</v>
      </c>
      <c r="F1040" s="151">
        <f>SUMIFS('AFC Data details'!C:C,'AFC Data details'!$B:$B,'Element wise-detail Summary'!$A1040)</f>
        <v>1</v>
      </c>
      <c r="G1040" s="151">
        <f>SUMIFS(Cast!$C:$C,Cast!$B:$B,'Element wise-detail Summary'!$A1040)</f>
        <v>1</v>
      </c>
      <c r="H1040" s="151">
        <f t="shared" si="102"/>
        <v>0</v>
      </c>
      <c r="I1040" s="151">
        <f>SUMIFS(Del!$C:$C,Del!$B:$B,'Element wise-detail Summary'!$A1040)</f>
        <v>0</v>
      </c>
      <c r="J1040" s="151">
        <f t="shared" si="103"/>
        <v>1</v>
      </c>
      <c r="K1040" s="151">
        <f t="shared" si="104"/>
        <v>1</v>
      </c>
      <c r="L1040" s="151">
        <f>SUMIF(Ere!$B:$B,'Element wise-detail Summary'!$A1040,Ere!$C:$C)</f>
        <v>0</v>
      </c>
      <c r="M1040" s="151">
        <f t="shared" si="105"/>
        <v>1</v>
      </c>
      <c r="N1040">
        <f t="shared" si="106"/>
        <v>0</v>
      </c>
    </row>
    <row r="1041" spans="1:14" hidden="1" x14ac:dyDescent="0.25">
      <c r="A1041" s="151" t="s">
        <v>2405</v>
      </c>
      <c r="B1041" s="233" t="str">
        <f>VLOOKUP(A1041,'AFC Data details'!$B:$E,4,0)</f>
        <v>PV44</v>
      </c>
      <c r="C1041" s="144" t="s">
        <v>1700</v>
      </c>
      <c r="D1041" s="151" t="s">
        <v>602</v>
      </c>
      <c r="E1041" s="151">
        <f>VLOOKUP(A1041,'AFC Data details'!$B:$P,15,0)</f>
        <v>0.96199999999999997</v>
      </c>
      <c r="F1041" s="151">
        <f>SUMIFS('AFC Data details'!C:C,'AFC Data details'!$B:$B,'Element wise-detail Summary'!$A1041)</f>
        <v>1</v>
      </c>
      <c r="G1041" s="151">
        <f>SUMIFS(Cast!$C:$C,Cast!$B:$B,'Element wise-detail Summary'!$A1041)</f>
        <v>1</v>
      </c>
      <c r="H1041" s="151">
        <f t="shared" si="102"/>
        <v>0</v>
      </c>
      <c r="I1041" s="151">
        <f>SUMIFS(Del!$C:$C,Del!$B:$B,'Element wise-detail Summary'!$A1041)</f>
        <v>0</v>
      </c>
      <c r="J1041" s="151">
        <f t="shared" si="103"/>
        <v>1</v>
      </c>
      <c r="K1041" s="151">
        <f t="shared" si="104"/>
        <v>1</v>
      </c>
      <c r="L1041" s="151">
        <f>SUMIF(Ere!$B:$B,'Element wise-detail Summary'!$A1041,Ere!$C:$C)</f>
        <v>0</v>
      </c>
      <c r="M1041" s="151">
        <f t="shared" si="105"/>
        <v>1</v>
      </c>
      <c r="N1041">
        <f t="shared" si="106"/>
        <v>0</v>
      </c>
    </row>
    <row r="1042" spans="1:14" hidden="1" x14ac:dyDescent="0.25">
      <c r="A1042" s="151" t="s">
        <v>2406</v>
      </c>
      <c r="B1042" s="233" t="str">
        <f>VLOOKUP(A1042,'AFC Data details'!$B:$E,4,0)</f>
        <v>PV44</v>
      </c>
      <c r="C1042" s="144" t="s">
        <v>1700</v>
      </c>
      <c r="D1042" s="151" t="s">
        <v>602</v>
      </c>
      <c r="E1042" s="151">
        <f>VLOOKUP(A1042,'AFC Data details'!$B:$P,15,0)</f>
        <v>0.96199999999999997</v>
      </c>
      <c r="F1042" s="151">
        <f>SUMIFS('AFC Data details'!C:C,'AFC Data details'!$B:$B,'Element wise-detail Summary'!$A1042)</f>
        <v>1</v>
      </c>
      <c r="G1042" s="151">
        <f>SUMIFS(Cast!$C:$C,Cast!$B:$B,'Element wise-detail Summary'!$A1042)</f>
        <v>1</v>
      </c>
      <c r="H1042" s="151">
        <f t="shared" si="102"/>
        <v>0</v>
      </c>
      <c r="I1042" s="151">
        <f>SUMIFS(Del!$C:$C,Del!$B:$B,'Element wise-detail Summary'!$A1042)</f>
        <v>0</v>
      </c>
      <c r="J1042" s="151">
        <f t="shared" si="103"/>
        <v>1</v>
      </c>
      <c r="K1042" s="151">
        <f t="shared" si="104"/>
        <v>1</v>
      </c>
      <c r="L1042" s="151">
        <f>SUMIF(Ere!$B:$B,'Element wise-detail Summary'!$A1042,Ere!$C:$C)</f>
        <v>0</v>
      </c>
      <c r="M1042" s="151">
        <f t="shared" si="105"/>
        <v>1</v>
      </c>
      <c r="N1042">
        <f t="shared" si="106"/>
        <v>0</v>
      </c>
    </row>
    <row r="1043" spans="1:14" hidden="1" x14ac:dyDescent="0.25">
      <c r="A1043" s="151" t="s">
        <v>2407</v>
      </c>
      <c r="B1043" s="233" t="str">
        <f>VLOOKUP(A1043,'AFC Data details'!$B:$E,4,0)</f>
        <v>PV44</v>
      </c>
      <c r="C1043" s="144" t="s">
        <v>1700</v>
      </c>
      <c r="D1043" s="151" t="s">
        <v>602</v>
      </c>
      <c r="E1043" s="151">
        <f>VLOOKUP(A1043,'AFC Data details'!$B:$P,15,0)</f>
        <v>0.96199999999999997</v>
      </c>
      <c r="F1043" s="151">
        <f>SUMIFS('AFC Data details'!C:C,'AFC Data details'!$B:$B,'Element wise-detail Summary'!$A1043)</f>
        <v>1</v>
      </c>
      <c r="G1043" s="151">
        <f>SUMIFS(Cast!$C:$C,Cast!$B:$B,'Element wise-detail Summary'!$A1043)</f>
        <v>1</v>
      </c>
      <c r="H1043" s="151">
        <f t="shared" si="102"/>
        <v>0</v>
      </c>
      <c r="I1043" s="151">
        <f>SUMIFS(Del!$C:$C,Del!$B:$B,'Element wise-detail Summary'!$A1043)</f>
        <v>0</v>
      </c>
      <c r="J1043" s="151">
        <f t="shared" si="103"/>
        <v>1</v>
      </c>
      <c r="K1043" s="151">
        <f t="shared" si="104"/>
        <v>1</v>
      </c>
      <c r="L1043" s="151">
        <f>SUMIF(Ere!$B:$B,'Element wise-detail Summary'!$A1043,Ere!$C:$C)</f>
        <v>0</v>
      </c>
      <c r="M1043" s="151">
        <f t="shared" si="105"/>
        <v>1</v>
      </c>
      <c r="N1043">
        <f t="shared" si="106"/>
        <v>0</v>
      </c>
    </row>
    <row r="1044" spans="1:14" hidden="1" x14ac:dyDescent="0.25">
      <c r="A1044" s="151" t="s">
        <v>2408</v>
      </c>
      <c r="B1044" s="233" t="str">
        <f>VLOOKUP(A1044,'AFC Data details'!$B:$E,4,0)</f>
        <v>PV44</v>
      </c>
      <c r="C1044" s="144" t="s">
        <v>1700</v>
      </c>
      <c r="D1044" s="151" t="s">
        <v>602</v>
      </c>
      <c r="E1044" s="151">
        <f>VLOOKUP(A1044,'AFC Data details'!$B:$P,15,0)</f>
        <v>0.96199999999999997</v>
      </c>
      <c r="F1044" s="151">
        <f>SUMIFS('AFC Data details'!C:C,'AFC Data details'!$B:$B,'Element wise-detail Summary'!$A1044)</f>
        <v>1</v>
      </c>
      <c r="G1044" s="151">
        <f>SUMIFS(Cast!$C:$C,Cast!$B:$B,'Element wise-detail Summary'!$A1044)</f>
        <v>1</v>
      </c>
      <c r="H1044" s="151">
        <f t="shared" si="102"/>
        <v>0</v>
      </c>
      <c r="I1044" s="151">
        <f>SUMIFS(Del!$C:$C,Del!$B:$B,'Element wise-detail Summary'!$A1044)</f>
        <v>0</v>
      </c>
      <c r="J1044" s="151">
        <f t="shared" si="103"/>
        <v>1</v>
      </c>
      <c r="K1044" s="151">
        <f t="shared" si="104"/>
        <v>1</v>
      </c>
      <c r="L1044" s="151">
        <f>SUMIF(Ere!$B:$B,'Element wise-detail Summary'!$A1044,Ere!$C:$C)</f>
        <v>0</v>
      </c>
      <c r="M1044" s="151">
        <f t="shared" si="105"/>
        <v>1</v>
      </c>
      <c r="N1044">
        <f t="shared" si="106"/>
        <v>0</v>
      </c>
    </row>
    <row r="1045" spans="1:14" hidden="1" x14ac:dyDescent="0.25">
      <c r="A1045" s="151" t="s">
        <v>2409</v>
      </c>
      <c r="B1045" s="233" t="str">
        <f>VLOOKUP(A1045,'AFC Data details'!$B:$E,4,0)</f>
        <v>PV44</v>
      </c>
      <c r="C1045" s="144" t="s">
        <v>1700</v>
      </c>
      <c r="D1045" s="151" t="s">
        <v>602</v>
      </c>
      <c r="E1045" s="151">
        <f>VLOOKUP(A1045,'AFC Data details'!$B:$P,15,0)</f>
        <v>0.96199999999999997</v>
      </c>
      <c r="F1045" s="151">
        <f>SUMIFS('AFC Data details'!C:C,'AFC Data details'!$B:$B,'Element wise-detail Summary'!$A1045)</f>
        <v>1</v>
      </c>
      <c r="G1045" s="151">
        <f>SUMIFS(Cast!$C:$C,Cast!$B:$B,'Element wise-detail Summary'!$A1045)</f>
        <v>1</v>
      </c>
      <c r="H1045" s="151">
        <f t="shared" si="102"/>
        <v>0</v>
      </c>
      <c r="I1045" s="151">
        <f>SUMIFS(Del!$C:$C,Del!$B:$B,'Element wise-detail Summary'!$A1045)</f>
        <v>0</v>
      </c>
      <c r="J1045" s="151">
        <f t="shared" si="103"/>
        <v>1</v>
      </c>
      <c r="K1045" s="151">
        <f t="shared" si="104"/>
        <v>1</v>
      </c>
      <c r="L1045" s="151">
        <f>SUMIF(Ere!$B:$B,'Element wise-detail Summary'!$A1045,Ere!$C:$C)</f>
        <v>0</v>
      </c>
      <c r="M1045" s="151">
        <f t="shared" si="105"/>
        <v>1</v>
      </c>
      <c r="N1045">
        <f t="shared" si="106"/>
        <v>0</v>
      </c>
    </row>
    <row r="1046" spans="1:14" hidden="1" x14ac:dyDescent="0.25">
      <c r="A1046" s="151" t="s">
        <v>2410</v>
      </c>
      <c r="B1046" s="233" t="str">
        <f>VLOOKUP(A1046,'AFC Data details'!$B:$E,4,0)</f>
        <v>PV44</v>
      </c>
      <c r="C1046" s="144" t="s">
        <v>1700</v>
      </c>
      <c r="D1046" s="151" t="s">
        <v>602</v>
      </c>
      <c r="E1046" s="151">
        <f>VLOOKUP(A1046,'AFC Data details'!$B:$P,15,0)</f>
        <v>0.96</v>
      </c>
      <c r="F1046" s="151">
        <f>SUMIFS('AFC Data details'!C:C,'AFC Data details'!$B:$B,'Element wise-detail Summary'!$A1046)</f>
        <v>1</v>
      </c>
      <c r="G1046" s="151">
        <f>SUMIFS(Cast!$C:$C,Cast!$B:$B,'Element wise-detail Summary'!$A1046)</f>
        <v>1</v>
      </c>
      <c r="H1046" s="151">
        <f t="shared" si="102"/>
        <v>0</v>
      </c>
      <c r="I1046" s="151">
        <f>SUMIFS(Del!$C:$C,Del!$B:$B,'Element wise-detail Summary'!$A1046)</f>
        <v>0</v>
      </c>
      <c r="J1046" s="151">
        <f t="shared" si="103"/>
        <v>1</v>
      </c>
      <c r="K1046" s="151">
        <f t="shared" si="104"/>
        <v>1</v>
      </c>
      <c r="L1046" s="151">
        <f>SUMIF(Ere!$B:$B,'Element wise-detail Summary'!$A1046,Ere!$C:$C)</f>
        <v>0</v>
      </c>
      <c r="M1046" s="151">
        <f t="shared" si="105"/>
        <v>1</v>
      </c>
      <c r="N1046">
        <f t="shared" si="106"/>
        <v>0</v>
      </c>
    </row>
    <row r="1047" spans="1:14" hidden="1" x14ac:dyDescent="0.25">
      <c r="A1047" s="151" t="s">
        <v>2411</v>
      </c>
      <c r="B1047" s="233" t="str">
        <f>VLOOKUP(A1047,'AFC Data details'!$B:$E,4,0)</f>
        <v>PV44</v>
      </c>
      <c r="C1047" s="144" t="s">
        <v>1700</v>
      </c>
      <c r="D1047" s="151" t="s">
        <v>602</v>
      </c>
      <c r="E1047" s="151">
        <f>VLOOKUP(A1047,'AFC Data details'!$B:$P,15,0)</f>
        <v>0.92800000000000005</v>
      </c>
      <c r="F1047" s="151">
        <f>SUMIFS('AFC Data details'!C:C,'AFC Data details'!$B:$B,'Element wise-detail Summary'!$A1047)</f>
        <v>1</v>
      </c>
      <c r="G1047" s="151">
        <f>SUMIFS(Cast!$C:$C,Cast!$B:$B,'Element wise-detail Summary'!$A1047)</f>
        <v>1</v>
      </c>
      <c r="H1047" s="151">
        <f t="shared" si="102"/>
        <v>0</v>
      </c>
      <c r="I1047" s="151">
        <f>SUMIFS(Del!$C:$C,Del!$B:$B,'Element wise-detail Summary'!$A1047)</f>
        <v>0</v>
      </c>
      <c r="J1047" s="151">
        <f t="shared" si="103"/>
        <v>1</v>
      </c>
      <c r="K1047" s="151">
        <f t="shared" si="104"/>
        <v>1</v>
      </c>
      <c r="L1047" s="151">
        <f>SUMIF(Ere!$B:$B,'Element wise-detail Summary'!$A1047,Ere!$C:$C)</f>
        <v>0</v>
      </c>
      <c r="M1047" s="151">
        <f t="shared" si="105"/>
        <v>1</v>
      </c>
      <c r="N1047">
        <f t="shared" si="106"/>
        <v>0</v>
      </c>
    </row>
    <row r="1048" spans="1:14" hidden="1" x14ac:dyDescent="0.25">
      <c r="A1048" s="151" t="s">
        <v>2412</v>
      </c>
      <c r="B1048" s="233" t="str">
        <f>VLOOKUP(A1048,'AFC Data details'!$B:$E,4,0)</f>
        <v>PV44</v>
      </c>
      <c r="C1048" s="144" t="s">
        <v>1700</v>
      </c>
      <c r="D1048" s="151" t="s">
        <v>602</v>
      </c>
      <c r="E1048" s="151">
        <f>VLOOKUP(A1048,'AFC Data details'!$B:$P,15,0)</f>
        <v>1.3759999999999999</v>
      </c>
      <c r="F1048" s="151">
        <f>SUMIFS('AFC Data details'!C:C,'AFC Data details'!$B:$B,'Element wise-detail Summary'!$A1048)</f>
        <v>1</v>
      </c>
      <c r="G1048" s="151">
        <f>SUMIFS(Cast!$C:$C,Cast!$B:$B,'Element wise-detail Summary'!$A1048)</f>
        <v>1</v>
      </c>
      <c r="H1048" s="151">
        <f t="shared" si="102"/>
        <v>0</v>
      </c>
      <c r="I1048" s="151">
        <f>SUMIFS(Del!$C:$C,Del!$B:$B,'Element wise-detail Summary'!$A1048)</f>
        <v>0</v>
      </c>
      <c r="J1048" s="151">
        <f t="shared" si="103"/>
        <v>1</v>
      </c>
      <c r="K1048" s="151">
        <f t="shared" si="104"/>
        <v>1</v>
      </c>
      <c r="L1048" s="151">
        <f>SUMIF(Ere!$B:$B,'Element wise-detail Summary'!$A1048,Ere!$C:$C)</f>
        <v>0</v>
      </c>
      <c r="M1048" s="151">
        <f t="shared" si="105"/>
        <v>1</v>
      </c>
      <c r="N1048">
        <f t="shared" si="106"/>
        <v>0</v>
      </c>
    </row>
    <row r="1049" spans="1:14" hidden="1" x14ac:dyDescent="0.25">
      <c r="A1049" s="151" t="s">
        <v>2413</v>
      </c>
      <c r="B1049" s="233" t="str">
        <f>VLOOKUP(A1049,'AFC Data details'!$B:$E,4,0)</f>
        <v>PV44</v>
      </c>
      <c r="C1049" s="144" t="s">
        <v>1700</v>
      </c>
      <c r="D1049" s="151" t="s">
        <v>602</v>
      </c>
      <c r="E1049" s="151">
        <f>VLOOKUP(A1049,'AFC Data details'!$B:$P,15,0)</f>
        <v>1.3759999999999999</v>
      </c>
      <c r="F1049" s="151">
        <f>SUMIFS('AFC Data details'!C:C,'AFC Data details'!$B:$B,'Element wise-detail Summary'!$A1049)</f>
        <v>1</v>
      </c>
      <c r="G1049" s="151">
        <f>SUMIFS(Cast!$C:$C,Cast!$B:$B,'Element wise-detail Summary'!$A1049)</f>
        <v>1</v>
      </c>
      <c r="H1049" s="151">
        <f t="shared" si="102"/>
        <v>0</v>
      </c>
      <c r="I1049" s="151">
        <f>SUMIFS(Del!$C:$C,Del!$B:$B,'Element wise-detail Summary'!$A1049)</f>
        <v>0</v>
      </c>
      <c r="J1049" s="151">
        <f t="shared" si="103"/>
        <v>1</v>
      </c>
      <c r="K1049" s="151">
        <f t="shared" si="104"/>
        <v>1</v>
      </c>
      <c r="L1049" s="151">
        <f>SUMIF(Ere!$B:$B,'Element wise-detail Summary'!$A1049,Ere!$C:$C)</f>
        <v>0</v>
      </c>
      <c r="M1049" s="151">
        <f t="shared" si="105"/>
        <v>1</v>
      </c>
      <c r="N1049">
        <f t="shared" si="106"/>
        <v>0</v>
      </c>
    </row>
    <row r="1050" spans="1:14" hidden="1" x14ac:dyDescent="0.25">
      <c r="A1050" s="151" t="s">
        <v>2414</v>
      </c>
      <c r="B1050" s="233" t="str">
        <f>VLOOKUP(A1050,'AFC Data details'!$B:$E,4,0)</f>
        <v>PV44</v>
      </c>
      <c r="C1050" s="144" t="s">
        <v>1700</v>
      </c>
      <c r="D1050" s="151" t="s">
        <v>602</v>
      </c>
      <c r="E1050" s="151">
        <f>VLOOKUP(A1050,'AFC Data details'!$B:$P,15,0)</f>
        <v>1.421</v>
      </c>
      <c r="F1050" s="151">
        <f>SUMIFS('AFC Data details'!C:C,'AFC Data details'!$B:$B,'Element wise-detail Summary'!$A1050)</f>
        <v>1</v>
      </c>
      <c r="G1050" s="151">
        <f>SUMIFS(Cast!$C:$C,Cast!$B:$B,'Element wise-detail Summary'!$A1050)</f>
        <v>1</v>
      </c>
      <c r="H1050" s="151">
        <f t="shared" si="102"/>
        <v>0</v>
      </c>
      <c r="I1050" s="151">
        <f>SUMIFS(Del!$C:$C,Del!$B:$B,'Element wise-detail Summary'!$A1050)</f>
        <v>0</v>
      </c>
      <c r="J1050" s="151">
        <f t="shared" si="103"/>
        <v>1</v>
      </c>
      <c r="K1050" s="151">
        <f t="shared" si="104"/>
        <v>1</v>
      </c>
      <c r="L1050" s="151">
        <f>SUMIF(Ere!$B:$B,'Element wise-detail Summary'!$A1050,Ere!$C:$C)</f>
        <v>0</v>
      </c>
      <c r="M1050" s="151">
        <f t="shared" si="105"/>
        <v>1</v>
      </c>
      <c r="N1050">
        <f t="shared" si="106"/>
        <v>0</v>
      </c>
    </row>
    <row r="1051" spans="1:14" hidden="1" x14ac:dyDescent="0.25">
      <c r="A1051" s="151" t="s">
        <v>2437</v>
      </c>
      <c r="B1051" s="233" t="str">
        <f>VLOOKUP(A1051,'AFC Data details'!$B:$E,4,0)</f>
        <v>V01</v>
      </c>
      <c r="C1051" s="144" t="s">
        <v>1698</v>
      </c>
      <c r="D1051" s="151" t="s">
        <v>602</v>
      </c>
      <c r="E1051" s="151">
        <f>VLOOKUP(A1051,'AFC Data details'!$B:$P,15,0)</f>
        <v>4.2320000000000002</v>
      </c>
      <c r="F1051" s="151">
        <f>SUMIFS('AFC Data details'!C:C,'AFC Data details'!$B:$B,'Element wise-detail Summary'!$A1051)</f>
        <v>1</v>
      </c>
      <c r="G1051" s="151">
        <f>SUMIFS(Cast!$C:$C,Cast!$B:$B,'Element wise-detail Summary'!$A1051)</f>
        <v>1</v>
      </c>
      <c r="H1051" s="151">
        <f t="shared" ref="H1051:H1058" si="107">F1051-G1051</f>
        <v>0</v>
      </c>
      <c r="I1051" s="151">
        <f>SUMIFS(Del!$C:$C,Del!$B:$B,'Element wise-detail Summary'!$A1051)</f>
        <v>1</v>
      </c>
      <c r="J1051" s="151">
        <f t="shared" ref="J1051:J1058" si="108">F1051-I1051</f>
        <v>0</v>
      </c>
      <c r="K1051" s="151">
        <f t="shared" ref="K1051:K1058" si="109">G1051-I1051</f>
        <v>0</v>
      </c>
      <c r="L1051" s="151">
        <f>SUMIF(Ere!$B:$B,'Element wise-detail Summary'!$A1051,Ere!$C:$C)</f>
        <v>1</v>
      </c>
      <c r="M1051" s="151">
        <f t="shared" ref="M1051:M1058" si="110">F1051-L1051</f>
        <v>0</v>
      </c>
    </row>
    <row r="1052" spans="1:14" hidden="1" x14ac:dyDescent="0.25">
      <c r="A1052" s="151" t="s">
        <v>2442</v>
      </c>
      <c r="B1052" s="233" t="str">
        <f>VLOOKUP(A1052,'AFC Data details'!$B:$E,4,0)</f>
        <v>V01</v>
      </c>
      <c r="C1052" s="144" t="s">
        <v>1698</v>
      </c>
      <c r="D1052" s="151" t="s">
        <v>602</v>
      </c>
      <c r="E1052" s="151">
        <f>VLOOKUP(A1052,'AFC Data details'!$B:$P,15,0)</f>
        <v>4.2859999999999996</v>
      </c>
      <c r="F1052" s="151">
        <f>SUMIFS('AFC Data details'!C:C,'AFC Data details'!$B:$B,'Element wise-detail Summary'!$A1052)</f>
        <v>1</v>
      </c>
      <c r="G1052" s="151">
        <f>SUMIFS(Cast!$C:$C,Cast!$B:$B,'Element wise-detail Summary'!$A1052)</f>
        <v>1</v>
      </c>
      <c r="H1052" s="151">
        <f t="shared" si="107"/>
        <v>0</v>
      </c>
      <c r="I1052" s="151">
        <f>SUMIFS(Del!$C:$C,Del!$B:$B,'Element wise-detail Summary'!$A1052)</f>
        <v>1</v>
      </c>
      <c r="J1052" s="151">
        <f t="shared" si="108"/>
        <v>0</v>
      </c>
      <c r="K1052" s="151">
        <f t="shared" si="109"/>
        <v>0</v>
      </c>
      <c r="L1052" s="151">
        <f>SUMIF(Ere!$B:$B,'Element wise-detail Summary'!$A1052,Ere!$C:$C)</f>
        <v>1</v>
      </c>
      <c r="M1052" s="151">
        <f t="shared" si="110"/>
        <v>0</v>
      </c>
    </row>
    <row r="1053" spans="1:14" hidden="1" x14ac:dyDescent="0.25">
      <c r="A1053" s="151" t="s">
        <v>2443</v>
      </c>
      <c r="B1053" s="233" t="str">
        <f>VLOOKUP(A1053,'AFC Data details'!$B:$E,4,0)</f>
        <v>V01</v>
      </c>
      <c r="C1053" s="144" t="s">
        <v>1698</v>
      </c>
      <c r="D1053" s="151" t="s">
        <v>602</v>
      </c>
      <c r="E1053" s="151">
        <f>VLOOKUP(A1053,'AFC Data details'!$B:$P,15,0)</f>
        <v>4.2859999999999996</v>
      </c>
      <c r="F1053" s="151">
        <f>SUMIFS('AFC Data details'!C:C,'AFC Data details'!$B:$B,'Element wise-detail Summary'!$A1053)</f>
        <v>1</v>
      </c>
      <c r="G1053" s="151">
        <f>SUMIFS(Cast!$C:$C,Cast!$B:$B,'Element wise-detail Summary'!$A1053)</f>
        <v>1</v>
      </c>
      <c r="H1053" s="151">
        <f t="shared" si="107"/>
        <v>0</v>
      </c>
      <c r="I1053" s="151">
        <f>SUMIFS(Del!$C:$C,Del!$B:$B,'Element wise-detail Summary'!$A1053)</f>
        <v>1</v>
      </c>
      <c r="J1053" s="151">
        <f t="shared" si="108"/>
        <v>0</v>
      </c>
      <c r="K1053" s="151">
        <f t="shared" si="109"/>
        <v>0</v>
      </c>
      <c r="L1053" s="151">
        <f>SUMIF(Ere!$B:$B,'Element wise-detail Summary'!$A1053,Ere!$C:$C)</f>
        <v>1</v>
      </c>
      <c r="M1053" s="151">
        <f t="shared" si="110"/>
        <v>0</v>
      </c>
    </row>
    <row r="1054" spans="1:14" hidden="1" x14ac:dyDescent="0.25">
      <c r="A1054" s="151" t="s">
        <v>2444</v>
      </c>
      <c r="B1054" s="233" t="str">
        <f>VLOOKUP(A1054,'AFC Data details'!$B:$E,4,0)</f>
        <v>V01</v>
      </c>
      <c r="C1054" s="144" t="s">
        <v>1698</v>
      </c>
      <c r="D1054" s="151" t="s">
        <v>602</v>
      </c>
      <c r="E1054" s="151">
        <f>VLOOKUP(A1054,'AFC Data details'!$B:$P,15,0)</f>
        <v>4.2859999999999996</v>
      </c>
      <c r="F1054" s="151">
        <f>SUMIFS('AFC Data details'!C:C,'AFC Data details'!$B:$B,'Element wise-detail Summary'!$A1054)</f>
        <v>1</v>
      </c>
      <c r="G1054" s="151">
        <f>SUMIFS(Cast!$C:$C,Cast!$B:$B,'Element wise-detail Summary'!$A1054)</f>
        <v>1</v>
      </c>
      <c r="H1054" s="151">
        <f t="shared" si="107"/>
        <v>0</v>
      </c>
      <c r="I1054" s="151">
        <f>SUMIFS(Del!$C:$C,Del!$B:$B,'Element wise-detail Summary'!$A1054)</f>
        <v>1</v>
      </c>
      <c r="J1054" s="151">
        <f t="shared" si="108"/>
        <v>0</v>
      </c>
      <c r="K1054" s="151">
        <f t="shared" si="109"/>
        <v>0</v>
      </c>
      <c r="L1054" s="151">
        <f>SUMIF(Ere!$B:$B,'Element wise-detail Summary'!$A1054,Ere!$C:$C)</f>
        <v>1</v>
      </c>
      <c r="M1054" s="151">
        <f t="shared" si="110"/>
        <v>0</v>
      </c>
    </row>
    <row r="1055" spans="1:14" hidden="1" x14ac:dyDescent="0.25">
      <c r="A1055" s="151" t="s">
        <v>2445</v>
      </c>
      <c r="B1055" s="233" t="str">
        <f>VLOOKUP(A1055,'AFC Data details'!$B:$E,4,0)</f>
        <v>V01</v>
      </c>
      <c r="C1055" s="144" t="s">
        <v>1698</v>
      </c>
      <c r="D1055" s="151" t="s">
        <v>602</v>
      </c>
      <c r="E1055" s="151">
        <f>VLOOKUP(A1055,'AFC Data details'!$B:$P,15,0)</f>
        <v>4.2859999999999996</v>
      </c>
      <c r="F1055" s="151">
        <f>SUMIFS('AFC Data details'!C:C,'AFC Data details'!$B:$B,'Element wise-detail Summary'!$A1055)</f>
        <v>1</v>
      </c>
      <c r="G1055" s="151">
        <f>SUMIFS(Cast!$C:$C,Cast!$B:$B,'Element wise-detail Summary'!$A1055)</f>
        <v>1</v>
      </c>
      <c r="H1055" s="151">
        <f t="shared" si="107"/>
        <v>0</v>
      </c>
      <c r="I1055" s="151">
        <f>SUMIFS(Del!$C:$C,Del!$B:$B,'Element wise-detail Summary'!$A1055)</f>
        <v>1</v>
      </c>
      <c r="J1055" s="151">
        <f t="shared" si="108"/>
        <v>0</v>
      </c>
      <c r="K1055" s="151">
        <f t="shared" si="109"/>
        <v>0</v>
      </c>
      <c r="L1055" s="151">
        <f>SUMIF(Ere!$B:$B,'Element wise-detail Summary'!$A1055,Ere!$C:$C)</f>
        <v>1</v>
      </c>
      <c r="M1055" s="151">
        <f t="shared" si="110"/>
        <v>0</v>
      </c>
    </row>
    <row r="1056" spans="1:14" hidden="1" x14ac:dyDescent="0.25">
      <c r="A1056" s="151" t="s">
        <v>2446</v>
      </c>
      <c r="B1056" s="233" t="str">
        <f>VLOOKUP(A1056,'AFC Data details'!$B:$E,4,0)</f>
        <v>V01</v>
      </c>
      <c r="C1056" s="144" t="s">
        <v>1698</v>
      </c>
      <c r="D1056" s="151" t="s">
        <v>602</v>
      </c>
      <c r="E1056" s="151">
        <f>VLOOKUP(A1056,'AFC Data details'!$B:$P,15,0)</f>
        <v>3.8220000000000001</v>
      </c>
      <c r="F1056" s="151">
        <f>SUMIFS('AFC Data details'!C:C,'AFC Data details'!$B:$B,'Element wise-detail Summary'!$A1056)</f>
        <v>1</v>
      </c>
      <c r="G1056" s="151">
        <f>SUMIFS(Cast!$C:$C,Cast!$B:$B,'Element wise-detail Summary'!$A1056)</f>
        <v>1</v>
      </c>
      <c r="H1056" s="151">
        <f t="shared" si="107"/>
        <v>0</v>
      </c>
      <c r="I1056" s="151">
        <f>SUMIFS(Del!$C:$C,Del!$B:$B,'Element wise-detail Summary'!$A1056)</f>
        <v>1</v>
      </c>
      <c r="J1056" s="151">
        <f t="shared" si="108"/>
        <v>0</v>
      </c>
      <c r="K1056" s="151">
        <f t="shared" si="109"/>
        <v>0</v>
      </c>
      <c r="L1056" s="151">
        <f>SUMIF(Ere!$B:$B,'Element wise-detail Summary'!$A1056,Ere!$C:$C)</f>
        <v>1</v>
      </c>
      <c r="M1056" s="151">
        <f t="shared" si="110"/>
        <v>0</v>
      </c>
    </row>
    <row r="1057" spans="1:13" hidden="1" x14ac:dyDescent="0.25">
      <c r="A1057" s="151" t="s">
        <v>2448</v>
      </c>
      <c r="B1057" s="233" t="str">
        <f>VLOOKUP(A1057,'AFC Data details'!$B:$E,4,0)</f>
        <v>V01</v>
      </c>
      <c r="C1057" s="144" t="s">
        <v>1698</v>
      </c>
      <c r="D1057" s="151" t="s">
        <v>602</v>
      </c>
      <c r="E1057" s="151">
        <f>VLOOKUP(A1057,'AFC Data details'!$B:$P,15,0)</f>
        <v>2.6720000000000002</v>
      </c>
      <c r="F1057" s="151">
        <f>SUMIFS('AFC Data details'!C:C,'AFC Data details'!$B:$B,'Element wise-detail Summary'!$A1057)</f>
        <v>1</v>
      </c>
      <c r="G1057" s="151">
        <f>SUMIFS(Cast!$C:$C,Cast!$B:$B,'Element wise-detail Summary'!$A1057)</f>
        <v>1</v>
      </c>
      <c r="H1057" s="151">
        <f t="shared" si="107"/>
        <v>0</v>
      </c>
      <c r="I1057" s="151">
        <f>SUMIFS(Del!$C:$C,Del!$B:$B,'Element wise-detail Summary'!$A1057)</f>
        <v>1</v>
      </c>
      <c r="J1057" s="151">
        <f t="shared" si="108"/>
        <v>0</v>
      </c>
      <c r="K1057" s="151">
        <f t="shared" si="109"/>
        <v>0</v>
      </c>
      <c r="L1057" s="151">
        <f>SUMIF(Ere!$B:$B,'Element wise-detail Summary'!$A1057,Ere!$C:$C)</f>
        <v>1</v>
      </c>
      <c r="M1057" s="151">
        <f t="shared" si="110"/>
        <v>0</v>
      </c>
    </row>
    <row r="1058" spans="1:13" hidden="1" x14ac:dyDescent="0.25">
      <c r="A1058" s="151" t="s">
        <v>2450</v>
      </c>
      <c r="B1058" s="233" t="s">
        <v>2501</v>
      </c>
      <c r="C1058" s="144" t="s">
        <v>1698</v>
      </c>
      <c r="D1058" s="151" t="s">
        <v>602</v>
      </c>
      <c r="E1058" s="151">
        <f>VLOOKUP(A1058,'AFC Data details'!$B:$P,15,0)</f>
        <v>1.95</v>
      </c>
      <c r="F1058" s="151">
        <f>SUMIFS('AFC Data details'!C:C,'AFC Data details'!$B:$B,'Element wise-detail Summary'!$A1058)</f>
        <v>1</v>
      </c>
      <c r="G1058" s="151">
        <f>SUMIFS(Cast!$C:$C,Cast!$B:$B,'Element wise-detail Summary'!$A1058)</f>
        <v>1</v>
      </c>
      <c r="H1058" s="151">
        <f t="shared" si="107"/>
        <v>0</v>
      </c>
      <c r="I1058" s="151">
        <f>SUMIFS(Del!$C:$C,Del!$B:$B,'Element wise-detail Summary'!$A1058)</f>
        <v>1</v>
      </c>
      <c r="J1058" s="151">
        <f t="shared" si="108"/>
        <v>0</v>
      </c>
      <c r="K1058" s="151">
        <f t="shared" si="109"/>
        <v>0</v>
      </c>
      <c r="L1058" s="151">
        <f>SUMIF(Ere!$B:$B,'Element wise-detail Summary'!$A1058,Ere!$C:$C)</f>
        <v>1</v>
      </c>
      <c r="M1058" s="151">
        <f t="shared" si="110"/>
        <v>0</v>
      </c>
    </row>
    <row r="1059" spans="1:13" hidden="1" x14ac:dyDescent="0.25">
      <c r="A1059" s="151" t="s">
        <v>2454</v>
      </c>
      <c r="B1059" s="233" t="str">
        <f>VLOOKUP(A1059,'AFC Data details'!$B:$E,4,0)</f>
        <v>PV45</v>
      </c>
      <c r="C1059" s="144" t="s">
        <v>1700</v>
      </c>
      <c r="D1059" s="151" t="s">
        <v>602</v>
      </c>
      <c r="E1059" s="151">
        <f>VLOOKUP(A1059,'AFC Data details'!$B:$P,15,0)</f>
        <v>1.6519999999999999</v>
      </c>
      <c r="F1059" s="151">
        <f>SUMIFS('AFC Data details'!C:C,'AFC Data details'!$B:$B,'Element wise-detail Summary'!$A1059)</f>
        <v>1</v>
      </c>
      <c r="G1059" s="151">
        <f>SUMIFS(Cast!$C:$C,Cast!$B:$B,'Element wise-detail Summary'!$A1059)</f>
        <v>1</v>
      </c>
      <c r="H1059" s="151">
        <f t="shared" ref="H1059:H1067" si="111">F1059-G1059</f>
        <v>0</v>
      </c>
      <c r="I1059" s="151">
        <f>SUMIFS(Del!$C:$C,Del!$B:$B,'Element wise-detail Summary'!$A1059)</f>
        <v>0</v>
      </c>
      <c r="J1059" s="151">
        <f t="shared" ref="J1059:J1067" si="112">F1059-I1059</f>
        <v>1</v>
      </c>
      <c r="K1059" s="151">
        <f t="shared" ref="K1059:K1067" si="113">G1059-I1059</f>
        <v>1</v>
      </c>
      <c r="L1059" s="151">
        <f>SUMIF(Ere!$B:$B,'Element wise-detail Summary'!$A1059,Ere!$C:$C)</f>
        <v>0</v>
      </c>
      <c r="M1059" s="151">
        <f t="shared" ref="M1059:M1067" si="114">F1059-L1059</f>
        <v>1</v>
      </c>
    </row>
    <row r="1060" spans="1:13" hidden="1" x14ac:dyDescent="0.25">
      <c r="A1060" s="151" t="s">
        <v>2455</v>
      </c>
      <c r="B1060" s="233" t="str">
        <f>VLOOKUP(A1060,'AFC Data details'!$B:$E,4,0)</f>
        <v>PV45</v>
      </c>
      <c r="C1060" s="144" t="s">
        <v>1700</v>
      </c>
      <c r="D1060" s="151" t="s">
        <v>602</v>
      </c>
      <c r="E1060" s="151">
        <f>VLOOKUP(A1060,'AFC Data details'!$B:$P,15,0)</f>
        <v>2.8330000000000002</v>
      </c>
      <c r="F1060" s="151">
        <f>SUMIFS('AFC Data details'!C:C,'AFC Data details'!$B:$B,'Element wise-detail Summary'!$A1060)</f>
        <v>1</v>
      </c>
      <c r="G1060" s="151">
        <f>SUMIFS(Cast!$C:$C,Cast!$B:$B,'Element wise-detail Summary'!$A1060)</f>
        <v>1</v>
      </c>
      <c r="H1060" s="151">
        <f t="shared" si="111"/>
        <v>0</v>
      </c>
      <c r="I1060" s="151">
        <f>SUMIFS(Del!$C:$C,Del!$B:$B,'Element wise-detail Summary'!$A1060)</f>
        <v>0</v>
      </c>
      <c r="J1060" s="151">
        <f t="shared" si="112"/>
        <v>1</v>
      </c>
      <c r="K1060" s="151">
        <f t="shared" si="113"/>
        <v>1</v>
      </c>
      <c r="L1060" s="151">
        <f>SUMIF(Ere!$B:$B,'Element wise-detail Summary'!$A1060,Ere!$C:$C)</f>
        <v>0</v>
      </c>
      <c r="M1060" s="151">
        <f t="shared" si="114"/>
        <v>1</v>
      </c>
    </row>
    <row r="1061" spans="1:13" hidden="1" x14ac:dyDescent="0.25">
      <c r="A1061" s="151" t="s">
        <v>2456</v>
      </c>
      <c r="B1061" s="233" t="str">
        <f>VLOOKUP(A1061,'AFC Data details'!$B:$E,4,0)</f>
        <v>PV45</v>
      </c>
      <c r="C1061" s="144" t="s">
        <v>1700</v>
      </c>
      <c r="D1061" s="151" t="s">
        <v>602</v>
      </c>
      <c r="E1061" s="151">
        <f>VLOOKUP(A1061,'AFC Data details'!$B:$P,15,0)</f>
        <v>1.214</v>
      </c>
      <c r="F1061" s="151">
        <f>SUMIFS('AFC Data details'!C:C,'AFC Data details'!$B:$B,'Element wise-detail Summary'!$A1061)</f>
        <v>1</v>
      </c>
      <c r="G1061" s="151">
        <f>SUMIFS(Cast!$C:$C,Cast!$B:$B,'Element wise-detail Summary'!$A1061)</f>
        <v>1</v>
      </c>
      <c r="H1061" s="151">
        <f t="shared" si="111"/>
        <v>0</v>
      </c>
      <c r="I1061" s="151">
        <f>SUMIFS(Del!$C:$C,Del!$B:$B,'Element wise-detail Summary'!$A1061)</f>
        <v>0</v>
      </c>
      <c r="J1061" s="151">
        <f t="shared" si="112"/>
        <v>1</v>
      </c>
      <c r="K1061" s="151">
        <f t="shared" si="113"/>
        <v>1</v>
      </c>
      <c r="L1061" s="151">
        <f>SUMIF(Ere!$B:$B,'Element wise-detail Summary'!$A1061,Ere!$C:$C)</f>
        <v>0</v>
      </c>
      <c r="M1061" s="151">
        <f t="shared" si="114"/>
        <v>1</v>
      </c>
    </row>
    <row r="1062" spans="1:13" hidden="1" x14ac:dyDescent="0.25">
      <c r="A1062" s="151" t="s">
        <v>2457</v>
      </c>
      <c r="B1062" s="233" t="str">
        <f>VLOOKUP(A1062,'AFC Data details'!$B:$E,4,0)</f>
        <v>PV45</v>
      </c>
      <c r="C1062" s="144" t="s">
        <v>1700</v>
      </c>
      <c r="D1062" s="151" t="s">
        <v>602</v>
      </c>
      <c r="E1062" s="151">
        <f>VLOOKUP(A1062,'AFC Data details'!$B:$P,15,0)</f>
        <v>1.1890000000000001</v>
      </c>
      <c r="F1062" s="151">
        <f>SUMIFS('AFC Data details'!C:C,'AFC Data details'!$B:$B,'Element wise-detail Summary'!$A1062)</f>
        <v>1</v>
      </c>
      <c r="G1062" s="151">
        <f>SUMIFS(Cast!$C:$C,Cast!$B:$B,'Element wise-detail Summary'!$A1062)</f>
        <v>1</v>
      </c>
      <c r="H1062" s="151">
        <f t="shared" si="111"/>
        <v>0</v>
      </c>
      <c r="I1062" s="151">
        <f>SUMIFS(Del!$C:$C,Del!$B:$B,'Element wise-detail Summary'!$A1062)</f>
        <v>0</v>
      </c>
      <c r="J1062" s="151">
        <f t="shared" si="112"/>
        <v>1</v>
      </c>
      <c r="K1062" s="151">
        <f t="shared" si="113"/>
        <v>1</v>
      </c>
      <c r="L1062" s="151">
        <f>SUMIF(Ere!$B:$B,'Element wise-detail Summary'!$A1062,Ere!$C:$C)</f>
        <v>0</v>
      </c>
      <c r="M1062" s="151">
        <f t="shared" si="114"/>
        <v>1</v>
      </c>
    </row>
    <row r="1063" spans="1:13" hidden="1" x14ac:dyDescent="0.25">
      <c r="A1063" s="151" t="s">
        <v>2458</v>
      </c>
      <c r="B1063" s="233" t="str">
        <f>VLOOKUP(A1063,'AFC Data details'!$B:$E,4,0)</f>
        <v>PV45</v>
      </c>
      <c r="C1063" s="144" t="s">
        <v>1700</v>
      </c>
      <c r="D1063" s="151" t="s">
        <v>602</v>
      </c>
      <c r="E1063" s="151">
        <f>VLOOKUP(A1063,'AFC Data details'!$B:$P,15,0)</f>
        <v>2.8330000000000002</v>
      </c>
      <c r="F1063" s="151">
        <f>SUMIFS('AFC Data details'!C:C,'AFC Data details'!$B:$B,'Element wise-detail Summary'!$A1063)</f>
        <v>1</v>
      </c>
      <c r="G1063" s="151">
        <f>SUMIFS(Cast!$C:$C,Cast!$B:$B,'Element wise-detail Summary'!$A1063)</f>
        <v>1</v>
      </c>
      <c r="H1063" s="151">
        <f t="shared" si="111"/>
        <v>0</v>
      </c>
      <c r="I1063" s="151">
        <f>SUMIFS(Del!$C:$C,Del!$B:$B,'Element wise-detail Summary'!$A1063)</f>
        <v>0</v>
      </c>
      <c r="J1063" s="151">
        <f t="shared" si="112"/>
        <v>1</v>
      </c>
      <c r="K1063" s="151">
        <f t="shared" si="113"/>
        <v>1</v>
      </c>
      <c r="L1063" s="151">
        <f>SUMIF(Ere!$B:$B,'Element wise-detail Summary'!$A1063,Ere!$C:$C)</f>
        <v>0</v>
      </c>
      <c r="M1063" s="151">
        <f t="shared" si="114"/>
        <v>1</v>
      </c>
    </row>
    <row r="1064" spans="1:13" hidden="1" x14ac:dyDescent="0.25">
      <c r="A1064" s="151" t="s">
        <v>2459</v>
      </c>
      <c r="B1064" s="233" t="str">
        <f>VLOOKUP(A1064,'AFC Data details'!$B:$E,4,0)</f>
        <v>PV45</v>
      </c>
      <c r="C1064" s="144" t="s">
        <v>1700</v>
      </c>
      <c r="D1064" s="151" t="s">
        <v>602</v>
      </c>
      <c r="E1064" s="151">
        <f>VLOOKUP(A1064,'AFC Data details'!$B:$P,15,0)</f>
        <v>2.8330000000000002</v>
      </c>
      <c r="F1064" s="151">
        <f>SUMIFS('AFC Data details'!C:C,'AFC Data details'!$B:$B,'Element wise-detail Summary'!$A1064)</f>
        <v>1</v>
      </c>
      <c r="G1064" s="151">
        <f>SUMIFS(Cast!$C:$C,Cast!$B:$B,'Element wise-detail Summary'!$A1064)</f>
        <v>1</v>
      </c>
      <c r="H1064" s="151">
        <f t="shared" si="111"/>
        <v>0</v>
      </c>
      <c r="I1064" s="151">
        <f>SUMIFS(Del!$C:$C,Del!$B:$B,'Element wise-detail Summary'!$A1064)</f>
        <v>0</v>
      </c>
      <c r="J1064" s="151">
        <f t="shared" si="112"/>
        <v>1</v>
      </c>
      <c r="K1064" s="151">
        <f t="shared" si="113"/>
        <v>1</v>
      </c>
      <c r="L1064" s="151">
        <f>SUMIF(Ere!$B:$B,'Element wise-detail Summary'!$A1064,Ere!$C:$C)</f>
        <v>0</v>
      </c>
      <c r="M1064" s="151">
        <f t="shared" si="114"/>
        <v>1</v>
      </c>
    </row>
    <row r="1065" spans="1:13" hidden="1" x14ac:dyDescent="0.25">
      <c r="A1065" s="151" t="s">
        <v>2460</v>
      </c>
      <c r="B1065" s="233" t="str">
        <f>VLOOKUP(A1065,'AFC Data details'!$B:$E,4,0)</f>
        <v>PV45</v>
      </c>
      <c r="C1065" s="144" t="s">
        <v>1700</v>
      </c>
      <c r="D1065" s="151" t="s">
        <v>602</v>
      </c>
      <c r="E1065" s="151">
        <f>VLOOKUP(A1065,'AFC Data details'!$B:$P,15,0)</f>
        <v>1.1890000000000001</v>
      </c>
      <c r="F1065" s="151">
        <f>SUMIFS('AFC Data details'!C:C,'AFC Data details'!$B:$B,'Element wise-detail Summary'!$A1065)</f>
        <v>1</v>
      </c>
      <c r="G1065" s="151">
        <f>SUMIFS(Cast!$C:$C,Cast!$B:$B,'Element wise-detail Summary'!$A1065)</f>
        <v>1</v>
      </c>
      <c r="H1065" s="151">
        <f t="shared" si="111"/>
        <v>0</v>
      </c>
      <c r="I1065" s="151">
        <f>SUMIFS(Del!$C:$C,Del!$B:$B,'Element wise-detail Summary'!$A1065)</f>
        <v>0</v>
      </c>
      <c r="J1065" s="151">
        <f t="shared" si="112"/>
        <v>1</v>
      </c>
      <c r="K1065" s="151">
        <f t="shared" si="113"/>
        <v>1</v>
      </c>
      <c r="L1065" s="151">
        <f>SUMIF(Ere!$B:$B,'Element wise-detail Summary'!$A1065,Ere!$C:$C)</f>
        <v>0</v>
      </c>
      <c r="M1065" s="151">
        <f t="shared" si="114"/>
        <v>1</v>
      </c>
    </row>
    <row r="1066" spans="1:13" hidden="1" x14ac:dyDescent="0.25">
      <c r="A1066" s="151" t="s">
        <v>2461</v>
      </c>
      <c r="B1066" s="233" t="str">
        <f>VLOOKUP(A1066,'AFC Data details'!$B:$E,4,0)</f>
        <v>PV45</v>
      </c>
      <c r="C1066" s="144" t="s">
        <v>1700</v>
      </c>
      <c r="D1066" s="151" t="s">
        <v>602</v>
      </c>
      <c r="E1066" s="151">
        <f>VLOOKUP(A1066,'AFC Data details'!$B:$P,15,0)</f>
        <v>2.8330000000000002</v>
      </c>
      <c r="F1066" s="151">
        <f>SUMIFS('AFC Data details'!C:C,'AFC Data details'!$B:$B,'Element wise-detail Summary'!$A1066)</f>
        <v>1</v>
      </c>
      <c r="G1066" s="151">
        <f>SUMIFS(Cast!$C:$C,Cast!$B:$B,'Element wise-detail Summary'!$A1066)</f>
        <v>1</v>
      </c>
      <c r="H1066" s="151">
        <f t="shared" si="111"/>
        <v>0</v>
      </c>
      <c r="I1066" s="151">
        <f>SUMIFS(Del!$C:$C,Del!$B:$B,'Element wise-detail Summary'!$A1066)</f>
        <v>0</v>
      </c>
      <c r="J1066" s="151">
        <f t="shared" si="112"/>
        <v>1</v>
      </c>
      <c r="K1066" s="151">
        <f t="shared" si="113"/>
        <v>1</v>
      </c>
      <c r="L1066" s="151">
        <f>SUMIF(Ere!$B:$B,'Element wise-detail Summary'!$A1066,Ere!$C:$C)</f>
        <v>0</v>
      </c>
      <c r="M1066" s="151">
        <f t="shared" si="114"/>
        <v>1</v>
      </c>
    </row>
    <row r="1067" spans="1:13" hidden="1" x14ac:dyDescent="0.25">
      <c r="A1067" s="151" t="s">
        <v>2462</v>
      </c>
      <c r="B1067" s="233" t="str">
        <f>VLOOKUP(A1067,'AFC Data details'!$B:$E,4,0)</f>
        <v>PV46</v>
      </c>
      <c r="C1067" s="144" t="s">
        <v>1700</v>
      </c>
      <c r="D1067" s="151" t="s">
        <v>602</v>
      </c>
      <c r="E1067" s="151">
        <f>VLOOKUP(A1067,'AFC Data details'!$B:$P,15,0)</f>
        <v>1.101</v>
      </c>
      <c r="F1067" s="151">
        <f>SUMIFS('AFC Data details'!C:C,'AFC Data details'!$B:$B,'Element wise-detail Summary'!$A1067)</f>
        <v>1</v>
      </c>
      <c r="G1067" s="151">
        <f>SUMIFS(Cast!$C:$C,Cast!$B:$B,'Element wise-detail Summary'!$A1067)</f>
        <v>1</v>
      </c>
      <c r="H1067" s="151">
        <f t="shared" si="111"/>
        <v>0</v>
      </c>
      <c r="I1067" s="151">
        <f>SUMIFS(Del!$C:$C,Del!$B:$B,'Element wise-detail Summary'!$A1067)</f>
        <v>0</v>
      </c>
      <c r="J1067" s="151">
        <f t="shared" si="112"/>
        <v>1</v>
      </c>
      <c r="K1067" s="151">
        <f t="shared" si="113"/>
        <v>1</v>
      </c>
      <c r="L1067" s="151">
        <f>SUMIF(Ere!$B:$B,'Element wise-detail Summary'!$A1067,Ere!$C:$C)</f>
        <v>0</v>
      </c>
      <c r="M1067" s="151">
        <f t="shared" si="114"/>
        <v>1</v>
      </c>
    </row>
    <row r="1068" spans="1:13" hidden="1" x14ac:dyDescent="0.25">
      <c r="A1068" s="151" t="s">
        <v>2463</v>
      </c>
      <c r="B1068" s="233" t="str">
        <f>VLOOKUP(A1068,'AFC Data details'!$B:$E,4,0)</f>
        <v>PV44</v>
      </c>
      <c r="C1068" s="144" t="s">
        <v>1700</v>
      </c>
      <c r="D1068" s="151" t="s">
        <v>602</v>
      </c>
      <c r="E1068" s="151">
        <f>VLOOKUP(A1068,'AFC Data details'!$B:$P,15,0)</f>
        <v>2.5649999999999999</v>
      </c>
      <c r="F1068" s="151">
        <f>SUMIFS('AFC Data details'!C:C,'AFC Data details'!$B:$B,'Element wise-detail Summary'!$A1068)</f>
        <v>1</v>
      </c>
      <c r="G1068" s="151">
        <f>SUMIFS(Cast!$C:$C,Cast!$B:$B,'Element wise-detail Summary'!$A1068)</f>
        <v>1</v>
      </c>
      <c r="H1068" s="151">
        <f t="shared" ref="H1068:H1094" si="115">F1068-G1068</f>
        <v>0</v>
      </c>
      <c r="I1068" s="151">
        <f>SUMIFS(Del!$C:$C,Del!$B:$B,'Element wise-detail Summary'!$A1068)</f>
        <v>0</v>
      </c>
      <c r="J1068" s="151">
        <f t="shared" ref="J1068:J1094" si="116">F1068-I1068</f>
        <v>1</v>
      </c>
      <c r="K1068" s="151">
        <f t="shared" ref="K1068:K1094" si="117">G1068-I1068</f>
        <v>1</v>
      </c>
      <c r="L1068" s="151">
        <f>SUMIF(Ere!$B:$B,'Element wise-detail Summary'!$A1068,Ere!$C:$C)</f>
        <v>0</v>
      </c>
      <c r="M1068" s="151">
        <f t="shared" ref="M1068:M1094" si="118">F1068-L1068</f>
        <v>1</v>
      </c>
    </row>
    <row r="1069" spans="1:13" hidden="1" x14ac:dyDescent="0.25">
      <c r="A1069" s="151" t="s">
        <v>2466</v>
      </c>
      <c r="B1069" s="233" t="str">
        <f>VLOOKUP(A1069,'AFC Data details'!$B:$E,4,0)</f>
        <v>PV44</v>
      </c>
      <c r="C1069" s="144" t="s">
        <v>1700</v>
      </c>
      <c r="D1069" s="151" t="s">
        <v>602</v>
      </c>
      <c r="E1069" s="151">
        <f>VLOOKUP(A1069,'AFC Data details'!$B:$P,15,0)</f>
        <v>2.5649999999999999</v>
      </c>
      <c r="F1069" s="151">
        <f>SUMIFS('AFC Data details'!C:C,'AFC Data details'!$B:$B,'Element wise-detail Summary'!$A1069)</f>
        <v>1</v>
      </c>
      <c r="G1069" s="151">
        <f>SUMIFS(Cast!$C:$C,Cast!$B:$B,'Element wise-detail Summary'!$A1069)</f>
        <v>1</v>
      </c>
      <c r="H1069" s="151">
        <f t="shared" si="115"/>
        <v>0</v>
      </c>
      <c r="I1069" s="151">
        <f>SUMIFS(Del!$C:$C,Del!$B:$B,'Element wise-detail Summary'!$A1069)</f>
        <v>0</v>
      </c>
      <c r="J1069" s="151">
        <f t="shared" si="116"/>
        <v>1</v>
      </c>
      <c r="K1069" s="151">
        <f t="shared" si="117"/>
        <v>1</v>
      </c>
      <c r="L1069" s="151">
        <f>SUMIF(Ere!$B:$B,'Element wise-detail Summary'!$A1069,Ere!$C:$C)</f>
        <v>0</v>
      </c>
      <c r="M1069" s="151">
        <f t="shared" si="118"/>
        <v>1</v>
      </c>
    </row>
    <row r="1070" spans="1:13" hidden="1" x14ac:dyDescent="0.25">
      <c r="A1070" s="151" t="s">
        <v>2467</v>
      </c>
      <c r="B1070" s="233" t="str">
        <f>VLOOKUP(A1070,'AFC Data details'!$B:$E,4,0)</f>
        <v>PV44</v>
      </c>
      <c r="C1070" s="144" t="s">
        <v>1700</v>
      </c>
      <c r="D1070" s="151" t="s">
        <v>602</v>
      </c>
      <c r="E1070" s="151">
        <f>VLOOKUP(A1070,'AFC Data details'!$B:$P,15,0)</f>
        <v>2.5649999999999999</v>
      </c>
      <c r="F1070" s="151">
        <f>SUMIFS('AFC Data details'!C:C,'AFC Data details'!$B:$B,'Element wise-detail Summary'!$A1070)</f>
        <v>1</v>
      </c>
      <c r="G1070" s="151">
        <f>SUMIFS(Cast!$C:$C,Cast!$B:$B,'Element wise-detail Summary'!$A1070)</f>
        <v>1</v>
      </c>
      <c r="H1070" s="151">
        <f t="shared" si="115"/>
        <v>0</v>
      </c>
      <c r="I1070" s="151">
        <f>SUMIFS(Del!$C:$C,Del!$B:$B,'Element wise-detail Summary'!$A1070)</f>
        <v>0</v>
      </c>
      <c r="J1070" s="151">
        <f t="shared" si="116"/>
        <v>1</v>
      </c>
      <c r="K1070" s="151">
        <f t="shared" si="117"/>
        <v>1</v>
      </c>
      <c r="L1070" s="151">
        <f>SUMIF(Ere!$B:$B,'Element wise-detail Summary'!$A1070,Ere!$C:$C)</f>
        <v>0</v>
      </c>
      <c r="M1070" s="151">
        <f t="shared" si="118"/>
        <v>1</v>
      </c>
    </row>
    <row r="1071" spans="1:13" hidden="1" x14ac:dyDescent="0.25">
      <c r="A1071" s="151" t="s">
        <v>2468</v>
      </c>
      <c r="B1071" s="233" t="str">
        <f>VLOOKUP(A1071,'AFC Data details'!$B:$E,4,0)</f>
        <v>PV44</v>
      </c>
      <c r="C1071" s="144" t="s">
        <v>1700</v>
      </c>
      <c r="D1071" s="151" t="s">
        <v>602</v>
      </c>
      <c r="E1071" s="151">
        <f>VLOOKUP(A1071,'AFC Data details'!$B:$P,15,0)</f>
        <v>2.5649999999999999</v>
      </c>
      <c r="F1071" s="151">
        <f>SUMIFS('AFC Data details'!C:C,'AFC Data details'!$B:$B,'Element wise-detail Summary'!$A1071)</f>
        <v>1</v>
      </c>
      <c r="G1071" s="151">
        <f>SUMIFS(Cast!$C:$C,Cast!$B:$B,'Element wise-detail Summary'!$A1071)</f>
        <v>1</v>
      </c>
      <c r="H1071" s="151">
        <f t="shared" si="115"/>
        <v>0</v>
      </c>
      <c r="I1071" s="151">
        <f>SUMIFS(Del!$C:$C,Del!$B:$B,'Element wise-detail Summary'!$A1071)</f>
        <v>0</v>
      </c>
      <c r="J1071" s="151">
        <f t="shared" si="116"/>
        <v>1</v>
      </c>
      <c r="K1071" s="151">
        <f t="shared" si="117"/>
        <v>1</v>
      </c>
      <c r="L1071" s="151">
        <f>SUMIF(Ere!$B:$B,'Element wise-detail Summary'!$A1071,Ere!$C:$C)</f>
        <v>0</v>
      </c>
      <c r="M1071" s="151">
        <f t="shared" si="118"/>
        <v>1</v>
      </c>
    </row>
    <row r="1072" spans="1:13" hidden="1" x14ac:dyDescent="0.25">
      <c r="A1072" s="151" t="s">
        <v>2469</v>
      </c>
      <c r="B1072" s="233" t="str">
        <f>VLOOKUP(A1072,'AFC Data details'!$B:$E,4,0)</f>
        <v>PV44</v>
      </c>
      <c r="C1072" s="144" t="s">
        <v>1700</v>
      </c>
      <c r="D1072" s="151" t="s">
        <v>602</v>
      </c>
      <c r="E1072" s="151">
        <f>VLOOKUP(A1072,'AFC Data details'!$B:$P,15,0)</f>
        <v>2.5649999999999999</v>
      </c>
      <c r="F1072" s="151">
        <f>SUMIFS('AFC Data details'!C:C,'AFC Data details'!$B:$B,'Element wise-detail Summary'!$A1072)</f>
        <v>1</v>
      </c>
      <c r="G1072" s="151">
        <f>SUMIFS(Cast!$C:$C,Cast!$B:$B,'Element wise-detail Summary'!$A1072)</f>
        <v>1</v>
      </c>
      <c r="H1072" s="151">
        <f t="shared" si="115"/>
        <v>0</v>
      </c>
      <c r="I1072" s="151">
        <f>SUMIFS(Del!$C:$C,Del!$B:$B,'Element wise-detail Summary'!$A1072)</f>
        <v>0</v>
      </c>
      <c r="J1072" s="151">
        <f t="shared" si="116"/>
        <v>1</v>
      </c>
      <c r="K1072" s="151">
        <f t="shared" si="117"/>
        <v>1</v>
      </c>
      <c r="L1072" s="151">
        <f>SUMIF(Ere!$B:$B,'Element wise-detail Summary'!$A1072,Ere!$C:$C)</f>
        <v>0</v>
      </c>
      <c r="M1072" s="151">
        <f t="shared" si="118"/>
        <v>1</v>
      </c>
    </row>
    <row r="1073" spans="1:13" hidden="1" x14ac:dyDescent="0.25">
      <c r="A1073" s="151" t="s">
        <v>2470</v>
      </c>
      <c r="B1073" s="233" t="str">
        <f>VLOOKUP(A1073,'AFC Data details'!$B:$E,4,0)</f>
        <v>PV44</v>
      </c>
      <c r="C1073" s="144" t="s">
        <v>1700</v>
      </c>
      <c r="D1073" s="151" t="s">
        <v>602</v>
      </c>
      <c r="E1073" s="151">
        <f>VLOOKUP(A1073,'AFC Data details'!$B:$P,15,0)</f>
        <v>2.5649999999999999</v>
      </c>
      <c r="F1073" s="151">
        <f>SUMIFS('AFC Data details'!C:C,'AFC Data details'!$B:$B,'Element wise-detail Summary'!$A1073)</f>
        <v>1</v>
      </c>
      <c r="G1073" s="151">
        <f>SUMIFS(Cast!$C:$C,Cast!$B:$B,'Element wise-detail Summary'!$A1073)</f>
        <v>1</v>
      </c>
      <c r="H1073" s="151">
        <f t="shared" si="115"/>
        <v>0</v>
      </c>
      <c r="I1073" s="151">
        <f>SUMIFS(Del!$C:$C,Del!$B:$B,'Element wise-detail Summary'!$A1073)</f>
        <v>0</v>
      </c>
      <c r="J1073" s="151">
        <f t="shared" si="116"/>
        <v>1</v>
      </c>
      <c r="K1073" s="151">
        <f t="shared" si="117"/>
        <v>1</v>
      </c>
      <c r="L1073" s="151">
        <f>SUMIF(Ere!$B:$B,'Element wise-detail Summary'!$A1073,Ere!$C:$C)</f>
        <v>0</v>
      </c>
      <c r="M1073" s="151">
        <f t="shared" si="118"/>
        <v>1</v>
      </c>
    </row>
    <row r="1074" spans="1:13" hidden="1" x14ac:dyDescent="0.25">
      <c r="A1074" s="151" t="s">
        <v>2472</v>
      </c>
      <c r="B1074" s="233" t="str">
        <f>VLOOKUP(A1074,'AFC Data details'!$B:$E,4,0)</f>
        <v>PV45</v>
      </c>
      <c r="C1074" s="144" t="s">
        <v>1700</v>
      </c>
      <c r="D1074" s="151" t="s">
        <v>602</v>
      </c>
      <c r="E1074" s="151">
        <f>VLOOKUP(A1074,'AFC Data details'!$B:$P,15,0)</f>
        <v>1.3180000000000001</v>
      </c>
      <c r="F1074" s="151">
        <f>SUMIFS('AFC Data details'!C:C,'AFC Data details'!$B:$B,'Element wise-detail Summary'!$A1074)</f>
        <v>1</v>
      </c>
      <c r="G1074" s="151">
        <f>SUMIFS(Cast!$C:$C,Cast!$B:$B,'Element wise-detail Summary'!$A1074)</f>
        <v>1</v>
      </c>
      <c r="H1074" s="151">
        <f t="shared" si="115"/>
        <v>0</v>
      </c>
      <c r="I1074" s="151">
        <f>SUMIFS(Del!$C:$C,Del!$B:$B,'Element wise-detail Summary'!$A1074)</f>
        <v>0</v>
      </c>
      <c r="J1074" s="151">
        <f t="shared" si="116"/>
        <v>1</v>
      </c>
      <c r="K1074" s="151">
        <f t="shared" si="117"/>
        <v>1</v>
      </c>
      <c r="L1074" s="151">
        <f>SUMIF(Ere!$B:$B,'Element wise-detail Summary'!$A1074,Ere!$C:$C)</f>
        <v>0</v>
      </c>
      <c r="M1074" s="151">
        <f t="shared" si="118"/>
        <v>1</v>
      </c>
    </row>
    <row r="1075" spans="1:13" hidden="1" x14ac:dyDescent="0.25">
      <c r="A1075" s="151" t="s">
        <v>2473</v>
      </c>
      <c r="B1075" s="233" t="str">
        <f>VLOOKUP(A1075,'AFC Data details'!$B:$E,4,0)</f>
        <v>PV45</v>
      </c>
      <c r="C1075" s="144" t="s">
        <v>1700</v>
      </c>
      <c r="D1075" s="151" t="s">
        <v>602</v>
      </c>
      <c r="E1075" s="151">
        <f>VLOOKUP(A1075,'AFC Data details'!$B:$P,15,0)</f>
        <v>1.3180000000000001</v>
      </c>
      <c r="F1075" s="151">
        <f>SUMIFS('AFC Data details'!C:C,'AFC Data details'!$B:$B,'Element wise-detail Summary'!$A1075)</f>
        <v>1</v>
      </c>
      <c r="G1075" s="151">
        <f>SUMIFS(Cast!$C:$C,Cast!$B:$B,'Element wise-detail Summary'!$A1075)</f>
        <v>1</v>
      </c>
      <c r="H1075" s="151">
        <f t="shared" si="115"/>
        <v>0</v>
      </c>
      <c r="I1075" s="151">
        <f>SUMIFS(Del!$C:$C,Del!$B:$B,'Element wise-detail Summary'!$A1075)</f>
        <v>0</v>
      </c>
      <c r="J1075" s="151">
        <f t="shared" si="116"/>
        <v>1</v>
      </c>
      <c r="K1075" s="151">
        <f t="shared" si="117"/>
        <v>1</v>
      </c>
      <c r="L1075" s="151">
        <f>SUMIF(Ere!$B:$B,'Element wise-detail Summary'!$A1075,Ere!$C:$C)</f>
        <v>0</v>
      </c>
      <c r="M1075" s="151">
        <f t="shared" si="118"/>
        <v>1</v>
      </c>
    </row>
    <row r="1076" spans="1:13" hidden="1" x14ac:dyDescent="0.25">
      <c r="A1076" s="151" t="s">
        <v>2474</v>
      </c>
      <c r="B1076" s="233" t="str">
        <f>VLOOKUP(A1076,'AFC Data details'!$B:$E,4,0)</f>
        <v>PV45</v>
      </c>
      <c r="C1076" s="144" t="s">
        <v>1700</v>
      </c>
      <c r="D1076" s="151" t="s">
        <v>602</v>
      </c>
      <c r="E1076" s="151">
        <f>VLOOKUP(A1076,'AFC Data details'!$B:$P,15,0)</f>
        <v>1.3180000000000001</v>
      </c>
      <c r="F1076" s="151">
        <f>SUMIFS('AFC Data details'!C:C,'AFC Data details'!$B:$B,'Element wise-detail Summary'!$A1076)</f>
        <v>1</v>
      </c>
      <c r="G1076" s="151">
        <f>SUMIFS(Cast!$C:$C,Cast!$B:$B,'Element wise-detail Summary'!$A1076)</f>
        <v>1</v>
      </c>
      <c r="H1076" s="151">
        <f t="shared" si="115"/>
        <v>0</v>
      </c>
      <c r="I1076" s="151">
        <f>SUMIFS(Del!$C:$C,Del!$B:$B,'Element wise-detail Summary'!$A1076)</f>
        <v>0</v>
      </c>
      <c r="J1076" s="151">
        <f t="shared" si="116"/>
        <v>1</v>
      </c>
      <c r="K1076" s="151">
        <f t="shared" si="117"/>
        <v>1</v>
      </c>
      <c r="L1076" s="151">
        <f>SUMIF(Ere!$B:$B,'Element wise-detail Summary'!$A1076,Ere!$C:$C)</f>
        <v>0</v>
      </c>
      <c r="M1076" s="151">
        <f t="shared" si="118"/>
        <v>1</v>
      </c>
    </row>
    <row r="1077" spans="1:13" hidden="1" x14ac:dyDescent="0.25">
      <c r="A1077" s="151" t="s">
        <v>2475</v>
      </c>
      <c r="B1077" s="233" t="str">
        <f>VLOOKUP(A1077,'AFC Data details'!$B:$E,4,0)</f>
        <v>PV45</v>
      </c>
      <c r="C1077" s="144" t="s">
        <v>1700</v>
      </c>
      <c r="D1077" s="151" t="s">
        <v>602</v>
      </c>
      <c r="E1077" s="151">
        <f>VLOOKUP(A1077,'AFC Data details'!$B:$P,15,0)</f>
        <v>1.286</v>
      </c>
      <c r="F1077" s="151">
        <f>SUMIFS('AFC Data details'!C:C,'AFC Data details'!$B:$B,'Element wise-detail Summary'!$A1077)</f>
        <v>1</v>
      </c>
      <c r="G1077" s="151">
        <f>SUMIFS(Cast!$C:$C,Cast!$B:$B,'Element wise-detail Summary'!$A1077)</f>
        <v>1</v>
      </c>
      <c r="H1077" s="151">
        <f t="shared" si="115"/>
        <v>0</v>
      </c>
      <c r="I1077" s="151">
        <f>SUMIFS(Del!$C:$C,Del!$B:$B,'Element wise-detail Summary'!$A1077)</f>
        <v>0</v>
      </c>
      <c r="J1077" s="151">
        <f t="shared" si="116"/>
        <v>1</v>
      </c>
      <c r="K1077" s="151">
        <f t="shared" si="117"/>
        <v>1</v>
      </c>
      <c r="L1077" s="151">
        <f>SUMIF(Ere!$B:$B,'Element wise-detail Summary'!$A1077,Ere!$C:$C)</f>
        <v>0</v>
      </c>
      <c r="M1077" s="151">
        <f t="shared" si="118"/>
        <v>1</v>
      </c>
    </row>
    <row r="1078" spans="1:13" hidden="1" x14ac:dyDescent="0.25">
      <c r="A1078" s="151" t="s">
        <v>2476</v>
      </c>
      <c r="B1078" s="233" t="str">
        <f>VLOOKUP(A1078,'AFC Data details'!$B:$E,4,0)</f>
        <v>PV45</v>
      </c>
      <c r="C1078" s="144" t="s">
        <v>1700</v>
      </c>
      <c r="D1078" s="151" t="s">
        <v>602</v>
      </c>
      <c r="E1078" s="151">
        <f>VLOOKUP(A1078,'AFC Data details'!$B:$P,15,0)</f>
        <v>2.5670000000000002</v>
      </c>
      <c r="F1078" s="151">
        <f>SUMIFS('AFC Data details'!C:C,'AFC Data details'!$B:$B,'Element wise-detail Summary'!$A1078)</f>
        <v>1</v>
      </c>
      <c r="G1078" s="151">
        <f>SUMIFS(Cast!$C:$C,Cast!$B:$B,'Element wise-detail Summary'!$A1078)</f>
        <v>1</v>
      </c>
      <c r="H1078" s="151">
        <f t="shared" si="115"/>
        <v>0</v>
      </c>
      <c r="I1078" s="151">
        <f>SUMIFS(Del!$C:$C,Del!$B:$B,'Element wise-detail Summary'!$A1078)</f>
        <v>0</v>
      </c>
      <c r="J1078" s="151">
        <f t="shared" si="116"/>
        <v>1</v>
      </c>
      <c r="K1078" s="151">
        <f t="shared" si="117"/>
        <v>1</v>
      </c>
      <c r="L1078" s="151">
        <f>SUMIF(Ere!$B:$B,'Element wise-detail Summary'!$A1078,Ere!$C:$C)</f>
        <v>0</v>
      </c>
      <c r="M1078" s="151">
        <f t="shared" si="118"/>
        <v>1</v>
      </c>
    </row>
    <row r="1079" spans="1:13" hidden="1" x14ac:dyDescent="0.25">
      <c r="A1079" s="151" t="s">
        <v>2477</v>
      </c>
      <c r="B1079" s="233" t="str">
        <f>VLOOKUP(A1079,'AFC Data details'!$B:$E,4,0)</f>
        <v>PV45</v>
      </c>
      <c r="C1079" s="144" t="s">
        <v>1700</v>
      </c>
      <c r="D1079" s="151" t="s">
        <v>602</v>
      </c>
      <c r="E1079" s="151">
        <f>VLOOKUP(A1079,'AFC Data details'!$B:$P,15,0)</f>
        <v>2.5649999999999999</v>
      </c>
      <c r="F1079" s="151">
        <f>SUMIFS('AFC Data details'!C:C,'AFC Data details'!$B:$B,'Element wise-detail Summary'!$A1079)</f>
        <v>1</v>
      </c>
      <c r="G1079" s="151">
        <f>SUMIFS(Cast!$C:$C,Cast!$B:$B,'Element wise-detail Summary'!$A1079)</f>
        <v>1</v>
      </c>
      <c r="H1079" s="151">
        <f t="shared" si="115"/>
        <v>0</v>
      </c>
      <c r="I1079" s="151">
        <f>SUMIFS(Del!$C:$C,Del!$B:$B,'Element wise-detail Summary'!$A1079)</f>
        <v>0</v>
      </c>
      <c r="J1079" s="151">
        <f t="shared" si="116"/>
        <v>1</v>
      </c>
      <c r="K1079" s="151">
        <f t="shared" si="117"/>
        <v>1</v>
      </c>
      <c r="L1079" s="151">
        <f>SUMIF(Ere!$B:$B,'Element wise-detail Summary'!$A1079,Ere!$C:$C)</f>
        <v>0</v>
      </c>
      <c r="M1079" s="151">
        <f t="shared" si="118"/>
        <v>1</v>
      </c>
    </row>
    <row r="1080" spans="1:13" hidden="1" x14ac:dyDescent="0.25">
      <c r="A1080" s="151" t="s">
        <v>2478</v>
      </c>
      <c r="B1080" s="233" t="str">
        <f>VLOOKUP(A1080,'AFC Data details'!$B:$E,4,0)</f>
        <v>PV45</v>
      </c>
      <c r="C1080" s="144" t="s">
        <v>1700</v>
      </c>
      <c r="D1080" s="151" t="s">
        <v>602</v>
      </c>
      <c r="E1080" s="151">
        <f>VLOOKUP(A1080,'AFC Data details'!$B:$P,15,0)</f>
        <v>2.5649999999999999</v>
      </c>
      <c r="F1080" s="151">
        <f>SUMIFS('AFC Data details'!C:C,'AFC Data details'!$B:$B,'Element wise-detail Summary'!$A1080)</f>
        <v>1</v>
      </c>
      <c r="G1080" s="151">
        <f>SUMIFS(Cast!$C:$C,Cast!$B:$B,'Element wise-detail Summary'!$A1080)</f>
        <v>1</v>
      </c>
      <c r="H1080" s="151">
        <f t="shared" si="115"/>
        <v>0</v>
      </c>
      <c r="I1080" s="151">
        <f>SUMIFS(Del!$C:$C,Del!$B:$B,'Element wise-detail Summary'!$A1080)</f>
        <v>0</v>
      </c>
      <c r="J1080" s="151">
        <f t="shared" si="116"/>
        <v>1</v>
      </c>
      <c r="K1080" s="151">
        <f t="shared" si="117"/>
        <v>1</v>
      </c>
      <c r="L1080" s="151">
        <f>SUMIF(Ere!$B:$B,'Element wise-detail Summary'!$A1080,Ere!$C:$C)</f>
        <v>0</v>
      </c>
      <c r="M1080" s="151">
        <f t="shared" si="118"/>
        <v>1</v>
      </c>
    </row>
    <row r="1081" spans="1:13" hidden="1" x14ac:dyDescent="0.25">
      <c r="A1081" s="151" t="s">
        <v>2479</v>
      </c>
      <c r="B1081" s="233" t="str">
        <f>VLOOKUP(A1081,'AFC Data details'!$B:$E,4,0)</f>
        <v>PV45</v>
      </c>
      <c r="C1081" s="144" t="s">
        <v>1700</v>
      </c>
      <c r="D1081" s="151" t="s">
        <v>602</v>
      </c>
      <c r="E1081" s="151">
        <f>VLOOKUP(A1081,'AFC Data details'!$B:$P,15,0)</f>
        <v>2.5649999999999999</v>
      </c>
      <c r="F1081" s="151">
        <f>SUMIFS('AFC Data details'!C:C,'AFC Data details'!$B:$B,'Element wise-detail Summary'!$A1081)</f>
        <v>1</v>
      </c>
      <c r="G1081" s="151">
        <f>SUMIFS(Cast!$C:$C,Cast!$B:$B,'Element wise-detail Summary'!$A1081)</f>
        <v>1</v>
      </c>
      <c r="H1081" s="151">
        <f t="shared" si="115"/>
        <v>0</v>
      </c>
      <c r="I1081" s="151">
        <f>SUMIFS(Del!$C:$C,Del!$B:$B,'Element wise-detail Summary'!$A1081)</f>
        <v>0</v>
      </c>
      <c r="J1081" s="151">
        <f t="shared" si="116"/>
        <v>1</v>
      </c>
      <c r="K1081" s="151">
        <f t="shared" si="117"/>
        <v>1</v>
      </c>
      <c r="L1081" s="151">
        <f>SUMIF(Ere!$B:$B,'Element wise-detail Summary'!$A1081,Ere!$C:$C)</f>
        <v>0</v>
      </c>
      <c r="M1081" s="151">
        <f t="shared" si="118"/>
        <v>1</v>
      </c>
    </row>
    <row r="1082" spans="1:13" hidden="1" x14ac:dyDescent="0.25">
      <c r="A1082" s="151" t="s">
        <v>2480</v>
      </c>
      <c r="B1082" s="233" t="str">
        <f>VLOOKUP(A1082,'AFC Data details'!$B:$E,4,0)</f>
        <v>PV45</v>
      </c>
      <c r="C1082" s="144" t="s">
        <v>1700</v>
      </c>
      <c r="D1082" s="151" t="s">
        <v>602</v>
      </c>
      <c r="E1082" s="151">
        <f>VLOOKUP(A1082,'AFC Data details'!$B:$P,15,0)</f>
        <v>2.5649999999999999</v>
      </c>
      <c r="F1082" s="151">
        <f>SUMIFS('AFC Data details'!C:C,'AFC Data details'!$B:$B,'Element wise-detail Summary'!$A1082)</f>
        <v>1</v>
      </c>
      <c r="G1082" s="151">
        <f>SUMIFS(Cast!$C:$C,Cast!$B:$B,'Element wise-detail Summary'!$A1082)</f>
        <v>1</v>
      </c>
      <c r="H1082" s="151">
        <f t="shared" si="115"/>
        <v>0</v>
      </c>
      <c r="I1082" s="151">
        <f>SUMIFS(Del!$C:$C,Del!$B:$B,'Element wise-detail Summary'!$A1082)</f>
        <v>0</v>
      </c>
      <c r="J1082" s="151">
        <f t="shared" si="116"/>
        <v>1</v>
      </c>
      <c r="K1082" s="151">
        <f t="shared" si="117"/>
        <v>1</v>
      </c>
      <c r="L1082" s="151">
        <f>SUMIF(Ere!$B:$B,'Element wise-detail Summary'!$A1082,Ere!$C:$C)</f>
        <v>0</v>
      </c>
      <c r="M1082" s="151">
        <f t="shared" si="118"/>
        <v>1</v>
      </c>
    </row>
    <row r="1083" spans="1:13" hidden="1" x14ac:dyDescent="0.25">
      <c r="A1083" s="151" t="s">
        <v>2481</v>
      </c>
      <c r="B1083" s="233" t="str">
        <f>VLOOKUP(A1083,'AFC Data details'!$B:$E,4,0)</f>
        <v>PV45</v>
      </c>
      <c r="C1083" s="144" t="s">
        <v>1700</v>
      </c>
      <c r="D1083" s="151" t="s">
        <v>602</v>
      </c>
      <c r="E1083" s="151">
        <f>VLOOKUP(A1083,'AFC Data details'!$B:$P,15,0)</f>
        <v>2.5649999999999999</v>
      </c>
      <c r="F1083" s="151">
        <f>SUMIFS('AFC Data details'!C:C,'AFC Data details'!$B:$B,'Element wise-detail Summary'!$A1083)</f>
        <v>1</v>
      </c>
      <c r="G1083" s="151">
        <f>SUMIFS(Cast!$C:$C,Cast!$B:$B,'Element wise-detail Summary'!$A1083)</f>
        <v>1</v>
      </c>
      <c r="H1083" s="151">
        <f t="shared" si="115"/>
        <v>0</v>
      </c>
      <c r="I1083" s="151">
        <f>SUMIFS(Del!$C:$C,Del!$B:$B,'Element wise-detail Summary'!$A1083)</f>
        <v>0</v>
      </c>
      <c r="J1083" s="151">
        <f t="shared" si="116"/>
        <v>1</v>
      </c>
      <c r="K1083" s="151">
        <f t="shared" si="117"/>
        <v>1</v>
      </c>
      <c r="L1083" s="151">
        <f>SUMIF(Ere!$B:$B,'Element wise-detail Summary'!$A1083,Ere!$C:$C)</f>
        <v>0</v>
      </c>
      <c r="M1083" s="151">
        <f t="shared" si="118"/>
        <v>1</v>
      </c>
    </row>
    <row r="1084" spans="1:13" hidden="1" x14ac:dyDescent="0.25">
      <c r="A1084" s="151" t="s">
        <v>2482</v>
      </c>
      <c r="B1084" s="233" t="str">
        <f>VLOOKUP(A1084,'AFC Data details'!$B:$E,4,0)</f>
        <v>PV45</v>
      </c>
      <c r="C1084" s="144" t="s">
        <v>1700</v>
      </c>
      <c r="D1084" s="151" t="s">
        <v>602</v>
      </c>
      <c r="E1084" s="151">
        <f>VLOOKUP(A1084,'AFC Data details'!$B:$P,15,0)</f>
        <v>1.556</v>
      </c>
      <c r="F1084" s="151">
        <f>SUMIFS('AFC Data details'!C:C,'AFC Data details'!$B:$B,'Element wise-detail Summary'!$A1084)</f>
        <v>1</v>
      </c>
      <c r="G1084" s="151">
        <f>SUMIFS(Cast!$C:$C,Cast!$B:$B,'Element wise-detail Summary'!$A1084)</f>
        <v>1</v>
      </c>
      <c r="H1084" s="151">
        <f t="shared" si="115"/>
        <v>0</v>
      </c>
      <c r="I1084" s="151">
        <f>SUMIFS(Del!$C:$C,Del!$B:$B,'Element wise-detail Summary'!$A1084)</f>
        <v>0</v>
      </c>
      <c r="J1084" s="151">
        <f t="shared" si="116"/>
        <v>1</v>
      </c>
      <c r="K1084" s="151">
        <f t="shared" si="117"/>
        <v>1</v>
      </c>
      <c r="L1084" s="151">
        <f>SUMIF(Ere!$B:$B,'Element wise-detail Summary'!$A1084,Ere!$C:$C)</f>
        <v>0</v>
      </c>
      <c r="M1084" s="151">
        <f t="shared" si="118"/>
        <v>1</v>
      </c>
    </row>
    <row r="1085" spans="1:13" hidden="1" x14ac:dyDescent="0.25">
      <c r="A1085" s="151" t="s">
        <v>2483</v>
      </c>
      <c r="B1085" s="233" t="str">
        <f>VLOOKUP(A1085,'AFC Data details'!$B:$E,4,0)</f>
        <v>PV45</v>
      </c>
      <c r="C1085" s="144" t="s">
        <v>1700</v>
      </c>
      <c r="D1085" s="151" t="s">
        <v>602</v>
      </c>
      <c r="E1085" s="151">
        <f>VLOOKUP(A1085,'AFC Data details'!$B:$P,15,0)</f>
        <v>1.556</v>
      </c>
      <c r="F1085" s="151">
        <f>SUMIFS('AFC Data details'!C:C,'AFC Data details'!$B:$B,'Element wise-detail Summary'!$A1085)</f>
        <v>1</v>
      </c>
      <c r="G1085" s="151">
        <f>SUMIFS(Cast!$C:$C,Cast!$B:$B,'Element wise-detail Summary'!$A1085)</f>
        <v>1</v>
      </c>
      <c r="H1085" s="151">
        <f t="shared" si="115"/>
        <v>0</v>
      </c>
      <c r="I1085" s="151">
        <f>SUMIFS(Del!$C:$C,Del!$B:$B,'Element wise-detail Summary'!$A1085)</f>
        <v>0</v>
      </c>
      <c r="J1085" s="151">
        <f t="shared" si="116"/>
        <v>1</v>
      </c>
      <c r="K1085" s="151">
        <f t="shared" si="117"/>
        <v>1</v>
      </c>
      <c r="L1085" s="151">
        <f>SUMIF(Ere!$B:$B,'Element wise-detail Summary'!$A1085,Ere!$C:$C)</f>
        <v>0</v>
      </c>
      <c r="M1085" s="151">
        <f t="shared" si="118"/>
        <v>1</v>
      </c>
    </row>
    <row r="1086" spans="1:13" hidden="1" x14ac:dyDescent="0.25">
      <c r="A1086" s="151" t="s">
        <v>2485</v>
      </c>
      <c r="B1086" s="233" t="str">
        <f>VLOOKUP(A1086,'AFC Data details'!$B:$E,4,0)</f>
        <v>PV45</v>
      </c>
      <c r="C1086" s="144" t="s">
        <v>1700</v>
      </c>
      <c r="D1086" s="151" t="s">
        <v>602</v>
      </c>
      <c r="E1086" s="151">
        <f>VLOOKUP(A1086,'AFC Data details'!$B:$P,15,0)</f>
        <v>2.8330000000000002</v>
      </c>
      <c r="F1086" s="151">
        <f>SUMIFS('AFC Data details'!C:C,'AFC Data details'!$B:$B,'Element wise-detail Summary'!$A1086)</f>
        <v>1</v>
      </c>
      <c r="G1086" s="151">
        <f>SUMIFS(Cast!$C:$C,Cast!$B:$B,'Element wise-detail Summary'!$A1086)</f>
        <v>1</v>
      </c>
      <c r="H1086" s="151">
        <f t="shared" si="115"/>
        <v>0</v>
      </c>
      <c r="I1086" s="151">
        <f>SUMIFS(Del!$C:$C,Del!$B:$B,'Element wise-detail Summary'!$A1086)</f>
        <v>0</v>
      </c>
      <c r="J1086" s="151">
        <f t="shared" si="116"/>
        <v>1</v>
      </c>
      <c r="K1086" s="151">
        <f t="shared" si="117"/>
        <v>1</v>
      </c>
      <c r="L1086" s="151">
        <f>SUMIF(Ere!$B:$B,'Element wise-detail Summary'!$A1086,Ere!$C:$C)</f>
        <v>0</v>
      </c>
      <c r="M1086" s="151">
        <f t="shared" si="118"/>
        <v>1</v>
      </c>
    </row>
    <row r="1087" spans="1:13" hidden="1" x14ac:dyDescent="0.25">
      <c r="A1087" s="151" t="s">
        <v>2486</v>
      </c>
      <c r="B1087" s="233" t="str">
        <f>VLOOKUP(A1087,'AFC Data details'!$B:$E,4,0)</f>
        <v>PV45</v>
      </c>
      <c r="C1087" s="144" t="s">
        <v>1700</v>
      </c>
      <c r="D1087" s="151" t="s">
        <v>602</v>
      </c>
      <c r="E1087" s="151">
        <f>VLOOKUP(A1087,'AFC Data details'!$B:$P,15,0)</f>
        <v>2.8330000000000002</v>
      </c>
      <c r="F1087" s="151">
        <f>SUMIFS('AFC Data details'!C:C,'AFC Data details'!$B:$B,'Element wise-detail Summary'!$A1087)</f>
        <v>1</v>
      </c>
      <c r="G1087" s="151">
        <f>SUMIFS(Cast!$C:$C,Cast!$B:$B,'Element wise-detail Summary'!$A1087)</f>
        <v>1</v>
      </c>
      <c r="H1087" s="151">
        <f t="shared" si="115"/>
        <v>0</v>
      </c>
      <c r="I1087" s="151">
        <f>SUMIFS(Del!$C:$C,Del!$B:$B,'Element wise-detail Summary'!$A1087)</f>
        <v>0</v>
      </c>
      <c r="J1087" s="151">
        <f t="shared" si="116"/>
        <v>1</v>
      </c>
      <c r="K1087" s="151">
        <f t="shared" si="117"/>
        <v>1</v>
      </c>
      <c r="L1087" s="151">
        <f>SUMIF(Ere!$B:$B,'Element wise-detail Summary'!$A1087,Ere!$C:$C)</f>
        <v>0</v>
      </c>
      <c r="M1087" s="151">
        <f t="shared" si="118"/>
        <v>1</v>
      </c>
    </row>
    <row r="1088" spans="1:13" hidden="1" x14ac:dyDescent="0.25">
      <c r="A1088" s="151" t="s">
        <v>2487</v>
      </c>
      <c r="B1088" s="233" t="str">
        <f>VLOOKUP(A1088,'AFC Data details'!$B:$E,4,0)</f>
        <v>PV45</v>
      </c>
      <c r="C1088" s="144" t="s">
        <v>1700</v>
      </c>
      <c r="D1088" s="151" t="s">
        <v>602</v>
      </c>
      <c r="E1088" s="151">
        <f>VLOOKUP(A1088,'AFC Data details'!$B:$P,15,0)</f>
        <v>2.8330000000000002</v>
      </c>
      <c r="F1088" s="151">
        <f>SUMIFS('AFC Data details'!C:C,'AFC Data details'!$B:$B,'Element wise-detail Summary'!$A1088)</f>
        <v>1</v>
      </c>
      <c r="G1088" s="151">
        <f>SUMIFS(Cast!$C:$C,Cast!$B:$B,'Element wise-detail Summary'!$A1088)</f>
        <v>1</v>
      </c>
      <c r="H1088" s="151">
        <f t="shared" si="115"/>
        <v>0</v>
      </c>
      <c r="I1088" s="151">
        <f>SUMIFS(Del!$C:$C,Del!$B:$B,'Element wise-detail Summary'!$A1088)</f>
        <v>0</v>
      </c>
      <c r="J1088" s="151">
        <f t="shared" si="116"/>
        <v>1</v>
      </c>
      <c r="K1088" s="151">
        <f t="shared" si="117"/>
        <v>1</v>
      </c>
      <c r="L1088" s="151">
        <f>SUMIF(Ere!$B:$B,'Element wise-detail Summary'!$A1088,Ere!$C:$C)</f>
        <v>0</v>
      </c>
      <c r="M1088" s="151">
        <f t="shared" si="118"/>
        <v>1</v>
      </c>
    </row>
    <row r="1089" spans="1:13" hidden="1" x14ac:dyDescent="0.25">
      <c r="A1089" s="151" t="s">
        <v>2488</v>
      </c>
      <c r="B1089" s="233" t="str">
        <f>VLOOKUP(A1089,'AFC Data details'!$B:$E,4,0)</f>
        <v>PV45</v>
      </c>
      <c r="C1089" s="144" t="s">
        <v>1700</v>
      </c>
      <c r="D1089" s="151" t="s">
        <v>602</v>
      </c>
      <c r="E1089" s="151">
        <f>VLOOKUP(A1089,'AFC Data details'!$B:$P,15,0)</f>
        <v>2.8330000000000002</v>
      </c>
      <c r="F1089" s="151">
        <f>SUMIFS('AFC Data details'!C:C,'AFC Data details'!$B:$B,'Element wise-detail Summary'!$A1089)</f>
        <v>1</v>
      </c>
      <c r="G1089" s="151">
        <f>SUMIFS(Cast!$C:$C,Cast!$B:$B,'Element wise-detail Summary'!$A1089)</f>
        <v>1</v>
      </c>
      <c r="H1089" s="151">
        <f t="shared" si="115"/>
        <v>0</v>
      </c>
      <c r="I1089" s="151">
        <f>SUMIFS(Del!$C:$C,Del!$B:$B,'Element wise-detail Summary'!$A1089)</f>
        <v>0</v>
      </c>
      <c r="J1089" s="151">
        <f t="shared" si="116"/>
        <v>1</v>
      </c>
      <c r="K1089" s="151">
        <f t="shared" si="117"/>
        <v>1</v>
      </c>
      <c r="L1089" s="151">
        <f>SUMIF(Ere!$B:$B,'Element wise-detail Summary'!$A1089,Ere!$C:$C)</f>
        <v>0</v>
      </c>
      <c r="M1089" s="151">
        <f t="shared" si="118"/>
        <v>1</v>
      </c>
    </row>
    <row r="1090" spans="1:13" hidden="1" x14ac:dyDescent="0.25">
      <c r="A1090" s="151" t="s">
        <v>2489</v>
      </c>
      <c r="B1090" s="233" t="str">
        <f>VLOOKUP(A1090,'AFC Data details'!$B:$E,4,0)</f>
        <v>PV45</v>
      </c>
      <c r="C1090" s="144" t="s">
        <v>1700</v>
      </c>
      <c r="D1090" s="151" t="s">
        <v>602</v>
      </c>
      <c r="E1090" s="151">
        <f>VLOOKUP(A1090,'AFC Data details'!$B:$P,15,0)</f>
        <v>2.8330000000000002</v>
      </c>
      <c r="F1090" s="151">
        <f>SUMIFS('AFC Data details'!C:C,'AFC Data details'!$B:$B,'Element wise-detail Summary'!$A1090)</f>
        <v>1</v>
      </c>
      <c r="G1090" s="151">
        <f>SUMIFS(Cast!$C:$C,Cast!$B:$B,'Element wise-detail Summary'!$A1090)</f>
        <v>1</v>
      </c>
      <c r="H1090" s="151">
        <f t="shared" si="115"/>
        <v>0</v>
      </c>
      <c r="I1090" s="151">
        <f>SUMIFS(Del!$C:$C,Del!$B:$B,'Element wise-detail Summary'!$A1090)</f>
        <v>0</v>
      </c>
      <c r="J1090" s="151">
        <f t="shared" si="116"/>
        <v>1</v>
      </c>
      <c r="K1090" s="151">
        <f t="shared" si="117"/>
        <v>1</v>
      </c>
      <c r="L1090" s="151">
        <f>SUMIF(Ere!$B:$B,'Element wise-detail Summary'!$A1090,Ere!$C:$C)</f>
        <v>0</v>
      </c>
      <c r="M1090" s="151">
        <f t="shared" si="118"/>
        <v>1</v>
      </c>
    </row>
    <row r="1091" spans="1:13" hidden="1" x14ac:dyDescent="0.25">
      <c r="A1091" s="151" t="s">
        <v>2490</v>
      </c>
      <c r="B1091" s="233" t="str">
        <f>VLOOKUP(A1091,'AFC Data details'!$B:$E,4,0)</f>
        <v>PV45</v>
      </c>
      <c r="C1091" s="144" t="s">
        <v>1700</v>
      </c>
      <c r="D1091" s="151" t="s">
        <v>602</v>
      </c>
      <c r="E1091" s="151">
        <f>VLOOKUP(A1091,'AFC Data details'!$B:$P,15,0)</f>
        <v>1.075</v>
      </c>
      <c r="F1091" s="151">
        <f>SUMIFS('AFC Data details'!C:C,'AFC Data details'!$B:$B,'Element wise-detail Summary'!$A1091)</f>
        <v>1</v>
      </c>
      <c r="G1091" s="151">
        <f>SUMIFS(Cast!$C:$C,Cast!$B:$B,'Element wise-detail Summary'!$A1091)</f>
        <v>1</v>
      </c>
      <c r="H1091" s="151">
        <f t="shared" si="115"/>
        <v>0</v>
      </c>
      <c r="I1091" s="151">
        <f>SUMIFS(Del!$C:$C,Del!$B:$B,'Element wise-detail Summary'!$A1091)</f>
        <v>0</v>
      </c>
      <c r="J1091" s="151">
        <f t="shared" si="116"/>
        <v>1</v>
      </c>
      <c r="K1091" s="151">
        <f t="shared" si="117"/>
        <v>1</v>
      </c>
      <c r="L1091" s="151">
        <f>SUMIF(Ere!$B:$B,'Element wise-detail Summary'!$A1091,Ere!$C:$C)</f>
        <v>0</v>
      </c>
      <c r="M1091" s="151">
        <f t="shared" si="118"/>
        <v>1</v>
      </c>
    </row>
    <row r="1092" spans="1:13" hidden="1" x14ac:dyDescent="0.25">
      <c r="A1092" s="151" t="s">
        <v>2491</v>
      </c>
      <c r="B1092" s="233" t="str">
        <f>VLOOKUP(A1092,'AFC Data details'!$B:$E,4,0)</f>
        <v>PV45</v>
      </c>
      <c r="C1092" s="144" t="s">
        <v>1700</v>
      </c>
      <c r="D1092" s="151" t="s">
        <v>602</v>
      </c>
      <c r="E1092" s="151">
        <f>VLOOKUP(A1092,'AFC Data details'!$B:$P,15,0)</f>
        <v>1.605</v>
      </c>
      <c r="F1092" s="151">
        <f>SUMIFS('AFC Data details'!C:C,'AFC Data details'!$B:$B,'Element wise-detail Summary'!$A1092)</f>
        <v>1</v>
      </c>
      <c r="G1092" s="151">
        <f>SUMIFS(Cast!$C:$C,Cast!$B:$B,'Element wise-detail Summary'!$A1092)</f>
        <v>1</v>
      </c>
      <c r="H1092" s="151">
        <f t="shared" si="115"/>
        <v>0</v>
      </c>
      <c r="I1092" s="151">
        <f>SUMIFS(Del!$C:$C,Del!$B:$B,'Element wise-detail Summary'!$A1092)</f>
        <v>0</v>
      </c>
      <c r="J1092" s="151">
        <f t="shared" si="116"/>
        <v>1</v>
      </c>
      <c r="K1092" s="151">
        <f t="shared" si="117"/>
        <v>1</v>
      </c>
      <c r="L1092" s="151">
        <f>SUMIF(Ere!$B:$B,'Element wise-detail Summary'!$A1092,Ere!$C:$C)</f>
        <v>0</v>
      </c>
      <c r="M1092" s="151">
        <f t="shared" si="118"/>
        <v>1</v>
      </c>
    </row>
    <row r="1093" spans="1:13" hidden="1" x14ac:dyDescent="0.25">
      <c r="A1093" s="151" t="s">
        <v>2493</v>
      </c>
      <c r="B1093" s="233" t="str">
        <f>VLOOKUP(A1093,'AFC Data details'!$B:$E,4,0)</f>
        <v>PV46</v>
      </c>
      <c r="C1093" s="144" t="s">
        <v>1700</v>
      </c>
      <c r="D1093" s="151" t="s">
        <v>602</v>
      </c>
      <c r="E1093" s="151">
        <f>VLOOKUP(A1093,'AFC Data details'!$B:$P,15,0)</f>
        <v>1.2989999999999999</v>
      </c>
      <c r="F1093" s="151">
        <f>SUMIFS('AFC Data details'!C:C,'AFC Data details'!$B:$B,'Element wise-detail Summary'!$A1093)</f>
        <v>1</v>
      </c>
      <c r="G1093" s="151">
        <f>SUMIFS(Cast!$C:$C,Cast!$B:$B,'Element wise-detail Summary'!$A1093)</f>
        <v>1</v>
      </c>
      <c r="H1093" s="151">
        <f t="shared" si="115"/>
        <v>0</v>
      </c>
      <c r="I1093" s="151">
        <f>SUMIFS(Del!$C:$C,Del!$B:$B,'Element wise-detail Summary'!$A1093)</f>
        <v>0</v>
      </c>
      <c r="J1093" s="151">
        <f t="shared" si="116"/>
        <v>1</v>
      </c>
      <c r="K1093" s="151">
        <f t="shared" si="117"/>
        <v>1</v>
      </c>
      <c r="L1093" s="151">
        <f>SUMIF(Ere!$B:$B,'Element wise-detail Summary'!$A1093,Ere!$C:$C)</f>
        <v>0</v>
      </c>
      <c r="M1093" s="151">
        <f t="shared" si="118"/>
        <v>1</v>
      </c>
    </row>
    <row r="1094" spans="1:13" hidden="1" x14ac:dyDescent="0.25">
      <c r="A1094" s="151" t="s">
        <v>2494</v>
      </c>
      <c r="B1094" s="233" t="str">
        <f>VLOOKUP(A1094,'AFC Data details'!$B:$E,4,0)</f>
        <v>PV46</v>
      </c>
      <c r="C1094" s="144" t="s">
        <v>1700</v>
      </c>
      <c r="D1094" s="151" t="s">
        <v>602</v>
      </c>
      <c r="E1094" s="151">
        <f>VLOOKUP(A1094,'AFC Data details'!$B:$P,15,0)</f>
        <v>1.498</v>
      </c>
      <c r="F1094" s="151">
        <f>SUMIFS('AFC Data details'!C:C,'AFC Data details'!$B:$B,'Element wise-detail Summary'!$A1094)</f>
        <v>1</v>
      </c>
      <c r="G1094" s="151">
        <f>SUMIFS(Cast!$C:$C,Cast!$B:$B,'Element wise-detail Summary'!$A1094)</f>
        <v>1</v>
      </c>
      <c r="H1094" s="151">
        <f t="shared" si="115"/>
        <v>0</v>
      </c>
      <c r="I1094" s="151">
        <f>SUMIFS(Del!$C:$C,Del!$B:$B,'Element wise-detail Summary'!$A1094)</f>
        <v>0</v>
      </c>
      <c r="J1094" s="151">
        <f t="shared" si="116"/>
        <v>1</v>
      </c>
      <c r="K1094" s="151">
        <f t="shared" si="117"/>
        <v>1</v>
      </c>
      <c r="L1094" s="151">
        <f>SUMIF(Ere!$B:$B,'Element wise-detail Summary'!$A1094,Ere!$C:$C)</f>
        <v>0</v>
      </c>
      <c r="M1094" s="151">
        <f t="shared" si="118"/>
        <v>1</v>
      </c>
    </row>
    <row r="1095" spans="1:13" hidden="1" x14ac:dyDescent="0.25">
      <c r="A1095" s="151" t="s">
        <v>2496</v>
      </c>
      <c r="B1095" s="233" t="str">
        <f>VLOOKUP(A1095,'AFC Data details'!$B:$E,4,0)</f>
        <v>V01</v>
      </c>
      <c r="C1095" s="144" t="s">
        <v>1698</v>
      </c>
      <c r="D1095" s="151" t="s">
        <v>602</v>
      </c>
      <c r="E1095" s="151">
        <f>VLOOKUP(A1095,'AFC Data details'!$B:$P,15,0)</f>
        <v>2.4820000000000002</v>
      </c>
      <c r="F1095" s="151">
        <f>SUMIFS('AFC Data details'!C:C,'AFC Data details'!$B:$B,'Element wise-detail Summary'!$A1095)</f>
        <v>1</v>
      </c>
      <c r="G1095" s="151">
        <f>SUMIFS(Cast!$C:$C,Cast!$B:$B,'Element wise-detail Summary'!$A1095)</f>
        <v>1</v>
      </c>
      <c r="H1095" s="151">
        <f t="shared" ref="H1095:H1113" si="119">F1095-G1095</f>
        <v>0</v>
      </c>
      <c r="I1095" s="151">
        <f>SUMIFS(Del!$C:$C,Del!$B:$B,'Element wise-detail Summary'!$A1095)</f>
        <v>1</v>
      </c>
      <c r="J1095" s="151">
        <f t="shared" ref="J1095:J1113" si="120">F1095-I1095</f>
        <v>0</v>
      </c>
      <c r="K1095" s="151">
        <f t="shared" ref="K1095:K1113" si="121">G1095-I1095</f>
        <v>0</v>
      </c>
      <c r="L1095" s="151">
        <f>SUMIF(Ere!$B:$B,'Element wise-detail Summary'!$A1095,Ere!$C:$C)</f>
        <v>1</v>
      </c>
      <c r="M1095" s="151">
        <f t="shared" ref="M1095:M1113" si="122">F1095-L1095</f>
        <v>0</v>
      </c>
    </row>
    <row r="1096" spans="1:13" hidden="1" x14ac:dyDescent="0.25">
      <c r="A1096" s="151" t="s">
        <v>2498</v>
      </c>
      <c r="B1096" s="233" t="str">
        <f>VLOOKUP(A1096,'AFC Data details'!$B:$E,4,0)</f>
        <v>V01</v>
      </c>
      <c r="C1096" s="144" t="s">
        <v>1698</v>
      </c>
      <c r="D1096" s="151" t="s">
        <v>602</v>
      </c>
      <c r="E1096" s="151">
        <f>VLOOKUP(A1096,'AFC Data details'!$B:$P,15,0)</f>
        <v>2.4809999999999999</v>
      </c>
      <c r="F1096" s="151">
        <f>SUMIFS('AFC Data details'!C:C,'AFC Data details'!$B:$B,'Element wise-detail Summary'!$A1096)</f>
        <v>1</v>
      </c>
      <c r="G1096" s="151">
        <f>SUMIFS(Cast!$C:$C,Cast!$B:$B,'Element wise-detail Summary'!$A1096)</f>
        <v>1</v>
      </c>
      <c r="H1096" s="151">
        <f t="shared" si="119"/>
        <v>0</v>
      </c>
      <c r="I1096" s="151">
        <f>SUMIFS(Del!$C:$C,Del!$B:$B,'Element wise-detail Summary'!$A1096)</f>
        <v>1</v>
      </c>
      <c r="J1096" s="151">
        <f t="shared" si="120"/>
        <v>0</v>
      </c>
      <c r="K1096" s="151">
        <f t="shared" si="121"/>
        <v>0</v>
      </c>
      <c r="L1096" s="151">
        <f>SUMIF(Ere!$B:$B,'Element wise-detail Summary'!$A1096,Ere!$C:$C)</f>
        <v>1</v>
      </c>
      <c r="M1096" s="151">
        <f t="shared" si="122"/>
        <v>0</v>
      </c>
    </row>
    <row r="1097" spans="1:13" hidden="1" x14ac:dyDescent="0.25">
      <c r="A1097" s="151" t="s">
        <v>2500</v>
      </c>
      <c r="B1097" s="233" t="str">
        <f>VLOOKUP(A1097,'AFC Data details'!$B:$E,4,0)</f>
        <v>V02</v>
      </c>
      <c r="C1097" s="144" t="s">
        <v>1698</v>
      </c>
      <c r="D1097" s="151" t="s">
        <v>602</v>
      </c>
      <c r="E1097" s="151">
        <f>VLOOKUP(A1097,'AFC Data details'!$B:$P,15,0)</f>
        <v>2.2530000000000001</v>
      </c>
      <c r="F1097" s="151">
        <f>SUMIFS('AFC Data details'!C:C,'AFC Data details'!$B:$B,'Element wise-detail Summary'!$A1097)</f>
        <v>1</v>
      </c>
      <c r="G1097" s="151">
        <f>SUMIFS(Cast!$C:$C,Cast!$B:$B,'Element wise-detail Summary'!$A1097)</f>
        <v>1</v>
      </c>
      <c r="H1097" s="151">
        <f t="shared" si="119"/>
        <v>0</v>
      </c>
      <c r="I1097" s="151">
        <f>SUMIFS(Del!$C:$C,Del!$B:$B,'Element wise-detail Summary'!$A1097)</f>
        <v>0</v>
      </c>
      <c r="J1097" s="151">
        <f t="shared" si="120"/>
        <v>1</v>
      </c>
      <c r="K1097" s="151">
        <f t="shared" si="121"/>
        <v>1</v>
      </c>
      <c r="L1097" s="151">
        <f>SUMIF(Ere!$B:$B,'Element wise-detail Summary'!$A1097,Ere!$C:$C)</f>
        <v>0</v>
      </c>
      <c r="M1097" s="151">
        <f t="shared" si="122"/>
        <v>1</v>
      </c>
    </row>
    <row r="1098" spans="1:13" hidden="1" x14ac:dyDescent="0.25">
      <c r="A1098" s="151" t="s">
        <v>2502</v>
      </c>
      <c r="B1098" s="233" t="str">
        <f>VLOOKUP(A1098,'AFC Data details'!$B:$E,4,0)</f>
        <v>V03</v>
      </c>
      <c r="C1098" s="144" t="s">
        <v>1698</v>
      </c>
      <c r="D1098" s="151" t="s">
        <v>602</v>
      </c>
      <c r="E1098" s="151">
        <f>VLOOKUP(A1098,'AFC Data details'!$B:$P,15,0)</f>
        <v>2.2530000000000001</v>
      </c>
      <c r="F1098" s="151">
        <f>SUMIFS('AFC Data details'!C:C,'AFC Data details'!$B:$B,'Element wise-detail Summary'!$A1098)</f>
        <v>1</v>
      </c>
      <c r="G1098" s="151">
        <f>SUMIFS(Cast!$C:$C,Cast!$B:$B,'Element wise-detail Summary'!$A1098)</f>
        <v>1</v>
      </c>
      <c r="H1098" s="151">
        <f t="shared" si="119"/>
        <v>0</v>
      </c>
      <c r="I1098" s="151">
        <f>SUMIFS(Del!$C:$C,Del!$B:$B,'Element wise-detail Summary'!$A1098)</f>
        <v>1</v>
      </c>
      <c r="J1098" s="151">
        <f t="shared" si="120"/>
        <v>0</v>
      </c>
      <c r="K1098" s="151">
        <f t="shared" si="121"/>
        <v>0</v>
      </c>
      <c r="L1098" s="151">
        <f>SUMIF(Ere!$B:$B,'Element wise-detail Summary'!$A1098,Ere!$C:$C)</f>
        <v>1</v>
      </c>
      <c r="M1098" s="151">
        <f t="shared" si="122"/>
        <v>0</v>
      </c>
    </row>
    <row r="1099" spans="1:13" hidden="1" x14ac:dyDescent="0.25">
      <c r="A1099" s="151" t="s">
        <v>2503</v>
      </c>
      <c r="B1099" s="233" t="str">
        <f>VLOOKUP(A1099,'AFC Data details'!$B:$E,4,0)</f>
        <v>V02</v>
      </c>
      <c r="C1099" s="144" t="s">
        <v>1698</v>
      </c>
      <c r="D1099" s="151" t="s">
        <v>602</v>
      </c>
      <c r="E1099" s="151">
        <f>VLOOKUP(A1099,'AFC Data details'!$B:$P,15,0)</f>
        <v>2.2530000000000001</v>
      </c>
      <c r="F1099" s="151">
        <f>SUMIFS('AFC Data details'!C:C,'AFC Data details'!$B:$B,'Element wise-detail Summary'!$A1099)</f>
        <v>1</v>
      </c>
      <c r="G1099" s="151">
        <f>SUMIFS(Cast!$C:$C,Cast!$B:$B,'Element wise-detail Summary'!$A1099)</f>
        <v>1</v>
      </c>
      <c r="H1099" s="151">
        <f t="shared" si="119"/>
        <v>0</v>
      </c>
      <c r="I1099" s="151">
        <f>SUMIFS(Del!$C:$C,Del!$B:$B,'Element wise-detail Summary'!$A1099)</f>
        <v>1</v>
      </c>
      <c r="J1099" s="151">
        <f t="shared" si="120"/>
        <v>0</v>
      </c>
      <c r="K1099" s="151">
        <f t="shared" si="121"/>
        <v>0</v>
      </c>
      <c r="L1099" s="151">
        <f>SUMIF(Ere!$B:$B,'Element wise-detail Summary'!$A1099,Ere!$C:$C)</f>
        <v>1</v>
      </c>
      <c r="M1099" s="151">
        <f t="shared" si="122"/>
        <v>0</v>
      </c>
    </row>
    <row r="1100" spans="1:13" hidden="1" x14ac:dyDescent="0.25">
      <c r="A1100" s="151" t="s">
        <v>2504</v>
      </c>
      <c r="B1100" s="233" t="str">
        <f>VLOOKUP(A1100,'AFC Data details'!$B:$E,4,0)</f>
        <v>V03</v>
      </c>
      <c r="C1100" s="144" t="s">
        <v>1698</v>
      </c>
      <c r="D1100" s="151" t="s">
        <v>602</v>
      </c>
      <c r="E1100" s="151">
        <f>VLOOKUP(A1100,'AFC Data details'!$B:$P,15,0)</f>
        <v>2.2530000000000001</v>
      </c>
      <c r="F1100" s="151">
        <f>SUMIFS('AFC Data details'!C:C,'AFC Data details'!$B:$B,'Element wise-detail Summary'!$A1100)</f>
        <v>1</v>
      </c>
      <c r="G1100" s="151">
        <f>SUMIFS(Cast!$C:$C,Cast!$B:$B,'Element wise-detail Summary'!$A1100)</f>
        <v>1</v>
      </c>
      <c r="H1100" s="151">
        <f t="shared" si="119"/>
        <v>0</v>
      </c>
      <c r="I1100" s="151">
        <f>SUMIFS(Del!$C:$C,Del!$B:$B,'Element wise-detail Summary'!$A1100)</f>
        <v>1</v>
      </c>
      <c r="J1100" s="151">
        <f t="shared" si="120"/>
        <v>0</v>
      </c>
      <c r="K1100" s="151">
        <f t="shared" si="121"/>
        <v>0</v>
      </c>
      <c r="L1100" s="151">
        <f>SUMIF(Ere!$B:$B,'Element wise-detail Summary'!$A1100,Ere!$C:$C)</f>
        <v>1</v>
      </c>
      <c r="M1100" s="151">
        <f t="shared" si="122"/>
        <v>0</v>
      </c>
    </row>
    <row r="1101" spans="1:13" hidden="1" x14ac:dyDescent="0.25">
      <c r="A1101" s="151" t="s">
        <v>2505</v>
      </c>
      <c r="B1101" s="233" t="str">
        <f>VLOOKUP(A1101,'AFC Data details'!$B:$E,4,0)</f>
        <v>V02</v>
      </c>
      <c r="C1101" s="144" t="s">
        <v>1698</v>
      </c>
      <c r="D1101" s="151" t="s">
        <v>602</v>
      </c>
      <c r="E1101" s="151">
        <f>VLOOKUP(A1101,'AFC Data details'!$B:$P,15,0)</f>
        <v>2.2160000000000002</v>
      </c>
      <c r="F1101" s="151">
        <f>SUMIFS('AFC Data details'!C:C,'AFC Data details'!$B:$B,'Element wise-detail Summary'!$A1101)</f>
        <v>1</v>
      </c>
      <c r="G1101" s="151">
        <f>SUMIFS(Cast!$C:$C,Cast!$B:$B,'Element wise-detail Summary'!$A1101)</f>
        <v>1</v>
      </c>
      <c r="H1101" s="151">
        <f t="shared" si="119"/>
        <v>0</v>
      </c>
      <c r="I1101" s="151">
        <f>SUMIFS(Del!$C:$C,Del!$B:$B,'Element wise-detail Summary'!$A1101)</f>
        <v>0</v>
      </c>
      <c r="J1101" s="151">
        <f t="shared" si="120"/>
        <v>1</v>
      </c>
      <c r="K1101" s="151">
        <f t="shared" si="121"/>
        <v>1</v>
      </c>
      <c r="L1101" s="151">
        <f>SUMIF(Ere!$B:$B,'Element wise-detail Summary'!$A1101,Ere!$C:$C)</f>
        <v>0</v>
      </c>
      <c r="M1101" s="151">
        <f t="shared" si="122"/>
        <v>1</v>
      </c>
    </row>
    <row r="1102" spans="1:13" hidden="1" x14ac:dyDescent="0.25">
      <c r="A1102" s="151" t="s">
        <v>2506</v>
      </c>
      <c r="B1102" s="233" t="str">
        <f>VLOOKUP(A1102,'AFC Data details'!$B:$E,4,0)</f>
        <v>V03</v>
      </c>
      <c r="C1102" s="144" t="s">
        <v>1698</v>
      </c>
      <c r="D1102" s="151" t="s">
        <v>602</v>
      </c>
      <c r="E1102" s="151">
        <f>VLOOKUP(A1102,'AFC Data details'!$B:$P,15,0)</f>
        <v>2.2160000000000002</v>
      </c>
      <c r="F1102" s="151">
        <f>SUMIFS('AFC Data details'!C:C,'AFC Data details'!$B:$B,'Element wise-detail Summary'!$A1102)</f>
        <v>1</v>
      </c>
      <c r="G1102" s="151">
        <f>SUMIFS(Cast!$C:$C,Cast!$B:$B,'Element wise-detail Summary'!$A1102)</f>
        <v>1</v>
      </c>
      <c r="H1102" s="151">
        <f t="shared" si="119"/>
        <v>0</v>
      </c>
      <c r="I1102" s="151">
        <f>SUMIFS(Del!$C:$C,Del!$B:$B,'Element wise-detail Summary'!$A1102)</f>
        <v>1</v>
      </c>
      <c r="J1102" s="151">
        <f t="shared" si="120"/>
        <v>0</v>
      </c>
      <c r="K1102" s="151">
        <f t="shared" si="121"/>
        <v>0</v>
      </c>
      <c r="L1102" s="151">
        <f>SUMIF(Ere!$B:$B,'Element wise-detail Summary'!$A1102,Ere!$C:$C)</f>
        <v>1</v>
      </c>
      <c r="M1102" s="151">
        <f t="shared" si="122"/>
        <v>0</v>
      </c>
    </row>
    <row r="1103" spans="1:13" hidden="1" x14ac:dyDescent="0.25">
      <c r="A1103" s="151" t="s">
        <v>2507</v>
      </c>
      <c r="B1103" s="233" t="str">
        <f>VLOOKUP(A1103,'AFC Data details'!$B:$E,4,0)</f>
        <v>V02</v>
      </c>
      <c r="C1103" s="144" t="s">
        <v>1698</v>
      </c>
      <c r="D1103" s="151" t="s">
        <v>602</v>
      </c>
      <c r="E1103" s="151">
        <f>VLOOKUP(A1103,'AFC Data details'!$B:$P,15,0)</f>
        <v>2.2160000000000002</v>
      </c>
      <c r="F1103" s="151">
        <f>SUMIFS('AFC Data details'!C:C,'AFC Data details'!$B:$B,'Element wise-detail Summary'!$A1103)</f>
        <v>1</v>
      </c>
      <c r="G1103" s="151">
        <f>SUMIFS(Cast!$C:$C,Cast!$B:$B,'Element wise-detail Summary'!$A1103)</f>
        <v>1</v>
      </c>
      <c r="H1103" s="151">
        <f t="shared" si="119"/>
        <v>0</v>
      </c>
      <c r="I1103" s="151">
        <f>SUMIFS(Del!$C:$C,Del!$B:$B,'Element wise-detail Summary'!$A1103)</f>
        <v>0</v>
      </c>
      <c r="J1103" s="151">
        <f t="shared" si="120"/>
        <v>1</v>
      </c>
      <c r="K1103" s="151">
        <f t="shared" si="121"/>
        <v>1</v>
      </c>
      <c r="L1103" s="151">
        <f>SUMIF(Ere!$B:$B,'Element wise-detail Summary'!$A1103,Ere!$C:$C)</f>
        <v>0</v>
      </c>
      <c r="M1103" s="151">
        <f t="shared" si="122"/>
        <v>1</v>
      </c>
    </row>
    <row r="1104" spans="1:13" hidden="1" x14ac:dyDescent="0.25">
      <c r="A1104" s="151" t="s">
        <v>2508</v>
      </c>
      <c r="B1104" s="233" t="str">
        <f>VLOOKUP(A1104,'AFC Data details'!$B:$E,4,0)</f>
        <v>V03</v>
      </c>
      <c r="C1104" s="144" t="s">
        <v>1698</v>
      </c>
      <c r="D1104" s="151" t="s">
        <v>602</v>
      </c>
      <c r="E1104" s="151">
        <f>VLOOKUP(A1104,'AFC Data details'!$B:$P,15,0)</f>
        <v>2.2160000000000002</v>
      </c>
      <c r="F1104" s="151">
        <f>SUMIFS('AFC Data details'!C:C,'AFC Data details'!$B:$B,'Element wise-detail Summary'!$A1104)</f>
        <v>1</v>
      </c>
      <c r="G1104" s="151">
        <f>SUMIFS(Cast!$C:$C,Cast!$B:$B,'Element wise-detail Summary'!$A1104)</f>
        <v>1</v>
      </c>
      <c r="H1104" s="151">
        <f t="shared" si="119"/>
        <v>0</v>
      </c>
      <c r="I1104" s="151">
        <f>SUMIFS(Del!$C:$C,Del!$B:$B,'Element wise-detail Summary'!$A1104)</f>
        <v>1</v>
      </c>
      <c r="J1104" s="151">
        <f t="shared" si="120"/>
        <v>0</v>
      </c>
      <c r="K1104" s="151">
        <f t="shared" si="121"/>
        <v>0</v>
      </c>
      <c r="L1104" s="151">
        <f>SUMIF(Ere!$B:$B,'Element wise-detail Summary'!$A1104,Ere!$C:$C)</f>
        <v>1</v>
      </c>
      <c r="M1104" s="151">
        <f t="shared" si="122"/>
        <v>0</v>
      </c>
    </row>
    <row r="1105" spans="1:13" hidden="1" x14ac:dyDescent="0.25">
      <c r="A1105" s="151" t="s">
        <v>2509</v>
      </c>
      <c r="B1105" s="233" t="str">
        <f>VLOOKUP(A1105,'AFC Data details'!$B:$E,4,0)</f>
        <v>V02</v>
      </c>
      <c r="C1105" s="144" t="s">
        <v>1698</v>
      </c>
      <c r="D1105" s="151" t="s">
        <v>602</v>
      </c>
      <c r="E1105" s="151">
        <f>VLOOKUP(A1105,'AFC Data details'!$B:$P,15,0)</f>
        <v>2.2160000000000002</v>
      </c>
      <c r="F1105" s="151">
        <f>SUMIFS('AFC Data details'!C:C,'AFC Data details'!$B:$B,'Element wise-detail Summary'!$A1105)</f>
        <v>1</v>
      </c>
      <c r="G1105" s="151">
        <f>SUMIFS(Cast!$C:$C,Cast!$B:$B,'Element wise-detail Summary'!$A1105)</f>
        <v>1</v>
      </c>
      <c r="H1105" s="151">
        <f t="shared" si="119"/>
        <v>0</v>
      </c>
      <c r="I1105" s="151">
        <f>SUMIFS(Del!$C:$C,Del!$B:$B,'Element wise-detail Summary'!$A1105)</f>
        <v>1</v>
      </c>
      <c r="J1105" s="151">
        <f t="shared" si="120"/>
        <v>0</v>
      </c>
      <c r="K1105" s="151">
        <f t="shared" si="121"/>
        <v>0</v>
      </c>
      <c r="L1105" s="151">
        <f>SUMIF(Ere!$B:$B,'Element wise-detail Summary'!$A1105,Ere!$C:$C)</f>
        <v>1</v>
      </c>
      <c r="M1105" s="151">
        <f t="shared" si="122"/>
        <v>0</v>
      </c>
    </row>
    <row r="1106" spans="1:13" hidden="1" x14ac:dyDescent="0.25">
      <c r="A1106" s="151" t="s">
        <v>2510</v>
      </c>
      <c r="B1106" s="233" t="str">
        <f>VLOOKUP(A1106,'AFC Data details'!$B:$E,4,0)</f>
        <v>V02</v>
      </c>
      <c r="C1106" s="144" t="s">
        <v>1698</v>
      </c>
      <c r="D1106" s="151" t="s">
        <v>602</v>
      </c>
      <c r="E1106" s="151">
        <f>VLOOKUP(A1106,'AFC Data details'!$B:$P,15,0)</f>
        <v>2.3279999999999998</v>
      </c>
      <c r="F1106" s="151">
        <f>SUMIFS('AFC Data details'!C:C,'AFC Data details'!$B:$B,'Element wise-detail Summary'!$A1106)</f>
        <v>1</v>
      </c>
      <c r="G1106" s="151">
        <f>SUMIFS(Cast!$C:$C,Cast!$B:$B,'Element wise-detail Summary'!$A1106)</f>
        <v>1</v>
      </c>
      <c r="H1106" s="151">
        <f t="shared" si="119"/>
        <v>0</v>
      </c>
      <c r="I1106" s="151">
        <f>SUMIFS(Del!$C:$C,Del!$B:$B,'Element wise-detail Summary'!$A1106)</f>
        <v>1</v>
      </c>
      <c r="J1106" s="151">
        <f t="shared" si="120"/>
        <v>0</v>
      </c>
      <c r="K1106" s="151">
        <f t="shared" si="121"/>
        <v>0</v>
      </c>
      <c r="L1106" s="151">
        <f>SUMIF(Ere!$B:$B,'Element wise-detail Summary'!$A1106,Ere!$C:$C)</f>
        <v>1</v>
      </c>
      <c r="M1106" s="151">
        <f t="shared" si="122"/>
        <v>0</v>
      </c>
    </row>
    <row r="1107" spans="1:13" hidden="1" x14ac:dyDescent="0.25">
      <c r="A1107" s="151" t="s">
        <v>2511</v>
      </c>
      <c r="B1107" s="233" t="str">
        <f>VLOOKUP(A1107,'AFC Data details'!$B:$E,4,0)</f>
        <v>V02</v>
      </c>
      <c r="C1107" s="144" t="s">
        <v>1698</v>
      </c>
      <c r="D1107" s="151" t="s">
        <v>602</v>
      </c>
      <c r="E1107" s="151">
        <f>VLOOKUP(A1107,'AFC Data details'!$B:$P,15,0)</f>
        <v>1.381</v>
      </c>
      <c r="F1107" s="151">
        <f>SUMIFS('AFC Data details'!C:C,'AFC Data details'!$B:$B,'Element wise-detail Summary'!$A1107)</f>
        <v>1</v>
      </c>
      <c r="G1107" s="151">
        <f>SUMIFS(Cast!$C:$C,Cast!$B:$B,'Element wise-detail Summary'!$A1107)</f>
        <v>1</v>
      </c>
      <c r="H1107" s="151">
        <f t="shared" si="119"/>
        <v>0</v>
      </c>
      <c r="I1107" s="151">
        <f>SUMIFS(Del!$C:$C,Del!$B:$B,'Element wise-detail Summary'!$A1107)</f>
        <v>1</v>
      </c>
      <c r="J1107" s="151">
        <f t="shared" si="120"/>
        <v>0</v>
      </c>
      <c r="K1107" s="151">
        <f t="shared" si="121"/>
        <v>0</v>
      </c>
      <c r="L1107" s="151">
        <f>SUMIF(Ere!$B:$B,'Element wise-detail Summary'!$A1107,Ere!$C:$C)</f>
        <v>1</v>
      </c>
      <c r="M1107" s="151">
        <f t="shared" si="122"/>
        <v>0</v>
      </c>
    </row>
    <row r="1108" spans="1:13" hidden="1" x14ac:dyDescent="0.25">
      <c r="A1108" s="151" t="s">
        <v>2513</v>
      </c>
      <c r="B1108" s="233" t="str">
        <f>VLOOKUP(A1108,'AFC Data details'!$B:$E,4,0)</f>
        <v>V02</v>
      </c>
      <c r="C1108" s="144" t="s">
        <v>1698</v>
      </c>
      <c r="D1108" s="151" t="s">
        <v>602</v>
      </c>
      <c r="E1108" s="151">
        <f>VLOOKUP(A1108,'AFC Data details'!$B:$P,15,0)</f>
        <v>1.0549999999999999</v>
      </c>
      <c r="F1108" s="151">
        <f>SUMIFS('AFC Data details'!C:C,'AFC Data details'!$B:$B,'Element wise-detail Summary'!$A1108)</f>
        <v>1</v>
      </c>
      <c r="G1108" s="151">
        <f>SUMIFS(Cast!$C:$C,Cast!$B:$B,'Element wise-detail Summary'!$A1108)</f>
        <v>1</v>
      </c>
      <c r="H1108" s="151">
        <f t="shared" si="119"/>
        <v>0</v>
      </c>
      <c r="I1108" s="151">
        <f>SUMIFS(Del!$C:$C,Del!$B:$B,'Element wise-detail Summary'!$A1108)</f>
        <v>1</v>
      </c>
      <c r="J1108" s="151">
        <f t="shared" si="120"/>
        <v>0</v>
      </c>
      <c r="K1108" s="151">
        <f t="shared" si="121"/>
        <v>0</v>
      </c>
      <c r="L1108" s="151">
        <f>SUMIF(Ere!$B:$B,'Element wise-detail Summary'!$A1108,Ere!$C:$C)</f>
        <v>1</v>
      </c>
      <c r="M1108" s="151">
        <f t="shared" si="122"/>
        <v>0</v>
      </c>
    </row>
    <row r="1109" spans="1:13" hidden="1" x14ac:dyDescent="0.25">
      <c r="A1109" s="151" t="s">
        <v>2514</v>
      </c>
      <c r="B1109" s="233" t="str">
        <f>VLOOKUP(A1109,'AFC Data details'!$B:$E,4,0)</f>
        <v>V02</v>
      </c>
      <c r="C1109" s="144" t="s">
        <v>1698</v>
      </c>
      <c r="D1109" s="151" t="s">
        <v>602</v>
      </c>
      <c r="E1109" s="151">
        <f>VLOOKUP(A1109,'AFC Data details'!$B:$P,15,0)</f>
        <v>1.151</v>
      </c>
      <c r="F1109" s="151">
        <f>SUMIFS('AFC Data details'!C:C,'AFC Data details'!$B:$B,'Element wise-detail Summary'!$A1109)</f>
        <v>1</v>
      </c>
      <c r="G1109" s="151">
        <f>SUMIFS(Cast!$C:$C,Cast!$B:$B,'Element wise-detail Summary'!$A1109)</f>
        <v>1</v>
      </c>
      <c r="H1109" s="151">
        <f t="shared" si="119"/>
        <v>0</v>
      </c>
      <c r="I1109" s="151">
        <f>SUMIFS(Del!$C:$C,Del!$B:$B,'Element wise-detail Summary'!$A1109)</f>
        <v>1</v>
      </c>
      <c r="J1109" s="151">
        <f t="shared" si="120"/>
        <v>0</v>
      </c>
      <c r="K1109" s="151">
        <f t="shared" si="121"/>
        <v>0</v>
      </c>
      <c r="L1109" s="151">
        <f>SUMIF(Ere!$B:$B,'Element wise-detail Summary'!$A1109,Ere!$C:$C)</f>
        <v>1</v>
      </c>
      <c r="M1109" s="151">
        <f t="shared" si="122"/>
        <v>0</v>
      </c>
    </row>
    <row r="1110" spans="1:13" hidden="1" x14ac:dyDescent="0.25">
      <c r="A1110" s="151" t="s">
        <v>2515</v>
      </c>
      <c r="B1110" s="233" t="str">
        <f>VLOOKUP(A1110,'AFC Data details'!$B:$E,4,0)</f>
        <v>V02</v>
      </c>
      <c r="C1110" s="144" t="s">
        <v>1698</v>
      </c>
      <c r="D1110" s="151" t="s">
        <v>602</v>
      </c>
      <c r="E1110" s="151">
        <f>VLOOKUP(A1110,'AFC Data details'!$B:$P,15,0)</f>
        <v>1.546</v>
      </c>
      <c r="F1110" s="151">
        <f>SUMIFS('AFC Data details'!C:C,'AFC Data details'!$B:$B,'Element wise-detail Summary'!$A1110)</f>
        <v>1</v>
      </c>
      <c r="G1110" s="151">
        <f>SUMIFS(Cast!$C:$C,Cast!$B:$B,'Element wise-detail Summary'!$A1110)</f>
        <v>1</v>
      </c>
      <c r="H1110" s="151">
        <f t="shared" si="119"/>
        <v>0</v>
      </c>
      <c r="I1110" s="151">
        <f>SUMIFS(Del!$C:$C,Del!$B:$B,'Element wise-detail Summary'!$A1110)</f>
        <v>1</v>
      </c>
      <c r="J1110" s="151">
        <f t="shared" si="120"/>
        <v>0</v>
      </c>
      <c r="K1110" s="151">
        <f t="shared" si="121"/>
        <v>0</v>
      </c>
      <c r="L1110" s="151">
        <f>SUMIF(Ere!$B:$B,'Element wise-detail Summary'!$A1110,Ere!$C:$C)</f>
        <v>1</v>
      </c>
      <c r="M1110" s="151">
        <f t="shared" si="122"/>
        <v>0</v>
      </c>
    </row>
    <row r="1111" spans="1:13" hidden="1" x14ac:dyDescent="0.25">
      <c r="A1111" s="151" t="s">
        <v>2516</v>
      </c>
      <c r="B1111" s="233" t="str">
        <f>VLOOKUP(A1111,'AFC Data details'!$B:$E,4,0)</f>
        <v>V03</v>
      </c>
      <c r="C1111" s="144" t="s">
        <v>1698</v>
      </c>
      <c r="D1111" s="151" t="s">
        <v>602</v>
      </c>
      <c r="E1111" s="151">
        <f>VLOOKUP(A1111,'AFC Data details'!$B:$P,15,0)</f>
        <v>2.2160000000000002</v>
      </c>
      <c r="F1111" s="151">
        <f>SUMIFS('AFC Data details'!C:C,'AFC Data details'!$B:$B,'Element wise-detail Summary'!$A1111)</f>
        <v>1</v>
      </c>
      <c r="G1111" s="151">
        <f>SUMIFS(Cast!$C:$C,Cast!$B:$B,'Element wise-detail Summary'!$A1111)</f>
        <v>1</v>
      </c>
      <c r="H1111" s="151">
        <f t="shared" si="119"/>
        <v>0</v>
      </c>
      <c r="I1111" s="151">
        <f>SUMIFS(Del!$C:$C,Del!$B:$B,'Element wise-detail Summary'!$A1111)</f>
        <v>1</v>
      </c>
      <c r="J1111" s="151">
        <f t="shared" si="120"/>
        <v>0</v>
      </c>
      <c r="K1111" s="151">
        <f t="shared" si="121"/>
        <v>0</v>
      </c>
      <c r="L1111" s="151">
        <f>SUMIF(Ere!$B:$B,'Element wise-detail Summary'!$A1111,Ere!$C:$C)</f>
        <v>1</v>
      </c>
      <c r="M1111" s="151">
        <f t="shared" si="122"/>
        <v>0</v>
      </c>
    </row>
    <row r="1112" spans="1:13" hidden="1" x14ac:dyDescent="0.25">
      <c r="A1112" s="151" t="s">
        <v>2517</v>
      </c>
      <c r="B1112" s="233" t="str">
        <f>VLOOKUP(A1112,'AFC Data details'!$B:$E,4,0)</f>
        <v>V03</v>
      </c>
      <c r="C1112" s="144" t="s">
        <v>1698</v>
      </c>
      <c r="D1112" s="151" t="s">
        <v>602</v>
      </c>
      <c r="E1112" s="151">
        <f>VLOOKUP(A1112,'AFC Data details'!$B:$P,15,0)</f>
        <v>2.3279999999999998</v>
      </c>
      <c r="F1112" s="151">
        <f>SUMIFS('AFC Data details'!C:C,'AFC Data details'!$B:$B,'Element wise-detail Summary'!$A1112)</f>
        <v>1</v>
      </c>
      <c r="G1112" s="151">
        <f>SUMIFS(Cast!$C:$C,Cast!$B:$B,'Element wise-detail Summary'!$A1112)</f>
        <v>1</v>
      </c>
      <c r="H1112" s="151">
        <f t="shared" si="119"/>
        <v>0</v>
      </c>
      <c r="I1112" s="151">
        <f>SUMIFS(Del!$C:$C,Del!$B:$B,'Element wise-detail Summary'!$A1112)</f>
        <v>1</v>
      </c>
      <c r="J1112" s="151">
        <f t="shared" si="120"/>
        <v>0</v>
      </c>
      <c r="K1112" s="151">
        <f t="shared" si="121"/>
        <v>0</v>
      </c>
      <c r="L1112" s="151">
        <f>SUMIF(Ere!$B:$B,'Element wise-detail Summary'!$A1112,Ere!$C:$C)</f>
        <v>1</v>
      </c>
      <c r="M1112" s="151">
        <f t="shared" si="122"/>
        <v>0</v>
      </c>
    </row>
    <row r="1113" spans="1:13" hidden="1" x14ac:dyDescent="0.25">
      <c r="A1113" s="151" t="s">
        <v>2518</v>
      </c>
      <c r="B1113" s="233" t="str">
        <f>VLOOKUP(A1113,'AFC Data details'!$B:$E,4,0)</f>
        <v>V03</v>
      </c>
      <c r="C1113" s="144" t="s">
        <v>1698</v>
      </c>
      <c r="D1113" s="151" t="s">
        <v>602</v>
      </c>
      <c r="E1113" s="151">
        <f>VLOOKUP(A1113,'AFC Data details'!$B:$P,15,0)</f>
        <v>1.4690000000000001</v>
      </c>
      <c r="F1113" s="151">
        <f>SUMIFS('AFC Data details'!C:C,'AFC Data details'!$B:$B,'Element wise-detail Summary'!$A1113)</f>
        <v>1</v>
      </c>
      <c r="G1113" s="151">
        <f>SUMIFS(Cast!$C:$C,Cast!$B:$B,'Element wise-detail Summary'!$A1113)</f>
        <v>1</v>
      </c>
      <c r="H1113" s="151">
        <f t="shared" si="119"/>
        <v>0</v>
      </c>
      <c r="I1113" s="151">
        <f>SUMIFS(Del!$C:$C,Del!$B:$B,'Element wise-detail Summary'!$A1113)</f>
        <v>1</v>
      </c>
      <c r="J1113" s="151">
        <f t="shared" si="120"/>
        <v>0</v>
      </c>
      <c r="K1113" s="151">
        <f t="shared" si="121"/>
        <v>0</v>
      </c>
      <c r="L1113" s="151">
        <f>SUMIF(Ere!$B:$B,'Element wise-detail Summary'!$A1113,Ere!$C:$C)</f>
        <v>1</v>
      </c>
      <c r="M1113" s="151">
        <f t="shared" si="122"/>
        <v>0</v>
      </c>
    </row>
  </sheetData>
  <autoFilter ref="A2:M1113" xr:uid="{DE27E35A-C405-4725-BBD2-20FF96E9838A}">
    <filterColumn colId="0">
      <filters>
        <filter val="AZ6-PV23-T1C1-001"/>
        <filter val="AZ6-PV23-T1C6-001"/>
        <filter val="AZ6-PV23-T1C6-002"/>
        <filter val="AZ6-PV23-T1C6-003"/>
        <filter val="AZ6-PV23-T1C6-004"/>
        <filter val="AZ6-PV23-T1C6-005"/>
        <filter val="AZ6-PV23-T1C6-006"/>
        <filter val="AZ6-PV23-T3C4-001"/>
        <filter val="AZ6-PV23-T3C4-002"/>
      </filters>
    </filterColumn>
  </autoFilter>
  <sortState xmlns:xlrd2="http://schemas.microsoft.com/office/spreadsheetml/2017/richdata2" ref="A830:A1050">
    <sortCondition sortBy="cellColor" ref="A830:A1050" dxfId="421"/>
  </sortState>
  <conditionalFormatting sqref="A1:A1048576">
    <cfRule type="duplicateValues" dxfId="412" priority="1"/>
    <cfRule type="duplicateValues" dxfId="411" priority="2"/>
    <cfRule type="duplicateValues" dxfId="410" priority="3"/>
  </conditionalFormatting>
  <conditionalFormatting sqref="G3:J1113">
    <cfRule type="cellIs" dxfId="409" priority="4" operator="equal">
      <formula>0</formula>
    </cfRule>
  </conditionalFormatting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FA34-E85B-47E3-A229-CB851406FE88}">
  <dimension ref="A1:L1115"/>
  <sheetViews>
    <sheetView zoomScaleNormal="100" zoomScaleSheetLayoutView="100" workbookViewId="0">
      <pane xSplit="1" ySplit="1" topLeftCell="B1097" activePane="bottomRight" state="frozen"/>
      <selection pane="topRight" activeCell="B1" sqref="B1"/>
      <selection pane="bottomLeft" activeCell="A2" sqref="A2"/>
      <selection pane="bottomRight" activeCell="A1115" sqref="A1115"/>
    </sheetView>
  </sheetViews>
  <sheetFormatPr defaultRowHeight="15" x14ac:dyDescent="0.25"/>
  <cols>
    <col min="1" max="1" width="12.5703125" style="3" customWidth="1"/>
    <col min="2" max="2" width="21.28515625" style="3" customWidth="1"/>
    <col min="3" max="5" width="8.85546875" style="3"/>
    <col min="6" max="6" width="20.85546875" style="143" bestFit="1" customWidth="1"/>
    <col min="7" max="8" width="8.85546875" style="3"/>
    <col min="12" max="12" width="12.85546875" customWidth="1"/>
  </cols>
  <sheetData>
    <row r="1" spans="1:12" ht="27" customHeight="1" x14ac:dyDescent="0.25">
      <c r="A1" s="57" t="s">
        <v>1151</v>
      </c>
      <c r="B1" s="57" t="s">
        <v>1141</v>
      </c>
      <c r="C1" s="57" t="s">
        <v>1152</v>
      </c>
      <c r="D1" s="57" t="s">
        <v>1691</v>
      </c>
      <c r="E1" s="57" t="s">
        <v>1140</v>
      </c>
      <c r="F1" s="142" t="s">
        <v>1160</v>
      </c>
      <c r="G1" s="3" t="s">
        <v>1159</v>
      </c>
      <c r="H1" s="57" t="s">
        <v>11</v>
      </c>
      <c r="I1" s="170">
        <f>SUBTOTAL(9,C:C)</f>
        <v>1110</v>
      </c>
      <c r="L1" s="146">
        <f>MAXA(A:A)</f>
        <v>46148</v>
      </c>
    </row>
    <row r="2" spans="1:12" x14ac:dyDescent="0.25">
      <c r="A2" s="154">
        <v>45897</v>
      </c>
      <c r="B2" s="3" t="s">
        <v>1165</v>
      </c>
      <c r="C2" s="3">
        <v>1</v>
      </c>
      <c r="D2" s="3" t="str">
        <f>VLOOKUP(B2,'Element wise-detail Summary'!$A:$D,2,0)</f>
        <v>V18</v>
      </c>
      <c r="E2" s="3" t="str">
        <f>IFERROR(VLOOKUP(B2,'Element wise-detail Summary'!$A:$D,3,0),0)</f>
        <v>MOCKUP</v>
      </c>
      <c r="F2" s="143" t="str">
        <f>VLOOKUP(B2,'AFC Data details'!$B:$B,1,0)</f>
        <v>AMR-V18-T1C16-001</v>
      </c>
      <c r="H2" s="3">
        <f>_xlfn.XLOOKUP(B2,'AFC Data details'!B:B,'AFC Data details'!P:P)</f>
        <v>2.1379999999999999</v>
      </c>
    </row>
    <row r="3" spans="1:12" x14ac:dyDescent="0.25">
      <c r="A3" s="154">
        <v>45897</v>
      </c>
      <c r="B3" s="3" t="s">
        <v>1166</v>
      </c>
      <c r="C3" s="3">
        <v>1</v>
      </c>
      <c r="D3" s="3" t="str">
        <f>VLOOKUP(B3,'Element wise-detail Summary'!$A:$D,2,0)</f>
        <v>V17</v>
      </c>
      <c r="E3" s="3" t="str">
        <f>IFERROR(VLOOKUP(B3,'Element wise-detail Summary'!$A:$D,3,0),0)</f>
        <v>MOCKUP</v>
      </c>
      <c r="F3" s="143" t="str">
        <f>VLOOKUP(B3,'AFC Data details'!$B:$B,1,0)</f>
        <v>AMR-V17-T1C10-001</v>
      </c>
      <c r="H3" s="3">
        <f>_xlfn.XLOOKUP(B3,'AFC Data details'!B:B,'AFC Data details'!P:P)</f>
        <v>1.7869999999999999</v>
      </c>
    </row>
    <row r="4" spans="1:12" x14ac:dyDescent="0.25">
      <c r="A4" s="154">
        <v>45897</v>
      </c>
      <c r="B4" s="3" t="s">
        <v>1167</v>
      </c>
      <c r="C4" s="3">
        <v>1</v>
      </c>
      <c r="D4" s="3" t="str">
        <f>VLOOKUP(B4,'Element wise-detail Summary'!$A:$D,2,0)</f>
        <v>V18</v>
      </c>
      <c r="E4" s="3" t="str">
        <f>IFERROR(VLOOKUP(B4,'Element wise-detail Summary'!$A:$D,3,0),0)</f>
        <v>MOCKUP</v>
      </c>
      <c r="F4" s="143" t="str">
        <f>VLOOKUP(B4,'AFC Data details'!$B:$B,1,0)</f>
        <v>AMR-V18-T1C10-002</v>
      </c>
      <c r="H4" s="3">
        <f>_xlfn.XLOOKUP(B4,'AFC Data details'!B:B,'AFC Data details'!P:P)</f>
        <v>1.617</v>
      </c>
    </row>
    <row r="5" spans="1:12" x14ac:dyDescent="0.25">
      <c r="A5" s="154">
        <v>45897</v>
      </c>
      <c r="B5" s="3" t="s">
        <v>1168</v>
      </c>
      <c r="C5" s="3">
        <v>1</v>
      </c>
      <c r="D5" s="3" t="str">
        <f>VLOOKUP(B5,'Element wise-detail Summary'!$A:$D,2,0)</f>
        <v>V17</v>
      </c>
      <c r="E5" s="3" t="str">
        <f>IFERROR(VLOOKUP(B5,'Element wise-detail Summary'!$A:$D,3,0),0)</f>
        <v>MOCKUP</v>
      </c>
      <c r="F5" s="143" t="str">
        <f>VLOOKUP(B5,'AFC Data details'!$B:$B,1,0)</f>
        <v>AMR-V17-T1C11-003</v>
      </c>
      <c r="H5" s="3">
        <f>_xlfn.XLOOKUP(B5,'AFC Data details'!B:B,'AFC Data details'!P:P)</f>
        <v>1.9770000000000001</v>
      </c>
    </row>
    <row r="6" spans="1:12" x14ac:dyDescent="0.25">
      <c r="A6" s="154">
        <v>45899</v>
      </c>
      <c r="B6" s="57" t="s">
        <v>1169</v>
      </c>
      <c r="C6" s="3">
        <v>1</v>
      </c>
      <c r="D6" s="3" t="str">
        <f>VLOOKUP(B6,'Element wise-detail Summary'!$A:$D,2,0)</f>
        <v>V18</v>
      </c>
      <c r="E6" s="3" t="str">
        <f>IFERROR(VLOOKUP(B6,'Element wise-detail Summary'!$A:$D,3,0),0)</f>
        <v>MOCKUP</v>
      </c>
      <c r="F6" s="143" t="str">
        <f>VLOOKUP(B6,'AFC Data details'!$B:$B,1,0)</f>
        <v>AMR-V18-T3C3-001</v>
      </c>
      <c r="H6" s="3">
        <f>_xlfn.XLOOKUP(B6,'AFC Data details'!B:B,'AFC Data details'!P:P)</f>
        <v>1.462</v>
      </c>
    </row>
    <row r="7" spans="1:12" x14ac:dyDescent="0.25">
      <c r="A7" s="154">
        <v>45899</v>
      </c>
      <c r="B7" s="3" t="s">
        <v>1170</v>
      </c>
      <c r="C7" s="3">
        <v>1</v>
      </c>
      <c r="D7" s="3" t="str">
        <f>VLOOKUP(B7,'Element wise-detail Summary'!$A:$D,2,0)</f>
        <v>V18</v>
      </c>
      <c r="E7" s="3" t="str">
        <f>IFERROR(VLOOKUP(B7,'Element wise-detail Summary'!$A:$D,3,0),0)</f>
        <v>MOCKUP</v>
      </c>
      <c r="F7" s="143" t="str">
        <f>VLOOKUP(B7,'AFC Data details'!$B:$B,1,0)</f>
        <v>AMR-V18-T3C3-002</v>
      </c>
      <c r="H7" s="3">
        <f>_xlfn.XLOOKUP(B7,'AFC Data details'!B:B,'AFC Data details'!P:P)</f>
        <v>1.462</v>
      </c>
    </row>
    <row r="8" spans="1:12" x14ac:dyDescent="0.25">
      <c r="A8" s="154">
        <v>45899</v>
      </c>
      <c r="B8" s="3" t="s">
        <v>1171</v>
      </c>
      <c r="C8" s="3">
        <v>1</v>
      </c>
      <c r="D8" s="3" t="str">
        <f>VLOOKUP(B8,'Element wise-detail Summary'!$A:$D,2,0)</f>
        <v>V18</v>
      </c>
      <c r="E8" s="3" t="str">
        <f>IFERROR(VLOOKUP(B8,'Element wise-detail Summary'!$A:$D,3,0),0)</f>
        <v>MOCKUP</v>
      </c>
      <c r="F8" s="143" t="str">
        <f>VLOOKUP(B8,'AFC Data details'!$B:$B,1,0)</f>
        <v>AMR-V18-T3C3-003</v>
      </c>
      <c r="H8" s="3">
        <f>_xlfn.XLOOKUP(B8,'AFC Data details'!B:B,'AFC Data details'!P:P)</f>
        <v>1.462</v>
      </c>
    </row>
    <row r="9" spans="1:12" x14ac:dyDescent="0.25">
      <c r="A9" s="154">
        <v>45904</v>
      </c>
      <c r="B9" s="3" t="s">
        <v>1174</v>
      </c>
      <c r="C9" s="3">
        <v>1</v>
      </c>
      <c r="D9" s="3" t="str">
        <f>VLOOKUP(B9,'Element wise-detail Summary'!$A:$D,2,0)</f>
        <v>V18</v>
      </c>
      <c r="E9" s="3" t="str">
        <f>IFERROR(VLOOKUP(B9,'Element wise-detail Summary'!$A:$D,3,0),0)</f>
        <v>MOCKUP</v>
      </c>
      <c r="F9" s="143" t="str">
        <f>VLOOKUP(B9,'AFC Data details'!$B:$B,1,0)</f>
        <v>AMR-V18-T1C3-001</v>
      </c>
      <c r="H9" s="3">
        <f>_xlfn.XLOOKUP(B9,'AFC Data details'!B:B,'AFC Data details'!P:P)</f>
        <v>1.2509999999999999</v>
      </c>
    </row>
    <row r="10" spans="1:12" x14ac:dyDescent="0.25">
      <c r="A10" s="154">
        <v>45904</v>
      </c>
      <c r="B10" s="3" t="s">
        <v>1172</v>
      </c>
      <c r="C10" s="3">
        <v>1</v>
      </c>
      <c r="D10" s="3" t="str">
        <f>VLOOKUP(B10,'Element wise-detail Summary'!$A:$D,2,0)</f>
        <v>V17</v>
      </c>
      <c r="E10" s="3" t="str">
        <f>IFERROR(VLOOKUP(B10,'Element wise-detail Summary'!$A:$D,3,0),0)</f>
        <v>MOCKUP</v>
      </c>
      <c r="F10" s="143" t="str">
        <f>VLOOKUP(B10,'AFC Data details'!$B:$B,1,0)</f>
        <v>AMR-V17-T2C1-001</v>
      </c>
      <c r="H10" s="3">
        <f>_xlfn.XLOOKUP(B10,'AFC Data details'!B:B,'AFC Data details'!P:P)</f>
        <v>1.413</v>
      </c>
    </row>
    <row r="11" spans="1:12" x14ac:dyDescent="0.25">
      <c r="A11" s="154">
        <v>45910</v>
      </c>
      <c r="B11" s="3" t="s">
        <v>1175</v>
      </c>
      <c r="C11" s="3">
        <v>1</v>
      </c>
      <c r="D11" s="3" t="str">
        <f>VLOOKUP(B11,'Element wise-detail Summary'!$A:$D,2,0)</f>
        <v>V17</v>
      </c>
      <c r="E11" s="3" t="str">
        <f>IFERROR(VLOOKUP(B11,'Element wise-detail Summary'!$A:$D,3,0),0)</f>
        <v>MOCKUP</v>
      </c>
      <c r="F11" s="143" t="str">
        <f>VLOOKUP(B11,'AFC Data details'!$B:$B,1,0)</f>
        <v>AMR-V17-T3C6-002</v>
      </c>
      <c r="H11" s="3">
        <f>_xlfn.XLOOKUP(B11,'AFC Data details'!B:B,'AFC Data details'!P:P)</f>
        <v>1.69</v>
      </c>
    </row>
    <row r="12" spans="1:12" x14ac:dyDescent="0.25">
      <c r="A12" s="154">
        <v>45911</v>
      </c>
      <c r="B12" s="3" t="s">
        <v>1176</v>
      </c>
      <c r="C12" s="3">
        <v>1</v>
      </c>
      <c r="D12" s="3" t="str">
        <f>VLOOKUP(B12,'Element wise-detail Summary'!$A:$D,2,0)</f>
        <v>V17</v>
      </c>
      <c r="E12" s="3" t="str">
        <f>IFERROR(VLOOKUP(B12,'Element wise-detail Summary'!$A:$D,3,0),0)</f>
        <v>MOCKUP</v>
      </c>
      <c r="F12" s="143" t="str">
        <f>VLOOKUP(B12,'AFC Data details'!$B:$B,1,0)</f>
        <v>AMR-V17-T1C10-002</v>
      </c>
      <c r="H12" s="3">
        <f>_xlfn.XLOOKUP(B12,'AFC Data details'!B:B,'AFC Data details'!P:P)</f>
        <v>1.7789999999999999</v>
      </c>
    </row>
    <row r="13" spans="1:12" x14ac:dyDescent="0.25">
      <c r="A13" s="154">
        <v>45911</v>
      </c>
      <c r="B13" s="3" t="s">
        <v>1177</v>
      </c>
      <c r="C13" s="3">
        <v>1</v>
      </c>
      <c r="D13" s="3" t="str">
        <f>VLOOKUP(B13,'Element wise-detail Summary'!$A:$D,2,0)</f>
        <v>V17</v>
      </c>
      <c r="E13" s="3" t="str">
        <f>IFERROR(VLOOKUP(B13,'Element wise-detail Summary'!$A:$D,3,0),0)</f>
        <v>MOCKUP</v>
      </c>
      <c r="F13" s="143" t="str">
        <f>VLOOKUP(B13,'AFC Data details'!$B:$B,1,0)</f>
        <v>AMR-V17-T3C6-001</v>
      </c>
      <c r="H13" s="3">
        <f>_xlfn.XLOOKUP(B13,'AFC Data details'!B:B,'AFC Data details'!P:P)</f>
        <v>1.69</v>
      </c>
    </row>
    <row r="14" spans="1:12" x14ac:dyDescent="0.25">
      <c r="A14" s="154">
        <v>45912</v>
      </c>
      <c r="B14" s="3" t="s">
        <v>1178</v>
      </c>
      <c r="C14" s="3">
        <v>1</v>
      </c>
      <c r="D14" s="3" t="str">
        <f>VLOOKUP(B14,'Element wise-detail Summary'!$A:$D,2,0)</f>
        <v>V17</v>
      </c>
      <c r="E14" s="3" t="str">
        <f>IFERROR(VLOOKUP(B14,'Element wise-detail Summary'!$A:$D,3,0),0)</f>
        <v>MOCKUP</v>
      </c>
      <c r="F14" s="143" t="str">
        <f>VLOOKUP(B14,'AFC Data details'!$B:$B,1,0)</f>
        <v>AMR-V17-T1C11-002</v>
      </c>
      <c r="H14" s="3">
        <f>_xlfn.XLOOKUP(B14,'AFC Data details'!B:B,'AFC Data details'!P:P)</f>
        <v>1.8939999999999999</v>
      </c>
    </row>
    <row r="15" spans="1:12" x14ac:dyDescent="0.25">
      <c r="A15" s="154">
        <v>45912</v>
      </c>
      <c r="B15" s="3" t="s">
        <v>1179</v>
      </c>
      <c r="C15" s="3">
        <v>1</v>
      </c>
      <c r="D15" s="3" t="str">
        <f>VLOOKUP(B15,'Element wise-detail Summary'!$A:$D,2,0)</f>
        <v>V19</v>
      </c>
      <c r="E15" s="3" t="str">
        <f>IFERROR(VLOOKUP(B15,'Element wise-detail Summary'!$A:$D,3,0),0)</f>
        <v>Zone-1</v>
      </c>
      <c r="F15" s="143" t="str">
        <f>VLOOKUP(B15,'AFC Data details'!$B:$B,1,0)</f>
        <v>AZ1-V19-T2C1-001</v>
      </c>
      <c r="H15" s="3">
        <f>_xlfn.XLOOKUP(B15,'AFC Data details'!B:B,'AFC Data details'!P:P)</f>
        <v>1.4179999999999999</v>
      </c>
    </row>
    <row r="16" spans="1:12" x14ac:dyDescent="0.25">
      <c r="A16" s="154">
        <v>45913</v>
      </c>
      <c r="B16" s="3" t="s">
        <v>1180</v>
      </c>
      <c r="C16" s="3">
        <v>1</v>
      </c>
      <c r="D16" s="3" t="str">
        <f>VLOOKUP(B16,'Element wise-detail Summary'!$A:$D,2,0)</f>
        <v>V17</v>
      </c>
      <c r="E16" s="3" t="str">
        <f>IFERROR(VLOOKUP(B16,'Element wise-detail Summary'!$A:$D,3,0),0)</f>
        <v>MOCKUP</v>
      </c>
      <c r="F16" s="143" t="str">
        <f>VLOOKUP(B16,'AFC Data details'!$B:$B,1,0)</f>
        <v>AMR-V17-T1C11-001</v>
      </c>
      <c r="H16" s="3">
        <f>_xlfn.XLOOKUP(B16,'AFC Data details'!B:B,'AFC Data details'!P:P)</f>
        <v>1.8939999999999999</v>
      </c>
    </row>
    <row r="17" spans="1:8" x14ac:dyDescent="0.25">
      <c r="A17" s="154">
        <v>45913</v>
      </c>
      <c r="B17" s="3" t="s">
        <v>1181</v>
      </c>
      <c r="C17" s="3">
        <v>1</v>
      </c>
      <c r="D17" s="3" t="str">
        <f>VLOOKUP(B17,'Element wise-detail Summary'!$A:$D,2,0)</f>
        <v>V17</v>
      </c>
      <c r="E17" s="3" t="str">
        <f>IFERROR(VLOOKUP(B17,'Element wise-detail Summary'!$A:$D,3,0),0)</f>
        <v>MOCKUP</v>
      </c>
      <c r="F17" s="143" t="str">
        <f>VLOOKUP(B17,'AFC Data details'!$B:$B,1,0)</f>
        <v>AMR-V17-T1C10-003</v>
      </c>
      <c r="H17" s="3">
        <f>_xlfn.XLOOKUP(B17,'AFC Data details'!B:B,'AFC Data details'!P:P)</f>
        <v>1.7789999999999999</v>
      </c>
    </row>
    <row r="18" spans="1:8" x14ac:dyDescent="0.25">
      <c r="A18" s="154">
        <v>45913</v>
      </c>
      <c r="B18" s="3" t="s">
        <v>1173</v>
      </c>
      <c r="C18" s="3">
        <v>1</v>
      </c>
      <c r="D18" s="3" t="str">
        <f>VLOOKUP(B18,'Element wise-detail Summary'!$A:$D,2,0)</f>
        <v>V18</v>
      </c>
      <c r="E18" s="3" t="str">
        <f>IFERROR(VLOOKUP(B18,'Element wise-detail Summary'!$A:$D,3,0),0)</f>
        <v>MOCKUP</v>
      </c>
      <c r="F18" s="143" t="str">
        <f>VLOOKUP(B18,'AFC Data details'!$B:$B,1,0)</f>
        <v>AMR-V18-T3C6-001</v>
      </c>
      <c r="H18" s="3">
        <f>_xlfn.XLOOKUP(B18,'AFC Data details'!B:B,'AFC Data details'!P:P)</f>
        <v>1.8580000000000001</v>
      </c>
    </row>
    <row r="19" spans="1:8" x14ac:dyDescent="0.25">
      <c r="A19" s="154">
        <v>45915</v>
      </c>
      <c r="B19" s="3" t="s">
        <v>1182</v>
      </c>
      <c r="C19" s="3">
        <v>1</v>
      </c>
      <c r="D19" s="3" t="str">
        <f>VLOOKUP(B19,'Element wise-detail Summary'!$A:$D,2,0)</f>
        <v>V19</v>
      </c>
      <c r="E19" s="3" t="str">
        <f>IFERROR(VLOOKUP(B19,'Element wise-detail Summary'!$A:$D,3,0),0)</f>
        <v>Zone-1</v>
      </c>
      <c r="F19" s="143" t="str">
        <f>VLOOKUP(B19,'AFC Data details'!$B:$B,1,0)</f>
        <v>AZ1-V19-T1C15S-002</v>
      </c>
      <c r="H19" s="3">
        <f>_xlfn.XLOOKUP(B19,'AFC Data details'!B:B,'AFC Data details'!P:P)</f>
        <v>2.923</v>
      </c>
    </row>
    <row r="20" spans="1:8" x14ac:dyDescent="0.25">
      <c r="A20" s="154">
        <v>45916</v>
      </c>
      <c r="B20" s="3" t="s">
        <v>1183</v>
      </c>
      <c r="C20" s="3">
        <v>1</v>
      </c>
      <c r="D20" s="3" t="str">
        <f>VLOOKUP(B20,'Element wise-detail Summary'!$A:$D,2,0)</f>
        <v>V18</v>
      </c>
      <c r="E20" s="3" t="str">
        <f>IFERROR(VLOOKUP(B20,'Element wise-detail Summary'!$A:$D,3,0),0)</f>
        <v>MOCKUP</v>
      </c>
      <c r="F20" s="143" t="str">
        <f>VLOOKUP(B20,'AFC Data details'!$B:$B,1,0)</f>
        <v>AMR-V18-T1C10-007</v>
      </c>
      <c r="H20" s="3">
        <f>_xlfn.XLOOKUP(B20,'AFC Data details'!B:B,'AFC Data details'!P:P)</f>
        <v>1.401</v>
      </c>
    </row>
    <row r="21" spans="1:8" x14ac:dyDescent="0.25">
      <c r="A21" s="154">
        <v>45916</v>
      </c>
      <c r="B21" s="3" t="s">
        <v>1184</v>
      </c>
      <c r="C21" s="3">
        <v>1</v>
      </c>
      <c r="D21" s="3" t="str">
        <f>VLOOKUP(B21,'Element wise-detail Summary'!$A:$D,2,0)</f>
        <v>V18</v>
      </c>
      <c r="E21" s="3" t="str">
        <f>IFERROR(VLOOKUP(B21,'Element wise-detail Summary'!$A:$D,3,0),0)</f>
        <v>MOCKUP</v>
      </c>
      <c r="F21" s="143" t="str">
        <f>VLOOKUP(B21,'AFC Data details'!$B:$B,1,0)</f>
        <v>AMR-V18-T1C10-003</v>
      </c>
      <c r="H21" s="3">
        <f>_xlfn.XLOOKUP(B21,'AFC Data details'!B:B,'AFC Data details'!P:P)</f>
        <v>1.617</v>
      </c>
    </row>
    <row r="22" spans="1:8" x14ac:dyDescent="0.25">
      <c r="A22" s="154">
        <v>45917</v>
      </c>
      <c r="B22" s="3" t="s">
        <v>1185</v>
      </c>
      <c r="C22" s="3">
        <v>1</v>
      </c>
      <c r="D22" s="3" t="str">
        <f>VLOOKUP(B22,'Element wise-detail Summary'!$A:$D,2,0)</f>
        <v>V17</v>
      </c>
      <c r="E22" s="3" t="str">
        <f>IFERROR(VLOOKUP(B22,'Element wise-detail Summary'!$A:$D,3,0),0)</f>
        <v>MOCKUP</v>
      </c>
      <c r="F22" s="143" t="str">
        <f>VLOOKUP(B22,'AFC Data details'!$B:$B,1,0)</f>
        <v>AMR-V17-T3C6-003</v>
      </c>
      <c r="H22" s="3">
        <f>_xlfn.XLOOKUP(B22,'AFC Data details'!B:B,'AFC Data details'!P:P)</f>
        <v>1.8620000000000001</v>
      </c>
    </row>
    <row r="23" spans="1:8" x14ac:dyDescent="0.25">
      <c r="A23" s="154">
        <v>45917</v>
      </c>
      <c r="B23" s="3" t="s">
        <v>1186</v>
      </c>
      <c r="C23" s="3">
        <v>1</v>
      </c>
      <c r="D23" s="3" t="str">
        <f>VLOOKUP(B23,'Element wise-detail Summary'!$A:$D,2,0)</f>
        <v>V19</v>
      </c>
      <c r="E23" s="3" t="str">
        <f>IFERROR(VLOOKUP(B23,'Element wise-detail Summary'!$A:$D,3,0),0)</f>
        <v>Zone-1</v>
      </c>
      <c r="F23" s="143" t="str">
        <f>VLOOKUP(B23,'AFC Data details'!$B:$B,1,0)</f>
        <v>AZ1-V19-T3C5-001</v>
      </c>
      <c r="H23" s="3">
        <f>_xlfn.XLOOKUP(B23,'AFC Data details'!B:B,'AFC Data details'!P:P)</f>
        <v>1.5740000000000001</v>
      </c>
    </row>
    <row r="24" spans="1:8" x14ac:dyDescent="0.25">
      <c r="A24" s="154">
        <v>45918</v>
      </c>
      <c r="B24" s="3" t="s">
        <v>1187</v>
      </c>
      <c r="C24" s="3">
        <v>1</v>
      </c>
      <c r="D24" s="3" t="str">
        <f>VLOOKUP(B24,'Element wise-detail Summary'!$A:$D,2,0)</f>
        <v>V17</v>
      </c>
      <c r="E24" s="3" t="str">
        <f>IFERROR(VLOOKUP(B24,'Element wise-detail Summary'!$A:$D,3,0),0)</f>
        <v>MOCKUP</v>
      </c>
      <c r="F24" s="143" t="str">
        <f>VLOOKUP(B24,'AFC Data details'!$B:$B,1,0)</f>
        <v>AMR-V17-T1C12-001</v>
      </c>
      <c r="H24" s="3">
        <f>_xlfn.XLOOKUP(B24,'AFC Data details'!B:B,'AFC Data details'!P:P)</f>
        <v>2.1379999999999999</v>
      </c>
    </row>
    <row r="25" spans="1:8" x14ac:dyDescent="0.25">
      <c r="A25" s="154">
        <v>45918</v>
      </c>
      <c r="B25" s="3" t="s">
        <v>1188</v>
      </c>
      <c r="C25" s="3">
        <v>1</v>
      </c>
      <c r="D25" s="3" t="str">
        <f>VLOOKUP(B25,'Element wise-detail Summary'!$A:$D,2,0)</f>
        <v>V18</v>
      </c>
      <c r="E25" s="3" t="str">
        <f>IFERROR(VLOOKUP(B25,'Element wise-detail Summary'!$A:$D,3,0),0)</f>
        <v>MOCKUP</v>
      </c>
      <c r="F25" s="143" t="str">
        <f>VLOOKUP(B25,'AFC Data details'!$B:$B,1,0)</f>
        <v>AMR-V18-T1C10-008</v>
      </c>
      <c r="H25" s="3">
        <f>_xlfn.XLOOKUP(B25,'AFC Data details'!B:B,'AFC Data details'!P:P)</f>
        <v>1.401</v>
      </c>
    </row>
    <row r="26" spans="1:8" x14ac:dyDescent="0.25">
      <c r="A26" s="154">
        <v>45918</v>
      </c>
      <c r="B26" s="3" t="s">
        <v>1189</v>
      </c>
      <c r="C26" s="3">
        <v>1</v>
      </c>
      <c r="D26" s="3" t="str">
        <f>VLOOKUP(B26,'Element wise-detail Summary'!$A:$D,2,0)</f>
        <v>V18</v>
      </c>
      <c r="E26" s="3" t="str">
        <f>IFERROR(VLOOKUP(B26,'Element wise-detail Summary'!$A:$D,3,0),0)</f>
        <v>MOCKUP</v>
      </c>
      <c r="F26" s="143" t="str">
        <f>VLOOKUP(B26,'AFC Data details'!$B:$B,1,0)</f>
        <v>AMR-V18-T1C10-004</v>
      </c>
      <c r="H26" s="3">
        <f>_xlfn.XLOOKUP(B26,'AFC Data details'!B:B,'AFC Data details'!P:P)</f>
        <v>1.617</v>
      </c>
    </row>
    <row r="27" spans="1:8" x14ac:dyDescent="0.25">
      <c r="A27" s="154">
        <v>45918</v>
      </c>
      <c r="B27" s="3" t="s">
        <v>1190</v>
      </c>
      <c r="C27" s="3">
        <v>1</v>
      </c>
      <c r="D27" s="3" t="str">
        <f>VLOOKUP(B27,'Element wise-detail Summary'!$A:$D,2,0)</f>
        <v>V17</v>
      </c>
      <c r="E27" s="3" t="str">
        <f>IFERROR(VLOOKUP(B27,'Element wise-detail Summary'!$A:$D,3,0),0)</f>
        <v>MOCKUP</v>
      </c>
      <c r="F27" s="143" t="str">
        <f>VLOOKUP(B27,'AFC Data details'!$B:$B,1,0)</f>
        <v>AMR-V17-T1C16-001</v>
      </c>
      <c r="H27" s="3">
        <f>_xlfn.XLOOKUP(B27,'AFC Data details'!B:B,'AFC Data details'!P:P)</f>
        <v>2.2160000000000002</v>
      </c>
    </row>
    <row r="28" spans="1:8" x14ac:dyDescent="0.25">
      <c r="A28" s="154">
        <v>45918</v>
      </c>
      <c r="B28" s="3" t="s">
        <v>1191</v>
      </c>
      <c r="C28" s="3">
        <v>1</v>
      </c>
      <c r="D28" s="3" t="str">
        <f>VLOOKUP(B28,'Element wise-detail Summary'!$A:$D,2,0)</f>
        <v>V20</v>
      </c>
      <c r="E28" s="3" t="str">
        <f>IFERROR(VLOOKUP(B28,'Element wise-detail Summary'!$A:$D,3,0),0)</f>
        <v>Zone-1</v>
      </c>
      <c r="F28" s="143" t="str">
        <f>VLOOKUP(B28,'AFC Data details'!$B:$B,1,0)</f>
        <v>AZ1-V20-T3C5-002</v>
      </c>
      <c r="H28" s="3">
        <f>_xlfn.XLOOKUP(B28,'AFC Data details'!B:B,'AFC Data details'!P:P)</f>
        <v>1.377</v>
      </c>
    </row>
    <row r="29" spans="1:8" x14ac:dyDescent="0.25">
      <c r="A29" s="154">
        <v>45920</v>
      </c>
      <c r="B29" s="3" t="s">
        <v>1192</v>
      </c>
      <c r="C29" s="3">
        <v>1</v>
      </c>
      <c r="D29" s="3" t="str">
        <f>VLOOKUP(B29,'Element wise-detail Summary'!$A:$D,2,0)</f>
        <v>V18</v>
      </c>
      <c r="E29" s="3" t="str">
        <f>IFERROR(VLOOKUP(B29,'Element wise-detail Summary'!$A:$D,3,0),0)</f>
        <v>MOCKUP</v>
      </c>
      <c r="F29" s="143" t="str">
        <f>VLOOKUP(B29,'AFC Data details'!$B:$B,1,0)</f>
        <v>AMR-V18-T1C10-006</v>
      </c>
      <c r="H29" s="3">
        <f>_xlfn.XLOOKUP(B29,'AFC Data details'!B:B,'AFC Data details'!P:P)</f>
        <v>1.617</v>
      </c>
    </row>
    <row r="30" spans="1:8" x14ac:dyDescent="0.25">
      <c r="A30" s="154">
        <v>45920</v>
      </c>
      <c r="B30" s="3" t="s">
        <v>1193</v>
      </c>
      <c r="C30" s="3">
        <v>1</v>
      </c>
      <c r="D30" s="3" t="str">
        <f>VLOOKUP(B30,'Element wise-detail Summary'!$A:$D,2,0)</f>
        <v>V18</v>
      </c>
      <c r="E30" s="3" t="str">
        <f>IFERROR(VLOOKUP(B30,'Element wise-detail Summary'!$A:$D,3,0),0)</f>
        <v>MOCKUP</v>
      </c>
      <c r="F30" s="143" t="str">
        <f>VLOOKUP(B30,'AFC Data details'!$B:$B,1,0)</f>
        <v>AMR-V18-T1C10-009</v>
      </c>
      <c r="H30" s="3">
        <f>_xlfn.XLOOKUP(B30,'AFC Data details'!B:B,'AFC Data details'!P:P)</f>
        <v>1.2210000000000001</v>
      </c>
    </row>
    <row r="31" spans="1:8" x14ac:dyDescent="0.25">
      <c r="A31" s="154">
        <v>45920</v>
      </c>
      <c r="B31" s="3" t="s">
        <v>1194</v>
      </c>
      <c r="C31" s="3">
        <v>1</v>
      </c>
      <c r="D31" s="3" t="str">
        <f>VLOOKUP(B31,'Element wise-detail Summary'!$A:$D,2,0)</f>
        <v>V17</v>
      </c>
      <c r="E31" s="3" t="str">
        <f>IFERROR(VLOOKUP(B31,'Element wise-detail Summary'!$A:$D,3,0),0)</f>
        <v>MOCKUP</v>
      </c>
      <c r="F31" s="143" t="str">
        <f>VLOOKUP(B31,'AFC Data details'!$B:$B,1,0)</f>
        <v>AMR-V17-T1C13-001</v>
      </c>
      <c r="H31" s="3">
        <f>_xlfn.XLOOKUP(B31,'AFC Data details'!B:B,'AFC Data details'!P:P)</f>
        <v>1.9910000000000001</v>
      </c>
    </row>
    <row r="32" spans="1:8" x14ac:dyDescent="0.25">
      <c r="A32" s="154">
        <v>45920</v>
      </c>
      <c r="B32" s="3" t="s">
        <v>1195</v>
      </c>
      <c r="C32" s="3">
        <v>1</v>
      </c>
      <c r="D32" s="3" t="str">
        <f>VLOOKUP(B32,'Element wise-detail Summary'!$A:$D,2,0)</f>
        <v>V20</v>
      </c>
      <c r="E32" s="3" t="str">
        <f>IFERROR(VLOOKUP(B32,'Element wise-detail Summary'!$A:$D,3,0),0)</f>
        <v>Zone-1</v>
      </c>
      <c r="F32" s="143" t="str">
        <f>VLOOKUP(B32,'AFC Data details'!$B:$B,1,0)</f>
        <v>AZ1-V20-T3C5-001</v>
      </c>
      <c r="H32" s="3">
        <f>_xlfn.XLOOKUP(B32,'AFC Data details'!B:B,'AFC Data details'!P:P)</f>
        <v>1.55</v>
      </c>
    </row>
    <row r="33" spans="1:8" x14ac:dyDescent="0.25">
      <c r="A33" s="154">
        <v>45922</v>
      </c>
      <c r="B33" s="3" t="s">
        <v>1196</v>
      </c>
      <c r="C33" s="3">
        <v>1</v>
      </c>
      <c r="D33" s="3" t="str">
        <f>VLOOKUP(B33,'Element wise-detail Summary'!$A:$D,2,0)</f>
        <v>V18</v>
      </c>
      <c r="E33" s="3" t="str">
        <f>IFERROR(VLOOKUP(B33,'Element wise-detail Summary'!$A:$D,3,0),0)</f>
        <v>MOCKUP</v>
      </c>
      <c r="F33" s="143" t="str">
        <f>VLOOKUP(B33,'AFC Data details'!$B:$B,1,0)</f>
        <v>AMR-V18-T1C10-005</v>
      </c>
      <c r="H33" s="3">
        <f>_xlfn.XLOOKUP(B33,'AFC Data details'!B:B,'AFC Data details'!P:P)</f>
        <v>1.617</v>
      </c>
    </row>
    <row r="34" spans="1:8" x14ac:dyDescent="0.25">
      <c r="A34" s="154">
        <v>45922</v>
      </c>
      <c r="B34" s="3" t="s">
        <v>1197</v>
      </c>
      <c r="C34" s="3">
        <v>1</v>
      </c>
      <c r="D34" s="3" t="str">
        <f>VLOOKUP(B34,'Element wise-detail Summary'!$A:$D,2,0)</f>
        <v>V18</v>
      </c>
      <c r="E34" s="3" t="str">
        <f>IFERROR(VLOOKUP(B34,'Element wise-detail Summary'!$A:$D,3,0),0)</f>
        <v>MOCKUP</v>
      </c>
      <c r="F34" s="143" t="str">
        <f>VLOOKUP(B34,'AFC Data details'!$B:$B,1,0)</f>
        <v>AMR-V18-T1C10-001</v>
      </c>
      <c r="H34" s="3">
        <f>_xlfn.XLOOKUP(B34,'AFC Data details'!B:B,'AFC Data details'!P:P)</f>
        <v>1.595</v>
      </c>
    </row>
    <row r="35" spans="1:8" x14ac:dyDescent="0.25">
      <c r="A35" s="154">
        <v>45923</v>
      </c>
      <c r="B35" s="3" t="s">
        <v>1198</v>
      </c>
      <c r="C35" s="3">
        <v>1</v>
      </c>
      <c r="D35" s="3" t="str">
        <f>VLOOKUP(B35,'Element wise-detail Summary'!$A:$D,2,0)</f>
        <v>V19</v>
      </c>
      <c r="E35" s="3" t="str">
        <f>IFERROR(VLOOKUP(B35,'Element wise-detail Summary'!$A:$D,3,0),0)</f>
        <v>Zone-1</v>
      </c>
      <c r="F35" s="143" t="str">
        <f>VLOOKUP(B35,'AFC Data details'!$B:$B,1,0)</f>
        <v>AZ1-V19-T1C2-001</v>
      </c>
      <c r="H35" s="3">
        <f>_xlfn.XLOOKUP(B35,'AFC Data details'!B:B,'AFC Data details'!P:P)</f>
        <v>1.0660000000000001</v>
      </c>
    </row>
    <row r="36" spans="1:8" x14ac:dyDescent="0.25">
      <c r="A36" s="154">
        <v>45923</v>
      </c>
      <c r="B36" s="3" t="s">
        <v>1199</v>
      </c>
      <c r="C36" s="3">
        <v>1</v>
      </c>
      <c r="D36" s="3" t="str">
        <f>VLOOKUP(B36,'Element wise-detail Summary'!$A:$D,2,0)</f>
        <v>V27</v>
      </c>
      <c r="E36" s="3" t="str">
        <f>IFERROR(VLOOKUP(B36,'Element wise-detail Summary'!$A:$D,3,0),0)</f>
        <v>Zone-1</v>
      </c>
      <c r="F36" s="143" t="str">
        <f>VLOOKUP(B36,'AFC Data details'!$B:$B,1,0)</f>
        <v>AZ1-V27-T1C6-006</v>
      </c>
      <c r="H36" s="3">
        <f>_xlfn.XLOOKUP(B36,'AFC Data details'!B:B,'AFC Data details'!P:P)</f>
        <v>2.0590000000000002</v>
      </c>
    </row>
    <row r="37" spans="1:8" x14ac:dyDescent="0.25">
      <c r="A37" s="154">
        <v>45923</v>
      </c>
      <c r="B37" s="3" t="s">
        <v>1200</v>
      </c>
      <c r="C37" s="3">
        <v>1</v>
      </c>
      <c r="D37" s="3" t="str">
        <f>VLOOKUP(B37,'Element wise-detail Summary'!$A:$D,2,0)</f>
        <v>V23</v>
      </c>
      <c r="E37" s="3" t="str">
        <f>IFERROR(VLOOKUP(B37,'Element wise-detail Summary'!$A:$D,3,0),0)</f>
        <v>Zone-1</v>
      </c>
      <c r="F37" s="143" t="str">
        <f>VLOOKUP(B37,'AFC Data details'!$B:$B,1,0)</f>
        <v>AZ1-V23-T3C4-001</v>
      </c>
      <c r="H37" s="3">
        <f>_xlfn.XLOOKUP(B37,'AFC Data details'!B:B,'AFC Data details'!P:P)</f>
        <v>1.2609999999999999</v>
      </c>
    </row>
    <row r="38" spans="1:8" x14ac:dyDescent="0.25">
      <c r="A38" s="154">
        <v>45923</v>
      </c>
      <c r="B38" s="3" t="s">
        <v>1201</v>
      </c>
      <c r="C38" s="3">
        <v>1</v>
      </c>
      <c r="D38" s="3" t="str">
        <f>VLOOKUP(B38,'Element wise-detail Summary'!$A:$D,2,0)</f>
        <v>V23</v>
      </c>
      <c r="E38" s="3" t="str">
        <f>IFERROR(VLOOKUP(B38,'Element wise-detail Summary'!$A:$D,3,0),0)</f>
        <v>Zone-1</v>
      </c>
      <c r="F38" s="143" t="str">
        <f>VLOOKUP(B38,'AFC Data details'!$B:$B,1,0)</f>
        <v>AZ1-V23-T3C4-002</v>
      </c>
      <c r="H38" s="3">
        <f>_xlfn.XLOOKUP(B38,'AFC Data details'!B:B,'AFC Data details'!P:P)</f>
        <v>1.4339999999999999</v>
      </c>
    </row>
    <row r="39" spans="1:8" x14ac:dyDescent="0.25">
      <c r="A39" s="154">
        <v>45924</v>
      </c>
      <c r="B39" s="3" t="s">
        <v>1202</v>
      </c>
      <c r="C39" s="3">
        <v>1</v>
      </c>
      <c r="D39" s="3" t="str">
        <f>VLOOKUP(B39,'Element wise-detail Summary'!$A:$D,2,0)</f>
        <v>V20</v>
      </c>
      <c r="E39" s="3" t="str">
        <f>IFERROR(VLOOKUP(B39,'Element wise-detail Summary'!$A:$D,3,0),0)</f>
        <v>Zone-1</v>
      </c>
      <c r="F39" s="143" t="str">
        <f>VLOOKUP(B39,'AFC Data details'!$B:$B,1,0)</f>
        <v>AZ1-V20-T1C6-005</v>
      </c>
      <c r="H39" s="3">
        <f>_xlfn.XLOOKUP(B39,'AFC Data details'!B:B,'AFC Data details'!P:P)</f>
        <v>2.0529999999999999</v>
      </c>
    </row>
    <row r="40" spans="1:8" x14ac:dyDescent="0.25">
      <c r="A40" s="154">
        <v>45924</v>
      </c>
      <c r="B40" s="3" t="s">
        <v>1203</v>
      </c>
      <c r="C40" s="3">
        <v>1</v>
      </c>
      <c r="D40" s="3" t="str">
        <f>VLOOKUP(B40,'Element wise-detail Summary'!$A:$D,2,0)</f>
        <v>V24</v>
      </c>
      <c r="E40" s="3" t="str">
        <f>IFERROR(VLOOKUP(B40,'Element wise-detail Summary'!$A:$D,3,0),0)</f>
        <v>Zone-1</v>
      </c>
      <c r="F40" s="143" t="str">
        <f>VLOOKUP(B40,'AFC Data details'!$B:$B,1,0)</f>
        <v>AZ1-V24-T1C1-001</v>
      </c>
      <c r="H40" s="3">
        <f>_xlfn.XLOOKUP(B40,'AFC Data details'!B:B,'AFC Data details'!P:P)</f>
        <v>0.997</v>
      </c>
    </row>
    <row r="41" spans="1:8" x14ac:dyDescent="0.25">
      <c r="A41" s="154">
        <v>45924</v>
      </c>
      <c r="B41" s="3" t="s">
        <v>1204</v>
      </c>
      <c r="C41" s="3">
        <v>1</v>
      </c>
      <c r="D41" s="3" t="str">
        <f>VLOOKUP(B41,'Element wise-detail Summary'!$A:$D,2,0)</f>
        <v>V19</v>
      </c>
      <c r="E41" s="3" t="str">
        <f>IFERROR(VLOOKUP(B41,'Element wise-detail Summary'!$A:$D,3,0),0)</f>
        <v>Zone-1</v>
      </c>
      <c r="F41" s="143" t="str">
        <f>VLOOKUP(B41,'AFC Data details'!$B:$B,1,0)</f>
        <v>AZ1-V19-T1C15S-003</v>
      </c>
      <c r="H41" s="3">
        <f>_xlfn.XLOOKUP(B41,'AFC Data details'!B:B,'AFC Data details'!P:P)</f>
        <v>2.923</v>
      </c>
    </row>
    <row r="42" spans="1:8" x14ac:dyDescent="0.25">
      <c r="A42" s="154">
        <v>45925</v>
      </c>
      <c r="B42" s="3" t="s">
        <v>1239</v>
      </c>
      <c r="C42" s="3">
        <v>1</v>
      </c>
      <c r="D42" s="3" t="str">
        <f>VLOOKUP(B42,'Element wise-detail Summary'!$A:$D,2,0)</f>
        <v>V21</v>
      </c>
      <c r="E42" s="3" t="str">
        <f>IFERROR(VLOOKUP(B42,'Element wise-detail Summary'!$A:$D,3,0),0)</f>
        <v>Zone-1</v>
      </c>
      <c r="F42" s="143" t="str">
        <f>VLOOKUP(B42,'AFC Data details'!$B:$B,1,0)</f>
        <v>AZ1-V21-T1C1-001</v>
      </c>
      <c r="H42" s="3">
        <f>_xlfn.XLOOKUP(B42,'AFC Data details'!B:B,'AFC Data details'!P:P)</f>
        <v>1.0229999999999999</v>
      </c>
    </row>
    <row r="43" spans="1:8" x14ac:dyDescent="0.25">
      <c r="A43" s="154">
        <v>45925</v>
      </c>
      <c r="B43" s="3" t="s">
        <v>1279</v>
      </c>
      <c r="C43" s="3">
        <v>1</v>
      </c>
      <c r="D43" s="3" t="str">
        <f>VLOOKUP(B43,'Element wise-detail Summary'!$A:$D,2,0)</f>
        <v>V24</v>
      </c>
      <c r="E43" s="3" t="str">
        <f>IFERROR(VLOOKUP(B43,'Element wise-detail Summary'!$A:$D,3,0),0)</f>
        <v>Zone-1</v>
      </c>
      <c r="F43" s="143" t="str">
        <f>VLOOKUP(B43,'AFC Data details'!$B:$B,1,0)</f>
        <v>AZ1-V24-T3C4-002</v>
      </c>
      <c r="H43" s="3">
        <f>_xlfn.XLOOKUP(B43,'AFC Data details'!B:B,'AFC Data details'!P:P)</f>
        <v>1.282</v>
      </c>
    </row>
    <row r="44" spans="1:8" x14ac:dyDescent="0.25">
      <c r="A44" s="154">
        <v>45925</v>
      </c>
      <c r="B44" s="3" t="s">
        <v>1278</v>
      </c>
      <c r="C44" s="3">
        <v>1</v>
      </c>
      <c r="D44" s="3" t="str">
        <f>VLOOKUP(B44,'Element wise-detail Summary'!$A:$D,2,0)</f>
        <v>V24</v>
      </c>
      <c r="E44" s="3" t="str">
        <f>IFERROR(VLOOKUP(B44,'Element wise-detail Summary'!$A:$D,3,0),0)</f>
        <v>Zone-1</v>
      </c>
      <c r="F44" s="143" t="str">
        <f>VLOOKUP(B44,'AFC Data details'!$B:$B,1,0)</f>
        <v>AZ1-V24-T3C4-001</v>
      </c>
      <c r="H44" s="3">
        <f>_xlfn.XLOOKUP(B44,'AFC Data details'!B:B,'AFC Data details'!P:P)</f>
        <v>1.4550000000000001</v>
      </c>
    </row>
    <row r="45" spans="1:8" x14ac:dyDescent="0.25">
      <c r="A45" s="154">
        <v>45926</v>
      </c>
      <c r="B45" s="3" t="s">
        <v>1258</v>
      </c>
      <c r="C45" s="3">
        <v>1</v>
      </c>
      <c r="D45" s="3" t="str">
        <f>VLOOKUP(B45,'Element wise-detail Summary'!$A:$D,2,0)</f>
        <v>V20</v>
      </c>
      <c r="E45" s="3" t="str">
        <f>IFERROR(VLOOKUP(B45,'Element wise-detail Summary'!$A:$D,3,0),0)</f>
        <v>Zone-1</v>
      </c>
      <c r="F45" s="143" t="str">
        <f>VLOOKUP(B45,'AFC Data details'!$B:$B,1,0)</f>
        <v>AZ1-V20-T1C6-006</v>
      </c>
      <c r="H45" s="3">
        <f>_xlfn.XLOOKUP(B45,'AFC Data details'!B:B,'AFC Data details'!P:P)</f>
        <v>2.0529999999999999</v>
      </c>
    </row>
    <row r="46" spans="1:8" x14ac:dyDescent="0.25">
      <c r="A46" s="154">
        <v>45926</v>
      </c>
      <c r="B46" s="3" t="s">
        <v>1259</v>
      </c>
      <c r="C46" s="3">
        <v>1</v>
      </c>
      <c r="D46" s="3" t="str">
        <f>VLOOKUP(B46,'Element wise-detail Summary'!$A:$D,2,0)</f>
        <v>V22</v>
      </c>
      <c r="E46" s="3" t="str">
        <f>IFERROR(VLOOKUP(B46,'Element wise-detail Summary'!$A:$D,3,0),0)</f>
        <v>Zone-1</v>
      </c>
      <c r="F46" s="143" t="str">
        <f>VLOOKUP(B46,'AFC Data details'!$B:$B,1,0)</f>
        <v>AZ1-V22-T3C4-001</v>
      </c>
      <c r="H46" s="3">
        <f>_xlfn.XLOOKUP(B46,'AFC Data details'!B:B,'AFC Data details'!P:P)</f>
        <v>1.4339999999999999</v>
      </c>
    </row>
    <row r="47" spans="1:8" x14ac:dyDescent="0.25">
      <c r="A47" s="154">
        <v>45927</v>
      </c>
      <c r="B47" s="3" t="s">
        <v>1227</v>
      </c>
      <c r="C47" s="3">
        <v>1</v>
      </c>
      <c r="D47" s="3" t="str">
        <f>VLOOKUP(B47,'Element wise-detail Summary'!$A:$D,2,0)</f>
        <v>V19</v>
      </c>
      <c r="E47" s="3" t="str">
        <f>IFERROR(VLOOKUP(B47,'Element wise-detail Summary'!$A:$D,3,0),0)</f>
        <v>Zone-1</v>
      </c>
      <c r="F47" s="143" t="str">
        <f>VLOOKUP(B47,'AFC Data details'!$B:$B,1,0)</f>
        <v>AZ1-V19-T1C18-003</v>
      </c>
      <c r="H47" s="3">
        <f>_xlfn.XLOOKUP(B47,'AFC Data details'!B:B,'AFC Data details'!P:P)</f>
        <v>3.1030000000000002</v>
      </c>
    </row>
    <row r="48" spans="1:8" x14ac:dyDescent="0.25">
      <c r="A48" s="154">
        <v>45927</v>
      </c>
      <c r="B48" s="3" t="s">
        <v>1221</v>
      </c>
      <c r="C48" s="3">
        <v>1</v>
      </c>
      <c r="D48" s="3" t="str">
        <f>VLOOKUP(B48,'Element wise-detail Summary'!$A:$D,2,0)</f>
        <v>V19</v>
      </c>
      <c r="E48" s="3" t="str">
        <f>IFERROR(VLOOKUP(B48,'Element wise-detail Summary'!$A:$D,3,0),0)</f>
        <v>Zone-1</v>
      </c>
      <c r="F48" s="143" t="str">
        <f>VLOOKUP(B48,'AFC Data details'!$B:$B,1,0)</f>
        <v>AZ1-V19-T1C15S-001</v>
      </c>
      <c r="H48" s="3">
        <f>_xlfn.XLOOKUP(B48,'AFC Data details'!B:B,'AFC Data details'!P:P)</f>
        <v>2.8479999999999999</v>
      </c>
    </row>
    <row r="49" spans="1:8" x14ac:dyDescent="0.25">
      <c r="A49" s="154">
        <v>45929</v>
      </c>
      <c r="B49" s="3" t="s">
        <v>1223</v>
      </c>
      <c r="C49" s="3">
        <v>1</v>
      </c>
      <c r="D49" s="3" t="str">
        <f>VLOOKUP(B49,'Element wise-detail Summary'!$A:$D,2,0)</f>
        <v>V19</v>
      </c>
      <c r="E49" s="3" t="str">
        <f>IFERROR(VLOOKUP(B49,'Element wise-detail Summary'!$A:$D,3,0),0)</f>
        <v>Zone-1</v>
      </c>
      <c r="F49" s="143" t="str">
        <f>VLOOKUP(B49,'AFC Data details'!$B:$B,1,0)</f>
        <v>AZ1-V19-T1C17-001</v>
      </c>
      <c r="H49" s="3">
        <f>_xlfn.XLOOKUP(B49,'AFC Data details'!B:B,'AFC Data details'!P:P)</f>
        <v>2.6349999999999998</v>
      </c>
    </row>
    <row r="50" spans="1:8" x14ac:dyDescent="0.25">
      <c r="A50" s="154">
        <v>45929</v>
      </c>
      <c r="B50" s="3" t="s">
        <v>1281</v>
      </c>
      <c r="C50" s="3">
        <v>1</v>
      </c>
      <c r="D50" s="3" t="str">
        <f>VLOOKUP(B50,'Element wise-detail Summary'!$A:$D,2,0)</f>
        <v>V25</v>
      </c>
      <c r="E50" s="3" t="str">
        <f>IFERROR(VLOOKUP(B50,'Element wise-detail Summary'!$A:$D,3,0),0)</f>
        <v>Zone-1</v>
      </c>
      <c r="F50" s="143" t="str">
        <f>VLOOKUP(B50,'AFC Data details'!$B:$B,1,0)</f>
        <v>AZ1-V25-T1C1-001</v>
      </c>
      <c r="H50" s="3">
        <f>_xlfn.XLOOKUP(B50,'AFC Data details'!B:B,'AFC Data details'!P:P)</f>
        <v>1.0069999999999999</v>
      </c>
    </row>
    <row r="51" spans="1:8" x14ac:dyDescent="0.25">
      <c r="A51" s="154">
        <v>45929</v>
      </c>
      <c r="B51" s="3" t="s">
        <v>1225</v>
      </c>
      <c r="C51" s="3">
        <v>1</v>
      </c>
      <c r="D51" s="3" t="str">
        <f>VLOOKUP(B51,'Element wise-detail Summary'!$A:$D,2,0)</f>
        <v>V19</v>
      </c>
      <c r="E51" s="3" t="str">
        <f>IFERROR(VLOOKUP(B51,'Element wise-detail Summary'!$A:$D,3,0),0)</f>
        <v>Zone-1</v>
      </c>
      <c r="F51" s="143" t="str">
        <f>VLOOKUP(B51,'AFC Data details'!$B:$B,1,0)</f>
        <v>AZ1-V19-T1C18-001</v>
      </c>
      <c r="H51" s="3">
        <f>_xlfn.XLOOKUP(B51,'AFC Data details'!B:B,'AFC Data details'!P:P)</f>
        <v>2.96</v>
      </c>
    </row>
    <row r="52" spans="1:8" x14ac:dyDescent="0.25">
      <c r="A52" s="154">
        <v>45929</v>
      </c>
      <c r="B52" s="3" t="s">
        <v>1242</v>
      </c>
      <c r="C52" s="3">
        <v>1</v>
      </c>
      <c r="D52" s="3" t="str">
        <f>VLOOKUP(B52,'Element wise-detail Summary'!$A:$D,2,0)</f>
        <v>V21</v>
      </c>
      <c r="E52" s="3" t="str">
        <f>IFERROR(VLOOKUP(B52,'Element wise-detail Summary'!$A:$D,3,0),0)</f>
        <v>Zone-1</v>
      </c>
      <c r="F52" s="143" t="str">
        <f>VLOOKUP(B52,'AFC Data details'!$B:$B,1,0)</f>
        <v>AZ1-V21-T3C4-001</v>
      </c>
      <c r="H52" s="3">
        <f>_xlfn.XLOOKUP(B52,'AFC Data details'!B:B,'AFC Data details'!P:P)</f>
        <v>1.3140000000000001</v>
      </c>
    </row>
    <row r="53" spans="1:8" x14ac:dyDescent="0.25">
      <c r="A53" s="154">
        <v>45929</v>
      </c>
      <c r="B53" s="3" t="s">
        <v>1244</v>
      </c>
      <c r="C53" s="3">
        <v>1</v>
      </c>
      <c r="D53" s="3" t="str">
        <f>VLOOKUP(B53,'Element wise-detail Summary'!$A:$D,2,0)</f>
        <v>V21</v>
      </c>
      <c r="E53" s="3" t="str">
        <f>IFERROR(VLOOKUP(B53,'Element wise-detail Summary'!$A:$D,3,0),0)</f>
        <v>Zone-1</v>
      </c>
      <c r="F53" s="143" t="str">
        <f>VLOOKUP(B53,'AFC Data details'!$B:$B,1,0)</f>
        <v>AZ1-V21-T3C4-002</v>
      </c>
      <c r="H53" s="3">
        <f>_xlfn.XLOOKUP(B53,'AFC Data details'!B:B,'AFC Data details'!P:P)</f>
        <v>1.4870000000000001</v>
      </c>
    </row>
    <row r="54" spans="1:8" x14ac:dyDescent="0.25">
      <c r="A54" s="154">
        <v>45930</v>
      </c>
      <c r="B54" s="3" t="s">
        <v>1226</v>
      </c>
      <c r="C54" s="3">
        <v>1</v>
      </c>
      <c r="D54" s="3" t="str">
        <f>VLOOKUP(B54,'Element wise-detail Summary'!$A:$D,2,0)</f>
        <v>V19</v>
      </c>
      <c r="E54" s="3" t="str">
        <f>IFERROR(VLOOKUP(B54,'Element wise-detail Summary'!$A:$D,3,0),0)</f>
        <v>Zone-1</v>
      </c>
      <c r="F54" s="143" t="str">
        <f>VLOOKUP(B54,'AFC Data details'!$B:$B,1,0)</f>
        <v>AZ1-V19-T1C18-002</v>
      </c>
      <c r="H54" s="3">
        <f>_xlfn.XLOOKUP(B54,'AFC Data details'!B:B,'AFC Data details'!P:P)</f>
        <v>3.032</v>
      </c>
    </row>
    <row r="55" spans="1:8" x14ac:dyDescent="0.25">
      <c r="A55" s="154">
        <v>45930</v>
      </c>
      <c r="B55" s="3" t="s">
        <v>1241</v>
      </c>
      <c r="C55" s="3">
        <v>1</v>
      </c>
      <c r="D55" s="3" t="str">
        <f>VLOOKUP(B55,'Element wise-detail Summary'!$A:$D,2,0)</f>
        <v>V21</v>
      </c>
      <c r="E55" s="3" t="str">
        <f>IFERROR(VLOOKUP(B55,'Element wise-detail Summary'!$A:$D,3,0),0)</f>
        <v>Zone-1</v>
      </c>
      <c r="F55" s="143" t="str">
        <f>VLOOKUP(B55,'AFC Data details'!$B:$B,1,0)</f>
        <v>AZ1-V21-T2C1-001</v>
      </c>
      <c r="H55" s="3">
        <f>_xlfn.XLOOKUP(B55,'AFC Data details'!B:B,'AFC Data details'!P:P)</f>
        <v>1.4490000000000001</v>
      </c>
    </row>
    <row r="56" spans="1:8" x14ac:dyDescent="0.25">
      <c r="A56" s="154">
        <v>45930</v>
      </c>
      <c r="B56" s="3" t="s">
        <v>1277</v>
      </c>
      <c r="C56" s="3">
        <v>1</v>
      </c>
      <c r="D56" s="3" t="str">
        <f>VLOOKUP(B56,'Element wise-detail Summary'!$A:$D,2,0)</f>
        <v>V26</v>
      </c>
      <c r="E56" s="3" t="str">
        <f>IFERROR(VLOOKUP(B56,'Element wise-detail Summary'!$A:$D,3,0),0)</f>
        <v>Zone-1</v>
      </c>
      <c r="F56" s="143" t="str">
        <f>VLOOKUP(B56,'AFC Data details'!$B:$B,1,0)</f>
        <v>AZ1-V26-T3C4-001</v>
      </c>
      <c r="H56" s="3">
        <f>_xlfn.XLOOKUP(B56,'AFC Data details'!B:B,'AFC Data details'!P:P)</f>
        <v>1.4550000000000001</v>
      </c>
    </row>
    <row r="57" spans="1:8" x14ac:dyDescent="0.25">
      <c r="A57" s="154">
        <v>45931</v>
      </c>
      <c r="B57" s="3" t="s">
        <v>1263</v>
      </c>
      <c r="C57" s="3">
        <v>1</v>
      </c>
      <c r="D57" s="3" t="str">
        <f>VLOOKUP(B57,'Element wise-detail Summary'!$A:$D,2,0)</f>
        <v>V21</v>
      </c>
      <c r="E57" s="3" t="str">
        <f>IFERROR(VLOOKUP(B57,'Element wise-detail Summary'!$A:$D,3,0),0)</f>
        <v>Zone-1</v>
      </c>
      <c r="F57" s="143" t="str">
        <f>VLOOKUP(B57,'AFC Data details'!$B:$B,1,0)</f>
        <v>AZ1-V21-T1C6-006</v>
      </c>
      <c r="H57" s="3">
        <f>_xlfn.XLOOKUP(B57,'AFC Data details'!B:B,'AFC Data details'!P:P)</f>
        <v>2.0529999999999999</v>
      </c>
    </row>
    <row r="58" spans="1:8" x14ac:dyDescent="0.25">
      <c r="A58" s="154">
        <v>45931</v>
      </c>
      <c r="B58" s="3" t="s">
        <v>1260</v>
      </c>
      <c r="C58" s="3">
        <v>1</v>
      </c>
      <c r="D58" s="3" t="str">
        <f>VLOOKUP(B58,'Element wise-detail Summary'!$A:$D,2,0)</f>
        <v>V22</v>
      </c>
      <c r="E58" s="3" t="str">
        <f>IFERROR(VLOOKUP(B58,'Element wise-detail Summary'!$A:$D,3,0),0)</f>
        <v>Zone-1</v>
      </c>
      <c r="F58" s="143" t="str">
        <f>VLOOKUP(B58,'AFC Data details'!$B:$B,1,0)</f>
        <v>AZ1-V22-T3C4-002</v>
      </c>
      <c r="H58" s="3">
        <f>_xlfn.XLOOKUP(B58,'AFC Data details'!B:B,'AFC Data details'!P:P)</f>
        <v>1.2609999999999999</v>
      </c>
    </row>
    <row r="59" spans="1:8" x14ac:dyDescent="0.25">
      <c r="A59" s="154">
        <v>45931</v>
      </c>
      <c r="B59" s="3" t="s">
        <v>1291</v>
      </c>
      <c r="C59" s="3">
        <v>1</v>
      </c>
      <c r="D59" s="3" t="str">
        <f>VLOOKUP(B59,'Element wise-detail Summary'!$A:$D,2,0)</f>
        <v>V27</v>
      </c>
      <c r="E59" s="3" t="str">
        <f>IFERROR(VLOOKUP(B59,'Element wise-detail Summary'!$A:$D,3,0),0)</f>
        <v>Zone-1</v>
      </c>
      <c r="F59" s="143" t="str">
        <f>VLOOKUP(B59,'AFC Data details'!$B:$B,1,0)</f>
        <v>AZ1-V27-T1C2-001</v>
      </c>
      <c r="H59" s="3">
        <f>_xlfn.XLOOKUP(B59,'AFC Data details'!B:B,'AFC Data details'!P:P)</f>
        <v>1.0549999999999999</v>
      </c>
    </row>
    <row r="60" spans="1:8" x14ac:dyDescent="0.25">
      <c r="A60" s="154">
        <v>45932</v>
      </c>
      <c r="B60" s="3" t="s">
        <v>1254</v>
      </c>
      <c r="C60" s="3">
        <v>1</v>
      </c>
      <c r="D60" s="3" t="str">
        <f>VLOOKUP(B60,'Element wise-detail Summary'!$A:$D,2,0)</f>
        <v>V21</v>
      </c>
      <c r="E60" s="3" t="str">
        <f>IFERROR(VLOOKUP(B60,'Element wise-detail Summary'!$A:$D,3,0),0)</f>
        <v>Zone-1</v>
      </c>
      <c r="F60" s="143" t="str">
        <f>VLOOKUP(B60,'AFC Data details'!$B:$B,1,0)</f>
        <v>AZ1-V21-T1C6-005</v>
      </c>
      <c r="H60" s="3">
        <f>_xlfn.XLOOKUP(B60,'AFC Data details'!B:B,'AFC Data details'!P:P)</f>
        <v>2.0529999999999999</v>
      </c>
    </row>
    <row r="61" spans="1:8" x14ac:dyDescent="0.25">
      <c r="A61" s="154">
        <v>45932</v>
      </c>
      <c r="B61" s="3" t="s">
        <v>1250</v>
      </c>
      <c r="C61" s="3">
        <v>1</v>
      </c>
      <c r="D61" s="3" t="str">
        <f>VLOOKUP(B61,'Element wise-detail Summary'!$A:$D,2,0)</f>
        <v>V22</v>
      </c>
      <c r="E61" s="3" t="str">
        <f>IFERROR(VLOOKUP(B61,'Element wise-detail Summary'!$A:$D,3,0),0)</f>
        <v>Zone-1</v>
      </c>
      <c r="F61" s="143" t="str">
        <f>VLOOKUP(B61,'AFC Data details'!$B:$B,1,0)</f>
        <v>AZ1-V22-T1C6-005</v>
      </c>
      <c r="H61" s="3">
        <f>_xlfn.XLOOKUP(B61,'AFC Data details'!B:B,'AFC Data details'!P:P)</f>
        <v>2.0529999999999999</v>
      </c>
    </row>
    <row r="62" spans="1:8" x14ac:dyDescent="0.25">
      <c r="A62" s="154">
        <v>45932</v>
      </c>
      <c r="B62" s="3" t="s">
        <v>1264</v>
      </c>
      <c r="C62" s="3">
        <v>1</v>
      </c>
      <c r="D62" s="3" t="str">
        <f>VLOOKUP(B62,'Element wise-detail Summary'!$A:$D,2,0)</f>
        <v>V23</v>
      </c>
      <c r="E62" s="3" t="str">
        <f>IFERROR(VLOOKUP(B62,'Element wise-detail Summary'!$A:$D,3,0),0)</f>
        <v>Zone-1</v>
      </c>
      <c r="F62" s="143" t="str">
        <f>VLOOKUP(B62,'AFC Data details'!$B:$B,1,0)</f>
        <v>AZ1-V23-T2C1-001</v>
      </c>
      <c r="H62" s="3">
        <f>_xlfn.XLOOKUP(B62,'AFC Data details'!B:B,'AFC Data details'!P:P)</f>
        <v>1.413</v>
      </c>
    </row>
    <row r="63" spans="1:8" x14ac:dyDescent="0.25">
      <c r="A63" s="154">
        <v>45932</v>
      </c>
      <c r="B63" s="3" t="s">
        <v>1285</v>
      </c>
      <c r="C63" s="3">
        <v>1</v>
      </c>
      <c r="D63" s="3" t="str">
        <f>VLOOKUP(B63,'Element wise-detail Summary'!$A:$D,2,0)</f>
        <v>V25</v>
      </c>
      <c r="E63" s="3" t="str">
        <f>IFERROR(VLOOKUP(B63,'Element wise-detail Summary'!$A:$D,3,0),0)</f>
        <v>Zone-1</v>
      </c>
      <c r="F63" s="143" t="str">
        <f>VLOOKUP(B63,'AFC Data details'!$B:$B,1,0)</f>
        <v>AZ1-V25-T3C4-002</v>
      </c>
      <c r="H63" s="3">
        <f>_xlfn.XLOOKUP(B63,'AFC Data details'!B:B,'AFC Data details'!P:P)</f>
        <v>1.4550000000000001</v>
      </c>
    </row>
    <row r="64" spans="1:8" x14ac:dyDescent="0.25">
      <c r="A64" s="154">
        <v>45932</v>
      </c>
      <c r="B64" s="3" t="s">
        <v>1301</v>
      </c>
      <c r="C64" s="3">
        <v>1</v>
      </c>
      <c r="D64" s="3" t="str">
        <f>VLOOKUP(B64,'Element wise-detail Summary'!$A:$D,2,0)</f>
        <v>V29</v>
      </c>
      <c r="E64" s="3" t="str">
        <f>IFERROR(VLOOKUP(B64,'Element wise-detail Summary'!$A:$D,3,0),0)</f>
        <v>Zone-1</v>
      </c>
      <c r="F64" s="143" t="str">
        <f>VLOOKUP(B64,'AFC Data details'!$B:$B,1,0)</f>
        <v>AZ1-V29-T1C2-001</v>
      </c>
      <c r="H64" s="3">
        <f>_xlfn.XLOOKUP(B64,'AFC Data details'!B:B,'AFC Data details'!P:P)</f>
        <v>1.0760000000000001</v>
      </c>
    </row>
    <row r="65" spans="1:8" x14ac:dyDescent="0.25">
      <c r="A65" s="154">
        <v>45933</v>
      </c>
      <c r="B65" s="3" t="s">
        <v>1262</v>
      </c>
      <c r="C65" s="3">
        <v>1</v>
      </c>
      <c r="D65" s="3" t="str">
        <f>VLOOKUP(B65,'Element wise-detail Summary'!$A:$D,2,0)</f>
        <v>V23</v>
      </c>
      <c r="E65" s="3" t="str">
        <f>IFERROR(VLOOKUP(B65,'Element wise-detail Summary'!$A:$D,3,0),0)</f>
        <v>Zone-1</v>
      </c>
      <c r="F65" s="143" t="str">
        <f>VLOOKUP(B65,'AFC Data details'!$B:$B,1,0)</f>
        <v>AZ1-V23-T1C6-006</v>
      </c>
      <c r="H65" s="3">
        <f>_xlfn.XLOOKUP(B65,'AFC Data details'!B:B,'AFC Data details'!P:P)</f>
        <v>2.0529999999999999</v>
      </c>
    </row>
    <row r="66" spans="1:8" x14ac:dyDescent="0.25">
      <c r="A66" s="154">
        <v>45933</v>
      </c>
      <c r="B66" s="3" t="s">
        <v>1257</v>
      </c>
      <c r="C66" s="3">
        <v>1</v>
      </c>
      <c r="D66" s="3" t="str">
        <f>VLOOKUP(B66,'Element wise-detail Summary'!$A:$D,2,0)</f>
        <v>V22</v>
      </c>
      <c r="E66" s="3" t="str">
        <f>IFERROR(VLOOKUP(B66,'Element wise-detail Summary'!$A:$D,3,0),0)</f>
        <v>Zone-1</v>
      </c>
      <c r="F66" s="143" t="str">
        <f>VLOOKUP(B66,'AFC Data details'!$B:$B,1,0)</f>
        <v>AZ1-V22-T1C6-006</v>
      </c>
      <c r="H66" s="3">
        <f>_xlfn.XLOOKUP(B66,'AFC Data details'!B:B,'AFC Data details'!P:P)</f>
        <v>2.0529999999999999</v>
      </c>
    </row>
    <row r="67" spans="1:8" x14ac:dyDescent="0.25">
      <c r="A67" s="154">
        <v>45933</v>
      </c>
      <c r="B67" s="3" t="s">
        <v>1231</v>
      </c>
      <c r="C67" s="3">
        <v>1</v>
      </c>
      <c r="D67" s="3" t="str">
        <f>VLOOKUP(B67,'Element wise-detail Summary'!$A:$D,2,0)</f>
        <v>V25</v>
      </c>
      <c r="E67" s="3" t="str">
        <f>IFERROR(VLOOKUP(B67,'Element wise-detail Summary'!$A:$D,3,0),0)</f>
        <v>Zone-1</v>
      </c>
      <c r="F67" s="143" t="str">
        <f>VLOOKUP(B67,'AFC Data details'!$B:$B,1,0)</f>
        <v>AZ1-V25-T2C1-001</v>
      </c>
      <c r="H67" s="3">
        <f>_xlfn.XLOOKUP(B67,'AFC Data details'!B:B,'AFC Data details'!P:P)</f>
        <v>1.4179999999999999</v>
      </c>
    </row>
    <row r="68" spans="1:8" x14ac:dyDescent="0.25">
      <c r="A68" s="154">
        <v>45933</v>
      </c>
      <c r="B68" s="3" t="s">
        <v>1292</v>
      </c>
      <c r="C68" s="3">
        <v>1</v>
      </c>
      <c r="D68" s="3" t="str">
        <f>VLOOKUP(B68,'Element wise-detail Summary'!$A:$D,2,0)</f>
        <v>V27</v>
      </c>
      <c r="E68" s="3" t="str">
        <f>IFERROR(VLOOKUP(B68,'Element wise-detail Summary'!$A:$D,3,0),0)</f>
        <v>Zone-1</v>
      </c>
      <c r="F68" s="143" t="str">
        <f>VLOOKUP(B68,'AFC Data details'!$B:$B,1,0)</f>
        <v>AZ1-V27-T3C5-001</v>
      </c>
      <c r="H68" s="3">
        <f>_xlfn.XLOOKUP(B68,'AFC Data details'!B:B,'AFC Data details'!P:P)</f>
        <v>1.353</v>
      </c>
    </row>
    <row r="69" spans="1:8" x14ac:dyDescent="0.25">
      <c r="A69" s="154">
        <v>45933</v>
      </c>
      <c r="B69" s="3" t="s">
        <v>1334</v>
      </c>
      <c r="C69" s="3">
        <v>1</v>
      </c>
      <c r="D69" s="3" t="str">
        <f>VLOOKUP(B69,'Element wise-detail Summary'!$A:$D,2,0)</f>
        <v>V32</v>
      </c>
      <c r="E69" s="3" t="str">
        <f>IFERROR(VLOOKUP(B69,'Element wise-detail Summary'!$A:$D,3,0),0)</f>
        <v>Zone-1</v>
      </c>
      <c r="F69" s="143" t="str">
        <f>VLOOKUP(B69,'AFC Data details'!$B:$B,1,0)</f>
        <v>AZ1-V32-T1C2-001</v>
      </c>
      <c r="H69" s="3">
        <f>_xlfn.XLOOKUP(B69,'AFC Data details'!B:B,'AFC Data details'!P:P)</f>
        <v>1.0629999999999999</v>
      </c>
    </row>
    <row r="70" spans="1:8" x14ac:dyDescent="0.25">
      <c r="A70" s="154">
        <v>45934</v>
      </c>
      <c r="B70" s="3" t="s">
        <v>1265</v>
      </c>
      <c r="C70" s="3">
        <v>1</v>
      </c>
      <c r="D70" s="3" t="str">
        <f>VLOOKUP(B70,'Element wise-detail Summary'!$A:$D,2,0)</f>
        <v>V27</v>
      </c>
      <c r="E70" s="3" t="str">
        <f>IFERROR(VLOOKUP(B70,'Element wise-detail Summary'!$A:$D,3,0),0)</f>
        <v>Zone-1</v>
      </c>
      <c r="F70" s="143" t="str">
        <f>VLOOKUP(B70,'AFC Data details'!$B:$B,1,0)</f>
        <v>AZ1-V27-T2C1-001</v>
      </c>
      <c r="H70" s="3">
        <f>_xlfn.XLOOKUP(B70,'AFC Data details'!B:B,'AFC Data details'!P:P)</f>
        <v>1.413</v>
      </c>
    </row>
    <row r="71" spans="1:8" x14ac:dyDescent="0.25">
      <c r="A71" s="154">
        <v>45934</v>
      </c>
      <c r="B71" s="3" t="s">
        <v>1293</v>
      </c>
      <c r="C71" s="3">
        <v>1</v>
      </c>
      <c r="D71" s="3" t="str">
        <f>VLOOKUP(B71,'Element wise-detail Summary'!$A:$D,2,0)</f>
        <v>V27</v>
      </c>
      <c r="E71" s="3" t="str">
        <f>IFERROR(VLOOKUP(B71,'Element wise-detail Summary'!$A:$D,3,0),0)</f>
        <v>Zone-1</v>
      </c>
      <c r="F71" s="143" t="str">
        <f>VLOOKUP(B71,'AFC Data details'!$B:$B,1,0)</f>
        <v>AZ1-V27-T3C5-002</v>
      </c>
      <c r="H71" s="3">
        <f>_xlfn.XLOOKUP(B71,'AFC Data details'!B:B,'AFC Data details'!P:P)</f>
        <v>1.538</v>
      </c>
    </row>
    <row r="72" spans="1:8" x14ac:dyDescent="0.25">
      <c r="A72" s="154">
        <v>45934</v>
      </c>
      <c r="B72" s="3" t="s">
        <v>1280</v>
      </c>
      <c r="C72" s="3">
        <v>1</v>
      </c>
      <c r="D72" s="3" t="str">
        <f>VLOOKUP(B72,'Element wise-detail Summary'!$A:$D,2,0)</f>
        <v>V26</v>
      </c>
      <c r="E72" s="3" t="str">
        <f>IFERROR(VLOOKUP(B72,'Element wise-detail Summary'!$A:$D,3,0),0)</f>
        <v>Zone-1</v>
      </c>
      <c r="F72" s="143" t="str">
        <f>VLOOKUP(B72,'AFC Data details'!$B:$B,1,0)</f>
        <v>AZ1-V26-T3C4-002</v>
      </c>
      <c r="H72" s="3">
        <f>_xlfn.XLOOKUP(B72,'AFC Data details'!B:B,'AFC Data details'!P:P)</f>
        <v>1.282</v>
      </c>
    </row>
    <row r="73" spans="1:8" x14ac:dyDescent="0.25">
      <c r="A73" s="154">
        <v>45934</v>
      </c>
      <c r="B73" s="3" t="s">
        <v>1229</v>
      </c>
      <c r="C73" s="3">
        <v>1</v>
      </c>
      <c r="D73" s="3" t="str">
        <f>VLOOKUP(B73,'Element wise-detail Summary'!$A:$D,2,0)</f>
        <v>V34</v>
      </c>
      <c r="E73" s="3" t="str">
        <f>IFERROR(VLOOKUP(B73,'Element wise-detail Summary'!$A:$D,3,0),0)</f>
        <v>Zone-1</v>
      </c>
      <c r="F73" s="143" t="str">
        <f>VLOOKUP(B73,'AFC Data details'!$B:$B,1,0)</f>
        <v>AZ1-V34-T1C2-001</v>
      </c>
      <c r="H73" s="3">
        <f>_xlfn.XLOOKUP(B73,'AFC Data details'!B:B,'AFC Data details'!P:P)</f>
        <v>1.0660000000000001</v>
      </c>
    </row>
    <row r="74" spans="1:8" x14ac:dyDescent="0.25">
      <c r="A74" s="154">
        <v>45936</v>
      </c>
      <c r="B74" s="3" t="s">
        <v>1351</v>
      </c>
      <c r="C74" s="3">
        <v>1</v>
      </c>
      <c r="D74" s="3" t="str">
        <f>VLOOKUP(B74,'Element wise-detail Summary'!$A:$D,2,0)</f>
        <v>V34</v>
      </c>
      <c r="E74" s="3" t="str">
        <f>IFERROR(VLOOKUP(B74,'Element wise-detail Summary'!$A:$D,3,0),0)</f>
        <v>Zone-1</v>
      </c>
      <c r="F74" s="143" t="str">
        <f>VLOOKUP(B74,'AFC Data details'!$B:$B,1,0)</f>
        <v>AZ1-V34-T1C13-001</v>
      </c>
      <c r="H74" s="3">
        <f>_xlfn.XLOOKUP(B74,'AFC Data details'!B:B,'AFC Data details'!P:P)</f>
        <v>2.0920000000000001</v>
      </c>
    </row>
    <row r="75" spans="1:8" x14ac:dyDescent="0.25">
      <c r="A75" s="154">
        <v>45936</v>
      </c>
      <c r="B75" s="3" t="s">
        <v>1272</v>
      </c>
      <c r="C75" s="3">
        <v>1</v>
      </c>
      <c r="D75" s="3" t="str">
        <f>VLOOKUP(B75,'Element wise-detail Summary'!$A:$D,2,0)</f>
        <v>V24</v>
      </c>
      <c r="E75" s="3" t="str">
        <f>IFERROR(VLOOKUP(B75,'Element wise-detail Summary'!$A:$D,3,0),0)</f>
        <v>Zone-1</v>
      </c>
      <c r="F75" s="143" t="str">
        <f>VLOOKUP(B75,'AFC Data details'!$B:$B,1,0)</f>
        <v>AZ1-V24-T1C6-005</v>
      </c>
      <c r="H75" s="3">
        <f>_xlfn.XLOOKUP(B75,'AFC Data details'!B:B,'AFC Data details'!P:P)</f>
        <v>2.0150000000000001</v>
      </c>
    </row>
    <row r="76" spans="1:8" x14ac:dyDescent="0.25">
      <c r="A76" s="154">
        <v>45936</v>
      </c>
      <c r="B76" s="3" t="s">
        <v>1303</v>
      </c>
      <c r="C76" s="3">
        <v>1</v>
      </c>
      <c r="D76" s="3" t="str">
        <f>VLOOKUP(B76,'Element wise-detail Summary'!$A:$D,2,0)</f>
        <v>V29</v>
      </c>
      <c r="E76" s="3" t="str">
        <f>IFERROR(VLOOKUP(B76,'Element wise-detail Summary'!$A:$D,3,0),0)</f>
        <v>Zone-1</v>
      </c>
      <c r="F76" s="143" t="str">
        <f>VLOOKUP(B76,'AFC Data details'!$B:$B,1,0)</f>
        <v>AZ1-V29-T2C1-001</v>
      </c>
      <c r="H76" s="3">
        <f>_xlfn.XLOOKUP(B76,'AFC Data details'!B:B,'AFC Data details'!P:P)</f>
        <v>1.444</v>
      </c>
    </row>
    <row r="77" spans="1:8" x14ac:dyDescent="0.25">
      <c r="A77" s="154">
        <v>45936</v>
      </c>
      <c r="B77" s="3" t="s">
        <v>1369</v>
      </c>
      <c r="C77" s="3">
        <v>1</v>
      </c>
      <c r="D77" s="3" t="str">
        <f>VLOOKUP(B77,'Element wise-detail Summary'!$A:$D,2,0)</f>
        <v>V36</v>
      </c>
      <c r="E77" s="3" t="str">
        <f>IFERROR(VLOOKUP(B77,'Element wise-detail Summary'!$A:$D,3,0),0)</f>
        <v>Zone-2</v>
      </c>
      <c r="F77" s="143" t="str">
        <f>VLOOKUP(B77,'AFC Data details'!$B:$B,1,0)</f>
        <v>AZ2-V36-T1C2-001</v>
      </c>
      <c r="H77" s="3">
        <f>_xlfn.XLOOKUP(B77,'AFC Data details'!B:B,'AFC Data details'!P:P)</f>
        <v>1.0820000000000001</v>
      </c>
    </row>
    <row r="78" spans="1:8" x14ac:dyDescent="0.25">
      <c r="A78" s="154">
        <v>45936</v>
      </c>
      <c r="B78" s="3" t="s">
        <v>1387</v>
      </c>
      <c r="C78" s="3">
        <v>1</v>
      </c>
      <c r="D78" s="3" t="str">
        <f>VLOOKUP(B78,'Element wise-detail Summary'!$A:$D,2,0)</f>
        <v>V38</v>
      </c>
      <c r="E78" s="3" t="str">
        <f>IFERROR(VLOOKUP(B78,'Element wise-detail Summary'!$A:$D,3,0),0)</f>
        <v>Zone-2</v>
      </c>
      <c r="F78" s="143" t="str">
        <f>VLOOKUP(B78,'AFC Data details'!$B:$B,1,0)</f>
        <v>AZ2-V38-T1C2-001</v>
      </c>
      <c r="H78" s="3">
        <f>_xlfn.XLOOKUP(B78,'AFC Data details'!B:B,'AFC Data details'!P:P)</f>
        <v>1.042</v>
      </c>
    </row>
    <row r="79" spans="1:8" x14ac:dyDescent="0.25">
      <c r="A79" s="154">
        <v>45937</v>
      </c>
      <c r="B79" s="3" t="s">
        <v>1251</v>
      </c>
      <c r="C79" s="3">
        <v>1</v>
      </c>
      <c r="D79" s="3" t="str">
        <f>VLOOKUP(B79,'Element wise-detail Summary'!$A:$D,2,0)</f>
        <v>V23</v>
      </c>
      <c r="E79" s="3" t="str">
        <f>IFERROR(VLOOKUP(B79,'Element wise-detail Summary'!$A:$D,3,0),0)</f>
        <v>Zone-1</v>
      </c>
      <c r="F79" s="143" t="str">
        <f>VLOOKUP(B79,'AFC Data details'!$B:$B,1,0)</f>
        <v>AZ1-V23-T1C6-005</v>
      </c>
      <c r="H79" s="3">
        <f>_xlfn.XLOOKUP(B79,'AFC Data details'!B:B,'AFC Data details'!P:P)</f>
        <v>2.0529999999999999</v>
      </c>
    </row>
    <row r="80" spans="1:8" x14ac:dyDescent="0.25">
      <c r="A80" s="154">
        <v>45937</v>
      </c>
      <c r="B80" s="3" t="s">
        <v>1352</v>
      </c>
      <c r="C80" s="3">
        <v>1</v>
      </c>
      <c r="D80" s="3" t="str">
        <f>VLOOKUP(B80,'Element wise-detail Summary'!$A:$D,2,0)</f>
        <v>V34</v>
      </c>
      <c r="E80" s="3" t="str">
        <f>IFERROR(VLOOKUP(B80,'Element wise-detail Summary'!$A:$D,3,0),0)</f>
        <v>Zone-1</v>
      </c>
      <c r="F80" s="143" t="str">
        <f>VLOOKUP(B80,'AFC Data details'!$B:$B,1,0)</f>
        <v>AZ1-V34-T1C13-002</v>
      </c>
      <c r="H80" s="3">
        <f>_xlfn.XLOOKUP(B80,'AFC Data details'!B:B,'AFC Data details'!P:P)</f>
        <v>2.0920000000000001</v>
      </c>
    </row>
    <row r="81" spans="1:8" x14ac:dyDescent="0.25">
      <c r="A81" s="154">
        <v>45937</v>
      </c>
      <c r="B81" s="3" t="s">
        <v>1232</v>
      </c>
      <c r="C81" s="3">
        <v>1</v>
      </c>
      <c r="D81" s="3" t="str">
        <f>VLOOKUP(B81,'Element wise-detail Summary'!$A:$D,2,0)</f>
        <v>V31</v>
      </c>
      <c r="E81" s="3" t="str">
        <f>IFERROR(VLOOKUP(B81,'Element wise-detail Summary'!$A:$D,3,0),0)</f>
        <v>Zone-1</v>
      </c>
      <c r="F81" s="143" t="str">
        <f>VLOOKUP(B81,'AFC Data details'!$B:$B,1,0)</f>
        <v>AZ1-V31-T2C1-001</v>
      </c>
      <c r="H81" s="3">
        <f>_xlfn.XLOOKUP(B81,'AFC Data details'!B:B,'AFC Data details'!P:P)</f>
        <v>1.4179999999999999</v>
      </c>
    </row>
    <row r="82" spans="1:8" x14ac:dyDescent="0.25">
      <c r="A82" s="154">
        <v>45937</v>
      </c>
      <c r="B82" s="3" t="s">
        <v>1284</v>
      </c>
      <c r="C82" s="3">
        <v>1</v>
      </c>
      <c r="D82" s="3" t="str">
        <f>VLOOKUP(B82,'Element wise-detail Summary'!$A:$D,2,0)</f>
        <v>V25</v>
      </c>
      <c r="E82" s="3" t="str">
        <f>IFERROR(VLOOKUP(B82,'Element wise-detail Summary'!$A:$D,3,0),0)</f>
        <v>Zone-1</v>
      </c>
      <c r="F82" s="143" t="str">
        <f>VLOOKUP(B82,'AFC Data details'!$B:$B,1,0)</f>
        <v>AZ1-V25-T3C4-001</v>
      </c>
      <c r="H82" s="3">
        <f>_xlfn.XLOOKUP(B82,'AFC Data details'!B:B,'AFC Data details'!P:P)</f>
        <v>1.282</v>
      </c>
    </row>
    <row r="83" spans="1:8" x14ac:dyDescent="0.25">
      <c r="A83" s="154">
        <v>45937</v>
      </c>
      <c r="B83" s="3" t="s">
        <v>1299</v>
      </c>
      <c r="C83" s="3">
        <v>1</v>
      </c>
      <c r="D83" s="3" t="str">
        <f>VLOOKUP(B83,'Element wise-detail Summary'!$A:$D,2,0)</f>
        <v>V28</v>
      </c>
      <c r="E83" s="3" t="str">
        <f>IFERROR(VLOOKUP(B83,'Element wise-detail Summary'!$A:$D,3,0),0)</f>
        <v>Zone-1</v>
      </c>
      <c r="F83" s="143" t="str">
        <f>VLOOKUP(B83,'AFC Data details'!$B:$B,1,0)</f>
        <v>AZ1-V28-T3C5-001</v>
      </c>
      <c r="H83" s="3">
        <f>_xlfn.XLOOKUP(B83,'AFC Data details'!B:B,'AFC Data details'!P:P)</f>
        <v>1.5640000000000001</v>
      </c>
    </row>
    <row r="84" spans="1:8" x14ac:dyDescent="0.25">
      <c r="A84" s="154">
        <v>45937</v>
      </c>
      <c r="B84" s="3" t="s">
        <v>1405</v>
      </c>
      <c r="C84" s="3">
        <v>1</v>
      </c>
      <c r="D84" s="3" t="str">
        <f>VLOOKUP(B84,'Element wise-detail Summary'!$A:$D,2,0)</f>
        <v>V40</v>
      </c>
      <c r="E84" s="3" t="str">
        <f>IFERROR(VLOOKUP(B84,'Element wise-detail Summary'!$A:$D,3,0),0)</f>
        <v>Zone-2</v>
      </c>
      <c r="F84" s="143" t="str">
        <f>VLOOKUP(B84,'AFC Data details'!$B:$B,1,0)</f>
        <v>AZ2-V40-T1C1-001</v>
      </c>
      <c r="H84" s="3">
        <f>_xlfn.XLOOKUP(B84,'AFC Data details'!B:B,'AFC Data details'!P:P)</f>
        <v>1.01</v>
      </c>
    </row>
    <row r="85" spans="1:8" x14ac:dyDescent="0.25">
      <c r="A85" s="154">
        <v>45938</v>
      </c>
      <c r="B85" s="3" t="s">
        <v>1276</v>
      </c>
      <c r="C85" s="3">
        <v>1</v>
      </c>
      <c r="D85" s="3" t="str">
        <f>VLOOKUP(B85,'Element wise-detail Summary'!$A:$D,2,0)</f>
        <v>V24</v>
      </c>
      <c r="E85" s="3" t="str">
        <f>IFERROR(VLOOKUP(B85,'Element wise-detail Summary'!$A:$D,3,0),0)</f>
        <v>Zone-1</v>
      </c>
      <c r="F85" s="143" t="str">
        <f>VLOOKUP(B85,'AFC Data details'!$B:$B,1,0)</f>
        <v>AZ1-V24-T1C6-006</v>
      </c>
      <c r="H85" s="3">
        <f>_xlfn.XLOOKUP(B85,'AFC Data details'!B:B,'AFC Data details'!P:P)</f>
        <v>2.0150000000000001</v>
      </c>
    </row>
    <row r="86" spans="1:8" x14ac:dyDescent="0.25">
      <c r="A86" s="154">
        <v>45938</v>
      </c>
      <c r="B86" s="3" t="s">
        <v>1273</v>
      </c>
      <c r="C86" s="3">
        <v>1</v>
      </c>
      <c r="D86" s="3" t="str">
        <f>VLOOKUP(B86,'Element wise-detail Summary'!$A:$D,2,0)</f>
        <v>V25</v>
      </c>
      <c r="E86" s="3" t="str">
        <f>IFERROR(VLOOKUP(B86,'Element wise-detail Summary'!$A:$D,3,0),0)</f>
        <v>Zone-1</v>
      </c>
      <c r="F86" s="143" t="str">
        <f>VLOOKUP(B86,'AFC Data details'!$B:$B,1,0)</f>
        <v>AZ1-V25-T1C6-005</v>
      </c>
      <c r="H86" s="3">
        <f>_xlfn.XLOOKUP(B86,'AFC Data details'!B:B,'AFC Data details'!P:P)</f>
        <v>2.0150000000000001</v>
      </c>
    </row>
    <row r="87" spans="1:8" x14ac:dyDescent="0.25">
      <c r="A87" s="154">
        <v>45938</v>
      </c>
      <c r="B87" s="3" t="s">
        <v>1300</v>
      </c>
      <c r="C87" s="3">
        <v>1</v>
      </c>
      <c r="D87" s="3" t="str">
        <f>VLOOKUP(B87,'Element wise-detail Summary'!$A:$D,2,0)</f>
        <v>V28</v>
      </c>
      <c r="E87" s="3" t="str">
        <f>IFERROR(VLOOKUP(B87,'Element wise-detail Summary'!$A:$D,3,0),0)</f>
        <v>Zone-1</v>
      </c>
      <c r="F87" s="143" t="str">
        <f>VLOOKUP(B87,'AFC Data details'!$B:$B,1,0)</f>
        <v>AZ1-V28-T3C5-002</v>
      </c>
      <c r="H87" s="3">
        <f>_xlfn.XLOOKUP(B87,'AFC Data details'!B:B,'AFC Data details'!P:P)</f>
        <v>1.391</v>
      </c>
    </row>
    <row r="88" spans="1:8" x14ac:dyDescent="0.25">
      <c r="A88" s="154">
        <v>45939</v>
      </c>
      <c r="B88" s="3" t="s">
        <v>1287</v>
      </c>
      <c r="C88" s="3">
        <v>1</v>
      </c>
      <c r="D88" s="3" t="str">
        <f>VLOOKUP(B88,'Element wise-detail Summary'!$A:$D,2,0)</f>
        <v>V27</v>
      </c>
      <c r="E88" s="3" t="str">
        <f>IFERROR(VLOOKUP(B88,'Element wise-detail Summary'!$A:$D,3,0),0)</f>
        <v>Zone-1</v>
      </c>
      <c r="F88" s="143" t="str">
        <f>VLOOKUP(B88,'AFC Data details'!$B:$B,1,0)</f>
        <v>AZ1-V27-T1C6-005</v>
      </c>
      <c r="H88" s="3">
        <f>_xlfn.XLOOKUP(B88,'AFC Data details'!B:B,'AFC Data details'!P:P)</f>
        <v>2.0590000000000002</v>
      </c>
    </row>
    <row r="89" spans="1:8" x14ac:dyDescent="0.25">
      <c r="A89" s="154">
        <v>45939</v>
      </c>
      <c r="B89" s="3" t="s">
        <v>1364</v>
      </c>
      <c r="C89" s="3">
        <v>1</v>
      </c>
      <c r="D89" s="3" t="str">
        <f>VLOOKUP(B89,'Element wise-detail Summary'!$A:$D,2,0)</f>
        <v>V35</v>
      </c>
      <c r="E89" s="3" t="str">
        <f>IFERROR(VLOOKUP(B89,'Element wise-detail Summary'!$A:$D,3,0),0)</f>
        <v>Zone-2</v>
      </c>
      <c r="F89" s="143" t="str">
        <f>VLOOKUP(B89,'AFC Data details'!$B:$B,1,0)</f>
        <v>AZ2-V35-T1C14-003</v>
      </c>
      <c r="H89" s="3">
        <f>_xlfn.XLOOKUP(B89,'AFC Data details'!B:B,'AFC Data details'!P:P)</f>
        <v>2.298</v>
      </c>
    </row>
    <row r="90" spans="1:8" x14ac:dyDescent="0.25">
      <c r="A90" s="154">
        <v>45939</v>
      </c>
      <c r="B90" s="3" t="s">
        <v>1266</v>
      </c>
      <c r="C90" s="3">
        <v>1</v>
      </c>
      <c r="D90" s="3" t="str">
        <f>VLOOKUP(B90,'Element wise-detail Summary'!$A:$D,2,0)</f>
        <v>V33</v>
      </c>
      <c r="E90" s="3" t="str">
        <f>IFERROR(VLOOKUP(B90,'Element wise-detail Summary'!$A:$D,3,0),0)</f>
        <v>Zone-1</v>
      </c>
      <c r="F90" s="143" t="str">
        <f>VLOOKUP(B90,'AFC Data details'!$B:$B,1,0)</f>
        <v>AZ1-V33-T2C1-001</v>
      </c>
      <c r="H90" s="3">
        <f>_xlfn.XLOOKUP(B90,'AFC Data details'!B:B,'AFC Data details'!P:P)</f>
        <v>1.413</v>
      </c>
    </row>
    <row r="91" spans="1:8" x14ac:dyDescent="0.25">
      <c r="A91" s="154">
        <v>45939</v>
      </c>
      <c r="B91" s="3" t="s">
        <v>1423</v>
      </c>
      <c r="C91" s="3">
        <v>1</v>
      </c>
      <c r="D91" s="3" t="str">
        <f>VLOOKUP(B91,'Element wise-detail Summary'!$A:$D,2,0)</f>
        <v>V42</v>
      </c>
      <c r="E91" s="3" t="str">
        <f>IFERROR(VLOOKUP(B91,'Element wise-detail Summary'!$A:$D,3,0),0)</f>
        <v>Zone-2</v>
      </c>
      <c r="F91" s="143" t="str">
        <f>VLOOKUP(B91,'AFC Data details'!$B:$B,1,0)</f>
        <v>AZ2-V42-T1C1-001</v>
      </c>
      <c r="H91" s="3">
        <f>_xlfn.XLOOKUP(B91,'AFC Data details'!B:B,'AFC Data details'!P:P)</f>
        <v>0.998</v>
      </c>
    </row>
    <row r="92" spans="1:8" x14ac:dyDescent="0.25">
      <c r="A92" s="154">
        <v>45940</v>
      </c>
      <c r="B92" s="3" t="s">
        <v>1320</v>
      </c>
      <c r="C92" s="3">
        <v>1</v>
      </c>
      <c r="D92" s="3" t="str">
        <f>VLOOKUP(B92,'Element wise-detail Summary'!$A:$D,2,0)</f>
        <v>V28</v>
      </c>
      <c r="E92" s="3" t="str">
        <f>IFERROR(VLOOKUP(B92,'Element wise-detail Summary'!$A:$D,3,0),0)</f>
        <v>Zone-1</v>
      </c>
      <c r="F92" s="143" t="str">
        <f>VLOOKUP(B92,'AFC Data details'!$B:$B,1,0)</f>
        <v>AZ1-V28-T1C6-005</v>
      </c>
      <c r="H92" s="3">
        <f>_xlfn.XLOOKUP(B92,'AFC Data details'!B:B,'AFC Data details'!P:P)</f>
        <v>2.0470000000000002</v>
      </c>
    </row>
    <row r="93" spans="1:8" x14ac:dyDescent="0.25">
      <c r="A93" s="154">
        <v>45940</v>
      </c>
      <c r="B93" s="3" t="s">
        <v>1283</v>
      </c>
      <c r="C93" s="3">
        <v>1</v>
      </c>
      <c r="D93" s="3" t="str">
        <f>VLOOKUP(B93,'Element wise-detail Summary'!$A:$D,2,0)</f>
        <v>V25</v>
      </c>
      <c r="E93" s="3" t="str">
        <f>IFERROR(VLOOKUP(B93,'Element wise-detail Summary'!$A:$D,3,0),0)</f>
        <v>Zone-1</v>
      </c>
      <c r="F93" s="143" t="str">
        <f>VLOOKUP(B93,'AFC Data details'!$B:$B,1,0)</f>
        <v>AZ1-V25-T1C6-006</v>
      </c>
      <c r="H93" s="3">
        <f>_xlfn.XLOOKUP(B93,'AFC Data details'!B:B,'AFC Data details'!P:P)</f>
        <v>2.0150000000000001</v>
      </c>
    </row>
    <row r="94" spans="1:8" x14ac:dyDescent="0.25">
      <c r="A94" s="154">
        <v>45940</v>
      </c>
      <c r="B94" s="3" t="s">
        <v>1304</v>
      </c>
      <c r="C94" s="3">
        <v>1</v>
      </c>
      <c r="D94" s="3" t="str">
        <f>VLOOKUP(B94,'Element wise-detail Summary'!$A:$D,2,0)</f>
        <v>V29</v>
      </c>
      <c r="E94" s="3" t="str">
        <f>IFERROR(VLOOKUP(B94,'Element wise-detail Summary'!$A:$D,3,0),0)</f>
        <v>Zone-1</v>
      </c>
      <c r="F94" s="143" t="str">
        <f>VLOOKUP(B94,'AFC Data details'!$B:$B,1,0)</f>
        <v>AZ1-V29-T3C5-001</v>
      </c>
      <c r="H94" s="3">
        <f>_xlfn.XLOOKUP(B94,'AFC Data details'!B:B,'AFC Data details'!P:P)</f>
        <v>1.397</v>
      </c>
    </row>
    <row r="95" spans="1:8" x14ac:dyDescent="0.25">
      <c r="A95" s="154">
        <v>45940</v>
      </c>
      <c r="B95" s="3" t="s">
        <v>1305</v>
      </c>
      <c r="C95" s="3">
        <v>1</v>
      </c>
      <c r="D95" s="3" t="str">
        <f>VLOOKUP(B95,'Element wise-detail Summary'!$A:$D,2,0)</f>
        <v>V29</v>
      </c>
      <c r="E95" s="3" t="str">
        <f>IFERROR(VLOOKUP(B95,'Element wise-detail Summary'!$A:$D,3,0),0)</f>
        <v>Zone-1</v>
      </c>
      <c r="F95" s="143" t="str">
        <f>VLOOKUP(B95,'AFC Data details'!$B:$B,1,0)</f>
        <v>AZ1-V29-T3C5-002</v>
      </c>
      <c r="H95" s="3">
        <f>_xlfn.XLOOKUP(B95,'AFC Data details'!B:B,'AFC Data details'!P:P)</f>
        <v>1.57</v>
      </c>
    </row>
    <row r="96" spans="1:8" x14ac:dyDescent="0.25">
      <c r="A96" s="154">
        <v>45941</v>
      </c>
      <c r="B96" s="3" t="s">
        <v>1363</v>
      </c>
      <c r="C96" s="3">
        <v>1</v>
      </c>
      <c r="D96" s="3" t="str">
        <f>VLOOKUP(B96,'Element wise-detail Summary'!$A:$D,2,0)</f>
        <v>V35</v>
      </c>
      <c r="E96" s="3" t="str">
        <f>IFERROR(VLOOKUP(B96,'Element wise-detail Summary'!$A:$D,3,0),0)</f>
        <v>Zone-2</v>
      </c>
      <c r="F96" s="143" t="str">
        <f>VLOOKUP(B96,'AFC Data details'!$B:$B,1,0)</f>
        <v>AZ2-V35-T1C14-002</v>
      </c>
      <c r="H96" s="3">
        <f>_xlfn.XLOOKUP(B96,'AFC Data details'!B:B,'AFC Data details'!P:P)</f>
        <v>2.298</v>
      </c>
    </row>
    <row r="97" spans="1:8" x14ac:dyDescent="0.25">
      <c r="A97" s="154">
        <v>45941</v>
      </c>
      <c r="B97" s="3" t="s">
        <v>1366</v>
      </c>
      <c r="C97" s="3">
        <v>1</v>
      </c>
      <c r="D97" s="3" t="str">
        <f>VLOOKUP(B97,'Element wise-detail Summary'!$A:$D,2,0)</f>
        <v>V35</v>
      </c>
      <c r="E97" s="3" t="str">
        <f>IFERROR(VLOOKUP(B97,'Element wise-detail Summary'!$A:$D,3,0),0)</f>
        <v>Zone-2</v>
      </c>
      <c r="F97" s="143" t="str">
        <f>VLOOKUP(B97,'AFC Data details'!$B:$B,1,0)</f>
        <v>AZ2-V35-T2C1-001</v>
      </c>
      <c r="H97" s="3">
        <f>_xlfn.XLOOKUP(B97,'AFC Data details'!B:B,'AFC Data details'!P:P)</f>
        <v>1.413</v>
      </c>
    </row>
    <row r="98" spans="1:8" x14ac:dyDescent="0.25">
      <c r="A98" s="154">
        <v>45941</v>
      </c>
      <c r="B98" s="3" t="s">
        <v>1327</v>
      </c>
      <c r="C98" s="3">
        <v>1</v>
      </c>
      <c r="D98" s="3" t="str">
        <f>VLOOKUP(B98,'Element wise-detail Summary'!$A:$D,2,0)</f>
        <v>V30</v>
      </c>
      <c r="E98" s="3" t="str">
        <f>IFERROR(VLOOKUP(B98,'Element wise-detail Summary'!$A:$D,3,0),0)</f>
        <v>Zone-1</v>
      </c>
      <c r="F98" s="143" t="str">
        <f>VLOOKUP(B98,'AFC Data details'!$B:$B,1,0)</f>
        <v>AZ1-V30-T3C5-002</v>
      </c>
      <c r="H98" s="3">
        <f>_xlfn.XLOOKUP(B98,'AFC Data details'!B:B,'AFC Data details'!P:P)</f>
        <v>1.397</v>
      </c>
    </row>
    <row r="99" spans="1:8" x14ac:dyDescent="0.25">
      <c r="A99" s="154">
        <v>45941</v>
      </c>
      <c r="B99" s="3" t="s">
        <v>1326</v>
      </c>
      <c r="C99" s="3">
        <v>1</v>
      </c>
      <c r="D99" s="3" t="str">
        <f>VLOOKUP(B99,'Element wise-detail Summary'!$A:$D,2,0)</f>
        <v>V30</v>
      </c>
      <c r="E99" s="3" t="str">
        <f>IFERROR(VLOOKUP(B99,'Element wise-detail Summary'!$A:$D,3,0),0)</f>
        <v>Zone-1</v>
      </c>
      <c r="F99" s="143" t="str">
        <f>VLOOKUP(B99,'AFC Data details'!$B:$B,1,0)</f>
        <v>AZ1-V30-T3C5-001</v>
      </c>
      <c r="H99" s="3">
        <f>_xlfn.XLOOKUP(B99,'AFC Data details'!B:B,'AFC Data details'!P:P)</f>
        <v>1.57</v>
      </c>
    </row>
    <row r="100" spans="1:8" x14ac:dyDescent="0.25">
      <c r="A100" s="154">
        <v>45943</v>
      </c>
      <c r="B100" s="3" t="s">
        <v>1325</v>
      </c>
      <c r="C100" s="3">
        <v>1</v>
      </c>
      <c r="D100" s="3" t="str">
        <f>VLOOKUP(B100,'Element wise-detail Summary'!$A:$D,2,0)</f>
        <v>V28</v>
      </c>
      <c r="E100" s="3" t="str">
        <f>IFERROR(VLOOKUP(B100,'Element wise-detail Summary'!$A:$D,3,0),0)</f>
        <v>Zone-1</v>
      </c>
      <c r="F100" s="143" t="str">
        <f>VLOOKUP(B100,'AFC Data details'!$B:$B,1,0)</f>
        <v>AZ1-V28-T1C6-006</v>
      </c>
      <c r="H100" s="3">
        <f>_xlfn.XLOOKUP(B100,'AFC Data details'!B:B,'AFC Data details'!P:P)</f>
        <v>2.0470000000000002</v>
      </c>
    </row>
    <row r="101" spans="1:8" x14ac:dyDescent="0.25">
      <c r="A101" s="154">
        <v>45943</v>
      </c>
      <c r="B101" s="3" t="s">
        <v>1286</v>
      </c>
      <c r="C101" s="3">
        <v>1</v>
      </c>
      <c r="D101" s="3" t="str">
        <f>VLOOKUP(B101,'Element wise-detail Summary'!$A:$D,2,0)</f>
        <v>V26</v>
      </c>
      <c r="E101" s="3" t="str">
        <f>IFERROR(VLOOKUP(B101,'Element wise-detail Summary'!$A:$D,3,0),0)</f>
        <v>Zone-1</v>
      </c>
      <c r="F101" s="143" t="str">
        <f>VLOOKUP(B101,'AFC Data details'!$B:$B,1,0)</f>
        <v>AZ1-V26-T1C6-005</v>
      </c>
      <c r="H101" s="3">
        <f>_xlfn.XLOOKUP(B101,'AFC Data details'!B:B,'AFC Data details'!P:P)</f>
        <v>2.0590000000000002</v>
      </c>
    </row>
    <row r="102" spans="1:8" x14ac:dyDescent="0.25">
      <c r="A102" s="154">
        <v>45944</v>
      </c>
      <c r="B102" s="3" t="s">
        <v>1361</v>
      </c>
      <c r="C102" s="3">
        <v>1</v>
      </c>
      <c r="D102" s="3" t="str">
        <f>VLOOKUP(B102,'Element wise-detail Summary'!$A:$D,2,0)</f>
        <v>V35</v>
      </c>
      <c r="E102" s="3" t="str">
        <f>IFERROR(VLOOKUP(B102,'Element wise-detail Summary'!$A:$D,3,0),0)</f>
        <v>Zone-2</v>
      </c>
      <c r="F102" s="143" t="str">
        <f>VLOOKUP(B102,'AFC Data details'!$B:$B,1,0)</f>
        <v>AZ2-V35-T1C14-001</v>
      </c>
      <c r="H102" s="3">
        <f>_xlfn.XLOOKUP(B102,'AFC Data details'!B:B,'AFC Data details'!P:P)</f>
        <v>2.2109999999999999</v>
      </c>
    </row>
    <row r="103" spans="1:8" x14ac:dyDescent="0.25">
      <c r="A103" s="154">
        <v>45944</v>
      </c>
      <c r="B103" s="3" t="s">
        <v>1332</v>
      </c>
      <c r="C103" s="3">
        <v>1</v>
      </c>
      <c r="D103" s="3" t="str">
        <f>VLOOKUP(B103,'Element wise-detail Summary'!$A:$D,2,0)</f>
        <v>V31</v>
      </c>
      <c r="E103" s="3" t="str">
        <f>IFERROR(VLOOKUP(B103,'Element wise-detail Summary'!$A:$D,3,0),0)</f>
        <v>Zone-1</v>
      </c>
      <c r="F103" s="143" t="str">
        <f>VLOOKUP(B103,'AFC Data details'!$B:$B,1,0)</f>
        <v>AZ1-V31-T3C5-001</v>
      </c>
      <c r="H103" s="3">
        <f>_xlfn.XLOOKUP(B103,'AFC Data details'!B:B,'AFC Data details'!P:P)</f>
        <v>1.371</v>
      </c>
    </row>
    <row r="104" spans="1:8" x14ac:dyDescent="0.25">
      <c r="A104" s="154">
        <v>45945</v>
      </c>
      <c r="B104" s="3" t="s">
        <v>1317</v>
      </c>
      <c r="C104" s="3">
        <v>1</v>
      </c>
      <c r="D104" s="3" t="str">
        <f>VLOOKUP(B104,'Element wise-detail Summary'!$A:$D,2,0)</f>
        <v>V31</v>
      </c>
      <c r="E104" s="3" t="str">
        <f>IFERROR(VLOOKUP(B104,'Element wise-detail Summary'!$A:$D,3,0),0)</f>
        <v>Zone-1</v>
      </c>
      <c r="F104" s="143" t="str">
        <f>VLOOKUP(B104,'AFC Data details'!$B:$B,1,0)</f>
        <v>AZ1-V31-T1C6-005</v>
      </c>
      <c r="H104" s="3">
        <f>_xlfn.XLOOKUP(B104,'AFC Data details'!B:B,'AFC Data details'!P:P)</f>
        <v>2.0470000000000002</v>
      </c>
    </row>
    <row r="105" spans="1:8" x14ac:dyDescent="0.25">
      <c r="A105" s="154">
        <v>45945</v>
      </c>
      <c r="B105" s="3" t="s">
        <v>1290</v>
      </c>
      <c r="C105" s="3">
        <v>1</v>
      </c>
      <c r="D105" s="3" t="str">
        <f>VLOOKUP(B105,'Element wise-detail Summary'!$A:$D,2,0)</f>
        <v>V26</v>
      </c>
      <c r="E105" s="3" t="str">
        <f>IFERROR(VLOOKUP(B105,'Element wise-detail Summary'!$A:$D,3,0),0)</f>
        <v>Zone-1</v>
      </c>
      <c r="F105" s="143" t="str">
        <f>VLOOKUP(B105,'AFC Data details'!$B:$B,1,0)</f>
        <v>AZ1-V26-T1C6-006</v>
      </c>
      <c r="H105" s="3">
        <f>_xlfn.XLOOKUP(B105,'AFC Data details'!B:B,'AFC Data details'!P:P)</f>
        <v>2.0590000000000002</v>
      </c>
    </row>
    <row r="106" spans="1:8" x14ac:dyDescent="0.25">
      <c r="A106" s="154">
        <v>45945</v>
      </c>
      <c r="B106" s="3" t="s">
        <v>1384</v>
      </c>
      <c r="C106" s="3">
        <v>1</v>
      </c>
      <c r="D106" s="3" t="str">
        <f>VLOOKUP(B106,'Element wise-detail Summary'!$A:$D,2,0)</f>
        <v>V37</v>
      </c>
      <c r="E106" s="3" t="str">
        <f>IFERROR(VLOOKUP(B106,'Element wise-detail Summary'!$A:$D,3,0),0)</f>
        <v>Zone-2</v>
      </c>
      <c r="F106" s="143" t="str">
        <f>VLOOKUP(B106,'AFC Data details'!$B:$B,1,0)</f>
        <v>AZ2-V37-T2C1-001</v>
      </c>
      <c r="H106" s="3">
        <f>_xlfn.XLOOKUP(B106,'AFC Data details'!B:B,'AFC Data details'!P:P)</f>
        <v>1.413</v>
      </c>
    </row>
    <row r="107" spans="1:8" x14ac:dyDescent="0.25">
      <c r="A107" s="154">
        <v>45946</v>
      </c>
      <c r="B107" s="3" t="s">
        <v>1343</v>
      </c>
      <c r="C107" s="3">
        <v>1</v>
      </c>
      <c r="D107" s="3" t="str">
        <f>VLOOKUP(B107,'Element wise-detail Summary'!$A:$D,2,0)</f>
        <v>V32</v>
      </c>
      <c r="E107" s="3" t="str">
        <f>IFERROR(VLOOKUP(B107,'Element wise-detail Summary'!$A:$D,3,0),0)</f>
        <v>Zone-1</v>
      </c>
      <c r="F107" s="143" t="str">
        <f>VLOOKUP(B107,'AFC Data details'!$B:$B,1,0)</f>
        <v>AZ1-V32-T1C6-006</v>
      </c>
      <c r="H107" s="3">
        <f>_xlfn.XLOOKUP(B107,'AFC Data details'!B:B,'AFC Data details'!P:P)</f>
        <v>2.125</v>
      </c>
    </row>
    <row r="108" spans="1:8" x14ac:dyDescent="0.25">
      <c r="A108" s="154">
        <v>45947</v>
      </c>
      <c r="B108" s="3" t="s">
        <v>1330</v>
      </c>
      <c r="C108" s="3">
        <v>1</v>
      </c>
      <c r="D108" s="3" t="str">
        <f>VLOOKUP(B108,'Element wise-detail Summary'!$A:$D,2,0)</f>
        <v>V31</v>
      </c>
      <c r="E108" s="3" t="str">
        <f>IFERROR(VLOOKUP(B108,'Element wise-detail Summary'!$A:$D,3,0),0)</f>
        <v>Zone-1</v>
      </c>
      <c r="F108" s="143" t="str">
        <f>VLOOKUP(B108,'AFC Data details'!$B:$B,1,0)</f>
        <v>AZ1-V31-T1C6-006</v>
      </c>
      <c r="H108" s="3">
        <f>_xlfn.XLOOKUP(B108,'AFC Data details'!B:B,'AFC Data details'!P:P)</f>
        <v>2.0470000000000002</v>
      </c>
    </row>
    <row r="109" spans="1:8" x14ac:dyDescent="0.25">
      <c r="A109" s="154">
        <v>45947</v>
      </c>
      <c r="B109" s="3" t="s">
        <v>1424</v>
      </c>
      <c r="C109" s="3">
        <v>1</v>
      </c>
      <c r="D109" s="3" t="str">
        <f>VLOOKUP(B109,'Element wise-detail Summary'!$A:$D,2,0)</f>
        <v>V42</v>
      </c>
      <c r="E109" s="3" t="str">
        <f>IFERROR(VLOOKUP(B109,'Element wise-detail Summary'!$A:$D,3,0),0)</f>
        <v>Zone-2</v>
      </c>
      <c r="F109" s="143" t="str">
        <f>VLOOKUP(B109,'AFC Data details'!$B:$B,1,0)</f>
        <v>AZ2-V42-T1C10-001</v>
      </c>
      <c r="H109" s="3">
        <f>_xlfn.XLOOKUP(B109,'AFC Data details'!B:B,'AFC Data details'!P:P)</f>
        <v>1.25</v>
      </c>
    </row>
    <row r="110" spans="1:8" x14ac:dyDescent="0.25">
      <c r="A110" s="154">
        <v>45947</v>
      </c>
      <c r="B110" s="3" t="s">
        <v>1402</v>
      </c>
      <c r="C110" s="3">
        <v>1</v>
      </c>
      <c r="D110" s="3" t="str">
        <f>VLOOKUP(B110,'Element wise-detail Summary'!$A:$D,2,0)</f>
        <v>V39</v>
      </c>
      <c r="E110" s="3" t="str">
        <f>IFERROR(VLOOKUP(B110,'Element wise-detail Summary'!$A:$D,3,0),0)</f>
        <v>Zone-2</v>
      </c>
      <c r="F110" s="143" t="str">
        <f>VLOOKUP(B110,'AFC Data details'!$B:$B,1,0)</f>
        <v>AZ2-V39-T2C1-001</v>
      </c>
      <c r="H110" s="3">
        <f>_xlfn.XLOOKUP(B110,'AFC Data details'!B:B,'AFC Data details'!P:P)</f>
        <v>1.413</v>
      </c>
    </row>
    <row r="111" spans="1:8" x14ac:dyDescent="0.25">
      <c r="A111" s="154">
        <v>45947</v>
      </c>
      <c r="B111" s="3" t="s">
        <v>1346</v>
      </c>
      <c r="C111" s="3">
        <v>1</v>
      </c>
      <c r="D111" s="3" t="str">
        <f>VLOOKUP(B111,'Element wise-detail Summary'!$A:$D,2,0)</f>
        <v>V32</v>
      </c>
      <c r="E111" s="3" t="str">
        <f>IFERROR(VLOOKUP(B111,'Element wise-detail Summary'!$A:$D,3,0),0)</f>
        <v>Zone-1</v>
      </c>
      <c r="F111" s="143" t="str">
        <f>VLOOKUP(B111,'AFC Data details'!$B:$B,1,0)</f>
        <v>AZ1-V32-T3C5-002</v>
      </c>
      <c r="H111" s="3">
        <f>_xlfn.XLOOKUP(B111,'AFC Data details'!B:B,'AFC Data details'!P:P)</f>
        <v>1.33</v>
      </c>
    </row>
    <row r="112" spans="1:8" x14ac:dyDescent="0.25">
      <c r="A112" s="154">
        <v>45948</v>
      </c>
      <c r="B112" s="3" t="s">
        <v>1335</v>
      </c>
      <c r="C112" s="3">
        <v>1</v>
      </c>
      <c r="D112" s="3" t="str">
        <f>VLOOKUP(B112,'Element wise-detail Summary'!$A:$D,2,0)</f>
        <v>V32</v>
      </c>
      <c r="E112" s="3" t="str">
        <f>IFERROR(VLOOKUP(B112,'Element wise-detail Summary'!$A:$D,3,0),0)</f>
        <v>Zone-1</v>
      </c>
      <c r="F112" s="143" t="str">
        <f>VLOOKUP(B112,'AFC Data details'!$B:$B,1,0)</f>
        <v>AZ1-V32-T1C6-005</v>
      </c>
      <c r="H112" s="3">
        <f>_xlfn.XLOOKUP(B112,'AFC Data details'!B:B,'AFC Data details'!P:P)</f>
        <v>2.125</v>
      </c>
    </row>
    <row r="113" spans="1:8" x14ac:dyDescent="0.25">
      <c r="A113" s="154">
        <v>45948</v>
      </c>
      <c r="B113" s="3" t="s">
        <v>1333</v>
      </c>
      <c r="C113" s="3">
        <v>1</v>
      </c>
      <c r="D113" s="3" t="str">
        <f>VLOOKUP(B113,'Element wise-detail Summary'!$A:$D,2,0)</f>
        <v>V31</v>
      </c>
      <c r="E113" s="3" t="str">
        <f>IFERROR(VLOOKUP(B113,'Element wise-detail Summary'!$A:$D,3,0),0)</f>
        <v>Zone-1</v>
      </c>
      <c r="F113" s="143" t="str">
        <f>VLOOKUP(B113,'AFC Data details'!$B:$B,1,0)</f>
        <v>AZ1-V31-T3C5-002</v>
      </c>
      <c r="H113" s="3">
        <f>_xlfn.XLOOKUP(B113,'AFC Data details'!B:B,'AFC Data details'!P:P)</f>
        <v>1.544</v>
      </c>
    </row>
    <row r="114" spans="1:8" x14ac:dyDescent="0.25">
      <c r="A114" s="154">
        <v>45950</v>
      </c>
      <c r="B114" s="3" t="s">
        <v>1420</v>
      </c>
      <c r="C114" s="3">
        <v>1</v>
      </c>
      <c r="D114" s="3" t="str">
        <f>VLOOKUP(B114,'Element wise-detail Summary'!$A:$D,2,0)</f>
        <v>V41</v>
      </c>
      <c r="E114" s="3" t="str">
        <f>IFERROR(VLOOKUP(B114,'Element wise-detail Summary'!$A:$D,3,0),0)</f>
        <v>Zone-2</v>
      </c>
      <c r="F114" s="143" t="str">
        <f>VLOOKUP(B114,'AFC Data details'!$B:$B,1,0)</f>
        <v>AZ2-V41-T2C1-001</v>
      </c>
      <c r="H114" s="3">
        <f>_xlfn.XLOOKUP(B114,'AFC Data details'!B:B,'AFC Data details'!P:P)</f>
        <v>1.413</v>
      </c>
    </row>
    <row r="115" spans="1:8" x14ac:dyDescent="0.25">
      <c r="A115" s="154">
        <v>45951</v>
      </c>
      <c r="B115" s="3" t="s">
        <v>1321</v>
      </c>
      <c r="C115" s="3">
        <v>1</v>
      </c>
      <c r="D115" s="3" t="str">
        <f>VLOOKUP(B115,'Element wise-detail Summary'!$A:$D,2,0)</f>
        <v>V29</v>
      </c>
      <c r="E115" s="3" t="str">
        <f>IFERROR(VLOOKUP(B115,'Element wise-detail Summary'!$A:$D,3,0),0)</f>
        <v>Zone-1</v>
      </c>
      <c r="F115" s="143" t="str">
        <f>VLOOKUP(B115,'AFC Data details'!$B:$B,1,0)</f>
        <v>AZ1-V29-T1C6-005</v>
      </c>
      <c r="H115" s="3">
        <f>_xlfn.XLOOKUP(B115,'AFC Data details'!B:B,'AFC Data details'!P:P)</f>
        <v>2.0470000000000002</v>
      </c>
    </row>
    <row r="116" spans="1:8" x14ac:dyDescent="0.25">
      <c r="A116" s="154">
        <v>45951</v>
      </c>
      <c r="B116" s="3" t="s">
        <v>1430</v>
      </c>
      <c r="C116" s="3">
        <v>1</v>
      </c>
      <c r="D116" s="3" t="str">
        <f>VLOOKUP(B116,'Element wise-detail Summary'!$A:$D,2,0)</f>
        <v>V42</v>
      </c>
      <c r="E116" s="3" t="str">
        <f>IFERROR(VLOOKUP(B116,'Element wise-detail Summary'!$A:$D,3,0),0)</f>
        <v>Zone-2</v>
      </c>
      <c r="F116" s="143" t="str">
        <f>VLOOKUP(B116,'AFC Data details'!$B:$B,1,0)</f>
        <v>AZ2-V42-T3C1-001</v>
      </c>
      <c r="H116" s="3">
        <f>_xlfn.XLOOKUP(B116,'AFC Data details'!B:B,'AFC Data details'!P:P)</f>
        <v>0.92</v>
      </c>
    </row>
    <row r="117" spans="1:8" x14ac:dyDescent="0.25">
      <c r="A117" s="154">
        <v>45951</v>
      </c>
      <c r="B117" s="3" t="s">
        <v>1347</v>
      </c>
      <c r="C117" s="3">
        <v>1</v>
      </c>
      <c r="D117" s="3" t="str">
        <f>VLOOKUP(B117,'Element wise-detail Summary'!$A:$D,2,0)</f>
        <v>V33</v>
      </c>
      <c r="E117" s="3" t="str">
        <f>IFERROR(VLOOKUP(B117,'Element wise-detail Summary'!$A:$D,3,0),0)</f>
        <v>Zone-1</v>
      </c>
      <c r="F117" s="143" t="str">
        <f>VLOOKUP(B117,'AFC Data details'!$B:$B,1,0)</f>
        <v>AZ1-V33-T1C6-006</v>
      </c>
      <c r="H117" s="3">
        <f>_xlfn.XLOOKUP(B117,'AFC Data details'!B:B,'AFC Data details'!P:P)</f>
        <v>2.125</v>
      </c>
    </row>
    <row r="118" spans="1:8" x14ac:dyDescent="0.25">
      <c r="A118" s="154">
        <v>45951</v>
      </c>
      <c r="B118" s="3" t="s">
        <v>1425</v>
      </c>
      <c r="C118" s="3">
        <v>1</v>
      </c>
      <c r="D118" s="3" t="str">
        <f>VLOOKUP(B118,'Element wise-detail Summary'!$A:$D,2,0)</f>
        <v>V42</v>
      </c>
      <c r="E118" s="3" t="str">
        <f>IFERROR(VLOOKUP(B118,'Element wise-detail Summary'!$A:$D,3,0),0)</f>
        <v>Zone-2</v>
      </c>
      <c r="F118" s="143" t="str">
        <f>VLOOKUP(B118,'AFC Data details'!$B:$B,1,0)</f>
        <v>AZ2-V42-T1C13-001</v>
      </c>
      <c r="H118" s="3">
        <f>_xlfn.XLOOKUP(B118,'AFC Data details'!B:B,'AFC Data details'!P:P)</f>
        <v>2.048</v>
      </c>
    </row>
    <row r="119" spans="1:8" x14ac:dyDescent="0.25">
      <c r="A119" s="154">
        <v>45952</v>
      </c>
      <c r="B119" s="3" t="s">
        <v>1331</v>
      </c>
      <c r="C119" s="3">
        <v>1</v>
      </c>
      <c r="D119" s="3" t="str">
        <f>VLOOKUP(B119,'Element wise-detail Summary'!$A:$D,2,0)</f>
        <v>V29</v>
      </c>
      <c r="E119" s="3" t="str">
        <f>IFERROR(VLOOKUP(B119,'Element wise-detail Summary'!$A:$D,3,0),0)</f>
        <v>Zone-1</v>
      </c>
      <c r="F119" s="143" t="str">
        <f>VLOOKUP(B119,'AFC Data details'!$B:$B,1,0)</f>
        <v>AZ1-V29-T1C6-006</v>
      </c>
      <c r="H119" s="3">
        <f>_xlfn.XLOOKUP(B119,'AFC Data details'!B:B,'AFC Data details'!P:P)</f>
        <v>2.0470000000000002</v>
      </c>
    </row>
    <row r="120" spans="1:8" x14ac:dyDescent="0.25">
      <c r="A120" s="154">
        <v>45952</v>
      </c>
      <c r="B120" s="3" t="s">
        <v>1336</v>
      </c>
      <c r="C120" s="3">
        <v>1</v>
      </c>
      <c r="D120" s="3" t="str">
        <f>VLOOKUP(B120,'Element wise-detail Summary'!$A:$D,2,0)</f>
        <v>V33</v>
      </c>
      <c r="E120" s="3" t="str">
        <f>IFERROR(VLOOKUP(B120,'Element wise-detail Summary'!$A:$D,3,0),0)</f>
        <v>Zone-1</v>
      </c>
      <c r="F120" s="143" t="str">
        <f>VLOOKUP(B120,'AFC Data details'!$B:$B,1,0)</f>
        <v>AZ1-V33-T1C6-005</v>
      </c>
      <c r="H120" s="3">
        <f>_xlfn.XLOOKUP(B120,'AFC Data details'!B:B,'AFC Data details'!P:P)</f>
        <v>2.125</v>
      </c>
    </row>
    <row r="121" spans="1:8" x14ac:dyDescent="0.25">
      <c r="A121" s="154">
        <v>45952</v>
      </c>
      <c r="B121" s="3" t="s">
        <v>1446</v>
      </c>
      <c r="C121" s="3">
        <v>1</v>
      </c>
      <c r="D121" s="3" t="str">
        <f>VLOOKUP(B121,'Element wise-detail Summary'!$A:$D,2,0)</f>
        <v>V43</v>
      </c>
      <c r="E121" s="3" t="str">
        <f>IFERROR(VLOOKUP(B121,'Element wise-detail Summary'!$A:$D,3,0),0)</f>
        <v>Zone-3</v>
      </c>
      <c r="F121" s="143" t="str">
        <f>VLOOKUP(B121,'AFC Data details'!$B:$B,1,0)</f>
        <v>AZ3-V43-T2C1-001</v>
      </c>
      <c r="H121" s="3">
        <f>_xlfn.XLOOKUP(B121,'AFC Data details'!B:B,'AFC Data details'!P:P)</f>
        <v>1.413</v>
      </c>
    </row>
    <row r="122" spans="1:8" x14ac:dyDescent="0.25">
      <c r="A122" s="154">
        <v>45953</v>
      </c>
      <c r="B122" s="3" t="s">
        <v>1324</v>
      </c>
      <c r="C122" s="3">
        <v>1</v>
      </c>
      <c r="D122" s="3" t="str">
        <f>VLOOKUP(B122,'Element wise-detail Summary'!$A:$D,2,0)</f>
        <v>V30</v>
      </c>
      <c r="E122" s="3" t="str">
        <f>IFERROR(VLOOKUP(B122,'Element wise-detail Summary'!$A:$D,3,0),0)</f>
        <v>Zone-1</v>
      </c>
      <c r="F122" s="143" t="str">
        <f>VLOOKUP(B122,'AFC Data details'!$B:$B,1,0)</f>
        <v>AZ1-V30-T1C6-006</v>
      </c>
      <c r="H122" s="3">
        <f>_xlfn.XLOOKUP(B122,'AFC Data details'!B:B,'AFC Data details'!P:P)</f>
        <v>2.0470000000000002</v>
      </c>
    </row>
    <row r="123" spans="1:8" x14ac:dyDescent="0.25">
      <c r="A123" s="154">
        <v>45953</v>
      </c>
      <c r="B123" s="3" t="s">
        <v>1431</v>
      </c>
      <c r="C123" s="3">
        <v>1</v>
      </c>
      <c r="D123" s="3" t="str">
        <f>VLOOKUP(B123,'Element wise-detail Summary'!$A:$D,2,0)</f>
        <v>V42</v>
      </c>
      <c r="E123" s="3" t="str">
        <f>IFERROR(VLOOKUP(B123,'Element wise-detail Summary'!$A:$D,3,0),0)</f>
        <v>Zone-2</v>
      </c>
      <c r="F123" s="143" t="str">
        <f>VLOOKUP(B123,'AFC Data details'!$B:$B,1,0)</f>
        <v>AZ2-V42-T3C1-002</v>
      </c>
      <c r="H123" s="3">
        <f>_xlfn.XLOOKUP(B123,'AFC Data details'!B:B,'AFC Data details'!P:P)</f>
        <v>0.92</v>
      </c>
    </row>
    <row r="124" spans="1:8" x14ac:dyDescent="0.25">
      <c r="A124" s="154">
        <v>45953</v>
      </c>
      <c r="B124" s="3" t="s">
        <v>1345</v>
      </c>
      <c r="C124" s="3">
        <v>1</v>
      </c>
      <c r="D124" s="3" t="str">
        <f>VLOOKUP(B124,'Element wise-detail Summary'!$A:$D,2,0)</f>
        <v>V32</v>
      </c>
      <c r="E124" s="3" t="str">
        <f>IFERROR(VLOOKUP(B124,'Element wise-detail Summary'!$A:$D,3,0),0)</f>
        <v>Zone-1</v>
      </c>
      <c r="F124" s="143" t="str">
        <f>VLOOKUP(B124,'AFC Data details'!$B:$B,1,0)</f>
        <v>AZ1-V32-T3C5-001</v>
      </c>
      <c r="H124" s="3">
        <f>_xlfn.XLOOKUP(B124,'AFC Data details'!B:B,'AFC Data details'!P:P)</f>
        <v>1.5249999999999999</v>
      </c>
    </row>
    <row r="125" spans="1:8" x14ac:dyDescent="0.25">
      <c r="A125" s="154">
        <v>45954</v>
      </c>
      <c r="B125" s="3" t="s">
        <v>1316</v>
      </c>
      <c r="C125" s="3">
        <v>1</v>
      </c>
      <c r="D125" s="3" t="str">
        <f>VLOOKUP(B125,'Element wise-detail Summary'!$A:$D,2,0)</f>
        <v>V30</v>
      </c>
      <c r="E125" s="3" t="str">
        <f>IFERROR(VLOOKUP(B125,'Element wise-detail Summary'!$A:$D,3,0),0)</f>
        <v>Zone-1</v>
      </c>
      <c r="F125" s="143" t="str">
        <f>VLOOKUP(B125,'AFC Data details'!$B:$B,1,0)</f>
        <v>AZ1-V30-T1C6-005</v>
      </c>
      <c r="H125" s="3">
        <f>_xlfn.XLOOKUP(B125,'AFC Data details'!B:B,'AFC Data details'!P:P)</f>
        <v>2.0470000000000002</v>
      </c>
    </row>
    <row r="126" spans="1:8" x14ac:dyDescent="0.25">
      <c r="A126" s="154">
        <v>45954</v>
      </c>
      <c r="B126" s="3" t="s">
        <v>1375</v>
      </c>
      <c r="C126" s="3">
        <v>1</v>
      </c>
      <c r="D126" s="3" t="str">
        <f>VLOOKUP(B126,'Element wise-detail Summary'!$A:$D,2,0)</f>
        <v>V36</v>
      </c>
      <c r="E126" s="3" t="str">
        <f>IFERROR(VLOOKUP(B126,'Element wise-detail Summary'!$A:$D,3,0),0)</f>
        <v>Zone-2</v>
      </c>
      <c r="F126" s="143" t="str">
        <f>VLOOKUP(B126,'AFC Data details'!$B:$B,1,0)</f>
        <v>AZ2-V36-T1C6-005</v>
      </c>
      <c r="H126" s="3">
        <f>_xlfn.XLOOKUP(B126,'AFC Data details'!B:B,'AFC Data details'!P:P)</f>
        <v>2.129</v>
      </c>
    </row>
    <row r="127" spans="1:8" x14ac:dyDescent="0.25">
      <c r="A127" s="154">
        <v>45955</v>
      </c>
      <c r="B127" s="3" t="s">
        <v>1393</v>
      </c>
      <c r="C127" s="3">
        <v>1</v>
      </c>
      <c r="D127" s="3" t="str">
        <f>VLOOKUP(B127,'Element wise-detail Summary'!$A:$D,2,0)</f>
        <v>V38</v>
      </c>
      <c r="E127" s="3" t="str">
        <f>IFERROR(VLOOKUP(B127,'Element wise-detail Summary'!$A:$D,3,0),0)</f>
        <v>Zone-2</v>
      </c>
      <c r="F127" s="143" t="str">
        <f>VLOOKUP(B127,'AFC Data details'!$B:$B,1,0)</f>
        <v>AZ2-V38-T1C6-005</v>
      </c>
      <c r="H127" s="3">
        <f>_xlfn.XLOOKUP(B127,'AFC Data details'!B:B,'AFC Data details'!P:P)</f>
        <v>2.12</v>
      </c>
    </row>
    <row r="128" spans="1:8" x14ac:dyDescent="0.25">
      <c r="A128" s="154">
        <v>45957</v>
      </c>
      <c r="B128" s="3" t="s">
        <v>1397</v>
      </c>
      <c r="C128" s="3">
        <v>1</v>
      </c>
      <c r="D128" s="3" t="str">
        <f>VLOOKUP(B128,'Element wise-detail Summary'!$A:$D,2,0)</f>
        <v>V39</v>
      </c>
      <c r="E128" s="3" t="str">
        <f>IFERROR(VLOOKUP(B128,'Element wise-detail Summary'!$A:$D,3,0),0)</f>
        <v>Zone-2</v>
      </c>
      <c r="F128" s="143" t="str">
        <f>VLOOKUP(B128,'AFC Data details'!$B:$B,1,0)</f>
        <v>AZ2-V39-T1C6-005</v>
      </c>
      <c r="H128" s="3">
        <f>_xlfn.XLOOKUP(B128,'AFC Data details'!B:B,'AFC Data details'!P:P)</f>
        <v>2.12</v>
      </c>
    </row>
    <row r="129" spans="1:8" x14ac:dyDescent="0.25">
      <c r="A129" s="154">
        <v>45957</v>
      </c>
      <c r="B129" s="3" t="s">
        <v>1380</v>
      </c>
      <c r="C129" s="3">
        <v>1</v>
      </c>
      <c r="D129" s="3" t="str">
        <f>VLOOKUP(B129,'Element wise-detail Summary'!$A:$D,2,0)</f>
        <v>V36</v>
      </c>
      <c r="E129" s="3" t="str">
        <f>IFERROR(VLOOKUP(B129,'Element wise-detail Summary'!$A:$D,3,0),0)</f>
        <v>Zone-2</v>
      </c>
      <c r="F129" s="143" t="str">
        <f>VLOOKUP(B129,'AFC Data details'!$B:$B,1,0)</f>
        <v>AZ2-V36-T1C6-006</v>
      </c>
      <c r="H129" s="3">
        <f>_xlfn.XLOOKUP(B129,'AFC Data details'!B:B,'AFC Data details'!P:P)</f>
        <v>2.129</v>
      </c>
    </row>
    <row r="130" spans="1:8" x14ac:dyDescent="0.25">
      <c r="A130" s="154">
        <v>45957</v>
      </c>
      <c r="B130" s="3" t="s">
        <v>1497</v>
      </c>
      <c r="C130" s="3">
        <v>1</v>
      </c>
      <c r="D130" s="3" t="str">
        <f>VLOOKUP(B130,'Element wise-detail Summary'!$A:$D,2,0)</f>
        <v>V49</v>
      </c>
      <c r="E130" s="3" t="str">
        <f>IFERROR(VLOOKUP(B130,'Element wise-detail Summary'!$A:$D,3,0),0)</f>
        <v>Zone-3</v>
      </c>
      <c r="F130" s="143" t="str">
        <f>VLOOKUP(B130,'AFC Data details'!$B:$B,1,0)</f>
        <v>AZ3-V49-T2C1-001</v>
      </c>
      <c r="H130" s="3">
        <f>_xlfn.XLOOKUP(B130,'AFC Data details'!B:B,'AFC Data details'!P:P)</f>
        <v>1.413</v>
      </c>
    </row>
    <row r="131" spans="1:8" x14ac:dyDescent="0.25">
      <c r="A131" s="154">
        <v>45957</v>
      </c>
      <c r="B131" s="3" t="s">
        <v>1350</v>
      </c>
      <c r="C131" s="3">
        <v>1</v>
      </c>
      <c r="D131" s="3" t="str">
        <f>VLOOKUP(B131,'Element wise-detail Summary'!$A:$D,2,0)</f>
        <v>V33</v>
      </c>
      <c r="E131" s="3" t="str">
        <f>IFERROR(VLOOKUP(B131,'Element wise-detail Summary'!$A:$D,3,0),0)</f>
        <v>Zone-1</v>
      </c>
      <c r="F131" s="143" t="str">
        <f>VLOOKUP(B131,'AFC Data details'!$B:$B,1,0)</f>
        <v>AZ1-V33-T3C5-002</v>
      </c>
      <c r="H131" s="3">
        <f>_xlfn.XLOOKUP(B131,'AFC Data details'!B:B,'AFC Data details'!P:P)</f>
        <v>1.55</v>
      </c>
    </row>
    <row r="132" spans="1:8" x14ac:dyDescent="0.25">
      <c r="A132" s="154">
        <v>45958</v>
      </c>
      <c r="B132" s="3" t="s">
        <v>1389</v>
      </c>
      <c r="C132" s="3">
        <v>1</v>
      </c>
      <c r="D132" s="3" t="str">
        <f>VLOOKUP(B132,'Element wise-detail Summary'!$A:$D,2,0)</f>
        <v>V39</v>
      </c>
      <c r="E132" s="3" t="str">
        <f>IFERROR(VLOOKUP(B132,'Element wise-detail Summary'!$A:$D,3,0),0)</f>
        <v>Zone-2</v>
      </c>
      <c r="F132" s="143" t="str">
        <f>VLOOKUP(B132,'AFC Data details'!$B:$B,1,0)</f>
        <v>AZ2-V39-T1C6-006</v>
      </c>
      <c r="H132" s="3">
        <f>_xlfn.XLOOKUP(B132,'AFC Data details'!B:B,'AFC Data details'!P:P)</f>
        <v>2.1219999999999999</v>
      </c>
    </row>
    <row r="133" spans="1:8" x14ac:dyDescent="0.25">
      <c r="A133" s="154">
        <v>45958</v>
      </c>
      <c r="B133" s="3" t="s">
        <v>1432</v>
      </c>
      <c r="C133" s="3">
        <v>1</v>
      </c>
      <c r="D133" s="3" t="str">
        <f>VLOOKUP(B133,'Element wise-detail Summary'!$A:$D,2,0)</f>
        <v>V42</v>
      </c>
      <c r="E133" s="3" t="str">
        <f>IFERROR(VLOOKUP(B133,'Element wise-detail Summary'!$A:$D,3,0),0)</f>
        <v>Zone-2</v>
      </c>
      <c r="F133" s="143" t="str">
        <f>VLOOKUP(B133,'AFC Data details'!$B:$B,1,0)</f>
        <v>AZ2-V42-T3C1-003</v>
      </c>
      <c r="H133" s="3">
        <f>_xlfn.XLOOKUP(B133,'AFC Data details'!B:B,'AFC Data details'!P:P)</f>
        <v>1.093</v>
      </c>
    </row>
    <row r="134" spans="1:8" x14ac:dyDescent="0.25">
      <c r="A134" s="154">
        <v>45958</v>
      </c>
      <c r="B134" s="3" t="s">
        <v>1371</v>
      </c>
      <c r="C134" s="3">
        <v>1</v>
      </c>
      <c r="D134" s="3" t="str">
        <f>VLOOKUP(B134,'Element wise-detail Summary'!$A:$D,2,0)</f>
        <v>V37</v>
      </c>
      <c r="E134" s="3" t="str">
        <f>IFERROR(VLOOKUP(B134,'Element wise-detail Summary'!$A:$D,3,0),0)</f>
        <v>Zone-2</v>
      </c>
      <c r="F134" s="143" t="str">
        <f>VLOOKUP(B134,'AFC Data details'!$B:$B,1,0)</f>
        <v>AZ2-V37-T1C6-006</v>
      </c>
      <c r="H134" s="3">
        <f>_xlfn.XLOOKUP(B134,'AFC Data details'!B:B,'AFC Data details'!P:P)</f>
        <v>2.129</v>
      </c>
    </row>
    <row r="135" spans="1:8" x14ac:dyDescent="0.25">
      <c r="A135" s="154">
        <v>45958</v>
      </c>
      <c r="B135" s="3" t="s">
        <v>1498</v>
      </c>
      <c r="C135" s="3">
        <v>1</v>
      </c>
      <c r="D135" s="3" t="str">
        <f>VLOOKUP(B135,'Element wise-detail Summary'!$A:$D,2,0)</f>
        <v>V51</v>
      </c>
      <c r="E135" s="3" t="str">
        <f>IFERROR(VLOOKUP(B135,'Element wise-detail Summary'!$A:$D,3,0),0)</f>
        <v>Zone-3</v>
      </c>
      <c r="F135" s="143" t="str">
        <f>VLOOKUP(B135,'AFC Data details'!$B:$B,1,0)</f>
        <v>AZ3-V51-T2C1-001</v>
      </c>
      <c r="H135" s="3">
        <f>_xlfn.XLOOKUP(B135,'AFC Data details'!B:B,'AFC Data details'!P:P)</f>
        <v>1.413</v>
      </c>
    </row>
    <row r="136" spans="1:8" x14ac:dyDescent="0.25">
      <c r="A136" s="154">
        <v>45959</v>
      </c>
      <c r="B136" s="3" t="s">
        <v>1379</v>
      </c>
      <c r="C136" s="3">
        <v>1</v>
      </c>
      <c r="D136" s="3" t="str">
        <f>VLOOKUP(B136,'Element wise-detail Summary'!$A:$D,2,0)</f>
        <v>V37</v>
      </c>
      <c r="E136" s="3" t="str">
        <f>IFERROR(VLOOKUP(B136,'Element wise-detail Summary'!$A:$D,3,0),0)</f>
        <v>Zone-2</v>
      </c>
      <c r="F136" s="143" t="str">
        <f>VLOOKUP(B136,'AFC Data details'!$B:$B,1,0)</f>
        <v>AZ2-V37-T1C6-005</v>
      </c>
      <c r="H136" s="3">
        <f>_xlfn.XLOOKUP(B136,'AFC Data details'!B:B,'AFC Data details'!P:P)</f>
        <v>2.129</v>
      </c>
    </row>
    <row r="137" spans="1:8" x14ac:dyDescent="0.25">
      <c r="A137" s="154">
        <v>45960</v>
      </c>
      <c r="B137" s="3" t="s">
        <v>1415</v>
      </c>
      <c r="C137" s="3">
        <v>1</v>
      </c>
      <c r="D137" s="3" t="str">
        <f>VLOOKUP(B137,'Element wise-detail Summary'!$A:$D,2,0)</f>
        <v>V41</v>
      </c>
      <c r="E137" s="3" t="str">
        <f>IFERROR(VLOOKUP(B137,'Element wise-detail Summary'!$A:$D,3,0),0)</f>
        <v>Zone-2</v>
      </c>
      <c r="F137" s="143" t="str">
        <f>VLOOKUP(B137,'AFC Data details'!$B:$B,1,0)</f>
        <v>AZ2-V41-T1C6-005</v>
      </c>
      <c r="H137" s="3">
        <f>_xlfn.XLOOKUP(B137,'AFC Data details'!B:B,'AFC Data details'!P:P)</f>
        <v>2.1040000000000001</v>
      </c>
    </row>
    <row r="138" spans="1:8" x14ac:dyDescent="0.25">
      <c r="A138" s="154">
        <v>45960</v>
      </c>
      <c r="B138" s="3" t="s">
        <v>1499</v>
      </c>
      <c r="C138" s="3">
        <v>1</v>
      </c>
      <c r="D138" s="3" t="str">
        <f>VLOOKUP(B138,'Element wise-detail Summary'!$A:$D,2,0)</f>
        <v>V53</v>
      </c>
      <c r="E138" s="3" t="str">
        <f>IFERROR(VLOOKUP(B138,'Element wise-detail Summary'!$A:$D,3,0),0)</f>
        <v>Zone-3</v>
      </c>
      <c r="F138" s="143" t="str">
        <f>VLOOKUP(B138,'AFC Data details'!$B:$B,1,0)</f>
        <v>AZ3-V53-T2C1-001</v>
      </c>
      <c r="H138" s="3">
        <f>_xlfn.XLOOKUP(B138,'AFC Data details'!B:B,'AFC Data details'!P:P)</f>
        <v>1.413</v>
      </c>
    </row>
    <row r="139" spans="1:8" x14ac:dyDescent="0.25">
      <c r="A139" s="154">
        <v>45960</v>
      </c>
      <c r="B139" s="3" t="s">
        <v>1357</v>
      </c>
      <c r="C139" s="3">
        <v>1</v>
      </c>
      <c r="D139" s="3" t="str">
        <f>VLOOKUP(B139,'Element wise-detail Summary'!$A:$D,2,0)</f>
        <v>V34</v>
      </c>
      <c r="E139" s="3" t="str">
        <f>IFERROR(VLOOKUP(B139,'Element wise-detail Summary'!$A:$D,3,0),0)</f>
        <v>Zone-1</v>
      </c>
      <c r="F139" s="143" t="str">
        <f>VLOOKUP(B139,'AFC Data details'!$B:$B,1,0)</f>
        <v>AZ1-V34-T3C5-001</v>
      </c>
      <c r="H139" s="3">
        <f>_xlfn.XLOOKUP(B139,'AFC Data details'!B:B,'AFC Data details'!P:P)</f>
        <v>1.5029999999999999</v>
      </c>
    </row>
    <row r="140" spans="1:8" x14ac:dyDescent="0.25">
      <c r="A140" s="154">
        <v>45961</v>
      </c>
      <c r="B140" s="3" t="s">
        <v>1349</v>
      </c>
      <c r="C140" s="3">
        <v>1</v>
      </c>
      <c r="D140" s="3" t="str">
        <f>VLOOKUP(B140,'Element wise-detail Summary'!$A:$D,2,0)</f>
        <v>V33</v>
      </c>
      <c r="E140" s="3" t="str">
        <f>IFERROR(VLOOKUP(B140,'Element wise-detail Summary'!$A:$D,3,0),0)</f>
        <v>Zone-1</v>
      </c>
      <c r="F140" s="143" t="str">
        <f>VLOOKUP(B140,'AFC Data details'!$B:$B,1,0)</f>
        <v>AZ1-V33-T3C5-001</v>
      </c>
      <c r="H140" s="3">
        <f>_xlfn.XLOOKUP(B140,'AFC Data details'!B:B,'AFC Data details'!P:P)</f>
        <v>1.377</v>
      </c>
    </row>
    <row r="141" spans="1:8" x14ac:dyDescent="0.25">
      <c r="A141" s="154">
        <v>45962</v>
      </c>
      <c r="B141" s="3" t="s">
        <v>1411</v>
      </c>
      <c r="C141" s="3">
        <v>1</v>
      </c>
      <c r="D141" s="3" t="str">
        <f>VLOOKUP(B141,'Element wise-detail Summary'!$A:$D,2,0)</f>
        <v>V40</v>
      </c>
      <c r="E141" s="3" t="str">
        <f>IFERROR(VLOOKUP(B141,'Element wise-detail Summary'!$A:$D,3,0),0)</f>
        <v>Zone-2</v>
      </c>
      <c r="F141" s="143" t="str">
        <f>VLOOKUP(B141,'AFC Data details'!$B:$B,1,0)</f>
        <v>AZ2-V40-T1C6-005</v>
      </c>
      <c r="H141" s="3">
        <f>_xlfn.XLOOKUP(B141,'AFC Data details'!B:B,'AFC Data details'!P:P)</f>
        <v>2.1040000000000001</v>
      </c>
    </row>
    <row r="142" spans="1:8" x14ac:dyDescent="0.25">
      <c r="A142" s="154">
        <v>45962</v>
      </c>
      <c r="B142" s="3" t="s">
        <v>1574</v>
      </c>
      <c r="C142" s="3">
        <v>1</v>
      </c>
      <c r="D142" s="3" t="str">
        <f>VLOOKUP(B142,'Element wise-detail Summary'!$A:$D,2,0)</f>
        <v>V61</v>
      </c>
      <c r="E142" s="3" t="str">
        <f>IFERROR(VLOOKUP(B142,'Element wise-detail Summary'!$A:$D,3,0),0)</f>
        <v>Zone-5</v>
      </c>
      <c r="F142" s="143" t="str">
        <f>VLOOKUP(B142,'AFC Data details'!$B:$B,1,0)</f>
        <v>AZ5-V61-T2C1-001</v>
      </c>
      <c r="H142" s="3">
        <f>_xlfn.XLOOKUP(B142,'AFC Data details'!B:B,'AFC Data details'!P:P)</f>
        <v>1.4179999999999999</v>
      </c>
    </row>
    <row r="143" spans="1:8" x14ac:dyDescent="0.25">
      <c r="A143" s="154">
        <v>45964</v>
      </c>
      <c r="B143" s="3" t="s">
        <v>1416</v>
      </c>
      <c r="C143" s="3">
        <v>1</v>
      </c>
      <c r="D143" s="3" t="str">
        <f>VLOOKUP(B143,'Element wise-detail Summary'!$A:$D,2,0)</f>
        <v>V40</v>
      </c>
      <c r="E143" s="3" t="str">
        <f>IFERROR(VLOOKUP(B143,'Element wise-detail Summary'!$A:$D,3,0),0)</f>
        <v>Zone-2</v>
      </c>
      <c r="F143" s="143" t="str">
        <f>VLOOKUP(B143,'AFC Data details'!$B:$B,1,0)</f>
        <v>AZ2-V40-T1C6-006</v>
      </c>
      <c r="H143" s="3">
        <f>_xlfn.XLOOKUP(B143,'AFC Data details'!B:B,'AFC Data details'!P:P)</f>
        <v>2.1040000000000001</v>
      </c>
    </row>
    <row r="144" spans="1:8" x14ac:dyDescent="0.25">
      <c r="A144" s="154">
        <v>45964</v>
      </c>
      <c r="B144" s="3" t="s">
        <v>1398</v>
      </c>
      <c r="C144" s="3">
        <v>1</v>
      </c>
      <c r="D144" s="3" t="str">
        <f>VLOOKUP(B144,'Element wise-detail Summary'!$A:$D,2,0)</f>
        <v>V38</v>
      </c>
      <c r="E144" s="3" t="str">
        <f>IFERROR(VLOOKUP(B144,'Element wise-detail Summary'!$A:$D,3,0),0)</f>
        <v>Zone-2</v>
      </c>
      <c r="F144" s="143" t="str">
        <f>VLOOKUP(B144,'AFC Data details'!$B:$B,1,0)</f>
        <v>AZ2-V38-T1C6-006</v>
      </c>
      <c r="H144" s="3">
        <f>_xlfn.XLOOKUP(B144,'AFC Data details'!B:B,'AFC Data details'!P:P)</f>
        <v>2.1219999999999999</v>
      </c>
    </row>
    <row r="145" spans="1:8" x14ac:dyDescent="0.25">
      <c r="A145" s="154">
        <v>45964</v>
      </c>
      <c r="B145" s="3" t="s">
        <v>1605</v>
      </c>
      <c r="C145" s="3">
        <v>1</v>
      </c>
      <c r="D145" s="3" t="str">
        <f>VLOOKUP(B145,'Element wise-detail Summary'!$A:$D,2,0)</f>
        <v>V63</v>
      </c>
      <c r="E145" s="3" t="str">
        <f>IFERROR(VLOOKUP(B145,'Element wise-detail Summary'!$A:$D,3,0),0)</f>
        <v>Zone-5</v>
      </c>
      <c r="F145" s="143" t="str">
        <f>VLOOKUP(B145,'AFC Data details'!$B:$B,1,0)</f>
        <v>AZ5-V63-T2C1-001</v>
      </c>
      <c r="H145" s="3">
        <f>_xlfn.XLOOKUP(B145,'AFC Data details'!B:B,'AFC Data details'!P:P)</f>
        <v>1.4430000000000001</v>
      </c>
    </row>
    <row r="146" spans="1:8" x14ac:dyDescent="0.25">
      <c r="A146" s="154">
        <v>45964</v>
      </c>
      <c r="B146" s="3" t="s">
        <v>1358</v>
      </c>
      <c r="C146" s="3">
        <v>1</v>
      </c>
      <c r="D146" s="3" t="str">
        <f>VLOOKUP(B146,'Element wise-detail Summary'!$A:$D,2,0)</f>
        <v>V34</v>
      </c>
      <c r="E146" s="3" t="str">
        <f>IFERROR(VLOOKUP(B146,'Element wise-detail Summary'!$A:$D,3,0),0)</f>
        <v>Zone-1</v>
      </c>
      <c r="F146" s="143" t="str">
        <f>VLOOKUP(B146,'AFC Data details'!$B:$B,1,0)</f>
        <v>AZ1-V34-T3C5-002</v>
      </c>
      <c r="H146" s="3">
        <f>_xlfn.XLOOKUP(B146,'AFC Data details'!B:B,'AFC Data details'!P:P)</f>
        <v>1.33</v>
      </c>
    </row>
    <row r="147" spans="1:8" x14ac:dyDescent="0.25">
      <c r="A147" s="154">
        <v>45965</v>
      </c>
      <c r="B147" s="3" t="s">
        <v>1426</v>
      </c>
      <c r="C147" s="3">
        <v>1</v>
      </c>
      <c r="D147" s="3" t="str">
        <f>VLOOKUP(B147,'Element wise-detail Summary'!$A:$D,2,0)</f>
        <v>V42</v>
      </c>
      <c r="E147" s="3" t="str">
        <f>IFERROR(VLOOKUP(B147,'Element wise-detail Summary'!$A:$D,3,0),0)</f>
        <v>Zone-2</v>
      </c>
      <c r="F147" s="143" t="str">
        <f>VLOOKUP(B147,'AFC Data details'!$B:$B,1,0)</f>
        <v>AZ2-V42-T1C13-002</v>
      </c>
      <c r="H147" s="3">
        <f>_xlfn.XLOOKUP(B147,'AFC Data details'!B:B,'AFC Data details'!P:P)</f>
        <v>2.048</v>
      </c>
    </row>
    <row r="148" spans="1:8" x14ac:dyDescent="0.25">
      <c r="A148" s="154">
        <v>45965</v>
      </c>
      <c r="B148" s="3" t="s">
        <v>1407</v>
      </c>
      <c r="C148" s="3">
        <v>1</v>
      </c>
      <c r="D148" s="3" t="str">
        <f>VLOOKUP(B148,'Element wise-detail Summary'!$A:$D,2,0)</f>
        <v>V41</v>
      </c>
      <c r="E148" s="3" t="str">
        <f>IFERROR(VLOOKUP(B148,'Element wise-detail Summary'!$A:$D,3,0),0)</f>
        <v>Zone-2</v>
      </c>
      <c r="F148" s="143" t="str">
        <f>VLOOKUP(B148,'AFC Data details'!$B:$B,1,0)</f>
        <v>AZ2-V41-T1C6-006</v>
      </c>
      <c r="H148" s="3">
        <f>_xlfn.XLOOKUP(B148,'AFC Data details'!B:B,'AFC Data details'!P:P)</f>
        <v>2.1040000000000001</v>
      </c>
    </row>
    <row r="149" spans="1:8" x14ac:dyDescent="0.25">
      <c r="A149" s="154">
        <v>45965</v>
      </c>
      <c r="B149" s="3" t="s">
        <v>1606</v>
      </c>
      <c r="C149" s="3">
        <v>1</v>
      </c>
      <c r="D149" s="3" t="str">
        <f>VLOOKUP(B149,'Element wise-detail Summary'!$A:$D,2,0)</f>
        <v>V65</v>
      </c>
      <c r="E149" s="3" t="str">
        <f>IFERROR(VLOOKUP(B149,'Element wise-detail Summary'!$A:$D,3,0),0)</f>
        <v>Zone-5</v>
      </c>
      <c r="F149" s="143" t="str">
        <f>VLOOKUP(B149,'AFC Data details'!$B:$B,1,0)</f>
        <v>AZ5-V65-T2C1-001</v>
      </c>
      <c r="H149" s="3">
        <f>_xlfn.XLOOKUP(B149,'AFC Data details'!B:B,'AFC Data details'!P:P)</f>
        <v>1.4430000000000001</v>
      </c>
    </row>
    <row r="150" spans="1:8" x14ac:dyDescent="0.25">
      <c r="A150" s="154">
        <v>45966</v>
      </c>
      <c r="B150" s="3" t="s">
        <v>1427</v>
      </c>
      <c r="C150" s="3">
        <v>1</v>
      </c>
      <c r="D150" s="3" t="str">
        <f>VLOOKUP(B150,'Element wise-detail Summary'!$A:$D,2,0)</f>
        <v>V42</v>
      </c>
      <c r="E150" s="3" t="str">
        <f>IFERROR(VLOOKUP(B150,'Element wise-detail Summary'!$A:$D,3,0),0)</f>
        <v>Zone-2</v>
      </c>
      <c r="F150" s="143" t="str">
        <f>VLOOKUP(B150,'AFC Data details'!$B:$B,1,0)</f>
        <v>AZ2-V42-T1C13-003</v>
      </c>
      <c r="H150" s="3">
        <f>_xlfn.XLOOKUP(B150,'AFC Data details'!B:B,'AFC Data details'!P:P)</f>
        <v>1.9830000000000001</v>
      </c>
    </row>
    <row r="151" spans="1:8" x14ac:dyDescent="0.25">
      <c r="A151" s="154">
        <v>45967</v>
      </c>
      <c r="B151" s="3" t="s">
        <v>1607</v>
      </c>
      <c r="C151" s="3">
        <v>1</v>
      </c>
      <c r="D151" s="3" t="str">
        <f>VLOOKUP(B151,'Element wise-detail Summary'!$A:$D,2,0)</f>
        <v>V67</v>
      </c>
      <c r="E151" s="3" t="str">
        <f>IFERROR(VLOOKUP(B151,'Element wise-detail Summary'!$A:$D,3,0),0)</f>
        <v>Zone-5</v>
      </c>
      <c r="F151" s="143" t="str">
        <f>VLOOKUP(B151,'AFC Data details'!$B:$B,1,0)</f>
        <v>AZ5-V67-T2C1-001</v>
      </c>
      <c r="H151" s="3">
        <f>_xlfn.XLOOKUP(B151,'AFC Data details'!B:B,'AFC Data details'!P:P)</f>
        <v>1.4430000000000001</v>
      </c>
    </row>
    <row r="152" spans="1:8" x14ac:dyDescent="0.25">
      <c r="A152" s="154">
        <v>45968</v>
      </c>
      <c r="B152" s="3" t="s">
        <v>1428</v>
      </c>
      <c r="C152" s="3">
        <v>1</v>
      </c>
      <c r="D152" s="3" t="str">
        <f>VLOOKUP(B152,'Element wise-detail Summary'!$A:$D,2,0)</f>
        <v>V42</v>
      </c>
      <c r="E152" s="3" t="str">
        <f>IFERROR(VLOOKUP(B152,'Element wise-detail Summary'!$A:$D,3,0),0)</f>
        <v>Zone-2</v>
      </c>
      <c r="F152" s="143" t="str">
        <f>VLOOKUP(B152,'AFC Data details'!$B:$B,1,0)</f>
        <v>AZ2-V42-T1C13-004</v>
      </c>
      <c r="H152" s="3">
        <f>_xlfn.XLOOKUP(B152,'AFC Data details'!B:B,'AFC Data details'!P:P)</f>
        <v>1.9830000000000001</v>
      </c>
    </row>
    <row r="153" spans="1:8" x14ac:dyDescent="0.25">
      <c r="A153" s="154">
        <v>45968</v>
      </c>
      <c r="B153" s="3" t="s">
        <v>1429</v>
      </c>
      <c r="C153" s="3">
        <v>1</v>
      </c>
      <c r="D153" s="3" t="str">
        <f>VLOOKUP(B153,'Element wise-detail Summary'!$A:$D,2,0)</f>
        <v>V42</v>
      </c>
      <c r="E153" s="3" t="str">
        <f>IFERROR(VLOOKUP(B153,'Element wise-detail Summary'!$A:$D,3,0),0)</f>
        <v>Zone-2</v>
      </c>
      <c r="F153" s="143" t="str">
        <f>VLOOKUP(B153,'AFC Data details'!$B:$B,1,0)</f>
        <v>AZ2-V42-T1C13-005</v>
      </c>
      <c r="H153" s="3">
        <f>_xlfn.XLOOKUP(B153,'AFC Data details'!B:B,'AFC Data details'!P:P)</f>
        <v>1.9830000000000001</v>
      </c>
    </row>
    <row r="154" spans="1:8" x14ac:dyDescent="0.25">
      <c r="A154" s="154">
        <v>45968</v>
      </c>
      <c r="B154" s="3" t="s">
        <v>1608</v>
      </c>
      <c r="C154" s="3">
        <v>1</v>
      </c>
      <c r="D154" s="3" t="str">
        <f>VLOOKUP(B154,'Element wise-detail Summary'!$A:$D,2,0)</f>
        <v>V69</v>
      </c>
      <c r="E154" s="3" t="str">
        <f>IFERROR(VLOOKUP(B154,'Element wise-detail Summary'!$A:$D,3,0),0)</f>
        <v>Zone-5</v>
      </c>
      <c r="F154" s="143" t="str">
        <f>VLOOKUP(B154,'AFC Data details'!$B:$B,1,0)</f>
        <v>AZ5-V69-T2C1-001</v>
      </c>
      <c r="H154" s="3">
        <f>_xlfn.XLOOKUP(B154,'AFC Data details'!B:B,'AFC Data details'!P:P)</f>
        <v>1.4430000000000001</v>
      </c>
    </row>
    <row r="155" spans="1:8" x14ac:dyDescent="0.25">
      <c r="A155" s="154">
        <v>45969</v>
      </c>
      <c r="B155" s="3" t="s">
        <v>1649</v>
      </c>
      <c r="C155" s="3">
        <v>1</v>
      </c>
      <c r="D155" s="3" t="str">
        <f>VLOOKUP(B155,'Element wise-detail Summary'!$A:$D,2,0)</f>
        <v>V57</v>
      </c>
      <c r="E155" s="3" t="str">
        <f>IFERROR(VLOOKUP(B155,'Element wise-detail Summary'!$A:$D,3,0),0)</f>
        <v>Zone-5</v>
      </c>
      <c r="F155" s="143" t="str">
        <f>VLOOKUP(B155,'AFC Data details'!$B:$B,1,0)</f>
        <v>AZ5-V57-T2C1-001</v>
      </c>
      <c r="H155" s="3">
        <f>_xlfn.XLOOKUP(B155,'AFC Data details'!B:B,'AFC Data details'!P:P)</f>
        <v>1.4430000000000001</v>
      </c>
    </row>
    <row r="156" spans="1:8" x14ac:dyDescent="0.25">
      <c r="A156" s="154">
        <v>45971</v>
      </c>
      <c r="B156" s="3" t="s">
        <v>1353</v>
      </c>
      <c r="C156" s="3">
        <v>1</v>
      </c>
      <c r="D156" s="3" t="str">
        <f>VLOOKUP(B156,'Element wise-detail Summary'!$A:$D,2,0)</f>
        <v>V34</v>
      </c>
      <c r="E156" s="3" t="str">
        <f>IFERROR(VLOOKUP(B156,'Element wise-detail Summary'!$A:$D,3,0),0)</f>
        <v>Zone-1</v>
      </c>
      <c r="F156" s="143" t="str">
        <f>VLOOKUP(B156,'AFC Data details'!$B:$B,1,0)</f>
        <v>AZ1-V34-T1C13-003</v>
      </c>
      <c r="H156" s="3">
        <f>_xlfn.XLOOKUP(B156,'AFC Data details'!B:B,'AFC Data details'!P:P)</f>
        <v>2.0139999999999998</v>
      </c>
    </row>
    <row r="157" spans="1:8" x14ac:dyDescent="0.25">
      <c r="A157" s="154">
        <v>45971</v>
      </c>
      <c r="B157" s="3" t="s">
        <v>1355</v>
      </c>
      <c r="C157" s="3">
        <v>1</v>
      </c>
      <c r="D157" s="3" t="str">
        <f>VLOOKUP(B157,'Element wise-detail Summary'!$A:$D,2,0)</f>
        <v>V34</v>
      </c>
      <c r="E157" s="3" t="str">
        <f>IFERROR(VLOOKUP(B157,'Element wise-detail Summary'!$A:$D,3,0),0)</f>
        <v>Zone-1</v>
      </c>
      <c r="F157" s="143" t="str">
        <f>VLOOKUP(B157,'AFC Data details'!$B:$B,1,0)</f>
        <v>AZ1-V34-T1C13-005</v>
      </c>
      <c r="H157" s="3">
        <f>_xlfn.XLOOKUP(B157,'AFC Data details'!B:B,'AFC Data details'!P:P)</f>
        <v>1.952</v>
      </c>
    </row>
    <row r="158" spans="1:8" x14ac:dyDescent="0.25">
      <c r="A158" s="154">
        <v>45971</v>
      </c>
      <c r="B158" s="3" t="s">
        <v>1234</v>
      </c>
      <c r="C158" s="3">
        <v>0</v>
      </c>
      <c r="D158" s="3" t="str">
        <f>VLOOKUP(B158,'Element wise-detail Summary'!$A:$D,2,0)</f>
        <v>V20</v>
      </c>
      <c r="E158" s="3" t="str">
        <f>IFERROR(VLOOKUP(B158,'Element wise-detail Summary'!$A:$D,3,0),0)</f>
        <v>Zone-1</v>
      </c>
      <c r="F158" s="143" t="str">
        <f>VLOOKUP(B158,'AFC Data details'!$B:$B,1,0)</f>
        <v>AZ1-V20-T1C6-001</v>
      </c>
      <c r="H158" s="3">
        <f>_xlfn.XLOOKUP(B158,'AFC Data details'!B:B,'AFC Data details'!P:P)</f>
        <v>2.097</v>
      </c>
    </row>
    <row r="159" spans="1:8" x14ac:dyDescent="0.25">
      <c r="A159" s="154">
        <v>45973</v>
      </c>
      <c r="B159" s="3" t="s">
        <v>1356</v>
      </c>
      <c r="C159" s="3">
        <v>1</v>
      </c>
      <c r="D159" s="3" t="str">
        <f>VLOOKUP(B159,'Element wise-detail Summary'!$A:$D,2,0)</f>
        <v>V34</v>
      </c>
      <c r="E159" s="3" t="str">
        <f>IFERROR(VLOOKUP(B159,'Element wise-detail Summary'!$A:$D,3,0),0)</f>
        <v>Zone-1</v>
      </c>
      <c r="F159" s="143" t="str">
        <f>VLOOKUP(B159,'AFC Data details'!$B:$B,1,0)</f>
        <v>AZ1-V34-T1C13-006</v>
      </c>
      <c r="H159" s="3">
        <f>_xlfn.XLOOKUP(B159,'AFC Data details'!B:B,'AFC Data details'!P:P)</f>
        <v>1.952</v>
      </c>
    </row>
    <row r="160" spans="1:8" x14ac:dyDescent="0.25">
      <c r="A160" s="154">
        <v>45973</v>
      </c>
      <c r="B160" s="3" t="s">
        <v>1235</v>
      </c>
      <c r="C160" s="3">
        <v>1</v>
      </c>
      <c r="D160" s="3" t="str">
        <f>VLOOKUP(B160,'Element wise-detail Summary'!$A:$D,2,0)</f>
        <v>V20</v>
      </c>
      <c r="E160" s="3" t="str">
        <f>IFERROR(VLOOKUP(B160,'Element wise-detail Summary'!$A:$D,3,0),0)</f>
        <v>Zone-1</v>
      </c>
      <c r="F160" s="143" t="str">
        <f>VLOOKUP(B160,'AFC Data details'!$B:$B,1,0)</f>
        <v>AZ1-V20-T1C6-003</v>
      </c>
      <c r="H160" s="3">
        <f>_xlfn.XLOOKUP(B160,'AFC Data details'!B:B,'AFC Data details'!P:P)</f>
        <v>2.097</v>
      </c>
    </row>
    <row r="161" spans="1:8" x14ac:dyDescent="0.25">
      <c r="A161" s="154">
        <v>45973</v>
      </c>
      <c r="B161" s="3" t="s">
        <v>1382</v>
      </c>
      <c r="C161" s="3">
        <v>1</v>
      </c>
      <c r="D161" s="3" t="str">
        <f>VLOOKUP(B161,'Element wise-detail Summary'!$A:$D,2,0)</f>
        <v>V36</v>
      </c>
      <c r="E161" s="3" t="str">
        <f>IFERROR(VLOOKUP(B161,'Element wise-detail Summary'!$A:$D,3,0),0)</f>
        <v>Zone-2</v>
      </c>
      <c r="F161" s="143" t="str">
        <f>VLOOKUP(B161,'AFC Data details'!$B:$B,1,0)</f>
        <v>AZ2-V36-T3C5-001</v>
      </c>
      <c r="H161" s="3">
        <f>_xlfn.XLOOKUP(B161,'AFC Data details'!B:B,'AFC Data details'!P:P)</f>
        <v>1.3560000000000001</v>
      </c>
    </row>
    <row r="162" spans="1:8" x14ac:dyDescent="0.25">
      <c r="A162" s="154">
        <v>45974</v>
      </c>
      <c r="B162" s="3" t="s">
        <v>1354</v>
      </c>
      <c r="C162" s="3">
        <v>1</v>
      </c>
      <c r="D162" s="3" t="str">
        <f>VLOOKUP(B162,'Element wise-detail Summary'!$A:$D,2,0)</f>
        <v>V34</v>
      </c>
      <c r="E162" s="3" t="str">
        <f>IFERROR(VLOOKUP(B162,'Element wise-detail Summary'!$A:$D,3,0),0)</f>
        <v>Zone-1</v>
      </c>
      <c r="F162" s="143" t="str">
        <f>VLOOKUP(B162,'AFC Data details'!$B:$B,1,0)</f>
        <v>AZ1-V34-T1C13-004</v>
      </c>
      <c r="H162" s="3">
        <f>_xlfn.XLOOKUP(B162,'AFC Data details'!B:B,'AFC Data details'!P:P)</f>
        <v>2.0139999999999998</v>
      </c>
    </row>
    <row r="163" spans="1:8" x14ac:dyDescent="0.25">
      <c r="A163" s="154">
        <v>45974</v>
      </c>
      <c r="B163" s="3" t="s">
        <v>1309</v>
      </c>
      <c r="C163" s="3">
        <v>1</v>
      </c>
      <c r="D163" s="3" t="str">
        <f>VLOOKUP(B163,'Element wise-detail Summary'!$A:$D,2,0)</f>
        <v>V31</v>
      </c>
      <c r="E163" s="3" t="str">
        <f>IFERROR(VLOOKUP(B163,'Element wise-detail Summary'!$A:$D,3,0),0)</f>
        <v>Zone-1</v>
      </c>
      <c r="F163" s="143" t="str">
        <f>VLOOKUP(B163,'AFC Data details'!$B:$B,1,0)</f>
        <v>AZ1-V31-T1C6-003</v>
      </c>
      <c r="H163" s="3">
        <f>_xlfn.XLOOKUP(B163,'AFC Data details'!B:B,'AFC Data details'!P:P)</f>
        <v>2.0939999999999999</v>
      </c>
    </row>
    <row r="164" spans="1:8" x14ac:dyDescent="0.25">
      <c r="A164" s="154">
        <v>45975</v>
      </c>
      <c r="B164" s="3" t="s">
        <v>1288</v>
      </c>
      <c r="C164" s="3">
        <v>1</v>
      </c>
      <c r="D164" s="3" t="str">
        <f>VLOOKUP(B164,'Element wise-detail Summary'!$A:$D,2,0)</f>
        <v>V26</v>
      </c>
      <c r="E164" s="3" t="str">
        <f>IFERROR(VLOOKUP(B164,'Element wise-detail Summary'!$A:$D,3,0),0)</f>
        <v>Zone-1</v>
      </c>
      <c r="F164" s="143" t="str">
        <f>VLOOKUP(B164,'AFC Data details'!$B:$B,1,0)</f>
        <v>AZ1-V26-T1C6-004</v>
      </c>
      <c r="H164" s="3">
        <f>_xlfn.XLOOKUP(B164,'AFC Data details'!B:B,'AFC Data details'!P:P)</f>
        <v>2.0590000000000002</v>
      </c>
    </row>
    <row r="165" spans="1:8" x14ac:dyDescent="0.25">
      <c r="A165" s="154">
        <v>45975</v>
      </c>
      <c r="B165" s="3" t="s">
        <v>1367</v>
      </c>
      <c r="C165" s="3">
        <v>1</v>
      </c>
      <c r="D165" s="3" t="str">
        <f>VLOOKUP(B165,'Element wise-detail Summary'!$A:$D,2,0)</f>
        <v>V35</v>
      </c>
      <c r="E165" s="3" t="str">
        <f>IFERROR(VLOOKUP(B165,'Element wise-detail Summary'!$A:$D,3,0),0)</f>
        <v>Zone-2</v>
      </c>
      <c r="F165" s="143" t="str">
        <f>VLOOKUP(B165,'AFC Data details'!$B:$B,1,0)</f>
        <v>AZ2-V35-T3C5-001</v>
      </c>
      <c r="H165" s="3">
        <f>_xlfn.XLOOKUP(B165,'AFC Data details'!B:B,'AFC Data details'!P:P)</f>
        <v>1.5820000000000001</v>
      </c>
    </row>
    <row r="166" spans="1:8" x14ac:dyDescent="0.25">
      <c r="A166" s="154">
        <v>45976</v>
      </c>
      <c r="B166" s="3" t="s">
        <v>1236</v>
      </c>
      <c r="C166" s="3">
        <v>1</v>
      </c>
      <c r="D166" s="3" t="str">
        <f>VLOOKUP(B166,'Element wise-detail Summary'!$A:$D,2,0)</f>
        <v>V21</v>
      </c>
      <c r="E166" s="3" t="str">
        <f>IFERROR(VLOOKUP(B166,'Element wise-detail Summary'!$A:$D,3,0),0)</f>
        <v>Zone-1</v>
      </c>
      <c r="F166" s="143" t="str">
        <f>VLOOKUP(B166,'AFC Data details'!$B:$B,1,0)</f>
        <v>AZ1-V21-T1C6-003</v>
      </c>
      <c r="H166" s="3">
        <f>_xlfn.XLOOKUP(B166,'AFC Data details'!B:B,'AFC Data details'!P:P)</f>
        <v>2.097</v>
      </c>
    </row>
    <row r="167" spans="1:8" x14ac:dyDescent="0.25">
      <c r="A167" s="154">
        <v>45976</v>
      </c>
      <c r="B167" s="3" t="s">
        <v>1252</v>
      </c>
      <c r="C167" s="3">
        <v>1</v>
      </c>
      <c r="D167" s="3" t="str">
        <f>VLOOKUP(B167,'Element wise-detail Summary'!$A:$D,2,0)</f>
        <v>V22</v>
      </c>
      <c r="E167" s="3" t="str">
        <f>IFERROR(VLOOKUP(B167,'Element wise-detail Summary'!$A:$D,3,0),0)</f>
        <v>Zone-1</v>
      </c>
      <c r="F167" s="143" t="str">
        <f>VLOOKUP(B167,'AFC Data details'!$B:$B,1,0)</f>
        <v>AZ1-V22-T1C6-004</v>
      </c>
      <c r="H167" s="3">
        <f>_xlfn.XLOOKUP(B167,'AFC Data details'!B:B,'AFC Data details'!P:P)</f>
        <v>2.0529999999999999</v>
      </c>
    </row>
    <row r="168" spans="1:8" x14ac:dyDescent="0.25">
      <c r="A168" s="154">
        <v>45978</v>
      </c>
      <c r="B168" s="3" t="s">
        <v>1289</v>
      </c>
      <c r="C168" s="3">
        <v>1</v>
      </c>
      <c r="D168" s="3" t="str">
        <f>VLOOKUP(B168,'Element wise-detail Summary'!$A:$D,2,0)</f>
        <v>V27</v>
      </c>
      <c r="E168" s="3" t="str">
        <f>IFERROR(VLOOKUP(B168,'Element wise-detail Summary'!$A:$D,3,0),0)</f>
        <v>Zone-1</v>
      </c>
      <c r="F168" s="143" t="str">
        <f>VLOOKUP(B168,'AFC Data details'!$B:$B,1,0)</f>
        <v>AZ1-V27-T1C6-004</v>
      </c>
      <c r="H168" s="3">
        <f>_xlfn.XLOOKUP(B168,'AFC Data details'!B:B,'AFC Data details'!P:P)</f>
        <v>2.0590000000000002</v>
      </c>
    </row>
    <row r="169" spans="1:8" x14ac:dyDescent="0.25">
      <c r="A169" s="154">
        <v>45978</v>
      </c>
      <c r="B169" s="3" t="s">
        <v>1310</v>
      </c>
      <c r="C169" s="3">
        <v>1</v>
      </c>
      <c r="D169" s="3" t="str">
        <f>VLOOKUP(B169,'Element wise-detail Summary'!$A:$D,2,0)</f>
        <v>V30</v>
      </c>
      <c r="E169" s="3" t="str">
        <f>IFERROR(VLOOKUP(B169,'Element wise-detail Summary'!$A:$D,3,0),0)</f>
        <v>Zone-1</v>
      </c>
      <c r="F169" s="143" t="str">
        <f>VLOOKUP(B169,'AFC Data details'!$B:$B,1,0)</f>
        <v>AZ1-V30-T1C6-002</v>
      </c>
      <c r="H169" s="3">
        <f>_xlfn.XLOOKUP(B169,'AFC Data details'!B:B,'AFC Data details'!P:P)</f>
        <v>2.0939999999999999</v>
      </c>
    </row>
    <row r="170" spans="1:8" x14ac:dyDescent="0.25">
      <c r="A170" s="154">
        <v>45978</v>
      </c>
      <c r="B170" s="3" t="s">
        <v>1383</v>
      </c>
      <c r="C170" s="3">
        <v>1</v>
      </c>
      <c r="D170" s="3" t="str">
        <f>VLOOKUP(B170,'Element wise-detail Summary'!$A:$D,2,0)</f>
        <v>V36</v>
      </c>
      <c r="E170" s="3" t="str">
        <f>IFERROR(VLOOKUP(B170,'Element wise-detail Summary'!$A:$D,3,0),0)</f>
        <v>Zone-2</v>
      </c>
      <c r="F170" s="143" t="str">
        <f>VLOOKUP(B170,'AFC Data details'!$B:$B,1,0)</f>
        <v>AZ2-V36-T3C5-002</v>
      </c>
      <c r="H170" s="3">
        <f>_xlfn.XLOOKUP(B170,'AFC Data details'!B:B,'AFC Data details'!P:P)</f>
        <v>1.5529999999999999</v>
      </c>
    </row>
    <row r="171" spans="1:8" x14ac:dyDescent="0.25">
      <c r="A171" s="154">
        <v>45979</v>
      </c>
      <c r="B171" s="3" t="s">
        <v>1253</v>
      </c>
      <c r="C171" s="3">
        <v>1</v>
      </c>
      <c r="D171" s="3" t="str">
        <f>VLOOKUP(B171,'Element wise-detail Summary'!$A:$D,2,0)</f>
        <v>V23</v>
      </c>
      <c r="E171" s="3" t="str">
        <f>IFERROR(VLOOKUP(B171,'Element wise-detail Summary'!$A:$D,3,0),0)</f>
        <v>Zone-1</v>
      </c>
      <c r="F171" s="143" t="str">
        <f>VLOOKUP(B171,'AFC Data details'!$B:$B,1,0)</f>
        <v>AZ1-V23-T1C6-004</v>
      </c>
      <c r="H171" s="3">
        <f>_xlfn.XLOOKUP(B171,'AFC Data details'!B:B,'AFC Data details'!P:P)</f>
        <v>2.0529999999999999</v>
      </c>
    </row>
    <row r="172" spans="1:8" x14ac:dyDescent="0.25">
      <c r="A172" s="154">
        <v>45979</v>
      </c>
      <c r="B172" s="3" t="s">
        <v>1368</v>
      </c>
      <c r="C172" s="3">
        <v>1</v>
      </c>
      <c r="D172" s="3" t="str">
        <f>VLOOKUP(B172,'Element wise-detail Summary'!$A:$D,2,0)</f>
        <v>V35</v>
      </c>
      <c r="E172" s="3" t="str">
        <f>IFERROR(VLOOKUP(B172,'Element wise-detail Summary'!$A:$D,3,0),0)</f>
        <v>Zone-2</v>
      </c>
      <c r="F172" s="143" t="str">
        <f>VLOOKUP(B172,'AFC Data details'!$B:$B,1,0)</f>
        <v>AZ2-V35-T3C5-002</v>
      </c>
      <c r="H172" s="3">
        <f>_xlfn.XLOOKUP(B172,'AFC Data details'!B:B,'AFC Data details'!P:P)</f>
        <v>1.409</v>
      </c>
    </row>
    <row r="173" spans="1:8" x14ac:dyDescent="0.25">
      <c r="A173" s="154">
        <v>45980</v>
      </c>
      <c r="B173" s="3" t="s">
        <v>1294</v>
      </c>
      <c r="C173" s="3">
        <v>1</v>
      </c>
      <c r="D173" s="3" t="str">
        <f>VLOOKUP(B173,'Element wise-detail Summary'!$A:$D,2,0)</f>
        <v>V28</v>
      </c>
      <c r="E173" s="3" t="str">
        <f>IFERROR(VLOOKUP(B173,'Element wise-detail Summary'!$A:$D,3,0),0)</f>
        <v>Zone-1</v>
      </c>
      <c r="F173" s="143" t="str">
        <f>VLOOKUP(B173,'AFC Data details'!$B:$B,1,0)</f>
        <v>AZ1-V28-T1C6-001</v>
      </c>
      <c r="H173" s="3">
        <f>_xlfn.XLOOKUP(B173,'AFC Data details'!B:B,'AFC Data details'!P:P)</f>
        <v>2.081</v>
      </c>
    </row>
    <row r="174" spans="1:8" x14ac:dyDescent="0.25">
      <c r="A174" s="154">
        <v>45980</v>
      </c>
      <c r="B174" s="3" t="s">
        <v>1311</v>
      </c>
      <c r="C174" s="3">
        <v>1</v>
      </c>
      <c r="D174" s="3" t="str">
        <f>VLOOKUP(B174,'Element wise-detail Summary'!$A:$D,2,0)</f>
        <v>V31</v>
      </c>
      <c r="E174" s="3" t="str">
        <f>IFERROR(VLOOKUP(B174,'Element wise-detail Summary'!$A:$D,3,0),0)</f>
        <v>Zone-1</v>
      </c>
      <c r="F174" s="143" t="str">
        <f>VLOOKUP(B174,'AFC Data details'!$B:$B,1,0)</f>
        <v>AZ1-V31-T1C6-002</v>
      </c>
      <c r="H174" s="3">
        <f>_xlfn.XLOOKUP(B174,'AFC Data details'!B:B,'AFC Data details'!P:P)</f>
        <v>2.0939999999999999</v>
      </c>
    </row>
    <row r="175" spans="1:8" x14ac:dyDescent="0.25">
      <c r="A175" s="154">
        <v>45981</v>
      </c>
      <c r="B175" s="3" t="s">
        <v>1255</v>
      </c>
      <c r="C175" s="3">
        <v>1</v>
      </c>
      <c r="D175" s="3" t="str">
        <f>VLOOKUP(B175,'Element wise-detail Summary'!$A:$D,2,0)</f>
        <v>V20</v>
      </c>
      <c r="E175" s="3" t="str">
        <f>IFERROR(VLOOKUP(B175,'Element wise-detail Summary'!$A:$D,3,0),0)</f>
        <v>Zone-1</v>
      </c>
      <c r="F175" s="143" t="str">
        <f>VLOOKUP(B175,'AFC Data details'!$B:$B,1,0)</f>
        <v>AZ1-V20-T1C6-004</v>
      </c>
      <c r="H175" s="3">
        <f>_xlfn.XLOOKUP(B175,'AFC Data details'!B:B,'AFC Data details'!P:P)</f>
        <v>2.0529999999999999</v>
      </c>
    </row>
    <row r="176" spans="1:8" x14ac:dyDescent="0.25">
      <c r="A176" s="154">
        <v>45981</v>
      </c>
      <c r="B176" s="3" t="s">
        <v>1386</v>
      </c>
      <c r="C176" s="3">
        <v>1</v>
      </c>
      <c r="D176" s="3" t="str">
        <f>VLOOKUP(B176,'Element wise-detail Summary'!$A:$D,2,0)</f>
        <v>V37</v>
      </c>
      <c r="E176" s="3" t="str">
        <f>IFERROR(VLOOKUP(B176,'Element wise-detail Summary'!$A:$D,3,0),0)</f>
        <v>Zone-2</v>
      </c>
      <c r="F176" s="143" t="str">
        <f>VLOOKUP(B176,'AFC Data details'!$B:$B,1,0)</f>
        <v>AZ2-V37-T3C5-002</v>
      </c>
      <c r="H176" s="3">
        <f>_xlfn.XLOOKUP(B176,'AFC Data details'!B:B,'AFC Data details'!P:P)</f>
        <v>1.403</v>
      </c>
    </row>
    <row r="177" spans="1:8" x14ac:dyDescent="0.25">
      <c r="A177" s="154">
        <v>45982</v>
      </c>
      <c r="B177" s="3" t="s">
        <v>1295</v>
      </c>
      <c r="C177" s="3">
        <v>1</v>
      </c>
      <c r="D177" s="3" t="str">
        <f>VLOOKUP(B177,'Element wise-detail Summary'!$A:$D,2,0)</f>
        <v>V28</v>
      </c>
      <c r="E177" s="3" t="str">
        <f>IFERROR(VLOOKUP(B177,'Element wise-detail Summary'!$A:$D,3,0),0)</f>
        <v>Zone-1</v>
      </c>
      <c r="F177" s="143" t="str">
        <f>VLOOKUP(B177,'AFC Data details'!$B:$B,1,0)</f>
        <v>AZ1-V28-T1C6-003</v>
      </c>
      <c r="H177" s="3">
        <f>_xlfn.XLOOKUP(B177,'AFC Data details'!B:B,'AFC Data details'!P:P)</f>
        <v>2.081</v>
      </c>
    </row>
    <row r="178" spans="1:8" x14ac:dyDescent="0.25">
      <c r="A178" s="154">
        <v>45982</v>
      </c>
      <c r="B178" s="3" t="s">
        <v>1312</v>
      </c>
      <c r="C178" s="3">
        <v>1</v>
      </c>
      <c r="D178" s="3" t="str">
        <f>VLOOKUP(B178,'Element wise-detail Summary'!$A:$D,2,0)</f>
        <v>V26</v>
      </c>
      <c r="E178" s="3" t="str">
        <f>IFERROR(VLOOKUP(B178,'Element wise-detail Summary'!$A:$D,3,0),0)</f>
        <v>Zone-1</v>
      </c>
      <c r="F178" s="143" t="str">
        <f>VLOOKUP(B178,'AFC Data details'!$B:$B,1,0)</f>
        <v>AZ1-V26-T1C6-003</v>
      </c>
      <c r="H178" s="3">
        <f>_xlfn.XLOOKUP(B178,'AFC Data details'!B:B,'AFC Data details'!P:P)</f>
        <v>2.0939999999999999</v>
      </c>
    </row>
    <row r="179" spans="1:8" x14ac:dyDescent="0.25">
      <c r="A179" s="154">
        <v>45983</v>
      </c>
      <c r="B179" s="3" t="s">
        <v>1256</v>
      </c>
      <c r="C179" s="3">
        <v>1</v>
      </c>
      <c r="D179" s="3" t="str">
        <f>VLOOKUP(B179,'Element wise-detail Summary'!$A:$D,2,0)</f>
        <v>V21</v>
      </c>
      <c r="E179" s="3" t="str">
        <f>IFERROR(VLOOKUP(B179,'Element wise-detail Summary'!$A:$D,3,0),0)</f>
        <v>Zone-1</v>
      </c>
      <c r="F179" s="143" t="str">
        <f>VLOOKUP(B179,'AFC Data details'!$B:$B,1,0)</f>
        <v>AZ1-V21-T1C6-004</v>
      </c>
      <c r="H179" s="3">
        <f>_xlfn.XLOOKUP(B179,'AFC Data details'!B:B,'AFC Data details'!P:P)</f>
        <v>2.0529999999999999</v>
      </c>
    </row>
    <row r="180" spans="1:8" x14ac:dyDescent="0.25">
      <c r="A180" s="154">
        <v>45983</v>
      </c>
      <c r="B180" s="3" t="s">
        <v>1400</v>
      </c>
      <c r="C180" s="3">
        <v>1</v>
      </c>
      <c r="D180" s="3" t="str">
        <f>VLOOKUP(B180,'Element wise-detail Summary'!$A:$D,2,0)</f>
        <v>V38</v>
      </c>
      <c r="E180" s="3" t="str">
        <f>IFERROR(VLOOKUP(B180,'Element wise-detail Summary'!$A:$D,3,0),0)</f>
        <v>Zone-2</v>
      </c>
      <c r="F180" s="143" t="str">
        <f>VLOOKUP(B180,'AFC Data details'!$B:$B,1,0)</f>
        <v>AZ2-V38-T3C4-001</v>
      </c>
      <c r="H180" s="3">
        <f>_xlfn.XLOOKUP(B180,'AFC Data details'!B:B,'AFC Data details'!P:P)</f>
        <v>1.27</v>
      </c>
    </row>
    <row r="181" spans="1:8" x14ac:dyDescent="0.25">
      <c r="A181" s="154">
        <v>45983</v>
      </c>
      <c r="B181" s="3" t="s">
        <v>1440</v>
      </c>
      <c r="C181" s="3">
        <v>1</v>
      </c>
      <c r="D181" s="3" t="str">
        <f>VLOOKUP(B181,'Element wise-detail Summary'!$A:$D,2,0)</f>
        <v>V43</v>
      </c>
      <c r="E181" s="3" t="str">
        <f>IFERROR(VLOOKUP(B181,'Element wise-detail Summary'!$A:$D,3,0),0)</f>
        <v>Zone-3</v>
      </c>
      <c r="F181" s="143" t="str">
        <f>VLOOKUP(B181,'AFC Data details'!$B:$B,1,0)</f>
        <v>AZ3-V43-T1C14-003</v>
      </c>
      <c r="H181" s="3">
        <f>_xlfn.XLOOKUP(B181,'AFC Data details'!B:B,'AFC Data details'!P:P)</f>
        <v>2.19</v>
      </c>
    </row>
    <row r="182" spans="1:8" x14ac:dyDescent="0.25">
      <c r="A182" s="154">
        <v>45983</v>
      </c>
      <c r="B182" s="3" t="s">
        <v>1461</v>
      </c>
      <c r="C182" s="3">
        <v>1</v>
      </c>
      <c r="D182" s="3" t="str">
        <f>VLOOKUP(B182,'Element wise-detail Summary'!$A:$D,2,0)</f>
        <v>V44</v>
      </c>
      <c r="E182" s="3" t="str">
        <f>IFERROR(VLOOKUP(B182,'Element wise-detail Summary'!$A:$D,3,0),0)</f>
        <v>Zone-3</v>
      </c>
      <c r="F182" s="143" t="str">
        <f>VLOOKUP(B182,'AFC Data details'!$B:$B,1,0)</f>
        <v>AZ3-V44-T1C6-004</v>
      </c>
      <c r="H182" s="3">
        <f>_xlfn.XLOOKUP(B182,'AFC Data details'!B:B,'AFC Data details'!P:P)</f>
        <v>2.097</v>
      </c>
    </row>
    <row r="183" spans="1:8" x14ac:dyDescent="0.25">
      <c r="A183" s="154">
        <v>45983</v>
      </c>
      <c r="B183" s="3" t="s">
        <v>1454</v>
      </c>
      <c r="C183" s="3">
        <v>1</v>
      </c>
      <c r="D183" s="3" t="str">
        <f>VLOOKUP(B183,'Element wise-detail Summary'!$A:$D,2,0)</f>
        <v>V44</v>
      </c>
      <c r="E183" s="3" t="str">
        <f>IFERROR(VLOOKUP(B183,'Element wise-detail Summary'!$A:$D,3,0),0)</f>
        <v>Zone-3</v>
      </c>
      <c r="F183" s="143" t="str">
        <f>VLOOKUP(B183,'AFC Data details'!$B:$B,1,0)</f>
        <v>AZ3-V44-T1C6-003</v>
      </c>
      <c r="H183" s="3">
        <f>_xlfn.XLOOKUP(B183,'AFC Data details'!B:B,'AFC Data details'!P:P)</f>
        <v>2.0590000000000002</v>
      </c>
    </row>
    <row r="184" spans="1:8" x14ac:dyDescent="0.25">
      <c r="A184" s="154">
        <v>45985</v>
      </c>
      <c r="B184" s="3" t="s">
        <v>1296</v>
      </c>
      <c r="C184" s="3">
        <v>1</v>
      </c>
      <c r="D184" s="3" t="str">
        <f>VLOOKUP(B184,'Element wise-detail Summary'!$A:$D,2,0)</f>
        <v>V29</v>
      </c>
      <c r="E184" s="3" t="str">
        <f>IFERROR(VLOOKUP(B184,'Element wise-detail Summary'!$A:$D,3,0),0)</f>
        <v>Zone-1</v>
      </c>
      <c r="F184" s="143" t="str">
        <f>VLOOKUP(B184,'AFC Data details'!$B:$B,1,0)</f>
        <v>AZ1-V29-T1C6-003</v>
      </c>
      <c r="H184" s="3">
        <f>_xlfn.XLOOKUP(B184,'AFC Data details'!B:B,'AFC Data details'!P:P)</f>
        <v>2.081</v>
      </c>
    </row>
    <row r="185" spans="1:8" x14ac:dyDescent="0.25">
      <c r="A185" s="154">
        <v>45985</v>
      </c>
      <c r="B185" s="3" t="s">
        <v>1313</v>
      </c>
      <c r="C185" s="3">
        <v>1</v>
      </c>
      <c r="D185" s="3" t="str">
        <f>VLOOKUP(B185,'Element wise-detail Summary'!$A:$D,2,0)</f>
        <v>V27</v>
      </c>
      <c r="E185" s="3" t="str">
        <f>IFERROR(VLOOKUP(B185,'Element wise-detail Summary'!$A:$D,3,0),0)</f>
        <v>Zone-1</v>
      </c>
      <c r="F185" s="143" t="str">
        <f>VLOOKUP(B185,'AFC Data details'!$B:$B,1,0)</f>
        <v>AZ1-V27-T1C6-003</v>
      </c>
      <c r="H185" s="3">
        <f>_xlfn.XLOOKUP(B185,'AFC Data details'!B:B,'AFC Data details'!P:P)</f>
        <v>2.0939999999999999</v>
      </c>
    </row>
    <row r="186" spans="1:8" x14ac:dyDescent="0.25">
      <c r="A186" s="154">
        <v>45985</v>
      </c>
      <c r="B186" s="3" t="s">
        <v>1385</v>
      </c>
      <c r="C186" s="3">
        <v>1</v>
      </c>
      <c r="D186" s="3" t="str">
        <f>VLOOKUP(B186,'Element wise-detail Summary'!$A:$D,2,0)</f>
        <v>V37</v>
      </c>
      <c r="E186" s="3" t="str">
        <f>IFERROR(VLOOKUP(B186,'Element wise-detail Summary'!$A:$D,3,0),0)</f>
        <v>Zone-2</v>
      </c>
      <c r="F186" s="143" t="str">
        <f>VLOOKUP(B186,'AFC Data details'!$B:$B,1,0)</f>
        <v>AZ2-V37-T3C5-001</v>
      </c>
      <c r="H186" s="3">
        <f>_xlfn.XLOOKUP(B186,'AFC Data details'!B:B,'AFC Data details'!P:P)</f>
        <v>1.5820000000000001</v>
      </c>
    </row>
    <row r="187" spans="1:8" x14ac:dyDescent="0.25">
      <c r="A187" s="154">
        <v>45985</v>
      </c>
      <c r="B187" s="3" t="s">
        <v>1716</v>
      </c>
      <c r="C187" s="3">
        <v>1</v>
      </c>
      <c r="D187" s="3" t="str">
        <f>VLOOKUP(B187,'Element wise-detail Summary'!$A:$D,2,0)</f>
        <v>V44</v>
      </c>
      <c r="E187" s="3" t="str">
        <f>IFERROR(VLOOKUP(B187,'Element wise-detail Summary'!$A:$D,3,0),0)</f>
        <v>Zone-3</v>
      </c>
      <c r="F187" s="143" t="str">
        <f>VLOOKUP(B187,'AFC Data details'!$B:$B,1,0)</f>
        <v>AZ3-V44-T1C6-005</v>
      </c>
      <c r="H187" s="3">
        <f>_xlfn.XLOOKUP(B187,'AFC Data details'!B:B,'AFC Data details'!P:P)</f>
        <v>2.097</v>
      </c>
    </row>
    <row r="188" spans="1:8" x14ac:dyDescent="0.25">
      <c r="A188" s="154">
        <v>45985</v>
      </c>
      <c r="B188" s="3" t="s">
        <v>1447</v>
      </c>
      <c r="C188" s="3">
        <v>1</v>
      </c>
      <c r="D188" s="3" t="str">
        <f>VLOOKUP(B188,'Element wise-detail Summary'!$A:$D,2,0)</f>
        <v>V45</v>
      </c>
      <c r="E188" s="3" t="str">
        <f>IFERROR(VLOOKUP(B188,'Element wise-detail Summary'!$A:$D,3,0),0)</f>
        <v>Zone-3</v>
      </c>
      <c r="F188" s="143" t="str">
        <f>VLOOKUP(B188,'AFC Data details'!$B:$B,1,0)</f>
        <v>AZ3-V45-T2C1-001</v>
      </c>
      <c r="H188" s="3">
        <f>_xlfn.XLOOKUP(B188,'AFC Data details'!B:B,'AFC Data details'!P:P)</f>
        <v>1.413</v>
      </c>
    </row>
    <row r="189" spans="1:8" x14ac:dyDescent="0.25">
      <c r="A189" s="154">
        <v>45986</v>
      </c>
      <c r="B189" s="3" t="s">
        <v>1237</v>
      </c>
      <c r="C189" s="3">
        <v>1</v>
      </c>
      <c r="D189" s="3" t="str">
        <f>VLOOKUP(B189,'Element wise-detail Summary'!$A:$D,2,0)</f>
        <v>V20</v>
      </c>
      <c r="E189" s="3" t="str">
        <f>IFERROR(VLOOKUP(B189,'Element wise-detail Summary'!$A:$D,3,0),0)</f>
        <v>Zone-1</v>
      </c>
      <c r="F189" s="143" t="str">
        <f>VLOOKUP(B189,'AFC Data details'!$B:$B,1,0)</f>
        <v>AZ1-V20-T1C6-002</v>
      </c>
      <c r="H189" s="3">
        <f>_xlfn.XLOOKUP(B189,'AFC Data details'!B:B,'AFC Data details'!P:P)</f>
        <v>2.097</v>
      </c>
    </row>
    <row r="190" spans="1:8" x14ac:dyDescent="0.25">
      <c r="A190" s="154">
        <v>45986</v>
      </c>
      <c r="B190" s="3" t="s">
        <v>1261</v>
      </c>
      <c r="C190" s="3">
        <v>1</v>
      </c>
      <c r="D190" s="3" t="str">
        <f>VLOOKUP(B190,'Element wise-detail Summary'!$A:$D,2,0)</f>
        <v>V23</v>
      </c>
      <c r="E190" s="3" t="str">
        <f>IFERROR(VLOOKUP(B190,'Element wise-detail Summary'!$A:$D,3,0),0)</f>
        <v>Zone-1</v>
      </c>
      <c r="F190" s="143" t="str">
        <f>VLOOKUP(B190,'AFC Data details'!$B:$B,1,0)</f>
        <v>AZ1-V23-T1C6-001</v>
      </c>
      <c r="H190" s="3">
        <f>_xlfn.XLOOKUP(B190,'AFC Data details'!B:B,'AFC Data details'!P:P)</f>
        <v>2.09</v>
      </c>
    </row>
    <row r="191" spans="1:8" x14ac:dyDescent="0.25">
      <c r="A191" s="154">
        <v>45986</v>
      </c>
      <c r="B191" s="3" t="s">
        <v>1404</v>
      </c>
      <c r="C191" s="3">
        <v>1</v>
      </c>
      <c r="D191" s="3" t="str">
        <f>VLOOKUP(B191,'Element wise-detail Summary'!$A:$D,2,0)</f>
        <v>V39</v>
      </c>
      <c r="E191" s="3" t="str">
        <f>IFERROR(VLOOKUP(B191,'Element wise-detail Summary'!$A:$D,3,0),0)</f>
        <v>Zone-2</v>
      </c>
      <c r="F191" s="143" t="str">
        <f>VLOOKUP(B191,'AFC Data details'!$B:$B,1,0)</f>
        <v>AZ2-V39-T3C4-002</v>
      </c>
      <c r="H191" s="3">
        <f>_xlfn.XLOOKUP(B191,'AFC Data details'!B:B,'AFC Data details'!P:P)</f>
        <v>1.288</v>
      </c>
    </row>
    <row r="192" spans="1:8" x14ac:dyDescent="0.25">
      <c r="A192" s="154">
        <v>45986</v>
      </c>
      <c r="B192" s="3" t="s">
        <v>1715</v>
      </c>
      <c r="C192" s="3">
        <v>1</v>
      </c>
      <c r="D192" s="3" t="str">
        <f>VLOOKUP(B192,'Element wise-detail Summary'!$A:$D,2,0)</f>
        <v>V45</v>
      </c>
      <c r="E192" s="3" t="str">
        <f>IFERROR(VLOOKUP(B192,'Element wise-detail Summary'!$A:$D,3,0),0)</f>
        <v>Zone-3</v>
      </c>
      <c r="F192" s="143" t="str">
        <f>VLOOKUP(B192,'AFC Data details'!$B:$B,1,0)</f>
        <v>AZ3-V45-T1C6-004</v>
      </c>
      <c r="H192" s="3">
        <f>_xlfn.XLOOKUP(B192,'AFC Data details'!B:B,'AFC Data details'!P:P)</f>
        <v>2.097</v>
      </c>
    </row>
    <row r="193" spans="1:8" x14ac:dyDescent="0.25">
      <c r="A193" s="154">
        <v>45986</v>
      </c>
      <c r="B193" s="3" t="s">
        <v>1455</v>
      </c>
      <c r="C193" s="3">
        <v>1</v>
      </c>
      <c r="D193" s="3" t="str">
        <f>VLOOKUP(B193,'Element wise-detail Summary'!$A:$D,2,0)</f>
        <v>V45</v>
      </c>
      <c r="E193" s="3" t="str">
        <f>IFERROR(VLOOKUP(B193,'Element wise-detail Summary'!$A:$D,3,0),0)</f>
        <v>Zone-3</v>
      </c>
      <c r="F193" s="143" t="str">
        <f>VLOOKUP(B193,'AFC Data details'!$B:$B,1,0)</f>
        <v>AZ3-V45-T1C6-002</v>
      </c>
      <c r="H193" s="3">
        <f>_xlfn.XLOOKUP(B193,'AFC Data details'!B:B,'AFC Data details'!P:P)</f>
        <v>2.0590000000000002</v>
      </c>
    </row>
    <row r="194" spans="1:8" x14ac:dyDescent="0.25">
      <c r="A194" s="154">
        <v>45986</v>
      </c>
      <c r="B194" s="3" t="s">
        <v>1438</v>
      </c>
      <c r="C194" s="3">
        <v>1</v>
      </c>
      <c r="D194" s="3" t="str">
        <f>VLOOKUP(B194,'Element wise-detail Summary'!$A:$D,2,0)</f>
        <v>V43</v>
      </c>
      <c r="E194" s="3" t="str">
        <f>IFERROR(VLOOKUP(B194,'Element wise-detail Summary'!$A:$D,3,0),0)</f>
        <v>Zone-3</v>
      </c>
      <c r="F194" s="143" t="str">
        <f>VLOOKUP(B194,'AFC Data details'!$B:$B,1,0)</f>
        <v>AZ3-V43-T1C14-001</v>
      </c>
      <c r="H194" s="3">
        <f>_xlfn.XLOOKUP(B194,'AFC Data details'!B:B,'AFC Data details'!P:P)</f>
        <v>2.4980000000000002</v>
      </c>
    </row>
    <row r="195" spans="1:8" x14ac:dyDescent="0.25">
      <c r="A195" s="154">
        <v>45986</v>
      </c>
      <c r="B195" s="3" t="s">
        <v>1439</v>
      </c>
      <c r="C195" s="3">
        <v>1</v>
      </c>
      <c r="D195" s="3" t="str">
        <f>VLOOKUP(B195,'Element wise-detail Summary'!$A:$D,2,0)</f>
        <v>V43</v>
      </c>
      <c r="E195" s="3" t="str">
        <f>IFERROR(VLOOKUP(B195,'Element wise-detail Summary'!$A:$D,3,0),0)</f>
        <v>Zone-3</v>
      </c>
      <c r="F195" s="143" t="str">
        <f>VLOOKUP(B195,'AFC Data details'!$B:$B,1,0)</f>
        <v>AZ3-V43-T1C14-002</v>
      </c>
      <c r="H195" s="3">
        <f>_xlfn.XLOOKUP(B195,'AFC Data details'!B:B,'AFC Data details'!P:P)</f>
        <v>2.19</v>
      </c>
    </row>
    <row r="196" spans="1:8" x14ac:dyDescent="0.25">
      <c r="A196" s="154">
        <v>45987</v>
      </c>
      <c r="B196" s="3" t="s">
        <v>1314</v>
      </c>
      <c r="C196" s="3">
        <v>1</v>
      </c>
      <c r="D196" s="3" t="str">
        <f>VLOOKUP(B196,'Element wise-detail Summary'!$A:$D,2,0)</f>
        <v>V26</v>
      </c>
      <c r="E196" s="3" t="str">
        <f>IFERROR(VLOOKUP(B196,'Element wise-detail Summary'!$A:$D,3,0),0)</f>
        <v>Zone-1</v>
      </c>
      <c r="F196" s="143" t="str">
        <f>VLOOKUP(B196,'AFC Data details'!$B:$B,1,0)</f>
        <v>AZ1-V26-T1C6-002</v>
      </c>
      <c r="H196" s="3">
        <f>_xlfn.XLOOKUP(B196,'AFC Data details'!B:B,'AFC Data details'!P:P)</f>
        <v>2.0939999999999999</v>
      </c>
    </row>
    <row r="197" spans="1:8" x14ac:dyDescent="0.25">
      <c r="A197" s="154">
        <v>45987</v>
      </c>
      <c r="B197" s="3" t="s">
        <v>1456</v>
      </c>
      <c r="C197" s="3">
        <v>1</v>
      </c>
      <c r="D197" s="3" t="str">
        <f>VLOOKUP(B197,'Element wise-detail Summary'!$A:$D,2,0)</f>
        <v>V45</v>
      </c>
      <c r="E197" s="3" t="str">
        <f>IFERROR(VLOOKUP(B197,'Element wise-detail Summary'!$A:$D,3,0),0)</f>
        <v>Zone-3</v>
      </c>
      <c r="F197" s="143" t="str">
        <f>VLOOKUP(B197,'AFC Data details'!$B:$B,1,0)</f>
        <v>AZ3-V45-T1C6-003</v>
      </c>
      <c r="H197" s="3">
        <f>_xlfn.XLOOKUP(B197,'AFC Data details'!B:B,'AFC Data details'!P:P)</f>
        <v>2.0590000000000002</v>
      </c>
    </row>
    <row r="198" spans="1:8" x14ac:dyDescent="0.25">
      <c r="A198" s="154">
        <v>45987</v>
      </c>
      <c r="B198" s="3" t="s">
        <v>1445</v>
      </c>
      <c r="C198" s="3">
        <v>1</v>
      </c>
      <c r="D198" s="3" t="str">
        <f>VLOOKUP(B198,'Element wise-detail Summary'!$A:$D,2,0)</f>
        <v>V43</v>
      </c>
      <c r="E198" s="3" t="str">
        <f>IFERROR(VLOOKUP(B198,'Element wise-detail Summary'!$A:$D,3,0),0)</f>
        <v>Zone-3</v>
      </c>
      <c r="F198" s="143" t="str">
        <f>VLOOKUP(B198,'AFC Data details'!$B:$B,1,0)</f>
        <v>AZ3-V43-T1C15-002</v>
      </c>
      <c r="H198" s="3">
        <f>_xlfn.XLOOKUP(B198,'AFC Data details'!B:B,'AFC Data details'!P:P)</f>
        <v>2.5939999999999999</v>
      </c>
    </row>
    <row r="199" spans="1:8" x14ac:dyDescent="0.25">
      <c r="A199" s="154">
        <v>45987</v>
      </c>
      <c r="B199" s="3" t="s">
        <v>1441</v>
      </c>
      <c r="C199" s="3">
        <v>1</v>
      </c>
      <c r="D199" s="3" t="str">
        <f>VLOOKUP(B199,'Element wise-detail Summary'!$A:$D,2,0)</f>
        <v>V43</v>
      </c>
      <c r="E199" s="3" t="str">
        <f>IFERROR(VLOOKUP(B199,'Element wise-detail Summary'!$A:$D,3,0),0)</f>
        <v>Zone-3</v>
      </c>
      <c r="F199" s="143" t="str">
        <f>VLOOKUP(B199,'AFC Data details'!$B:$B,1,0)</f>
        <v>AZ3-V43-T1C14-004</v>
      </c>
      <c r="H199" s="3">
        <f>_xlfn.XLOOKUP(B199,'AFC Data details'!B:B,'AFC Data details'!P:P)</f>
        <v>2.19</v>
      </c>
    </row>
    <row r="200" spans="1:8" x14ac:dyDescent="0.25">
      <c r="A200" s="154">
        <v>45987</v>
      </c>
      <c r="B200" s="3" t="s">
        <v>1714</v>
      </c>
      <c r="C200" s="3">
        <v>1</v>
      </c>
      <c r="D200" s="3" t="str">
        <f>VLOOKUP(B200,'Element wise-detail Summary'!$A:$D,2,0)</f>
        <v>V45</v>
      </c>
      <c r="E200" s="3" t="str">
        <f>IFERROR(VLOOKUP(B200,'Element wise-detail Summary'!$A:$D,3,0),0)</f>
        <v>Zone-3</v>
      </c>
      <c r="F200" s="143" t="str">
        <f>VLOOKUP(B200,'AFC Data details'!$B:$B,1,0)</f>
        <v>AZ3-V45-T1C6-005</v>
      </c>
      <c r="H200" s="3">
        <f>_xlfn.XLOOKUP(B200,'AFC Data details'!B:B,'AFC Data details'!P:P)</f>
        <v>2.097</v>
      </c>
    </row>
    <row r="201" spans="1:8" x14ac:dyDescent="0.25">
      <c r="A201" s="154">
        <v>45987</v>
      </c>
      <c r="B201" s="3" t="s">
        <v>1448</v>
      </c>
      <c r="C201" s="3">
        <v>1</v>
      </c>
      <c r="D201" s="3" t="str">
        <f>VLOOKUP(B201,'Element wise-detail Summary'!$A:$D,2,0)</f>
        <v>V47</v>
      </c>
      <c r="E201" s="3" t="str">
        <f>IFERROR(VLOOKUP(B201,'Element wise-detail Summary'!$A:$D,3,0),0)</f>
        <v>Zone-3</v>
      </c>
      <c r="F201" s="143" t="str">
        <f>VLOOKUP(B201,'AFC Data details'!$B:$B,1,0)</f>
        <v>AZ3-V47-T2C1-001</v>
      </c>
      <c r="H201" s="3">
        <f>_xlfn.XLOOKUP(B201,'AFC Data details'!B:B,'AFC Data details'!P:P)</f>
        <v>1.413</v>
      </c>
    </row>
    <row r="202" spans="1:8" x14ac:dyDescent="0.25">
      <c r="A202" s="154">
        <v>45988</v>
      </c>
      <c r="B202" s="164" t="s">
        <v>1238</v>
      </c>
      <c r="C202" s="3">
        <v>1</v>
      </c>
      <c r="D202" s="3" t="str">
        <f>VLOOKUP(B202,'Element wise-detail Summary'!$A:$D,2,0)</f>
        <v>V21</v>
      </c>
      <c r="E202" s="3" t="str">
        <f>IFERROR(VLOOKUP(B202,'Element wise-detail Summary'!$A:$D,3,0),0)</f>
        <v>Zone-1</v>
      </c>
      <c r="F202" s="143" t="str">
        <f>VLOOKUP(B202,'AFC Data details'!$B:$B,1,0)</f>
        <v>AZ1-V21-T1C6-002</v>
      </c>
      <c r="H202" s="3">
        <f>_xlfn.XLOOKUP(B202,'AFC Data details'!B:B,'AFC Data details'!P:P)</f>
        <v>2.097</v>
      </c>
    </row>
    <row r="203" spans="1:8" x14ac:dyDescent="0.25">
      <c r="A203" s="154">
        <v>45988</v>
      </c>
      <c r="B203" s="3" t="s">
        <v>1457</v>
      </c>
      <c r="C203" s="3">
        <v>1</v>
      </c>
      <c r="D203" s="3" t="str">
        <f>VLOOKUP(B203,'Element wise-detail Summary'!$A:$D,2,0)</f>
        <v>V46</v>
      </c>
      <c r="E203" s="3" t="str">
        <f>IFERROR(VLOOKUP(B203,'Element wise-detail Summary'!$A:$D,3,0),0)</f>
        <v>Zone-3</v>
      </c>
      <c r="F203" s="143" t="str">
        <f>VLOOKUP(B203,'AFC Data details'!$B:$B,1,0)</f>
        <v>AZ3-V46-T1C6-002</v>
      </c>
      <c r="H203" s="3">
        <f>_xlfn.XLOOKUP(B203,'AFC Data details'!B:B,'AFC Data details'!P:P)</f>
        <v>2.0590000000000002</v>
      </c>
    </row>
    <row r="204" spans="1:8" x14ac:dyDescent="0.25">
      <c r="A204" s="154">
        <v>45988</v>
      </c>
      <c r="B204" s="3" t="s">
        <v>1442</v>
      </c>
      <c r="C204" s="3">
        <v>1</v>
      </c>
      <c r="D204" s="3" t="str">
        <f>VLOOKUP(B204,'Element wise-detail Summary'!$A:$D,2,0)</f>
        <v>V43</v>
      </c>
      <c r="E204" s="3" t="str">
        <f>IFERROR(VLOOKUP(B204,'Element wise-detail Summary'!$A:$D,3,0),0)</f>
        <v>Zone-3</v>
      </c>
      <c r="F204" s="143" t="str">
        <f>VLOOKUP(B204,'AFC Data details'!$B:$B,1,0)</f>
        <v>AZ3-V43-T1C14-005</v>
      </c>
      <c r="H204" s="3">
        <f>_xlfn.XLOOKUP(B204,'AFC Data details'!B:B,'AFC Data details'!P:P)</f>
        <v>2.19</v>
      </c>
    </row>
    <row r="205" spans="1:8" x14ac:dyDescent="0.25">
      <c r="A205" s="154">
        <v>45988</v>
      </c>
      <c r="B205" s="3" t="s">
        <v>1443</v>
      </c>
      <c r="C205" s="3">
        <v>1</v>
      </c>
      <c r="D205" s="3" t="str">
        <f>VLOOKUP(B205,'Element wise-detail Summary'!$A:$D,2,0)</f>
        <v>V43</v>
      </c>
      <c r="E205" s="3" t="str">
        <f>IFERROR(VLOOKUP(B205,'Element wise-detail Summary'!$A:$D,3,0),0)</f>
        <v>Zone-3</v>
      </c>
      <c r="F205" s="143" t="str">
        <f>VLOOKUP(B205,'AFC Data details'!$B:$B,1,0)</f>
        <v>AZ3-V43-T1C15-001</v>
      </c>
      <c r="H205" s="3">
        <f>_xlfn.XLOOKUP(B205,'AFC Data details'!B:B,'AFC Data details'!P:P)</f>
        <v>2.5939999999999999</v>
      </c>
    </row>
    <row r="206" spans="1:8" x14ac:dyDescent="0.25">
      <c r="A206" s="154">
        <v>45989</v>
      </c>
      <c r="B206" s="3" t="s">
        <v>1267</v>
      </c>
      <c r="C206" s="3">
        <v>1</v>
      </c>
      <c r="D206" s="3" t="str">
        <f>VLOOKUP(B206,'Element wise-detail Summary'!$A:$D,2,0)</f>
        <v>V24</v>
      </c>
      <c r="E206" s="3" t="str">
        <f>IFERROR(VLOOKUP(B206,'Element wise-detail Summary'!$A:$D,3,0),0)</f>
        <v>Zone-1</v>
      </c>
      <c r="F206" s="143" t="str">
        <f>VLOOKUP(B206,'AFC Data details'!$B:$B,1,0)</f>
        <v>AZ1-V24-T1C6-001</v>
      </c>
      <c r="H206" s="3">
        <f>_xlfn.XLOOKUP(B206,'AFC Data details'!B:B,'AFC Data details'!P:P)</f>
        <v>2.0619999999999998</v>
      </c>
    </row>
    <row r="207" spans="1:8" x14ac:dyDescent="0.25">
      <c r="A207" s="154">
        <v>45989</v>
      </c>
      <c r="B207" s="3" t="s">
        <v>1297</v>
      </c>
      <c r="C207" s="3">
        <v>1</v>
      </c>
      <c r="D207" s="3" t="str">
        <f>VLOOKUP(B207,'Element wise-detail Summary'!$A:$D,2,0)</f>
        <v>V28</v>
      </c>
      <c r="E207" s="3" t="str">
        <f>IFERROR(VLOOKUP(B207,'Element wise-detail Summary'!$A:$D,3,0),0)</f>
        <v>Zone-1</v>
      </c>
      <c r="F207" s="143" t="str">
        <f>VLOOKUP(B207,'AFC Data details'!$B:$B,1,0)</f>
        <v>AZ1-V28-T1C6-002</v>
      </c>
      <c r="H207" s="3">
        <f>_xlfn.XLOOKUP(B207,'AFC Data details'!B:B,'AFC Data details'!P:P)</f>
        <v>2.081</v>
      </c>
    </row>
    <row r="208" spans="1:8" x14ac:dyDescent="0.25">
      <c r="A208" s="154">
        <v>45989</v>
      </c>
      <c r="B208" s="3" t="s">
        <v>1459</v>
      </c>
      <c r="C208" s="3">
        <v>1</v>
      </c>
      <c r="D208" s="3" t="str">
        <f>VLOOKUP(B208,'Element wise-detail Summary'!$A:$D,2,0)</f>
        <v>V47</v>
      </c>
      <c r="E208" s="3" t="str">
        <f>IFERROR(VLOOKUP(B208,'Element wise-detail Summary'!$A:$D,3,0),0)</f>
        <v>Zone-3</v>
      </c>
      <c r="F208" s="143" t="str">
        <f>VLOOKUP(B208,'AFC Data details'!$B:$B,1,0)</f>
        <v>AZ3-V47-T1C6-002</v>
      </c>
      <c r="H208" s="3">
        <f>_xlfn.XLOOKUP(B208,'AFC Data details'!B:B,'AFC Data details'!P:P)</f>
        <v>2.0590000000000002</v>
      </c>
    </row>
    <row r="209" spans="1:8" x14ac:dyDescent="0.25">
      <c r="A209" s="154">
        <v>45989</v>
      </c>
      <c r="B209" s="3" t="s">
        <v>1713</v>
      </c>
      <c r="C209" s="3">
        <v>1</v>
      </c>
      <c r="D209" s="3" t="str">
        <f>VLOOKUP(B209,'Element wise-detail Summary'!$A:$D,2,0)</f>
        <v>V46</v>
      </c>
      <c r="E209" s="3" t="str">
        <f>IFERROR(VLOOKUP(B209,'Element wise-detail Summary'!$A:$D,3,0),0)</f>
        <v>Zone-3</v>
      </c>
      <c r="F209" s="143" t="str">
        <f>VLOOKUP(B209,'AFC Data details'!$B:$B,1,0)</f>
        <v>AZ3-V46-T1C6-005</v>
      </c>
      <c r="H209" s="3">
        <f>_xlfn.XLOOKUP(B209,'AFC Data details'!B:B,'AFC Data details'!P:P)</f>
        <v>2.097</v>
      </c>
    </row>
    <row r="210" spans="1:8" x14ac:dyDescent="0.25">
      <c r="A210" s="154">
        <v>45989</v>
      </c>
      <c r="B210" s="3" t="s">
        <v>1433</v>
      </c>
      <c r="C210" s="3">
        <v>1</v>
      </c>
      <c r="D210" s="3" t="str">
        <f>VLOOKUP(B210,'Element wise-detail Summary'!$A:$D,2,0)</f>
        <v>V43</v>
      </c>
      <c r="E210" s="3" t="str">
        <f>IFERROR(VLOOKUP(B210,'Element wise-detail Summary'!$A:$D,3,0),0)</f>
        <v>Zone-3</v>
      </c>
      <c r="F210" s="143" t="str">
        <f>VLOOKUP(B210,'AFC Data details'!$B:$B,1,0)</f>
        <v>AZ3-V43-T1C3-001</v>
      </c>
      <c r="H210" s="3">
        <f>_xlfn.XLOOKUP(B210,'AFC Data details'!B:B,'AFC Data details'!P:P)</f>
        <v>1.232</v>
      </c>
    </row>
    <row r="211" spans="1:8" x14ac:dyDescent="0.25">
      <c r="A211" s="154">
        <v>45990</v>
      </c>
      <c r="B211" s="3" t="s">
        <v>1240</v>
      </c>
      <c r="C211" s="3">
        <v>1</v>
      </c>
      <c r="D211" s="3" t="str">
        <f>VLOOKUP(B211,'Element wise-detail Summary'!$A:$D,2,0)</f>
        <v>V21</v>
      </c>
      <c r="E211" s="3" t="str">
        <f>IFERROR(VLOOKUP(B211,'Element wise-detail Summary'!$A:$D,3,0),0)</f>
        <v>Zone-1</v>
      </c>
      <c r="F211" s="143" t="str">
        <f>VLOOKUP(B211,'AFC Data details'!$B:$B,1,0)</f>
        <v>AZ1-V21-T1C6-001</v>
      </c>
      <c r="H211" s="3">
        <f>_xlfn.XLOOKUP(B211,'AFC Data details'!B:B,'AFC Data details'!P:P)</f>
        <v>2.097</v>
      </c>
    </row>
    <row r="212" spans="1:8" x14ac:dyDescent="0.25">
      <c r="A212" s="154">
        <v>45990</v>
      </c>
      <c r="B212" s="3" t="s">
        <v>1418</v>
      </c>
      <c r="C212" s="3">
        <v>1</v>
      </c>
      <c r="D212" s="3" t="str">
        <f>VLOOKUP(B212,'Element wise-detail Summary'!$A:$D,2,0)</f>
        <v>V40</v>
      </c>
      <c r="E212" s="3" t="str">
        <f>IFERROR(VLOOKUP(B212,'Element wise-detail Summary'!$A:$D,3,0),0)</f>
        <v>Zone-2</v>
      </c>
      <c r="F212" s="143" t="str">
        <f>VLOOKUP(B212,'AFC Data details'!$B:$B,1,0)</f>
        <v>AZ2-V40-T3C4-001</v>
      </c>
      <c r="H212" s="3">
        <f>_xlfn.XLOOKUP(B212,'AFC Data details'!B:B,'AFC Data details'!P:P)</f>
        <v>1.2290000000000001</v>
      </c>
    </row>
    <row r="213" spans="1:8" x14ac:dyDescent="0.25">
      <c r="A213" s="154">
        <v>45990</v>
      </c>
      <c r="B213" s="3" t="s">
        <v>1401</v>
      </c>
      <c r="C213" s="3">
        <v>1</v>
      </c>
      <c r="D213" s="3" t="str">
        <f>VLOOKUP(B213,'Element wise-detail Summary'!$A:$D,2,0)</f>
        <v>V38</v>
      </c>
      <c r="E213" s="3" t="str">
        <f>IFERROR(VLOOKUP(B213,'Element wise-detail Summary'!$A:$D,3,0),0)</f>
        <v>Zone-2</v>
      </c>
      <c r="F213" s="143" t="str">
        <f>VLOOKUP(B213,'AFC Data details'!$B:$B,1,0)</f>
        <v>AZ2-V38-T3C4-002</v>
      </c>
      <c r="H213" s="3">
        <f>_xlfn.XLOOKUP(B213,'AFC Data details'!B:B,'AFC Data details'!P:P)</f>
        <v>1.466</v>
      </c>
    </row>
    <row r="214" spans="1:8" x14ac:dyDescent="0.25">
      <c r="A214" s="154">
        <v>45990</v>
      </c>
      <c r="B214" s="3" t="s">
        <v>1460</v>
      </c>
      <c r="C214" s="3">
        <v>1</v>
      </c>
      <c r="D214" s="3" t="str">
        <f>VLOOKUP(B214,'Element wise-detail Summary'!$A:$D,2,0)</f>
        <v>V47</v>
      </c>
      <c r="E214" s="3" t="str">
        <f>IFERROR(VLOOKUP(B214,'Element wise-detail Summary'!$A:$D,3,0),0)</f>
        <v>Zone-3</v>
      </c>
      <c r="F214" s="143" t="str">
        <f>VLOOKUP(B214,'AFC Data details'!$B:$B,1,0)</f>
        <v>AZ3-V47-T1C6-003</v>
      </c>
      <c r="H214" s="3">
        <f>_xlfn.XLOOKUP(B214,'AFC Data details'!B:B,'AFC Data details'!P:P)</f>
        <v>2.0590000000000002</v>
      </c>
    </row>
    <row r="215" spans="1:8" x14ac:dyDescent="0.25">
      <c r="A215" s="154">
        <v>45990</v>
      </c>
      <c r="B215" s="3" t="s">
        <v>1434</v>
      </c>
      <c r="C215" s="3">
        <v>1</v>
      </c>
      <c r="D215" s="3" t="str">
        <f>VLOOKUP(B215,'Element wise-detail Summary'!$A:$D,2,0)</f>
        <v>V43</v>
      </c>
      <c r="E215" s="3" t="str">
        <f>IFERROR(VLOOKUP(B215,'Element wise-detail Summary'!$A:$D,3,0),0)</f>
        <v>Zone-3</v>
      </c>
      <c r="F215" s="143" t="str">
        <f>VLOOKUP(B215,'AFC Data details'!$B:$B,1,0)</f>
        <v>AZ3-V43-T1C10-001</v>
      </c>
      <c r="H215" s="3">
        <f>_xlfn.XLOOKUP(B215,'AFC Data details'!B:B,'AFC Data details'!P:P)</f>
        <v>1.387</v>
      </c>
    </row>
    <row r="216" spans="1:8" x14ac:dyDescent="0.25">
      <c r="A216" s="154">
        <v>45990</v>
      </c>
      <c r="B216" s="3" t="s">
        <v>1437</v>
      </c>
      <c r="C216" s="3">
        <v>1</v>
      </c>
      <c r="D216" s="3" t="str">
        <f>VLOOKUP(B216,'Element wise-detail Summary'!$A:$D,2,0)</f>
        <v>V43</v>
      </c>
      <c r="E216" s="3" t="str">
        <f>IFERROR(VLOOKUP(B216,'Element wise-detail Summary'!$A:$D,3,0),0)</f>
        <v>Zone-3</v>
      </c>
      <c r="F216" s="143" t="str">
        <f>VLOOKUP(B216,'AFC Data details'!$B:$B,1,0)</f>
        <v>AZ3-V43-T1C11-002</v>
      </c>
      <c r="H216" s="3">
        <f>_xlfn.XLOOKUP(B216,'AFC Data details'!B:B,'AFC Data details'!P:P)</f>
        <v>1.77</v>
      </c>
    </row>
    <row r="217" spans="1:8" x14ac:dyDescent="0.25">
      <c r="A217" s="154">
        <v>45994</v>
      </c>
      <c r="B217" s="3" t="s">
        <v>1298</v>
      </c>
      <c r="C217" s="3">
        <v>1</v>
      </c>
      <c r="D217" s="3" t="str">
        <f>VLOOKUP(B217,'Element wise-detail Summary'!$A:$D,2,0)</f>
        <v>V29</v>
      </c>
      <c r="E217" s="3" t="str">
        <f>IFERROR(VLOOKUP(B217,'Element wise-detail Summary'!$A:$D,3,0),0)</f>
        <v>Zone-1</v>
      </c>
      <c r="F217" s="143" t="str">
        <f>VLOOKUP(B217,'AFC Data details'!$B:$B,1,0)</f>
        <v>AZ1-V29-T1C6-002</v>
      </c>
      <c r="H217" s="3">
        <f>_xlfn.XLOOKUP(B217,'AFC Data details'!B:B,'AFC Data details'!P:P)</f>
        <v>2.081</v>
      </c>
    </row>
    <row r="218" spans="1:8" x14ac:dyDescent="0.25">
      <c r="A218" s="154">
        <v>45994</v>
      </c>
      <c r="B218" s="3" t="s">
        <v>1315</v>
      </c>
      <c r="C218" s="3">
        <v>1</v>
      </c>
      <c r="D218" s="3" t="str">
        <f>VLOOKUP(B218,'Element wise-detail Summary'!$A:$D,2,0)</f>
        <v>V27</v>
      </c>
      <c r="E218" s="3" t="str">
        <f>IFERROR(VLOOKUP(B218,'Element wise-detail Summary'!$A:$D,3,0),0)</f>
        <v>Zone-1</v>
      </c>
      <c r="F218" s="143" t="str">
        <f>VLOOKUP(B218,'AFC Data details'!$B:$B,1,0)</f>
        <v>AZ1-V27-T1C6-002</v>
      </c>
      <c r="H218" s="3">
        <f>_xlfn.XLOOKUP(B218,'AFC Data details'!B:B,'AFC Data details'!P:P)</f>
        <v>2.0939999999999999</v>
      </c>
    </row>
    <row r="219" spans="1:8" x14ac:dyDescent="0.25">
      <c r="A219" s="154">
        <v>45995</v>
      </c>
      <c r="B219" s="3" t="s">
        <v>1245</v>
      </c>
      <c r="C219" s="3">
        <v>1</v>
      </c>
      <c r="D219" s="3" t="str">
        <f>VLOOKUP(B219,'Element wise-detail Summary'!$A:$D,2,0)</f>
        <v>V22</v>
      </c>
      <c r="E219" s="3" t="str">
        <f>IFERROR(VLOOKUP(B219,'Element wise-detail Summary'!$A:$D,3,0),0)</f>
        <v>Zone-1</v>
      </c>
      <c r="F219" s="143" t="str">
        <f>VLOOKUP(B219,'AFC Data details'!$B:$B,1,0)</f>
        <v>AZ1-V22-T1C6-001</v>
      </c>
      <c r="H219" s="3">
        <f>_xlfn.XLOOKUP(B219,'AFC Data details'!B:B,'AFC Data details'!P:P)</f>
        <v>2.09</v>
      </c>
    </row>
    <row r="220" spans="1:8" x14ac:dyDescent="0.25">
      <c r="A220" s="154">
        <v>45995</v>
      </c>
      <c r="B220" s="3" t="s">
        <v>1422</v>
      </c>
      <c r="C220" s="3">
        <v>1</v>
      </c>
      <c r="D220" s="3" t="str">
        <f>VLOOKUP(B220,'Element wise-detail Summary'!$A:$D,2,0)</f>
        <v>V41</v>
      </c>
      <c r="E220" s="3" t="str">
        <f>IFERROR(VLOOKUP(B220,'Element wise-detail Summary'!$A:$D,3,0),0)</f>
        <v>Zone-2</v>
      </c>
      <c r="F220" s="143" t="str">
        <f>VLOOKUP(B220,'AFC Data details'!$B:$B,1,0)</f>
        <v>AZ2-V41-T3C4-002</v>
      </c>
      <c r="H220" s="3">
        <f>_xlfn.XLOOKUP(B220,'AFC Data details'!B:B,'AFC Data details'!P:P)</f>
        <v>1.264</v>
      </c>
    </row>
    <row r="221" spans="1:8" x14ac:dyDescent="0.25">
      <c r="A221" s="154">
        <v>45995</v>
      </c>
      <c r="B221" s="3" t="s">
        <v>1323</v>
      </c>
      <c r="C221" s="3">
        <v>1</v>
      </c>
      <c r="D221" s="3" t="str">
        <f>VLOOKUP(B221,'Element wise-detail Summary'!$A:$D,2,0)</f>
        <v>V29</v>
      </c>
      <c r="E221" s="3" t="str">
        <f>IFERROR(VLOOKUP(B221,'Element wise-detail Summary'!$A:$D,3,0),0)</f>
        <v>Zone-1</v>
      </c>
      <c r="F221" s="143" t="str">
        <f>VLOOKUP(B221,'AFC Data details'!$B:$B,1,0)</f>
        <v>AZ1-V29-T1C6-004</v>
      </c>
      <c r="H221" s="3">
        <f>_xlfn.XLOOKUP(B221,'AFC Data details'!B:B,'AFC Data details'!P:P)</f>
        <v>2.0470000000000002</v>
      </c>
    </row>
    <row r="222" spans="1:8" x14ac:dyDescent="0.25">
      <c r="A222" s="154">
        <v>45995</v>
      </c>
      <c r="B222" s="3" t="s">
        <v>1329</v>
      </c>
      <c r="C222" s="3">
        <v>1</v>
      </c>
      <c r="D222" s="3" t="str">
        <f>VLOOKUP(B222,'Element wise-detail Summary'!$A:$D,2,0)</f>
        <v>V27</v>
      </c>
      <c r="E222" s="3" t="str">
        <f>IFERROR(VLOOKUP(B222,'Element wise-detail Summary'!$A:$D,3,0),0)</f>
        <v>Zone-1</v>
      </c>
      <c r="F222" s="143" t="str">
        <f>VLOOKUP(B222,'AFC Data details'!$B:$B,1,0)</f>
        <v>AZ1-V27-T1C6-001</v>
      </c>
      <c r="H222" s="3">
        <f>_xlfn.XLOOKUP(B222,'AFC Data details'!B:B,'AFC Data details'!P:P)</f>
        <v>2.0939999999999999</v>
      </c>
    </row>
    <row r="223" spans="1:8" x14ac:dyDescent="0.25">
      <c r="A223" s="154">
        <v>45995</v>
      </c>
      <c r="B223" s="3" t="s">
        <v>1449</v>
      </c>
      <c r="C223" s="3">
        <v>1</v>
      </c>
      <c r="D223" s="3" t="str">
        <f>VLOOKUP(B223,'Element wise-detail Summary'!$A:$D,2,0)</f>
        <v>V43</v>
      </c>
      <c r="E223" s="3" t="str">
        <f>IFERROR(VLOOKUP(B223,'Element wise-detail Summary'!$A:$D,3,0),0)</f>
        <v>Zone-3</v>
      </c>
      <c r="F223" s="143" t="str">
        <f>VLOOKUP(B223,'AFC Data details'!$B:$B,1,0)</f>
        <v>AZ3-V43-T3C3-001</v>
      </c>
      <c r="H223" s="3">
        <f>_xlfn.XLOOKUP(B223,'AFC Data details'!B:B,'AFC Data details'!P:P)</f>
        <v>1.4650000000000001</v>
      </c>
    </row>
    <row r="224" spans="1:8" x14ac:dyDescent="0.25">
      <c r="A224" s="154">
        <v>45995</v>
      </c>
      <c r="B224" s="3" t="s">
        <v>1755</v>
      </c>
      <c r="C224" s="3">
        <v>1</v>
      </c>
      <c r="D224" s="3" t="str">
        <f>VLOOKUP(B224,'Element wise-detail Summary'!$A:$D,2,0)</f>
        <v>V47</v>
      </c>
      <c r="E224" s="3" t="str">
        <f>IFERROR(VLOOKUP(B224,'Element wise-detail Summary'!$A:$D,3,0),0)</f>
        <v>Zone-3</v>
      </c>
      <c r="F224" s="143" t="str">
        <f>VLOOKUP(B224,'AFC Data details'!$B:$B,1,0)</f>
        <v>AZ3-V47-T1C6-005</v>
      </c>
      <c r="H224" s="3">
        <f>_xlfn.XLOOKUP(B224,'AFC Data details'!B:B,'AFC Data details'!P:P)</f>
        <v>2.097</v>
      </c>
    </row>
    <row r="225" spans="1:8" x14ac:dyDescent="0.25">
      <c r="A225" s="154">
        <v>45996</v>
      </c>
      <c r="B225" s="3" t="s">
        <v>1268</v>
      </c>
      <c r="C225" s="3">
        <v>1</v>
      </c>
      <c r="D225" s="3" t="str">
        <f>VLOOKUP(B225,'Element wise-detail Summary'!$A:$D,2,0)</f>
        <v>V24</v>
      </c>
      <c r="E225" s="3" t="str">
        <f>IFERROR(VLOOKUP(B225,'Element wise-detail Summary'!$A:$D,3,0),0)</f>
        <v>Zone-1</v>
      </c>
      <c r="F225" s="143" t="str">
        <f>VLOOKUP(B225,'AFC Data details'!$B:$B,1,0)</f>
        <v>AZ1-V24-T1C6-003</v>
      </c>
      <c r="H225" s="3">
        <f>_xlfn.XLOOKUP(B225,'AFC Data details'!B:B,'AFC Data details'!P:P)</f>
        <v>2.0619999999999998</v>
      </c>
    </row>
    <row r="226" spans="1:8" x14ac:dyDescent="0.25">
      <c r="A226" s="154">
        <v>45996</v>
      </c>
      <c r="B226" s="3" t="s">
        <v>1302</v>
      </c>
      <c r="C226" s="3">
        <v>1</v>
      </c>
      <c r="D226" s="3" t="str">
        <f>VLOOKUP(B226,'Element wise-detail Summary'!$A:$D,2,0)</f>
        <v>V29</v>
      </c>
      <c r="E226" s="3" t="str">
        <f>IFERROR(VLOOKUP(B226,'Element wise-detail Summary'!$A:$D,3,0),0)</f>
        <v>Zone-1</v>
      </c>
      <c r="F226" s="143" t="str">
        <f>VLOOKUP(B226,'AFC Data details'!$B:$B,1,0)</f>
        <v>AZ1-V29-T1C6-001</v>
      </c>
      <c r="H226" s="3">
        <f>_xlfn.XLOOKUP(B226,'AFC Data details'!B:B,'AFC Data details'!P:P)</f>
        <v>2.081</v>
      </c>
    </row>
    <row r="227" spans="1:8" x14ac:dyDescent="0.25">
      <c r="A227" s="154">
        <v>45996</v>
      </c>
      <c r="B227" s="3" t="s">
        <v>1328</v>
      </c>
      <c r="C227" s="3">
        <v>1</v>
      </c>
      <c r="D227" s="3" t="str">
        <f>VLOOKUP(B227,'Element wise-detail Summary'!$A:$D,2,0)</f>
        <v>V31</v>
      </c>
      <c r="E227" s="3" t="str">
        <f>IFERROR(VLOOKUP(B227,'Element wise-detail Summary'!$A:$D,3,0),0)</f>
        <v>Zone-1</v>
      </c>
      <c r="F227" s="143" t="str">
        <f>VLOOKUP(B227,'AFC Data details'!$B:$B,1,0)</f>
        <v>AZ1-V31-T1C6-001</v>
      </c>
      <c r="H227" s="3">
        <f>_xlfn.XLOOKUP(B227,'AFC Data details'!B:B,'AFC Data details'!P:P)</f>
        <v>2.0939999999999999</v>
      </c>
    </row>
    <row r="228" spans="1:8" x14ac:dyDescent="0.25">
      <c r="A228" s="154">
        <v>45996</v>
      </c>
      <c r="B228" s="3" t="s">
        <v>1337</v>
      </c>
      <c r="C228" s="3">
        <v>1</v>
      </c>
      <c r="D228" s="3" t="str">
        <f>VLOOKUP(B228,'Element wise-detail Summary'!$A:$D,2,0)</f>
        <v>V32</v>
      </c>
      <c r="E228" s="3" t="str">
        <f>IFERROR(VLOOKUP(B228,'Element wise-detail Summary'!$A:$D,3,0),0)</f>
        <v>Zone-1</v>
      </c>
      <c r="F228" s="143" t="str">
        <f>VLOOKUP(B228,'AFC Data details'!$B:$B,1,0)</f>
        <v>AZ1-V32-T1C6-004</v>
      </c>
      <c r="H228" s="3">
        <f>_xlfn.XLOOKUP(B228,'AFC Data details'!B:B,'AFC Data details'!P:P)</f>
        <v>2.125</v>
      </c>
    </row>
    <row r="229" spans="1:8" x14ac:dyDescent="0.25">
      <c r="A229" s="154">
        <v>45996</v>
      </c>
      <c r="B229" s="3" t="s">
        <v>1344</v>
      </c>
      <c r="C229" s="3">
        <v>1</v>
      </c>
      <c r="D229" s="3" t="str">
        <f>VLOOKUP(B229,'Element wise-detail Summary'!$A:$D,2,0)</f>
        <v>V33</v>
      </c>
      <c r="E229" s="3" t="str">
        <f>IFERROR(VLOOKUP(B229,'Element wise-detail Summary'!$A:$D,3,0),0)</f>
        <v>Zone-1</v>
      </c>
      <c r="F229" s="143" t="str">
        <f>VLOOKUP(B229,'AFC Data details'!$B:$B,1,0)</f>
        <v>AZ1-V33-T1C6-001</v>
      </c>
      <c r="H229" s="3">
        <f>_xlfn.XLOOKUP(B229,'AFC Data details'!B:B,'AFC Data details'!P:P)</f>
        <v>2.125</v>
      </c>
    </row>
    <row r="230" spans="1:8" x14ac:dyDescent="0.25">
      <c r="A230" s="154">
        <v>45996</v>
      </c>
      <c r="B230" s="3" t="s">
        <v>1341</v>
      </c>
      <c r="C230" s="3">
        <v>1</v>
      </c>
      <c r="D230" s="3" t="str">
        <f>VLOOKUP(B230,'Element wise-detail Summary'!$A:$D,2,0)</f>
        <v>V32</v>
      </c>
      <c r="E230" s="3" t="str">
        <f>IFERROR(VLOOKUP(B230,'Element wise-detail Summary'!$A:$D,3,0),0)</f>
        <v>Zone-1</v>
      </c>
      <c r="F230" s="143" t="str">
        <f>VLOOKUP(B230,'AFC Data details'!$B:$B,1,0)</f>
        <v>AZ1-V32-T1C6-002</v>
      </c>
      <c r="H230" s="3">
        <f>_xlfn.XLOOKUP(B230,'AFC Data details'!B:B,'AFC Data details'!P:P)</f>
        <v>2.125</v>
      </c>
    </row>
    <row r="231" spans="1:8" x14ac:dyDescent="0.25">
      <c r="A231" s="154">
        <v>45997</v>
      </c>
      <c r="B231" s="3" t="s">
        <v>1246</v>
      </c>
      <c r="C231" s="3">
        <v>1</v>
      </c>
      <c r="D231" s="3" t="str">
        <f>VLOOKUP(B231,'Element wise-detail Summary'!$A:$D,2,0)</f>
        <v>V22</v>
      </c>
      <c r="E231" s="3" t="str">
        <f>IFERROR(VLOOKUP(B231,'Element wise-detail Summary'!$A:$D,3,0),0)</f>
        <v>Zone-1</v>
      </c>
      <c r="F231" s="143" t="str">
        <f>VLOOKUP(B231,'AFC Data details'!$B:$B,1,0)</f>
        <v>AZ1-V22-T1C6-003</v>
      </c>
      <c r="H231" s="3">
        <f>_xlfn.XLOOKUP(B231,'AFC Data details'!B:B,'AFC Data details'!P:P)</f>
        <v>2.09</v>
      </c>
    </row>
    <row r="232" spans="1:8" x14ac:dyDescent="0.25">
      <c r="A232" s="154">
        <v>45997</v>
      </c>
      <c r="B232" s="3" t="s">
        <v>1269</v>
      </c>
      <c r="C232" s="3">
        <v>1</v>
      </c>
      <c r="D232" s="3" t="str">
        <f>VLOOKUP(B232,'Element wise-detail Summary'!$A:$D,2,0)</f>
        <v>V25</v>
      </c>
      <c r="E232" s="3" t="str">
        <f>IFERROR(VLOOKUP(B232,'Element wise-detail Summary'!$A:$D,3,0),0)</f>
        <v>Zone-1</v>
      </c>
      <c r="F232" s="143" t="str">
        <f>VLOOKUP(B232,'AFC Data details'!$B:$B,1,0)</f>
        <v>AZ1-V25-T1C6-003</v>
      </c>
      <c r="H232" s="3">
        <f>_xlfn.XLOOKUP(B232,'AFC Data details'!B:B,'AFC Data details'!P:P)</f>
        <v>2.0619999999999998</v>
      </c>
    </row>
    <row r="233" spans="1:8" x14ac:dyDescent="0.25">
      <c r="A233" s="154">
        <v>45997</v>
      </c>
      <c r="B233" s="3" t="s">
        <v>1403</v>
      </c>
      <c r="C233" s="3">
        <v>1</v>
      </c>
      <c r="D233" s="3" t="str">
        <f>VLOOKUP(B233,'Element wise-detail Summary'!$A:$D,2,0)</f>
        <v>V39</v>
      </c>
      <c r="E233" s="3" t="str">
        <f>IFERROR(VLOOKUP(B233,'Element wise-detail Summary'!$A:$D,3,0),0)</f>
        <v>Zone-2</v>
      </c>
      <c r="F233" s="143" t="str">
        <f>VLOOKUP(B233,'AFC Data details'!$B:$B,1,0)</f>
        <v>AZ2-V39-T3C4-001</v>
      </c>
      <c r="H233" s="3">
        <f>_xlfn.XLOOKUP(B233,'AFC Data details'!B:B,'AFC Data details'!P:P)</f>
        <v>1.46</v>
      </c>
    </row>
    <row r="234" spans="1:8" x14ac:dyDescent="0.25">
      <c r="A234" s="154">
        <v>45997</v>
      </c>
      <c r="B234" s="3" t="s">
        <v>1338</v>
      </c>
      <c r="C234" s="3">
        <v>1</v>
      </c>
      <c r="D234" s="3" t="str">
        <f>VLOOKUP(B234,'Element wise-detail Summary'!$A:$D,2,0)</f>
        <v>V33</v>
      </c>
      <c r="E234" s="3" t="str">
        <f>IFERROR(VLOOKUP(B234,'Element wise-detail Summary'!$A:$D,3,0),0)</f>
        <v>Zone-1</v>
      </c>
      <c r="F234" s="143" t="str">
        <f>VLOOKUP(B234,'AFC Data details'!$B:$B,1,0)</f>
        <v>AZ1-V33-T1C6-004</v>
      </c>
      <c r="H234" s="3">
        <f>_xlfn.XLOOKUP(B234,'AFC Data details'!B:B,'AFC Data details'!P:P)</f>
        <v>2.125</v>
      </c>
    </row>
    <row r="235" spans="1:8" x14ac:dyDescent="0.25">
      <c r="A235" s="154">
        <v>45997</v>
      </c>
      <c r="B235" s="3" t="s">
        <v>1339</v>
      </c>
      <c r="C235" s="3">
        <v>1</v>
      </c>
      <c r="D235" s="3" t="str">
        <f>VLOOKUP(B235,'Element wise-detail Summary'!$A:$D,2,0)</f>
        <v>V32</v>
      </c>
      <c r="E235" s="3" t="str">
        <f>IFERROR(VLOOKUP(B235,'Element wise-detail Summary'!$A:$D,3,0),0)</f>
        <v>Zone-1</v>
      </c>
      <c r="F235" s="143" t="str">
        <f>VLOOKUP(B235,'AFC Data details'!$B:$B,1,0)</f>
        <v>AZ1-V32-T1C6-003</v>
      </c>
      <c r="H235" s="3">
        <f>_xlfn.XLOOKUP(B235,'AFC Data details'!B:B,'AFC Data details'!P:P)</f>
        <v>2.125</v>
      </c>
    </row>
    <row r="236" spans="1:8" x14ac:dyDescent="0.25">
      <c r="A236" s="154">
        <v>45997</v>
      </c>
      <c r="B236" s="3" t="s">
        <v>1348</v>
      </c>
      <c r="C236" s="3">
        <v>1</v>
      </c>
      <c r="D236" s="3" t="str">
        <f>VLOOKUP(B236,'Element wise-detail Summary'!$A:$D,2,0)</f>
        <v>V32</v>
      </c>
      <c r="E236" s="3" t="str">
        <f>IFERROR(VLOOKUP(B236,'Element wise-detail Summary'!$A:$D,3,0),0)</f>
        <v>Zone-1</v>
      </c>
      <c r="F236" s="143" t="str">
        <f>VLOOKUP(B236,'AFC Data details'!$B:$B,1,0)</f>
        <v>AZ1-V32-T1C6-001</v>
      </c>
      <c r="H236" s="3">
        <f>_xlfn.XLOOKUP(B236,'AFC Data details'!B:B,'AFC Data details'!P:P)</f>
        <v>2.125</v>
      </c>
    </row>
    <row r="237" spans="1:8" x14ac:dyDescent="0.25">
      <c r="A237" s="154">
        <v>45997</v>
      </c>
      <c r="B237" s="3" t="s">
        <v>1342</v>
      </c>
      <c r="C237" s="3">
        <v>1</v>
      </c>
      <c r="D237" s="3" t="str">
        <f>VLOOKUP(B237,'Element wise-detail Summary'!$A:$D,2,0)</f>
        <v>V33</v>
      </c>
      <c r="E237" s="3" t="str">
        <f>IFERROR(VLOOKUP(B237,'Element wise-detail Summary'!$A:$D,3,0),0)</f>
        <v>Zone-1</v>
      </c>
      <c r="F237" s="143" t="str">
        <f>VLOOKUP(B237,'AFC Data details'!$B:$B,1,0)</f>
        <v>AZ1-V33-T1C6-002</v>
      </c>
      <c r="H237" s="3">
        <f>_xlfn.XLOOKUP(B237,'AFC Data details'!B:B,'AFC Data details'!P:P)</f>
        <v>2.125</v>
      </c>
    </row>
    <row r="238" spans="1:8" x14ac:dyDescent="0.25">
      <c r="A238" s="154">
        <v>45997</v>
      </c>
      <c r="B238" s="3" t="s">
        <v>1215</v>
      </c>
      <c r="C238" s="3">
        <v>1</v>
      </c>
      <c r="D238" s="3" t="str">
        <f>VLOOKUP(B238,'Element wise-detail Summary'!$A:$D,2,0)</f>
        <v>V19</v>
      </c>
      <c r="E238" s="3" t="str">
        <f>IFERROR(VLOOKUP(B238,'Element wise-detail Summary'!$A:$D,3,0),0)</f>
        <v>Zone-1</v>
      </c>
      <c r="F238" s="143" t="str">
        <f>VLOOKUP(B238,'AFC Data details'!$B:$B,1,0)</f>
        <v>AZ1-V19-T1C10-001</v>
      </c>
      <c r="H238" s="3">
        <f>_xlfn.XLOOKUP(B238,'AFC Data details'!B:B,'AFC Data details'!P:P)</f>
        <v>1.33</v>
      </c>
    </row>
    <row r="239" spans="1:8" x14ac:dyDescent="0.25">
      <c r="A239" s="154">
        <v>45999</v>
      </c>
      <c r="B239" s="3" t="s">
        <v>1247</v>
      </c>
      <c r="C239" s="3">
        <v>1</v>
      </c>
      <c r="D239" s="3" t="str">
        <f>VLOOKUP(B239,'Element wise-detail Summary'!$A:$D,2,0)</f>
        <v>V23</v>
      </c>
      <c r="E239" s="3" t="str">
        <f>IFERROR(VLOOKUP(B239,'Element wise-detail Summary'!$A:$D,3,0),0)</f>
        <v>Zone-1</v>
      </c>
      <c r="F239" s="143" t="str">
        <f>VLOOKUP(B239,'AFC Data details'!$B:$B,1,0)</f>
        <v>AZ1-V23-T1C6-003</v>
      </c>
      <c r="H239" s="3">
        <f>_xlfn.XLOOKUP(B239,'AFC Data details'!B:B,'AFC Data details'!P:P)</f>
        <v>2.09</v>
      </c>
    </row>
    <row r="240" spans="1:8" x14ac:dyDescent="0.25">
      <c r="A240" s="154">
        <v>45999</v>
      </c>
      <c r="B240" s="3" t="s">
        <v>1306</v>
      </c>
      <c r="C240" s="3">
        <v>1</v>
      </c>
      <c r="D240" s="3" t="str">
        <f>VLOOKUP(B240,'Element wise-detail Summary'!$A:$D,2,0)</f>
        <v>V30</v>
      </c>
      <c r="E240" s="3" t="str">
        <f>IFERROR(VLOOKUP(B240,'Element wise-detail Summary'!$A:$D,3,0),0)</f>
        <v>Zone-1</v>
      </c>
      <c r="F240" s="143" t="str">
        <f>VLOOKUP(B240,'AFC Data details'!$B:$B,1,0)</f>
        <v>AZ1-V30-T1C6-001</v>
      </c>
      <c r="H240" s="3">
        <f>_xlfn.XLOOKUP(B240,'AFC Data details'!B:B,'AFC Data details'!P:P)</f>
        <v>2.0939999999999999</v>
      </c>
    </row>
    <row r="241" spans="1:8" x14ac:dyDescent="0.25">
      <c r="A241" s="154">
        <v>45999</v>
      </c>
      <c r="B241" s="3" t="s">
        <v>1318</v>
      </c>
      <c r="C241" s="3">
        <v>1</v>
      </c>
      <c r="D241" s="3" t="str">
        <f>VLOOKUP(B241,'Element wise-detail Summary'!$A:$D,2,0)</f>
        <v>V30</v>
      </c>
      <c r="E241" s="3" t="str">
        <f>IFERROR(VLOOKUP(B241,'Element wise-detail Summary'!$A:$D,3,0),0)</f>
        <v>Zone-1</v>
      </c>
      <c r="F241" s="143" t="str">
        <f>VLOOKUP(B241,'AFC Data details'!$B:$B,1,0)</f>
        <v>AZ1-V30-T1C6-004</v>
      </c>
      <c r="H241" s="3">
        <f>_xlfn.XLOOKUP(B241,'AFC Data details'!B:B,'AFC Data details'!P:P)</f>
        <v>2.0470000000000002</v>
      </c>
    </row>
    <row r="242" spans="1:8" x14ac:dyDescent="0.25">
      <c r="A242" s="154">
        <v>45999</v>
      </c>
      <c r="B242" s="3" t="s">
        <v>1340</v>
      </c>
      <c r="C242" s="3">
        <v>1</v>
      </c>
      <c r="D242" s="3" t="str">
        <f>VLOOKUP(B242,'Element wise-detail Summary'!$A:$D,2,0)</f>
        <v>V33</v>
      </c>
      <c r="E242" s="3" t="str">
        <f>IFERROR(VLOOKUP(B242,'Element wise-detail Summary'!$A:$D,3,0),0)</f>
        <v>Zone-1</v>
      </c>
      <c r="F242" s="143" t="str">
        <f>VLOOKUP(B242,'AFC Data details'!$B:$B,1,0)</f>
        <v>AZ1-V33-T1C6-003</v>
      </c>
      <c r="H242" s="3">
        <f>_xlfn.XLOOKUP(B242,'AFC Data details'!B:B,'AFC Data details'!P:P)</f>
        <v>2.125</v>
      </c>
    </row>
    <row r="243" spans="1:8" x14ac:dyDescent="0.25">
      <c r="A243" s="154">
        <v>45999</v>
      </c>
      <c r="B243" s="3" t="s">
        <v>1359</v>
      </c>
      <c r="C243" s="3">
        <v>1</v>
      </c>
      <c r="D243" s="3" t="str">
        <f>VLOOKUP(B243,'Element wise-detail Summary'!$A:$D,2,0)</f>
        <v>V35</v>
      </c>
      <c r="E243" s="3" t="str">
        <f>IFERROR(VLOOKUP(B243,'Element wise-detail Summary'!$A:$D,3,0),0)</f>
        <v>Zone-2</v>
      </c>
      <c r="F243" s="143" t="str">
        <f>VLOOKUP(B243,'AFC Data details'!$B:$B,1,0)</f>
        <v>AZ2-V35-T1C13-001</v>
      </c>
      <c r="H243" s="3">
        <f>_xlfn.XLOOKUP(B243,'AFC Data details'!B:B,'AFC Data details'!P:P)</f>
        <v>2.0710000000000002</v>
      </c>
    </row>
    <row r="244" spans="1:8" x14ac:dyDescent="0.25">
      <c r="A244" s="154">
        <v>45999</v>
      </c>
      <c r="B244" s="3" t="s">
        <v>1376</v>
      </c>
      <c r="C244" s="3">
        <v>1</v>
      </c>
      <c r="D244" s="3" t="str">
        <f>VLOOKUP(B244,'Element wise-detail Summary'!$A:$D,2,0)</f>
        <v>V37</v>
      </c>
      <c r="E244" s="3" t="str">
        <f>IFERROR(VLOOKUP(B244,'Element wise-detail Summary'!$A:$D,3,0),0)</f>
        <v>Zone-2</v>
      </c>
      <c r="F244" s="143" t="str">
        <f>VLOOKUP(B244,'AFC Data details'!$B:$B,1,0)</f>
        <v>AZ2-V37-T1C6-002</v>
      </c>
      <c r="H244" s="3">
        <f>_xlfn.XLOOKUP(B244,'AFC Data details'!B:B,'AFC Data details'!P:P)</f>
        <v>2.129</v>
      </c>
    </row>
    <row r="245" spans="1:8" x14ac:dyDescent="0.25">
      <c r="A245" s="154">
        <v>45999</v>
      </c>
      <c r="B245" s="3" t="s">
        <v>1390</v>
      </c>
      <c r="C245" s="3">
        <v>1</v>
      </c>
      <c r="D245" s="3" t="str">
        <f>VLOOKUP(B245,'Element wise-detail Summary'!$A:$D,2,0)</f>
        <v>V38</v>
      </c>
      <c r="E245" s="3" t="str">
        <f>IFERROR(VLOOKUP(B245,'Element wise-detail Summary'!$A:$D,3,0),0)</f>
        <v>Zone-2</v>
      </c>
      <c r="F245" s="143" t="str">
        <f>VLOOKUP(B245,'AFC Data details'!$B:$B,1,0)</f>
        <v>AZ2-V38-T1C6-002</v>
      </c>
      <c r="H245" s="3">
        <f>_xlfn.XLOOKUP(B245,'AFC Data details'!B:B,'AFC Data details'!P:P)</f>
        <v>2.12</v>
      </c>
    </row>
    <row r="246" spans="1:8" x14ac:dyDescent="0.25">
      <c r="A246" s="154">
        <v>45999</v>
      </c>
      <c r="B246" s="3" t="s">
        <v>1216</v>
      </c>
      <c r="C246" s="3">
        <v>1</v>
      </c>
      <c r="D246" s="3" t="str">
        <f>VLOOKUP(B246,'Element wise-detail Summary'!$A:$D,2,0)</f>
        <v>V19</v>
      </c>
      <c r="E246" s="3" t="str">
        <f>IFERROR(VLOOKUP(B246,'Element wise-detail Summary'!$A:$D,3,0),0)</f>
        <v>Zone-1</v>
      </c>
      <c r="F246" s="143" t="str">
        <f>VLOOKUP(B246,'AFC Data details'!$B:$B,1,0)</f>
        <v>AZ1-V19-T1C10-002</v>
      </c>
      <c r="H246" s="3">
        <f>_xlfn.XLOOKUP(B246,'AFC Data details'!B:B,'AFC Data details'!P:P)</f>
        <v>1.33</v>
      </c>
    </row>
    <row r="247" spans="1:8" x14ac:dyDescent="0.25">
      <c r="A247" s="154">
        <v>46000</v>
      </c>
      <c r="B247" s="3" t="s">
        <v>1307</v>
      </c>
      <c r="C247" s="3">
        <v>1</v>
      </c>
      <c r="D247" s="3" t="str">
        <f>VLOOKUP(B247,'Element wise-detail Summary'!$A:$D,2,0)</f>
        <v>V26</v>
      </c>
      <c r="E247" s="3" t="str">
        <f>IFERROR(VLOOKUP(B247,'Element wise-detail Summary'!$A:$D,3,0),0)</f>
        <v>Zone-1</v>
      </c>
      <c r="F247" s="143" t="str">
        <f>VLOOKUP(B247,'AFC Data details'!$B:$B,1,0)</f>
        <v>AZ1-V26-T1C6-001</v>
      </c>
      <c r="H247" s="3">
        <f>_xlfn.XLOOKUP(B247,'AFC Data details'!B:B,'AFC Data details'!P:P)</f>
        <v>2.0939999999999999</v>
      </c>
    </row>
    <row r="248" spans="1:8" x14ac:dyDescent="0.25">
      <c r="A248" s="154">
        <v>46000</v>
      </c>
      <c r="B248" s="3" t="s">
        <v>1319</v>
      </c>
      <c r="C248" s="3">
        <v>1</v>
      </c>
      <c r="D248" s="3" t="str">
        <f>VLOOKUP(B248,'Element wise-detail Summary'!$A:$D,2,0)</f>
        <v>V31</v>
      </c>
      <c r="E248" s="3" t="str">
        <f>IFERROR(VLOOKUP(B248,'Element wise-detail Summary'!$A:$D,3,0),0)</f>
        <v>Zone-1</v>
      </c>
      <c r="F248" s="143" t="str">
        <f>VLOOKUP(B248,'AFC Data details'!$B:$B,1,0)</f>
        <v>AZ1-V31-T1C6-004</v>
      </c>
      <c r="H248" s="3">
        <f>_xlfn.XLOOKUP(B248,'AFC Data details'!B:B,'AFC Data details'!P:P)</f>
        <v>2.0470000000000002</v>
      </c>
    </row>
    <row r="249" spans="1:8" x14ac:dyDescent="0.25">
      <c r="A249" s="154">
        <v>46000</v>
      </c>
      <c r="B249" s="3" t="s">
        <v>1476</v>
      </c>
      <c r="C249" s="3">
        <v>1</v>
      </c>
      <c r="D249" s="3" t="str">
        <f>VLOOKUP(B249,'Element wise-detail Summary'!$A:$D,2,0)</f>
        <v>V46</v>
      </c>
      <c r="E249" s="3" t="str">
        <f>IFERROR(VLOOKUP(B249,'Element wise-detail Summary'!$A:$D,3,0),0)</f>
        <v>Zone-3</v>
      </c>
      <c r="F249" s="143" t="str">
        <f>VLOOKUP(B249,'AFC Data details'!$B:$B,1,0)</f>
        <v>AZ3-V46-T3C6-002</v>
      </c>
      <c r="H249" s="3">
        <f>_xlfn.XLOOKUP(B249,'AFC Data details'!B:B,'AFC Data details'!P:P)</f>
        <v>1.802</v>
      </c>
    </row>
    <row r="250" spans="1:8" x14ac:dyDescent="0.25">
      <c r="A250" s="154">
        <v>46000</v>
      </c>
      <c r="B250" s="3" t="s">
        <v>1370</v>
      </c>
      <c r="C250" s="3">
        <v>1</v>
      </c>
      <c r="D250" s="3" t="str">
        <f>VLOOKUP(B250,'Element wise-detail Summary'!$A:$D,2,0)</f>
        <v>V36</v>
      </c>
      <c r="E250" s="3" t="str">
        <f>IFERROR(VLOOKUP(B250,'Element wise-detail Summary'!$A:$D,3,0),0)</f>
        <v>Zone-2</v>
      </c>
      <c r="F250" s="143" t="str">
        <f>VLOOKUP(B250,'AFC Data details'!$B:$B,1,0)</f>
        <v>AZ2-V36-T1C6-001</v>
      </c>
      <c r="H250" s="3">
        <f>_xlfn.XLOOKUP(B250,'AFC Data details'!B:B,'AFC Data details'!P:P)</f>
        <v>2.129</v>
      </c>
    </row>
    <row r="251" spans="1:8" x14ac:dyDescent="0.25">
      <c r="A251" s="154">
        <v>46000</v>
      </c>
      <c r="B251" s="3" t="s">
        <v>1360</v>
      </c>
      <c r="C251" s="3">
        <v>1</v>
      </c>
      <c r="D251" s="3" t="str">
        <f>VLOOKUP(B251,'Element wise-detail Summary'!$A:$D,2,0)</f>
        <v>V35</v>
      </c>
      <c r="E251" s="3" t="str">
        <f>IFERROR(VLOOKUP(B251,'Element wise-detail Summary'!$A:$D,3,0),0)</f>
        <v>Zone-2</v>
      </c>
      <c r="F251" s="143" t="str">
        <f>VLOOKUP(B251,'AFC Data details'!$B:$B,1,0)</f>
        <v>AZ2-V35-T1C13-002</v>
      </c>
      <c r="H251" s="3">
        <f>_xlfn.XLOOKUP(B251,'AFC Data details'!B:B,'AFC Data details'!P:P)</f>
        <v>2.0710000000000002</v>
      </c>
    </row>
    <row r="252" spans="1:8" x14ac:dyDescent="0.25">
      <c r="A252" s="154">
        <v>46000</v>
      </c>
      <c r="B252" s="3" t="s">
        <v>1377</v>
      </c>
      <c r="C252" s="3">
        <v>1</v>
      </c>
      <c r="D252" s="3" t="str">
        <f>VLOOKUP(B252,'Element wise-detail Summary'!$A:$D,2,0)</f>
        <v>V37</v>
      </c>
      <c r="E252" s="3" t="str">
        <f>IFERROR(VLOOKUP(B252,'Element wise-detail Summary'!$A:$D,3,0),0)</f>
        <v>Zone-2</v>
      </c>
      <c r="F252" s="143" t="str">
        <f>VLOOKUP(B252,'AFC Data details'!$B:$B,1,0)</f>
        <v>AZ2-V37-T1C6-003</v>
      </c>
      <c r="H252" s="3">
        <f>_xlfn.XLOOKUP(B252,'AFC Data details'!B:B,'AFC Data details'!P:P)</f>
        <v>2.129</v>
      </c>
    </row>
    <row r="253" spans="1:8" x14ac:dyDescent="0.25">
      <c r="A253" s="154">
        <v>46000</v>
      </c>
      <c r="B253" s="3" t="s">
        <v>1391</v>
      </c>
      <c r="C253" s="3">
        <v>1</v>
      </c>
      <c r="D253" s="3" t="str">
        <f>VLOOKUP(B253,'Element wise-detail Summary'!$A:$D,2,0)</f>
        <v>V38</v>
      </c>
      <c r="E253" s="3" t="str">
        <f>IFERROR(VLOOKUP(B253,'Element wise-detail Summary'!$A:$D,3,0),0)</f>
        <v>Zone-2</v>
      </c>
      <c r="F253" s="143" t="str">
        <f>VLOOKUP(B253,'AFC Data details'!$B:$B,1,0)</f>
        <v>AZ2-V38-T1C6-003</v>
      </c>
      <c r="H253" s="3">
        <f>_xlfn.XLOOKUP(B253,'AFC Data details'!B:B,'AFC Data details'!P:P)</f>
        <v>2.12</v>
      </c>
    </row>
    <row r="254" spans="1:8" x14ac:dyDescent="0.25">
      <c r="A254" s="154">
        <v>46000</v>
      </c>
      <c r="B254" s="3" t="s">
        <v>1218</v>
      </c>
      <c r="C254" s="3">
        <v>1</v>
      </c>
      <c r="D254" s="3" t="str">
        <f>VLOOKUP(B254,'Element wise-detail Summary'!$A:$D,2,0)</f>
        <v>V19</v>
      </c>
      <c r="E254" s="3" t="str">
        <f>IFERROR(VLOOKUP(B254,'Element wise-detail Summary'!$A:$D,3,0),0)</f>
        <v>Zone-1</v>
      </c>
      <c r="F254" s="143" t="str">
        <f>VLOOKUP(B254,'AFC Data details'!$B:$B,1,0)</f>
        <v>AZ1-V19-T1C11-001</v>
      </c>
      <c r="H254" s="3">
        <f>_xlfn.XLOOKUP(B254,'AFC Data details'!B:B,'AFC Data details'!P:P)</f>
        <v>1.9490000000000001</v>
      </c>
    </row>
    <row r="255" spans="1:8" x14ac:dyDescent="0.25">
      <c r="A255" s="154">
        <v>46000</v>
      </c>
      <c r="B255" s="3" t="s">
        <v>1219</v>
      </c>
      <c r="C255" s="3">
        <v>1</v>
      </c>
      <c r="D255" s="3" t="str">
        <f>VLOOKUP(B255,'Element wise-detail Summary'!$A:$D,2,0)</f>
        <v>V19</v>
      </c>
      <c r="E255" s="3" t="str">
        <f>IFERROR(VLOOKUP(B255,'Element wise-detail Summary'!$A:$D,3,0),0)</f>
        <v>Zone-1</v>
      </c>
      <c r="F255" s="143" t="str">
        <f>VLOOKUP(B255,'AFC Data details'!$B:$B,1,0)</f>
        <v>AZ1-V19-T1C12S-001</v>
      </c>
      <c r="H255" s="3">
        <f>_xlfn.XLOOKUP(B255,'AFC Data details'!B:B,'AFC Data details'!P:P)</f>
        <v>2.508</v>
      </c>
    </row>
    <row r="256" spans="1:8" x14ac:dyDescent="0.25">
      <c r="A256" s="154">
        <v>46001</v>
      </c>
      <c r="B256" s="3" t="s">
        <v>1248</v>
      </c>
      <c r="C256" s="3">
        <v>1</v>
      </c>
      <c r="D256" s="3" t="str">
        <f>VLOOKUP(B256,'Element wise-detail Summary'!$A:$D,2,0)</f>
        <v>V22</v>
      </c>
      <c r="E256" s="3" t="str">
        <f>IFERROR(VLOOKUP(B256,'Element wise-detail Summary'!$A:$D,3,0),0)</f>
        <v>Zone-1</v>
      </c>
      <c r="F256" s="143" t="str">
        <f>VLOOKUP(B256,'AFC Data details'!$B:$B,1,0)</f>
        <v>AZ1-V22-T1C6-002</v>
      </c>
      <c r="H256" s="3">
        <f>_xlfn.XLOOKUP(B256,'AFC Data details'!B:B,'AFC Data details'!P:P)</f>
        <v>2.09</v>
      </c>
    </row>
    <row r="257" spans="1:8" x14ac:dyDescent="0.25">
      <c r="A257" s="154">
        <v>46001</v>
      </c>
      <c r="B257" s="3" t="s">
        <v>1270</v>
      </c>
      <c r="C257" s="3">
        <v>1</v>
      </c>
      <c r="D257" s="3" t="str">
        <f>VLOOKUP(B257,'Element wise-detail Summary'!$A:$D,2,0)</f>
        <v>V24</v>
      </c>
      <c r="E257" s="3" t="str">
        <f>IFERROR(VLOOKUP(B257,'Element wise-detail Summary'!$A:$D,3,0),0)</f>
        <v>Zone-1</v>
      </c>
      <c r="F257" s="143" t="str">
        <f>VLOOKUP(B257,'AFC Data details'!$B:$B,1,0)</f>
        <v>AZ1-V24-T1C6-002</v>
      </c>
      <c r="H257" s="3">
        <f>_xlfn.XLOOKUP(B257,'AFC Data details'!B:B,'AFC Data details'!P:P)</f>
        <v>2.0619999999999998</v>
      </c>
    </row>
    <row r="258" spans="1:8" x14ac:dyDescent="0.25">
      <c r="A258" s="154">
        <v>46001</v>
      </c>
      <c r="B258" s="3" t="s">
        <v>1308</v>
      </c>
      <c r="C258" s="3">
        <v>1</v>
      </c>
      <c r="D258" s="3" t="str">
        <f>VLOOKUP(B258,'Element wise-detail Summary'!$A:$D,2,0)</f>
        <v>V30</v>
      </c>
      <c r="E258" s="3" t="str">
        <f>IFERROR(VLOOKUP(B258,'Element wise-detail Summary'!$A:$D,3,0),0)</f>
        <v>Zone-1</v>
      </c>
      <c r="F258" s="143" t="str">
        <f>VLOOKUP(B258,'AFC Data details'!$B:$B,1,0)</f>
        <v>AZ1-V30-T1C6-003</v>
      </c>
      <c r="H258" s="3">
        <f>_xlfn.XLOOKUP(B258,'AFC Data details'!B:B,'AFC Data details'!P:P)</f>
        <v>2.0939999999999999</v>
      </c>
    </row>
    <row r="259" spans="1:8" x14ac:dyDescent="0.25">
      <c r="A259" s="154">
        <v>46001</v>
      </c>
      <c r="B259" s="3" t="s">
        <v>1372</v>
      </c>
      <c r="C259" s="3">
        <v>1</v>
      </c>
      <c r="D259" s="3" t="str">
        <f>VLOOKUP(B259,'Element wise-detail Summary'!$A:$D,2,0)</f>
        <v>V36</v>
      </c>
      <c r="E259" s="3" t="str">
        <f>IFERROR(VLOOKUP(B259,'Element wise-detail Summary'!$A:$D,3,0),0)</f>
        <v>Zone-2</v>
      </c>
      <c r="F259" s="143" t="str">
        <f>VLOOKUP(B259,'AFC Data details'!$B:$B,1,0)</f>
        <v>AZ2-V36-T1C6-002</v>
      </c>
      <c r="H259" s="3">
        <f>_xlfn.XLOOKUP(B259,'AFC Data details'!B:B,'AFC Data details'!P:P)</f>
        <v>2.129</v>
      </c>
    </row>
    <row r="260" spans="1:8" x14ac:dyDescent="0.25">
      <c r="A260" s="154">
        <v>46001</v>
      </c>
      <c r="B260" s="3" t="s">
        <v>1378</v>
      </c>
      <c r="C260" s="3">
        <v>1</v>
      </c>
      <c r="D260" s="3" t="str">
        <f>VLOOKUP(B260,'Element wise-detail Summary'!$A:$D,2,0)</f>
        <v>V37</v>
      </c>
      <c r="E260" s="3" t="str">
        <f>IFERROR(VLOOKUP(B260,'Element wise-detail Summary'!$A:$D,3,0),0)</f>
        <v>Zone-2</v>
      </c>
      <c r="F260" s="143" t="str">
        <f>VLOOKUP(B260,'AFC Data details'!$B:$B,1,0)</f>
        <v>AZ2-V37-T1C6-004</v>
      </c>
      <c r="H260" s="3">
        <f>_xlfn.XLOOKUP(B260,'AFC Data details'!B:B,'AFC Data details'!P:P)</f>
        <v>2.129</v>
      </c>
    </row>
    <row r="261" spans="1:8" x14ac:dyDescent="0.25">
      <c r="A261" s="154">
        <v>46001</v>
      </c>
      <c r="B261" s="3" t="s">
        <v>1392</v>
      </c>
      <c r="C261" s="3">
        <v>1</v>
      </c>
      <c r="D261" s="3" t="str">
        <f>VLOOKUP(B261,'Element wise-detail Summary'!$A:$D,2,0)</f>
        <v>V38</v>
      </c>
      <c r="E261" s="3" t="str">
        <f>IFERROR(VLOOKUP(B261,'Element wise-detail Summary'!$A:$D,3,0),0)</f>
        <v>Zone-2</v>
      </c>
      <c r="F261" s="143" t="str">
        <f>VLOOKUP(B261,'AFC Data details'!$B:$B,1,0)</f>
        <v>AZ2-V38-T1C6-004</v>
      </c>
      <c r="H261" s="3">
        <f>_xlfn.XLOOKUP(B261,'AFC Data details'!B:B,'AFC Data details'!P:P)</f>
        <v>2.12</v>
      </c>
    </row>
    <row r="262" spans="1:8" x14ac:dyDescent="0.25">
      <c r="A262" s="154">
        <v>46001</v>
      </c>
      <c r="B262" s="3" t="s">
        <v>1217</v>
      </c>
      <c r="C262" s="3">
        <v>1</v>
      </c>
      <c r="D262" s="3" t="str">
        <f>VLOOKUP(B262,'Element wise-detail Summary'!$A:$D,2,0)</f>
        <v>V19</v>
      </c>
      <c r="E262" s="3" t="str">
        <f>IFERROR(VLOOKUP(B262,'Element wise-detail Summary'!$A:$D,3,0),0)</f>
        <v>Zone-1</v>
      </c>
      <c r="F262" s="143" t="str">
        <f>VLOOKUP(B262,'AFC Data details'!$B:$B,1,0)</f>
        <v>AZ1-V19-T1C10-003</v>
      </c>
      <c r="H262" s="3">
        <f>_xlfn.XLOOKUP(B262,'AFC Data details'!B:B,'AFC Data details'!P:P)</f>
        <v>1.73</v>
      </c>
    </row>
    <row r="263" spans="1:8" x14ac:dyDescent="0.25">
      <c r="A263" s="154">
        <v>46002</v>
      </c>
      <c r="B263" s="3" t="s">
        <v>1249</v>
      </c>
      <c r="C263" s="3">
        <v>1</v>
      </c>
      <c r="D263" s="3" t="str">
        <f>VLOOKUP(B263,'Element wise-detail Summary'!$A:$D,2,0)</f>
        <v>V23</v>
      </c>
      <c r="E263" s="3" t="str">
        <f>IFERROR(VLOOKUP(B263,'Element wise-detail Summary'!$A:$D,3,0),0)</f>
        <v>Zone-1</v>
      </c>
      <c r="F263" s="143" t="str">
        <f>VLOOKUP(B263,'AFC Data details'!$B:$B,1,0)</f>
        <v>AZ1-V23-T1C6-002</v>
      </c>
      <c r="H263" s="3">
        <f>_xlfn.XLOOKUP(B263,'AFC Data details'!B:B,'AFC Data details'!P:P)</f>
        <v>2.09</v>
      </c>
    </row>
    <row r="264" spans="1:8" x14ac:dyDescent="0.25">
      <c r="A264" s="154">
        <v>46002</v>
      </c>
      <c r="B264" s="3" t="s">
        <v>1271</v>
      </c>
      <c r="C264" s="3">
        <v>1</v>
      </c>
      <c r="D264" s="3" t="str">
        <f>VLOOKUP(B264,'Element wise-detail Summary'!$A:$D,2,0)</f>
        <v>V25</v>
      </c>
      <c r="E264" s="3" t="str">
        <f>IFERROR(VLOOKUP(B264,'Element wise-detail Summary'!$A:$D,3,0),0)</f>
        <v>Zone-1</v>
      </c>
      <c r="F264" s="143" t="str">
        <f>VLOOKUP(B264,'AFC Data details'!$B:$B,1,0)</f>
        <v>AZ1-V25-T1C6-002</v>
      </c>
      <c r="H264" s="3">
        <f>_xlfn.XLOOKUP(B264,'AFC Data details'!B:B,'AFC Data details'!P:P)</f>
        <v>2.0619999999999998</v>
      </c>
    </row>
    <row r="265" spans="1:8" x14ac:dyDescent="0.25">
      <c r="A265" s="154">
        <v>46002</v>
      </c>
      <c r="B265" s="3" t="s">
        <v>1322</v>
      </c>
      <c r="C265" s="3">
        <v>1</v>
      </c>
      <c r="D265" s="3" t="str">
        <f>VLOOKUP(B265,'Element wise-detail Summary'!$A:$D,2,0)</f>
        <v>V28</v>
      </c>
      <c r="E265" s="3" t="str">
        <f>IFERROR(VLOOKUP(B265,'Element wise-detail Summary'!$A:$D,3,0),0)</f>
        <v>Zone-1</v>
      </c>
      <c r="F265" s="143" t="str">
        <f>VLOOKUP(B265,'AFC Data details'!$B:$B,1,0)</f>
        <v>AZ1-V28-T1C6-004</v>
      </c>
      <c r="H265" s="3">
        <f>_xlfn.XLOOKUP(B265,'AFC Data details'!B:B,'AFC Data details'!P:P)</f>
        <v>2.0470000000000002</v>
      </c>
    </row>
    <row r="266" spans="1:8" x14ac:dyDescent="0.25">
      <c r="A266" s="154">
        <v>46002</v>
      </c>
      <c r="B266" s="3" t="s">
        <v>1419</v>
      </c>
      <c r="C266" s="3">
        <v>1</v>
      </c>
      <c r="D266" s="3" t="str">
        <f>VLOOKUP(B266,'Element wise-detail Summary'!$A:$D,2,0)</f>
        <v>V40</v>
      </c>
      <c r="E266" s="3" t="str">
        <f>IFERROR(VLOOKUP(B266,'Element wise-detail Summary'!$A:$D,3,0),0)</f>
        <v>Zone-2</v>
      </c>
      <c r="F266" s="143" t="str">
        <f>VLOOKUP(B266,'AFC Data details'!$B:$B,1,0)</f>
        <v>AZ2-V40-T3C4-002</v>
      </c>
      <c r="H266" s="3">
        <f>_xlfn.XLOOKUP(B266,'AFC Data details'!B:B,'AFC Data details'!P:P)</f>
        <v>1.421</v>
      </c>
    </row>
    <row r="267" spans="1:8" x14ac:dyDescent="0.25">
      <c r="A267" s="154">
        <v>46002</v>
      </c>
      <c r="B267" s="3" t="s">
        <v>1373</v>
      </c>
      <c r="C267" s="3">
        <v>1</v>
      </c>
      <c r="D267" s="3" t="str">
        <f>VLOOKUP(B267,'Element wise-detail Summary'!$A:$D,2,0)</f>
        <v>V36</v>
      </c>
      <c r="E267" s="3" t="str">
        <f>IFERROR(VLOOKUP(B267,'Element wise-detail Summary'!$A:$D,3,0),0)</f>
        <v>Zone-2</v>
      </c>
      <c r="F267" s="143" t="str">
        <f>VLOOKUP(B267,'AFC Data details'!$B:$B,1,0)</f>
        <v>AZ2-V36-T1C6-003</v>
      </c>
      <c r="H267" s="3">
        <f>_xlfn.XLOOKUP(B267,'AFC Data details'!B:B,'AFC Data details'!P:P)</f>
        <v>2.129</v>
      </c>
    </row>
    <row r="268" spans="1:8" x14ac:dyDescent="0.25">
      <c r="A268" s="154">
        <v>46002</v>
      </c>
      <c r="B268" s="3" t="s">
        <v>1365</v>
      </c>
      <c r="C268" s="3">
        <v>1</v>
      </c>
      <c r="D268" s="3" t="str">
        <f>VLOOKUP(B268,'Element wise-detail Summary'!$A:$D,2,0)</f>
        <v>V35</v>
      </c>
      <c r="E268" s="3" t="str">
        <f>IFERROR(VLOOKUP(B268,'Element wise-detail Summary'!$A:$D,3,0),0)</f>
        <v>Zone-2</v>
      </c>
      <c r="F268" s="143" t="str">
        <f>VLOOKUP(B268,'AFC Data details'!$B:$B,1,0)</f>
        <v>AZ2-V35-T1C14-004</v>
      </c>
      <c r="H268" s="3">
        <f>_xlfn.XLOOKUP(B268,'AFC Data details'!B:B,'AFC Data details'!P:P)</f>
        <v>2.2109999999999999</v>
      </c>
    </row>
    <row r="269" spans="1:8" x14ac:dyDescent="0.25">
      <c r="A269" s="154">
        <v>46002</v>
      </c>
      <c r="B269" s="3" t="s">
        <v>1381</v>
      </c>
      <c r="C269" s="3">
        <v>1</v>
      </c>
      <c r="D269" s="3" t="str">
        <f>VLOOKUP(B269,'Element wise-detail Summary'!$A:$D,2,0)</f>
        <v>V37</v>
      </c>
      <c r="E269" s="3" t="str">
        <f>IFERROR(VLOOKUP(B269,'Element wise-detail Summary'!$A:$D,3,0),0)</f>
        <v>Zone-2</v>
      </c>
      <c r="F269" s="143" t="str">
        <f>VLOOKUP(B269,'AFC Data details'!$B:$B,1,0)</f>
        <v>AZ2-V37-T1C6-001</v>
      </c>
      <c r="H269" s="3">
        <f>_xlfn.XLOOKUP(B269,'AFC Data details'!B:B,'AFC Data details'!P:P)</f>
        <v>2.129</v>
      </c>
    </row>
    <row r="270" spans="1:8" x14ac:dyDescent="0.25">
      <c r="A270" s="154">
        <v>46002</v>
      </c>
      <c r="B270" s="3" t="s">
        <v>1394</v>
      </c>
      <c r="C270" s="3">
        <v>1</v>
      </c>
      <c r="D270" s="3" t="str">
        <f>VLOOKUP(B270,'Element wise-detail Summary'!$A:$D,2,0)</f>
        <v>V39</v>
      </c>
      <c r="E270" s="3" t="str">
        <f>IFERROR(VLOOKUP(B270,'Element wise-detail Summary'!$A:$D,3,0),0)</f>
        <v>Zone-2</v>
      </c>
      <c r="F270" s="143" t="str">
        <f>VLOOKUP(B270,'AFC Data details'!$B:$B,1,0)</f>
        <v>AZ2-V39-T1C6-002</v>
      </c>
      <c r="H270" s="3">
        <f>_xlfn.XLOOKUP(B270,'AFC Data details'!B:B,'AFC Data details'!P:P)</f>
        <v>2.12</v>
      </c>
    </row>
    <row r="271" spans="1:8" x14ac:dyDescent="0.25">
      <c r="A271" s="154">
        <v>46002</v>
      </c>
      <c r="B271" s="3" t="s">
        <v>1410</v>
      </c>
      <c r="C271" s="3">
        <v>1</v>
      </c>
      <c r="D271" s="3" t="str">
        <f>VLOOKUP(B271,'Element wise-detail Summary'!$A:$D,2,0)</f>
        <v>V40</v>
      </c>
      <c r="E271" s="3" t="str">
        <f>IFERROR(VLOOKUP(B271,'Element wise-detail Summary'!$A:$D,3,0),0)</f>
        <v>Zone-2</v>
      </c>
      <c r="F271" s="143" t="str">
        <f>VLOOKUP(B271,'AFC Data details'!$B:$B,1,0)</f>
        <v>AZ2-V40-T1C6-004</v>
      </c>
      <c r="H271" s="3">
        <f>_xlfn.XLOOKUP(B271,'AFC Data details'!B:B,'AFC Data details'!P:P)</f>
        <v>2.1040000000000001</v>
      </c>
    </row>
    <row r="272" spans="1:8" x14ac:dyDescent="0.25">
      <c r="A272" s="154">
        <v>46003</v>
      </c>
      <c r="B272" s="3" t="s">
        <v>1502</v>
      </c>
      <c r="C272" s="3">
        <v>1</v>
      </c>
      <c r="D272" s="3" t="str">
        <f>VLOOKUP(B272,'Element wise-detail Summary'!$A:$D,2,0)</f>
        <v>V50</v>
      </c>
      <c r="E272" s="3" t="str">
        <f>IFERROR(VLOOKUP(B272,'Element wise-detail Summary'!$A:$D,3,0),0)</f>
        <v>Zone-3</v>
      </c>
      <c r="F272" s="143" t="str">
        <f>VLOOKUP(B272,'AFC Data details'!$B:$B,1,0)</f>
        <v>AZ3-V50-T1C6-001</v>
      </c>
      <c r="H272" s="3">
        <f>_xlfn.XLOOKUP(B272,'AFC Data details'!B:B,'AFC Data details'!P:P)</f>
        <v>2.0470000000000002</v>
      </c>
    </row>
    <row r="273" spans="1:8" x14ac:dyDescent="0.25">
      <c r="A273" s="154">
        <v>46003</v>
      </c>
      <c r="B273" s="3" t="s">
        <v>1275</v>
      </c>
      <c r="C273" s="3">
        <v>1</v>
      </c>
      <c r="D273" s="3" t="str">
        <f>VLOOKUP(B273,'Element wise-detail Summary'!$A:$D,2,0)</f>
        <v>V25</v>
      </c>
      <c r="E273" s="3" t="str">
        <f>IFERROR(VLOOKUP(B273,'Element wise-detail Summary'!$A:$D,3,0),0)</f>
        <v>Zone-1</v>
      </c>
      <c r="F273" s="143" t="str">
        <f>VLOOKUP(B273,'AFC Data details'!$B:$B,1,0)</f>
        <v>AZ1-V25-T1C6-004</v>
      </c>
      <c r="H273" s="3">
        <f>_xlfn.XLOOKUP(B273,'AFC Data details'!B:B,'AFC Data details'!P:P)</f>
        <v>2.0150000000000001</v>
      </c>
    </row>
    <row r="274" spans="1:8" x14ac:dyDescent="0.25">
      <c r="A274" s="154">
        <v>46003</v>
      </c>
      <c r="B274" s="3" t="s">
        <v>1487</v>
      </c>
      <c r="C274" s="3">
        <v>1</v>
      </c>
      <c r="D274" s="3" t="str">
        <f>VLOOKUP(B274,'Element wise-detail Summary'!$A:$D,2,0)</f>
        <v>V48</v>
      </c>
      <c r="E274" s="3" t="str">
        <f>IFERROR(VLOOKUP(B274,'Element wise-detail Summary'!$A:$D,3,0),0)</f>
        <v>Zone-3</v>
      </c>
      <c r="F274" s="143" t="str">
        <f>VLOOKUP(B274,'AFC Data details'!$B:$B,1,0)</f>
        <v>AZ3-V48-T3C6-001</v>
      </c>
      <c r="H274" s="3">
        <f>_xlfn.XLOOKUP(B274,'AFC Data details'!B:B,'AFC Data details'!P:P)</f>
        <v>1.49</v>
      </c>
    </row>
    <row r="275" spans="1:8" x14ac:dyDescent="0.25">
      <c r="A275" s="154">
        <v>46003</v>
      </c>
      <c r="B275" s="3" t="s">
        <v>1421</v>
      </c>
      <c r="C275" s="3">
        <v>1</v>
      </c>
      <c r="D275" s="3" t="str">
        <f>VLOOKUP(B275,'Element wise-detail Summary'!$A:$D,2,0)</f>
        <v>V41</v>
      </c>
      <c r="E275" s="3" t="str">
        <f>IFERROR(VLOOKUP(B275,'Element wise-detail Summary'!$A:$D,3,0),0)</f>
        <v>Zone-2</v>
      </c>
      <c r="F275" s="143" t="str">
        <f>VLOOKUP(B275,'AFC Data details'!$B:$B,1,0)</f>
        <v>AZ2-V41-T3C4-001</v>
      </c>
      <c r="H275" s="3">
        <f>_xlfn.XLOOKUP(B275,'AFC Data details'!B:B,'AFC Data details'!P:P)</f>
        <v>1.4370000000000001</v>
      </c>
    </row>
    <row r="276" spans="1:8" x14ac:dyDescent="0.25">
      <c r="A276" s="154">
        <v>46003</v>
      </c>
      <c r="B276" s="3" t="s">
        <v>1374</v>
      </c>
      <c r="C276" s="3">
        <v>1</v>
      </c>
      <c r="D276" s="3" t="str">
        <f>VLOOKUP(B276,'Element wise-detail Summary'!$A:$D,2,0)</f>
        <v>V36</v>
      </c>
      <c r="E276" s="3" t="str">
        <f>IFERROR(VLOOKUP(B276,'Element wise-detail Summary'!$A:$D,3,0),0)</f>
        <v>Zone-2</v>
      </c>
      <c r="F276" s="143" t="str">
        <f>VLOOKUP(B276,'AFC Data details'!$B:$B,1,0)</f>
        <v>AZ2-V36-T1C6-004</v>
      </c>
      <c r="H276" s="3">
        <f>_xlfn.XLOOKUP(B276,'AFC Data details'!B:B,'AFC Data details'!P:P)</f>
        <v>2.129</v>
      </c>
    </row>
    <row r="277" spans="1:8" x14ac:dyDescent="0.25">
      <c r="A277" s="154">
        <v>46003</v>
      </c>
      <c r="B277" s="3" t="s">
        <v>1388</v>
      </c>
      <c r="C277" s="3">
        <v>1</v>
      </c>
      <c r="D277" s="3" t="str">
        <f>VLOOKUP(B277,'Element wise-detail Summary'!$A:$D,2,0)</f>
        <v>V38</v>
      </c>
      <c r="E277" s="3" t="str">
        <f>IFERROR(VLOOKUP(B277,'Element wise-detail Summary'!$A:$D,3,0),0)</f>
        <v>Zone-2</v>
      </c>
      <c r="F277" s="143" t="str">
        <f>VLOOKUP(B277,'AFC Data details'!$B:$B,1,0)</f>
        <v>AZ2-V38-T1C6-001</v>
      </c>
      <c r="H277" s="3">
        <f>_xlfn.XLOOKUP(B277,'AFC Data details'!B:B,'AFC Data details'!P:P)</f>
        <v>2.1219999999999999</v>
      </c>
    </row>
    <row r="278" spans="1:8" x14ac:dyDescent="0.25">
      <c r="A278" s="154">
        <v>46003</v>
      </c>
      <c r="B278" s="3" t="s">
        <v>1395</v>
      </c>
      <c r="C278" s="3">
        <v>1</v>
      </c>
      <c r="D278" s="3" t="str">
        <f>VLOOKUP(B278,'Element wise-detail Summary'!$A:$D,2,0)</f>
        <v>V39</v>
      </c>
      <c r="E278" s="3" t="str">
        <f>IFERROR(VLOOKUP(B278,'Element wise-detail Summary'!$A:$D,3,0),0)</f>
        <v>Zone-2</v>
      </c>
      <c r="F278" s="143" t="str">
        <f>VLOOKUP(B278,'AFC Data details'!$B:$B,1,0)</f>
        <v>AZ2-V39-T1C6-003</v>
      </c>
      <c r="H278" s="3">
        <f>_xlfn.XLOOKUP(B278,'AFC Data details'!B:B,'AFC Data details'!P:P)</f>
        <v>2.12</v>
      </c>
    </row>
    <row r="279" spans="1:8" x14ac:dyDescent="0.25">
      <c r="A279" s="154">
        <v>46003</v>
      </c>
      <c r="B279" s="3" t="s">
        <v>1481</v>
      </c>
      <c r="C279" s="3">
        <v>1</v>
      </c>
      <c r="D279" s="3" t="str">
        <f>VLOOKUP(B279,'Element wise-detail Summary'!$A:$D,2,0)</f>
        <v>V48</v>
      </c>
      <c r="E279" s="3" t="str">
        <f>IFERROR(VLOOKUP(B279,'Element wise-detail Summary'!$A:$D,3,0),0)</f>
        <v>Zone-3</v>
      </c>
      <c r="F279" s="143" t="str">
        <f>VLOOKUP(B279,'AFC Data details'!$B:$B,1,0)</f>
        <v>AZ3-V48-T1C13-001</v>
      </c>
      <c r="H279" s="3">
        <f>_xlfn.XLOOKUP(B279,'AFC Data details'!B:B,'AFC Data details'!P:P)</f>
        <v>2.04</v>
      </c>
    </row>
    <row r="280" spans="1:8" x14ac:dyDescent="0.25">
      <c r="A280" s="154">
        <v>46004</v>
      </c>
      <c r="B280" s="3" t="s">
        <v>1527</v>
      </c>
      <c r="C280" s="3">
        <v>1</v>
      </c>
      <c r="D280" s="3" t="str">
        <f>VLOOKUP(B280,'Element wise-detail Summary'!$A:$D,2,0)</f>
        <v>V52</v>
      </c>
      <c r="E280" s="3" t="str">
        <f>IFERROR(VLOOKUP(B280,'Element wise-detail Summary'!$A:$D,3,0),0)</f>
        <v>Zone-3</v>
      </c>
      <c r="F280" s="143" t="str">
        <f>VLOOKUP(B280,'AFC Data details'!$B:$B,1,0)</f>
        <v>AZ3-V52-T1C6-003</v>
      </c>
      <c r="H280" s="3">
        <f>_xlfn.XLOOKUP(B280,'AFC Data details'!B:B,'AFC Data details'!P:P)</f>
        <v>2.0499999999999998</v>
      </c>
    </row>
    <row r="281" spans="1:8" x14ac:dyDescent="0.25">
      <c r="A281" s="154">
        <v>46004</v>
      </c>
      <c r="B281" s="3" t="s">
        <v>1274</v>
      </c>
      <c r="C281" s="3">
        <v>1</v>
      </c>
      <c r="D281" s="3" t="str">
        <f>VLOOKUP(B281,'Element wise-detail Summary'!$A:$D,2,0)</f>
        <v>V24</v>
      </c>
      <c r="E281" s="3" t="str">
        <f>IFERROR(VLOOKUP(B281,'Element wise-detail Summary'!$A:$D,3,0),0)</f>
        <v>Zone-1</v>
      </c>
      <c r="F281" s="143" t="str">
        <f>VLOOKUP(B281,'AFC Data details'!$B:$B,1,0)</f>
        <v>AZ1-V24-T1C6-004</v>
      </c>
      <c r="H281" s="3">
        <f>_xlfn.XLOOKUP(B281,'AFC Data details'!B:B,'AFC Data details'!P:P)</f>
        <v>2.0150000000000001</v>
      </c>
    </row>
    <row r="282" spans="1:8" x14ac:dyDescent="0.25">
      <c r="A282" s="154">
        <v>46004</v>
      </c>
      <c r="B282" s="3" t="s">
        <v>1282</v>
      </c>
      <c r="C282" s="3">
        <v>1</v>
      </c>
      <c r="D282" s="3" t="str">
        <f>VLOOKUP(B282,'Element wise-detail Summary'!$A:$D,2,0)</f>
        <v>V25</v>
      </c>
      <c r="E282" s="3" t="str">
        <f>IFERROR(VLOOKUP(B282,'Element wise-detail Summary'!$A:$D,3,0),0)</f>
        <v>Zone-1</v>
      </c>
      <c r="F282" s="143" t="str">
        <f>VLOOKUP(B282,'AFC Data details'!$B:$B,1,0)</f>
        <v>AZ1-V25-T1C6-001</v>
      </c>
      <c r="H282" s="3">
        <f>_xlfn.XLOOKUP(B282,'AFC Data details'!B:B,'AFC Data details'!P:P)</f>
        <v>2.0619999999999998</v>
      </c>
    </row>
    <row r="283" spans="1:8" x14ac:dyDescent="0.25">
      <c r="A283" s="154">
        <v>46004</v>
      </c>
      <c r="B283" s="3" t="s">
        <v>1500</v>
      </c>
      <c r="C283" s="3">
        <v>1</v>
      </c>
      <c r="D283" s="3" t="str">
        <f>VLOOKUP(B283,'Element wise-detail Summary'!$A:$D,2,0)</f>
        <v>V49</v>
      </c>
      <c r="E283" s="3" t="str">
        <f>IFERROR(VLOOKUP(B283,'Element wise-detail Summary'!$A:$D,3,0),0)</f>
        <v>Zone-3</v>
      </c>
      <c r="F283" s="143" t="str">
        <f>VLOOKUP(B283,'AFC Data details'!$B:$B,1,0)</f>
        <v>AZ3-V49-T3C5-001</v>
      </c>
      <c r="H283" s="3">
        <f>_xlfn.XLOOKUP(B283,'AFC Data details'!B:B,'AFC Data details'!P:P)</f>
        <v>1.6140000000000001</v>
      </c>
    </row>
    <row r="284" spans="1:8" x14ac:dyDescent="0.25">
      <c r="A284" s="154">
        <v>46004</v>
      </c>
      <c r="B284" s="3" t="s">
        <v>1451</v>
      </c>
      <c r="C284" s="3">
        <v>1</v>
      </c>
      <c r="D284" s="3" t="str">
        <f>VLOOKUP(B284,'Element wise-detail Summary'!$A:$D,2,0)</f>
        <v>V44</v>
      </c>
      <c r="E284" s="3" t="str">
        <f>IFERROR(VLOOKUP(B284,'Element wise-detail Summary'!$A:$D,3,0),0)</f>
        <v>Zone-3</v>
      </c>
      <c r="F284" s="143" t="str">
        <f>VLOOKUP(B284,'AFC Data details'!$B:$B,1,0)</f>
        <v>AZ3-V44-T1C6-001</v>
      </c>
      <c r="H284" s="3">
        <f>_xlfn.XLOOKUP(B284,'AFC Data details'!B:B,'AFC Data details'!P:P)</f>
        <v>2.0590000000000002</v>
      </c>
    </row>
    <row r="285" spans="1:8" x14ac:dyDescent="0.25">
      <c r="A285" s="154">
        <v>46004</v>
      </c>
      <c r="B285" s="3" t="s">
        <v>1536</v>
      </c>
      <c r="C285" s="3">
        <v>1</v>
      </c>
      <c r="D285" s="3" t="str">
        <f>VLOOKUP(B285,'Element wise-detail Summary'!$A:$D,2,0)</f>
        <v>V54</v>
      </c>
      <c r="E285" s="3" t="str">
        <f>IFERROR(VLOOKUP(B285,'Element wise-detail Summary'!$A:$D,3,0),0)</f>
        <v>Zone-3</v>
      </c>
      <c r="F285" s="143" t="str">
        <f>VLOOKUP(B285,'AFC Data details'!$B:$B,1,0)</f>
        <v>AZ3-V54-T1C13-001</v>
      </c>
      <c r="H285" s="3">
        <f>_xlfn.XLOOKUP(B285,'AFC Data details'!B:B,'AFC Data details'!P:P)</f>
        <v>2.1040000000000001</v>
      </c>
    </row>
    <row r="286" spans="1:8" x14ac:dyDescent="0.25">
      <c r="A286" s="154">
        <v>46004</v>
      </c>
      <c r="B286" s="3" t="s">
        <v>1406</v>
      </c>
      <c r="C286" s="3">
        <v>1</v>
      </c>
      <c r="D286" s="3" t="str">
        <f>VLOOKUP(B286,'Element wise-detail Summary'!$A:$D,2,0)</f>
        <v>V40</v>
      </c>
      <c r="E286" s="3" t="str">
        <f>IFERROR(VLOOKUP(B286,'Element wise-detail Summary'!$A:$D,3,0),0)</f>
        <v>Zone-2</v>
      </c>
      <c r="F286" s="143" t="str">
        <f>VLOOKUP(B286,'AFC Data details'!$B:$B,1,0)</f>
        <v>AZ2-V40-T1C6-001</v>
      </c>
      <c r="H286" s="3">
        <f>_xlfn.XLOOKUP(B286,'AFC Data details'!B:B,'AFC Data details'!P:P)</f>
        <v>2.1040000000000001</v>
      </c>
    </row>
    <row r="287" spans="1:8" x14ac:dyDescent="0.25">
      <c r="A287" s="154">
        <v>46004</v>
      </c>
      <c r="B287" s="3" t="s">
        <v>1396</v>
      </c>
      <c r="C287" s="3">
        <v>1</v>
      </c>
      <c r="D287" s="3" t="str">
        <f>VLOOKUP(B287,'Element wise-detail Summary'!$A:$D,2,0)</f>
        <v>V39</v>
      </c>
      <c r="E287" s="3" t="str">
        <f>IFERROR(VLOOKUP(B287,'Element wise-detail Summary'!$A:$D,3,0),0)</f>
        <v>Zone-2</v>
      </c>
      <c r="F287" s="143" t="str">
        <f>VLOOKUP(B287,'AFC Data details'!$B:$B,1,0)</f>
        <v>AZ2-V39-T1C6-004</v>
      </c>
      <c r="H287" s="3">
        <f>_xlfn.XLOOKUP(B287,'AFC Data details'!B:B,'AFC Data details'!P:P)</f>
        <v>2.12</v>
      </c>
    </row>
    <row r="288" spans="1:8" x14ac:dyDescent="0.25">
      <c r="A288" s="154">
        <v>46004</v>
      </c>
      <c r="B288" s="3" t="s">
        <v>1482</v>
      </c>
      <c r="C288" s="3">
        <v>1</v>
      </c>
      <c r="D288" s="3" t="str">
        <f>VLOOKUP(B288,'Element wise-detail Summary'!$A:$D,2,0)</f>
        <v>V48</v>
      </c>
      <c r="E288" s="3" t="str">
        <f>IFERROR(VLOOKUP(B288,'Element wise-detail Summary'!$A:$D,3,0),0)</f>
        <v>Zone-3</v>
      </c>
      <c r="F288" s="143" t="str">
        <f>VLOOKUP(B288,'AFC Data details'!$B:$B,1,0)</f>
        <v>AZ3-V48-T1C13-002</v>
      </c>
      <c r="H288" s="3">
        <f>_xlfn.XLOOKUP(B288,'AFC Data details'!B:B,'AFC Data details'!P:P)</f>
        <v>2.04</v>
      </c>
    </row>
    <row r="289" spans="1:8" x14ac:dyDescent="0.25">
      <c r="A289" s="154">
        <v>46004</v>
      </c>
      <c r="B289" s="3" t="s">
        <v>1412</v>
      </c>
      <c r="C289" s="3">
        <v>1</v>
      </c>
      <c r="D289" s="3" t="str">
        <f>VLOOKUP(B289,'Element wise-detail Summary'!$A:$D,2,0)</f>
        <v>V41</v>
      </c>
      <c r="E289" s="3" t="str">
        <f>IFERROR(VLOOKUP(B289,'Element wise-detail Summary'!$A:$D,3,0),0)</f>
        <v>Zone-2</v>
      </c>
      <c r="F289" s="143" t="str">
        <f>VLOOKUP(B289,'AFC Data details'!$B:$B,1,0)</f>
        <v>AZ2-V41-T1C6-002</v>
      </c>
      <c r="H289" s="3">
        <f>_xlfn.XLOOKUP(B289,'AFC Data details'!B:B,'AFC Data details'!P:P)</f>
        <v>2.1040000000000001</v>
      </c>
    </row>
    <row r="290" spans="1:8" x14ac:dyDescent="0.25">
      <c r="A290" s="154">
        <v>46006</v>
      </c>
      <c r="B290" s="3" t="s">
        <v>1503</v>
      </c>
      <c r="C290" s="3">
        <v>1</v>
      </c>
      <c r="D290" s="3" t="str">
        <f>VLOOKUP(B290,'Element wise-detail Summary'!$A:$D,2,0)</f>
        <v>V50</v>
      </c>
      <c r="E290" s="3" t="str">
        <f>IFERROR(VLOOKUP(B290,'Element wise-detail Summary'!$A:$D,3,0),0)</f>
        <v>Zone-3</v>
      </c>
      <c r="F290" s="143" t="str">
        <f>VLOOKUP(B290,'AFC Data details'!$B:$B,1,0)</f>
        <v>AZ3-V50-T1C6-002</v>
      </c>
      <c r="H290" s="3">
        <f>_xlfn.XLOOKUP(B290,'AFC Data details'!B:B,'AFC Data details'!P:P)</f>
        <v>2.0470000000000002</v>
      </c>
    </row>
    <row r="291" spans="1:8" x14ac:dyDescent="0.25">
      <c r="A291" s="154">
        <v>46006</v>
      </c>
      <c r="B291" s="3" t="s">
        <v>1528</v>
      </c>
      <c r="C291" s="3">
        <v>1</v>
      </c>
      <c r="D291" s="3" t="str">
        <f>VLOOKUP(B291,'Element wise-detail Summary'!$A:$D,2,0)</f>
        <v>V53</v>
      </c>
      <c r="E291" s="3" t="str">
        <f>IFERROR(VLOOKUP(B291,'Element wise-detail Summary'!$A:$D,3,0),0)</f>
        <v>Zone-3</v>
      </c>
      <c r="F291" s="143" t="str">
        <f>VLOOKUP(B291,'AFC Data details'!$B:$B,1,0)</f>
        <v>AZ3-V53-T1C6-002</v>
      </c>
      <c r="H291" s="3">
        <f>_xlfn.XLOOKUP(B291,'AFC Data details'!B:B,'AFC Data details'!P:P)</f>
        <v>2.0499999999999998</v>
      </c>
    </row>
    <row r="292" spans="1:8" x14ac:dyDescent="0.25">
      <c r="A292" s="154">
        <v>46006</v>
      </c>
      <c r="B292" s="3" t="s">
        <v>1521</v>
      </c>
      <c r="C292" s="3">
        <v>1</v>
      </c>
      <c r="D292" s="3" t="str">
        <f>VLOOKUP(B292,'Element wise-detail Summary'!$A:$D,2,0)</f>
        <v>V51</v>
      </c>
      <c r="E292" s="3" t="str">
        <f>IFERROR(VLOOKUP(B292,'Element wise-detail Summary'!$A:$D,3,0),0)</f>
        <v>Zone-3</v>
      </c>
      <c r="F292" s="143" t="str">
        <f>VLOOKUP(B292,'AFC Data details'!$B:$B,1,0)</f>
        <v>AZ3-V51-T1C6-006</v>
      </c>
      <c r="H292" s="3">
        <f>_xlfn.XLOOKUP(B292,'AFC Data details'!B:B,'AFC Data details'!P:P)</f>
        <v>2.0840000000000001</v>
      </c>
    </row>
    <row r="293" spans="1:8" x14ac:dyDescent="0.25">
      <c r="A293" s="154">
        <v>46006</v>
      </c>
      <c r="B293" s="3" t="s">
        <v>1488</v>
      </c>
      <c r="C293" s="3">
        <v>1</v>
      </c>
      <c r="D293" s="3" t="str">
        <f>VLOOKUP(B293,'Element wise-detail Summary'!$A:$D,2,0)</f>
        <v>V48</v>
      </c>
      <c r="E293" s="3" t="str">
        <f>IFERROR(VLOOKUP(B293,'Element wise-detail Summary'!$A:$D,3,0),0)</f>
        <v>Zone-3</v>
      </c>
      <c r="F293" s="143" t="str">
        <f>VLOOKUP(B293,'AFC Data details'!$B:$B,1,0)</f>
        <v>AZ3-V48-T3C6-002</v>
      </c>
      <c r="H293" s="3">
        <f>_xlfn.XLOOKUP(B293,'AFC Data details'!B:B,'AFC Data details'!P:P)</f>
        <v>1.49</v>
      </c>
    </row>
    <row r="294" spans="1:8" x14ac:dyDescent="0.25">
      <c r="A294" s="154">
        <v>46006</v>
      </c>
      <c r="B294" s="3" t="s">
        <v>1435</v>
      </c>
      <c r="C294" s="3">
        <v>1</v>
      </c>
      <c r="D294" s="3" t="str">
        <f>VLOOKUP(B294,'Element wise-detail Summary'!$A:$D,2,0)</f>
        <v>V43</v>
      </c>
      <c r="E294" s="3" t="str">
        <f>IFERROR(VLOOKUP(B294,'Element wise-detail Summary'!$A:$D,3,0),0)</f>
        <v>Zone-3</v>
      </c>
      <c r="F294" s="143" t="str">
        <f>VLOOKUP(B294,'AFC Data details'!$B:$B,1,0)</f>
        <v>AZ3-V43-T1C10-002</v>
      </c>
      <c r="H294" s="3">
        <f>_xlfn.XLOOKUP(B294,'AFC Data details'!B:B,'AFC Data details'!P:P)</f>
        <v>1.387</v>
      </c>
    </row>
    <row r="295" spans="1:8" x14ac:dyDescent="0.25">
      <c r="A295" s="154">
        <v>46006</v>
      </c>
      <c r="B295" s="3" t="s">
        <v>1452</v>
      </c>
      <c r="C295" s="3">
        <v>1</v>
      </c>
      <c r="D295" s="3" t="str">
        <f>VLOOKUP(B295,'Element wise-detail Summary'!$A:$D,2,0)</f>
        <v>V46</v>
      </c>
      <c r="E295" s="3" t="str">
        <f>IFERROR(VLOOKUP(B295,'Element wise-detail Summary'!$A:$D,3,0),0)</f>
        <v>Zone-3</v>
      </c>
      <c r="F295" s="143" t="str">
        <f>VLOOKUP(B295,'AFC Data details'!$B:$B,1,0)</f>
        <v>AZ3-V46-T1C6-001</v>
      </c>
      <c r="H295" s="3">
        <f>_xlfn.XLOOKUP(B295,'AFC Data details'!B:B,'AFC Data details'!P:P)</f>
        <v>2.0590000000000002</v>
      </c>
    </row>
    <row r="296" spans="1:8" x14ac:dyDescent="0.25">
      <c r="A296" s="154">
        <v>46006</v>
      </c>
      <c r="B296" s="3" t="s">
        <v>1537</v>
      </c>
      <c r="C296" s="3">
        <v>1</v>
      </c>
      <c r="D296" s="3" t="str">
        <f>VLOOKUP(B296,'Element wise-detail Summary'!$A:$D,2,0)</f>
        <v>V54</v>
      </c>
      <c r="E296" s="3" t="str">
        <f>IFERROR(VLOOKUP(B296,'Element wise-detail Summary'!$A:$D,3,0),0)</f>
        <v>Zone-3</v>
      </c>
      <c r="F296" s="143" t="str">
        <f>VLOOKUP(B296,'AFC Data details'!$B:$B,1,0)</f>
        <v>AZ3-V54-T1C13-002</v>
      </c>
      <c r="H296" s="3">
        <f>_xlfn.XLOOKUP(B296,'AFC Data details'!B:B,'AFC Data details'!P:P)</f>
        <v>2.0030000000000001</v>
      </c>
    </row>
    <row r="297" spans="1:8" x14ac:dyDescent="0.25">
      <c r="A297" s="154">
        <v>46006</v>
      </c>
      <c r="B297" s="3" t="s">
        <v>1408</v>
      </c>
      <c r="C297" s="3">
        <v>1</v>
      </c>
      <c r="D297" s="3" t="str">
        <f>VLOOKUP(B297,'Element wise-detail Summary'!$A:$D,2,0)</f>
        <v>V40</v>
      </c>
      <c r="E297" s="3" t="str">
        <f>IFERROR(VLOOKUP(B297,'Element wise-detail Summary'!$A:$D,3,0),0)</f>
        <v>Zone-2</v>
      </c>
      <c r="F297" s="143" t="str">
        <f>VLOOKUP(B297,'AFC Data details'!$B:$B,1,0)</f>
        <v>AZ2-V40-T1C6-002</v>
      </c>
      <c r="H297" s="3">
        <f>_xlfn.XLOOKUP(B297,'AFC Data details'!B:B,'AFC Data details'!P:P)</f>
        <v>2.1040000000000001</v>
      </c>
    </row>
    <row r="298" spans="1:8" x14ac:dyDescent="0.25">
      <c r="A298" s="154">
        <v>46006</v>
      </c>
      <c r="B298" s="3" t="s">
        <v>1399</v>
      </c>
      <c r="C298" s="3">
        <v>1</v>
      </c>
      <c r="D298" s="3" t="str">
        <f>VLOOKUP(B298,'Element wise-detail Summary'!$A:$D,2,0)</f>
        <v>V39</v>
      </c>
      <c r="E298" s="3" t="str">
        <f>IFERROR(VLOOKUP(B298,'Element wise-detail Summary'!$A:$D,3,0),0)</f>
        <v>Zone-2</v>
      </c>
      <c r="F298" s="143" t="str">
        <f>VLOOKUP(B298,'AFC Data details'!$B:$B,1,0)</f>
        <v>AZ2-V39-T1C6-001</v>
      </c>
      <c r="H298" s="3">
        <f>_xlfn.XLOOKUP(B298,'AFC Data details'!B:B,'AFC Data details'!P:P)</f>
        <v>2.1219999999999999</v>
      </c>
    </row>
    <row r="299" spans="1:8" x14ac:dyDescent="0.25">
      <c r="A299" s="154">
        <v>46006</v>
      </c>
      <c r="B299" s="3" t="s">
        <v>1483</v>
      </c>
      <c r="C299" s="3">
        <v>1</v>
      </c>
      <c r="D299" s="3" t="str">
        <f>VLOOKUP(B299,'Element wise-detail Summary'!$A:$D,2,0)</f>
        <v>V48</v>
      </c>
      <c r="E299" s="3" t="str">
        <f>IFERROR(VLOOKUP(B299,'Element wise-detail Summary'!$A:$D,3,0),0)</f>
        <v>Zone-3</v>
      </c>
      <c r="F299" s="143" t="str">
        <f>VLOOKUP(B299,'AFC Data details'!$B:$B,1,0)</f>
        <v>AZ3-V48-T1C13-003</v>
      </c>
      <c r="H299" s="3">
        <f>_xlfn.XLOOKUP(B299,'AFC Data details'!B:B,'AFC Data details'!P:P)</f>
        <v>2.04</v>
      </c>
    </row>
    <row r="300" spans="1:8" x14ac:dyDescent="0.25">
      <c r="A300" s="154">
        <v>46006</v>
      </c>
      <c r="B300" s="3" t="s">
        <v>1413</v>
      </c>
      <c r="C300" s="3">
        <v>1</v>
      </c>
      <c r="D300" s="3" t="str">
        <f>VLOOKUP(B300,'Element wise-detail Summary'!$A:$D,2,0)</f>
        <v>V41</v>
      </c>
      <c r="E300" s="3" t="str">
        <f>IFERROR(VLOOKUP(B300,'Element wise-detail Summary'!$A:$D,3,0),0)</f>
        <v>Zone-2</v>
      </c>
      <c r="F300" s="143" t="str">
        <f>VLOOKUP(B300,'AFC Data details'!$B:$B,1,0)</f>
        <v>AZ2-V41-T1C6-003</v>
      </c>
      <c r="H300" s="3">
        <f>_xlfn.XLOOKUP(B300,'AFC Data details'!B:B,'AFC Data details'!P:P)</f>
        <v>2.1040000000000001</v>
      </c>
    </row>
    <row r="301" spans="1:8" x14ac:dyDescent="0.25">
      <c r="A301" s="154">
        <v>46007</v>
      </c>
      <c r="B301" s="3" t="s">
        <v>1506</v>
      </c>
      <c r="C301" s="3">
        <v>1</v>
      </c>
      <c r="D301" s="3" t="str">
        <f>VLOOKUP(B301,'Element wise-detail Summary'!$A:$D,2,0)</f>
        <v>V51</v>
      </c>
      <c r="E301" s="3" t="str">
        <f>IFERROR(VLOOKUP(B301,'Element wise-detail Summary'!$A:$D,3,0),0)</f>
        <v>Zone-3</v>
      </c>
      <c r="F301" s="143" t="str">
        <f>VLOOKUP(B301,'AFC Data details'!$B:$B,1,0)</f>
        <v>AZ3-V51-T1C6-003</v>
      </c>
      <c r="H301" s="3">
        <f>_xlfn.XLOOKUP(B301,'AFC Data details'!B:B,'AFC Data details'!P:P)</f>
        <v>2.0470000000000002</v>
      </c>
    </row>
    <row r="302" spans="1:8" x14ac:dyDescent="0.25">
      <c r="A302" s="154">
        <v>46007</v>
      </c>
      <c r="B302" s="3" t="s">
        <v>1529</v>
      </c>
      <c r="C302" s="3">
        <v>1</v>
      </c>
      <c r="D302" s="3" t="str">
        <f>VLOOKUP(B302,'Element wise-detail Summary'!$A:$D,2,0)</f>
        <v>V53</v>
      </c>
      <c r="E302" s="3" t="str">
        <f>IFERROR(VLOOKUP(B302,'Element wise-detail Summary'!$A:$D,3,0),0)</f>
        <v>Zone-3</v>
      </c>
      <c r="F302" s="143" t="str">
        <f>VLOOKUP(B302,'AFC Data details'!$B:$B,1,0)</f>
        <v>AZ3-V53-T1C6-003</v>
      </c>
      <c r="H302" s="3">
        <f>_xlfn.XLOOKUP(B302,'AFC Data details'!B:B,'AFC Data details'!P:P)</f>
        <v>2.0499999999999998</v>
      </c>
    </row>
    <row r="303" spans="1:8" x14ac:dyDescent="0.25">
      <c r="A303" s="154">
        <v>46007</v>
      </c>
      <c r="B303" s="3" t="s">
        <v>1522</v>
      </c>
      <c r="C303" s="3">
        <v>1</v>
      </c>
      <c r="D303" s="3" t="str">
        <f>VLOOKUP(B303,'Element wise-detail Summary'!$A:$D,2,0)</f>
        <v>V53</v>
      </c>
      <c r="E303" s="3" t="str">
        <f>IFERROR(VLOOKUP(B303,'Element wise-detail Summary'!$A:$D,3,0),0)</f>
        <v>Zone-3</v>
      </c>
      <c r="F303" s="143" t="str">
        <f>VLOOKUP(B303,'AFC Data details'!$B:$B,1,0)</f>
        <v>AZ3-V53-T1C6-006</v>
      </c>
      <c r="H303" s="3">
        <f>_xlfn.XLOOKUP(B303,'AFC Data details'!B:B,'AFC Data details'!P:P)</f>
        <v>2.0840000000000001</v>
      </c>
    </row>
    <row r="304" spans="1:8" x14ac:dyDescent="0.25">
      <c r="A304" s="154">
        <v>46007</v>
      </c>
      <c r="B304" s="3" t="s">
        <v>1501</v>
      </c>
      <c r="C304" s="3">
        <v>1</v>
      </c>
      <c r="D304" s="3" t="str">
        <f>VLOOKUP(B304,'Element wise-detail Summary'!$A:$D,2,0)</f>
        <v>V49</v>
      </c>
      <c r="E304" s="3" t="str">
        <f>IFERROR(VLOOKUP(B304,'Element wise-detail Summary'!$A:$D,3,0),0)</f>
        <v>Zone-3</v>
      </c>
      <c r="F304" s="143" t="str">
        <f>VLOOKUP(B304,'AFC Data details'!$B:$B,1,0)</f>
        <v>AZ3-V49-T3C5-002</v>
      </c>
      <c r="H304" s="3">
        <f>_xlfn.XLOOKUP(B304,'AFC Data details'!B:B,'AFC Data details'!P:P)</f>
        <v>1.4410000000000001</v>
      </c>
    </row>
    <row r="305" spans="1:8" x14ac:dyDescent="0.25">
      <c r="A305" s="154">
        <v>46007</v>
      </c>
      <c r="B305" s="3" t="s">
        <v>1453</v>
      </c>
      <c r="C305" s="3">
        <v>1</v>
      </c>
      <c r="D305" s="3" t="str">
        <f>VLOOKUP(B305,'Element wise-detail Summary'!$A:$D,2,0)</f>
        <v>V44</v>
      </c>
      <c r="E305" s="3" t="str">
        <f>IFERROR(VLOOKUP(B305,'Element wise-detail Summary'!$A:$D,3,0),0)</f>
        <v>Zone-3</v>
      </c>
      <c r="F305" s="143" t="str">
        <f>VLOOKUP(B305,'AFC Data details'!$B:$B,1,0)</f>
        <v>AZ3-V44-T1C6-002</v>
      </c>
      <c r="H305" s="3">
        <f>_xlfn.XLOOKUP(B305,'AFC Data details'!B:B,'AFC Data details'!P:P)</f>
        <v>2.0590000000000002</v>
      </c>
    </row>
    <row r="306" spans="1:8" x14ac:dyDescent="0.25">
      <c r="A306" s="154">
        <v>46007</v>
      </c>
      <c r="B306" s="3" t="s">
        <v>1538</v>
      </c>
      <c r="C306" s="3">
        <v>1</v>
      </c>
      <c r="D306" s="3" t="str">
        <f>VLOOKUP(B306,'Element wise-detail Summary'!$A:$D,2,0)</f>
        <v>V54</v>
      </c>
      <c r="E306" s="3" t="str">
        <f>IFERROR(VLOOKUP(B306,'Element wise-detail Summary'!$A:$D,3,0),0)</f>
        <v>Zone-3</v>
      </c>
      <c r="F306" s="143" t="str">
        <f>VLOOKUP(B306,'AFC Data details'!$B:$B,1,0)</f>
        <v>AZ3-V54-T1C13-003</v>
      </c>
      <c r="H306" s="3">
        <f>_xlfn.XLOOKUP(B306,'AFC Data details'!B:B,'AFC Data details'!P:P)</f>
        <v>2.0030000000000001</v>
      </c>
    </row>
    <row r="307" spans="1:8" x14ac:dyDescent="0.25">
      <c r="A307" s="154">
        <v>46007</v>
      </c>
      <c r="B307" s="3" t="s">
        <v>1547</v>
      </c>
      <c r="C307" s="3">
        <v>1</v>
      </c>
      <c r="D307" s="3" t="str">
        <f>VLOOKUP(B307,'Element wise-detail Summary'!$A:$D,2,0)</f>
        <v>V56</v>
      </c>
      <c r="E307" s="3" t="str">
        <f>IFERROR(VLOOKUP(B307,'Element wise-detail Summary'!$A:$D,3,0),0)</f>
        <v>Zone-5</v>
      </c>
      <c r="F307" s="143" t="str">
        <f>VLOOKUP(B307,'AFC Data details'!$B:$B,1,0)</f>
        <v>AZ5-V56-T1C6-004</v>
      </c>
      <c r="H307" s="3">
        <f>_xlfn.XLOOKUP(B307,'AFC Data details'!B:B,'AFC Data details'!P:P)</f>
        <v>2.1219999999999999</v>
      </c>
    </row>
    <row r="308" spans="1:8" x14ac:dyDescent="0.25">
      <c r="A308" s="154">
        <v>46007</v>
      </c>
      <c r="B308" s="3" t="s">
        <v>1491</v>
      </c>
      <c r="C308" s="3">
        <v>1</v>
      </c>
      <c r="D308" s="3" t="str">
        <f>VLOOKUP(B308,'Element wise-detail Summary'!$A:$D,2,0)</f>
        <v>V49</v>
      </c>
      <c r="E308" s="3" t="str">
        <f>IFERROR(VLOOKUP(B308,'Element wise-detail Summary'!$A:$D,3,0),0)</f>
        <v>Zone-3</v>
      </c>
      <c r="F308" s="143" t="str">
        <f>VLOOKUP(B308,'AFC Data details'!$B:$B,1,0)</f>
        <v>AZ3-V49-T1C13-001</v>
      </c>
      <c r="H308" s="3">
        <f>_xlfn.XLOOKUP(B308,'AFC Data details'!B:B,'AFC Data details'!P:P)</f>
        <v>1.9830000000000001</v>
      </c>
    </row>
    <row r="309" spans="1:8" x14ac:dyDescent="0.25">
      <c r="A309" s="154">
        <v>46007</v>
      </c>
      <c r="B309" s="3" t="s">
        <v>1414</v>
      </c>
      <c r="C309" s="3">
        <v>1</v>
      </c>
      <c r="D309" s="3" t="str">
        <f>VLOOKUP(B309,'Element wise-detail Summary'!$A:$D,2,0)</f>
        <v>V41</v>
      </c>
      <c r="E309" s="3" t="str">
        <f>IFERROR(VLOOKUP(B309,'Element wise-detail Summary'!$A:$D,3,0),0)</f>
        <v>Zone-2</v>
      </c>
      <c r="F309" s="143" t="str">
        <f>VLOOKUP(B309,'AFC Data details'!$B:$B,1,0)</f>
        <v>AZ2-V41-T1C6-004</v>
      </c>
      <c r="H309" s="3">
        <f>_xlfn.XLOOKUP(B309,'AFC Data details'!B:B,'AFC Data details'!P:P)</f>
        <v>2.1040000000000001</v>
      </c>
    </row>
    <row r="310" spans="1:8" x14ac:dyDescent="0.25">
      <c r="A310" s="154">
        <v>46008</v>
      </c>
      <c r="B310" s="151" t="s">
        <v>1504</v>
      </c>
      <c r="C310" s="151">
        <v>1</v>
      </c>
      <c r="D310" s="3" t="str">
        <f>VLOOKUP(B310,'Element wise-detail Summary'!$A:$D,2,0)</f>
        <v>V50</v>
      </c>
      <c r="E310" s="3" t="str">
        <f>IFERROR(VLOOKUP(B310,'Element wise-detail Summary'!$A:$D,3,0),0)</f>
        <v>Zone-3</v>
      </c>
      <c r="F310" s="143" t="str">
        <f>VLOOKUP(B310,'AFC Data details'!$B:$B,1,0)</f>
        <v>AZ3-V50-T1C6-003</v>
      </c>
      <c r="H310" s="3">
        <f>_xlfn.XLOOKUP(B310,'AFC Data details'!B:B,'AFC Data details'!P:P)</f>
        <v>2.0470000000000002</v>
      </c>
    </row>
    <row r="311" spans="1:8" x14ac:dyDescent="0.25">
      <c r="A311" s="154">
        <v>46008</v>
      </c>
      <c r="B311" s="151" t="s">
        <v>1507</v>
      </c>
      <c r="C311" s="151">
        <v>1</v>
      </c>
      <c r="D311" s="3" t="str">
        <f>VLOOKUP(B311,'Element wise-detail Summary'!$A:$D,2,0)</f>
        <v>V50</v>
      </c>
      <c r="E311" s="3" t="str">
        <f>IFERROR(VLOOKUP(B311,'Element wise-detail Summary'!$A:$D,3,0),0)</f>
        <v>Zone-3</v>
      </c>
      <c r="F311" s="143" t="str">
        <f>VLOOKUP(B311,'AFC Data details'!$B:$B,1,0)</f>
        <v>AZ3-V50-T1C6-004</v>
      </c>
      <c r="H311" s="3">
        <f>_xlfn.XLOOKUP(B311,'AFC Data details'!B:B,'AFC Data details'!P:P)</f>
        <v>2.0840000000000001</v>
      </c>
    </row>
    <row r="312" spans="1:8" x14ac:dyDescent="0.25">
      <c r="A312" s="154">
        <v>46008</v>
      </c>
      <c r="B312" s="151" t="s">
        <v>1525</v>
      </c>
      <c r="C312" s="151">
        <v>1</v>
      </c>
      <c r="D312" s="3" t="str">
        <f>VLOOKUP(B312,'Element wise-detail Summary'!$A:$D,2,0)</f>
        <v>V52</v>
      </c>
      <c r="E312" s="3" t="str">
        <f>IFERROR(VLOOKUP(B312,'Element wise-detail Summary'!$A:$D,3,0),0)</f>
        <v>Zone-3</v>
      </c>
      <c r="F312" s="143" t="str">
        <f>VLOOKUP(B312,'AFC Data details'!$B:$B,1,0)</f>
        <v>AZ3-V52-T1C6-001</v>
      </c>
      <c r="H312" s="3">
        <f>_xlfn.XLOOKUP(B312,'AFC Data details'!B:B,'AFC Data details'!P:P)</f>
        <v>2.0499999999999998</v>
      </c>
    </row>
    <row r="313" spans="1:8" x14ac:dyDescent="0.25">
      <c r="A313" s="154">
        <v>46008</v>
      </c>
      <c r="B313" s="151" t="s">
        <v>1489</v>
      </c>
      <c r="C313" s="151">
        <v>1</v>
      </c>
      <c r="D313" s="3" t="str">
        <f>VLOOKUP(B313,'Element wise-detail Summary'!$A:$D,2,0)</f>
        <v>V48</v>
      </c>
      <c r="E313" s="3" t="str">
        <f>IFERROR(VLOOKUP(B313,'Element wise-detail Summary'!$A:$D,3,0),0)</f>
        <v>Zone-3</v>
      </c>
      <c r="F313" s="143" t="str">
        <f>VLOOKUP(B313,'AFC Data details'!$B:$B,1,0)</f>
        <v>AZ3-V48-T3C6-003</v>
      </c>
      <c r="H313" s="3">
        <f>_xlfn.XLOOKUP(B313,'AFC Data details'!B:B,'AFC Data details'!P:P)</f>
        <v>1.6639999999999999</v>
      </c>
    </row>
    <row r="314" spans="1:8" x14ac:dyDescent="0.25">
      <c r="A314" s="154">
        <v>46008</v>
      </c>
      <c r="B314" s="151" t="s">
        <v>1436</v>
      </c>
      <c r="C314" s="151">
        <v>1</v>
      </c>
      <c r="D314" s="3" t="str">
        <f>VLOOKUP(B314,'Element wise-detail Summary'!$A:$D,2,0)</f>
        <v>V43</v>
      </c>
      <c r="E314" s="3" t="str">
        <f>IFERROR(VLOOKUP(B314,'Element wise-detail Summary'!$A:$D,3,0),0)</f>
        <v>Zone-3</v>
      </c>
      <c r="F314" s="143" t="str">
        <f>VLOOKUP(B314,'AFC Data details'!$B:$B,1,0)</f>
        <v>AZ3-V43-T1C11-001</v>
      </c>
      <c r="H314" s="3">
        <f>_xlfn.XLOOKUP(B314,'AFC Data details'!B:B,'AFC Data details'!P:P)</f>
        <v>1.724</v>
      </c>
    </row>
    <row r="315" spans="1:8" x14ac:dyDescent="0.25">
      <c r="A315" s="154">
        <v>46008</v>
      </c>
      <c r="B315" s="151" t="s">
        <v>1539</v>
      </c>
      <c r="C315" s="151">
        <v>1</v>
      </c>
      <c r="D315" s="3" t="str">
        <f>VLOOKUP(B315,'Element wise-detail Summary'!$A:$D,2,0)</f>
        <v>V54</v>
      </c>
      <c r="E315" s="3" t="str">
        <f>IFERROR(VLOOKUP(B315,'Element wise-detail Summary'!$A:$D,3,0),0)</f>
        <v>Zone-3</v>
      </c>
      <c r="F315" s="143" t="str">
        <f>VLOOKUP(B315,'AFC Data details'!$B:$B,1,0)</f>
        <v>AZ3-V54-T1C13-004</v>
      </c>
      <c r="H315" s="3">
        <f>_xlfn.XLOOKUP(B315,'AFC Data details'!B:B,'AFC Data details'!P:P)</f>
        <v>2.0030000000000001</v>
      </c>
    </row>
    <row r="316" spans="1:8" x14ac:dyDescent="0.25">
      <c r="A316" s="154">
        <v>46008</v>
      </c>
      <c r="B316" s="151" t="s">
        <v>1548</v>
      </c>
      <c r="C316" s="151">
        <v>1</v>
      </c>
      <c r="D316" s="3" t="str">
        <f>VLOOKUP(B316,'Element wise-detail Summary'!$A:$D,2,0)</f>
        <v>V56</v>
      </c>
      <c r="E316" s="3" t="str">
        <f>IFERROR(VLOOKUP(B316,'Element wise-detail Summary'!$A:$D,3,0),0)</f>
        <v>Zone-5</v>
      </c>
      <c r="F316" s="143" t="str">
        <f>VLOOKUP(B316,'AFC Data details'!$B:$B,1,0)</f>
        <v>AZ5-V56-T1C6-005</v>
      </c>
      <c r="H316" s="3">
        <f>_xlfn.XLOOKUP(B316,'AFC Data details'!B:B,'AFC Data details'!P:P)</f>
        <v>2.1219999999999999</v>
      </c>
    </row>
    <row r="317" spans="1:8" x14ac:dyDescent="0.25">
      <c r="A317" s="154">
        <v>46008</v>
      </c>
      <c r="B317" s="151" t="s">
        <v>1464</v>
      </c>
      <c r="C317" s="151">
        <v>1</v>
      </c>
      <c r="D317" s="3" t="str">
        <f>VLOOKUP(B317,'Element wise-detail Summary'!$A:$D,2,0)</f>
        <v>V44</v>
      </c>
      <c r="E317" s="3" t="str">
        <f>IFERROR(VLOOKUP(B317,'Element wise-detail Summary'!$A:$D,3,0),0)</f>
        <v>Zone-3</v>
      </c>
      <c r="F317" s="143" t="str">
        <f>VLOOKUP(B317,'AFC Data details'!$B:$B,1,0)</f>
        <v>AZ3-V44-T3C3-001</v>
      </c>
      <c r="H317" s="3">
        <f>_xlfn.XLOOKUP(B317,'AFC Data details'!B:B,'AFC Data details'!P:P)</f>
        <v>1.3320000000000001</v>
      </c>
    </row>
    <row r="318" spans="1:8" x14ac:dyDescent="0.25">
      <c r="A318" s="154">
        <v>46009</v>
      </c>
      <c r="B318" s="151" t="s">
        <v>1505</v>
      </c>
      <c r="C318" s="151">
        <v>1</v>
      </c>
      <c r="D318" s="3" t="str">
        <f>VLOOKUP(B318,'Element wise-detail Summary'!$A:$D,2,0)</f>
        <v>V51</v>
      </c>
      <c r="E318" s="3" t="str">
        <f>IFERROR(VLOOKUP(B318,'Element wise-detail Summary'!$A:$D,3,0),0)</f>
        <v>Zone-3</v>
      </c>
      <c r="F318" s="143" t="str">
        <f>VLOOKUP(B318,'AFC Data details'!$B:$B,1,0)</f>
        <v>AZ3-V51-T1C6-002</v>
      </c>
      <c r="H318" s="3">
        <f>_xlfn.XLOOKUP(B318,'AFC Data details'!B:B,'AFC Data details'!P:P)</f>
        <v>2.0470000000000002</v>
      </c>
    </row>
    <row r="319" spans="1:8" x14ac:dyDescent="0.25">
      <c r="A319" s="154">
        <v>46009</v>
      </c>
      <c r="B319" s="151" t="s">
        <v>1533</v>
      </c>
      <c r="C319" s="151">
        <v>1</v>
      </c>
      <c r="D319" s="3" t="str">
        <f>VLOOKUP(B319,'Element wise-detail Summary'!$A:$D,2,0)</f>
        <v>V53</v>
      </c>
      <c r="E319" s="3" t="str">
        <f>IFERROR(VLOOKUP(B319,'Element wise-detail Summary'!$A:$D,3,0),0)</f>
        <v>Zone-3</v>
      </c>
      <c r="F319" s="143" t="str">
        <f>VLOOKUP(B319,'AFC Data details'!$B:$B,1,0)</f>
        <v>AZ3-V53-T1C6-001</v>
      </c>
      <c r="H319" s="3">
        <f>_xlfn.XLOOKUP(B319,'AFC Data details'!B:B,'AFC Data details'!P:P)</f>
        <v>2.0499999999999998</v>
      </c>
    </row>
    <row r="320" spans="1:8" x14ac:dyDescent="0.25">
      <c r="A320" s="154">
        <v>46009</v>
      </c>
      <c r="B320" s="151" t="s">
        <v>1526</v>
      </c>
      <c r="C320" s="151">
        <v>1</v>
      </c>
      <c r="D320" s="3" t="str">
        <f>VLOOKUP(B320,'Element wise-detail Summary'!$A:$D,2,0)</f>
        <v>V52</v>
      </c>
      <c r="E320" s="3" t="str">
        <f>IFERROR(VLOOKUP(B320,'Element wise-detail Summary'!$A:$D,3,0),0)</f>
        <v>Zone-3</v>
      </c>
      <c r="F320" s="143" t="str">
        <f>VLOOKUP(B320,'AFC Data details'!$B:$B,1,0)</f>
        <v>AZ3-V52-T1C6-002</v>
      </c>
      <c r="H320" s="3">
        <f>_xlfn.XLOOKUP(B320,'AFC Data details'!B:B,'AFC Data details'!P:P)</f>
        <v>2.0499999999999998</v>
      </c>
    </row>
    <row r="321" spans="1:8" x14ac:dyDescent="0.25">
      <c r="A321" s="154">
        <v>46009</v>
      </c>
      <c r="B321" s="151" t="s">
        <v>1458</v>
      </c>
      <c r="C321" s="151">
        <v>1</v>
      </c>
      <c r="D321" s="3" t="str">
        <f>VLOOKUP(B321,'Element wise-detail Summary'!$A:$D,2,0)</f>
        <v>V46</v>
      </c>
      <c r="E321" s="3" t="str">
        <f>IFERROR(VLOOKUP(B321,'Element wise-detail Summary'!$A:$D,3,0),0)</f>
        <v>Zone-3</v>
      </c>
      <c r="F321" s="143" t="str">
        <f>VLOOKUP(B321,'AFC Data details'!$B:$B,1,0)</f>
        <v>AZ3-V46-T1C6-003</v>
      </c>
      <c r="H321" s="3">
        <f>_xlfn.XLOOKUP(B321,'AFC Data details'!B:B,'AFC Data details'!P:P)</f>
        <v>2.0590000000000002</v>
      </c>
    </row>
    <row r="322" spans="1:8" x14ac:dyDescent="0.25">
      <c r="A322" s="154">
        <v>46009</v>
      </c>
      <c r="B322" s="151" t="s">
        <v>1492</v>
      </c>
      <c r="C322" s="151">
        <v>1</v>
      </c>
      <c r="D322" s="3" t="str">
        <f>VLOOKUP(B322,'Element wise-detail Summary'!$A:$D,2,0)</f>
        <v>V49</v>
      </c>
      <c r="E322" s="3" t="str">
        <f>IFERROR(VLOOKUP(B322,'Element wise-detail Summary'!$A:$D,3,0),0)</f>
        <v>Zone-3</v>
      </c>
      <c r="F322" s="143" t="str">
        <f>VLOOKUP(B322,'AFC Data details'!$B:$B,1,0)</f>
        <v>AZ3-V49-T1C13-002</v>
      </c>
      <c r="H322" s="3">
        <f>_xlfn.XLOOKUP(B322,'AFC Data details'!B:B,'AFC Data details'!P:P)</f>
        <v>1.9830000000000001</v>
      </c>
    </row>
    <row r="323" spans="1:8" x14ac:dyDescent="0.25">
      <c r="A323" s="154">
        <v>46009</v>
      </c>
      <c r="B323" s="151" t="s">
        <v>1417</v>
      </c>
      <c r="C323" s="151">
        <v>1</v>
      </c>
      <c r="D323" s="3" t="str">
        <f>VLOOKUP(B323,'Element wise-detail Summary'!$A:$D,2,0)</f>
        <v>V41</v>
      </c>
      <c r="E323" s="3" t="str">
        <f>IFERROR(VLOOKUP(B323,'Element wise-detail Summary'!$A:$D,3,0),0)</f>
        <v>Zone-2</v>
      </c>
      <c r="F323" s="143" t="str">
        <f>VLOOKUP(B323,'AFC Data details'!$B:$B,1,0)</f>
        <v>AZ2-V41-T1C6-001</v>
      </c>
      <c r="H323" s="3">
        <f>_xlfn.XLOOKUP(B323,'AFC Data details'!B:B,'AFC Data details'!P:P)</f>
        <v>2.1040000000000001</v>
      </c>
    </row>
    <row r="324" spans="1:8" x14ac:dyDescent="0.25">
      <c r="A324" s="154">
        <v>46010</v>
      </c>
      <c r="B324" s="151" t="s">
        <v>1510</v>
      </c>
      <c r="C324" s="151">
        <v>1</v>
      </c>
      <c r="D324" s="3" t="str">
        <f>VLOOKUP(B324,'Element wise-detail Summary'!$A:$D,2,0)</f>
        <v>V51</v>
      </c>
      <c r="E324" s="3" t="str">
        <f>IFERROR(VLOOKUP(B324,'Element wise-detail Summary'!$A:$D,3,0),0)</f>
        <v>Zone-3</v>
      </c>
      <c r="F324" s="143" t="str">
        <f>VLOOKUP(B324,'AFC Data details'!$B:$B,1,0)</f>
        <v>AZ3-V51-T1C6-005</v>
      </c>
      <c r="H324" s="3">
        <f>_xlfn.XLOOKUP(B324,'AFC Data details'!B:B,'AFC Data details'!P:P)</f>
        <v>2.0840000000000001</v>
      </c>
    </row>
    <row r="325" spans="1:8" x14ac:dyDescent="0.25">
      <c r="A325" s="154">
        <v>46010</v>
      </c>
      <c r="B325" s="151" t="s">
        <v>1517</v>
      </c>
      <c r="C325" s="151">
        <v>1</v>
      </c>
      <c r="D325" s="3" t="str">
        <f>VLOOKUP(B325,'Element wise-detail Summary'!$A:$D,2,0)</f>
        <v>V50</v>
      </c>
      <c r="E325" s="3" t="str">
        <f>IFERROR(VLOOKUP(B325,'Element wise-detail Summary'!$A:$D,3,0),0)</f>
        <v>Zone-3</v>
      </c>
      <c r="F325" s="143" t="str">
        <f>VLOOKUP(B325,'AFC Data details'!$B:$B,1,0)</f>
        <v>AZ3-V50-T3C5-001</v>
      </c>
      <c r="H325" s="3">
        <f>_xlfn.XLOOKUP(B325,'AFC Data details'!B:B,'AFC Data details'!P:P)</f>
        <v>1.4410000000000001</v>
      </c>
    </row>
    <row r="326" spans="1:8" x14ac:dyDescent="0.25">
      <c r="A326" s="154">
        <v>46011</v>
      </c>
      <c r="B326" s="151" t="s">
        <v>1554</v>
      </c>
      <c r="C326" s="151">
        <v>1</v>
      </c>
      <c r="D326" s="3" t="str">
        <f>VLOOKUP(B326,'Element wise-detail Summary'!$A:$D,2,0)</f>
        <v>V57</v>
      </c>
      <c r="E326" s="3" t="str">
        <f>IFERROR(VLOOKUP(B326,'Element wise-detail Summary'!$A:$D,3,0),0)</f>
        <v>Zone-5</v>
      </c>
      <c r="F326" s="143" t="str">
        <f>VLOOKUP(B326,'AFC Data details'!$B:$B,1,0)</f>
        <v>AZ5-V57-T1C6-001</v>
      </c>
      <c r="H326" s="3">
        <f>_xlfn.XLOOKUP(B326,'AFC Data details'!B:B,'AFC Data details'!P:P)</f>
        <v>2.1219999999999999</v>
      </c>
    </row>
    <row r="327" spans="1:8" x14ac:dyDescent="0.25">
      <c r="A327" s="154">
        <v>46011</v>
      </c>
      <c r="B327" s="151" t="s">
        <v>1556</v>
      </c>
      <c r="C327" s="151">
        <v>1</v>
      </c>
      <c r="D327" s="3" t="str">
        <f>VLOOKUP(B327,'Element wise-detail Summary'!$A:$D,2,0)</f>
        <v>V58</v>
      </c>
      <c r="E327" s="3" t="str">
        <f>IFERROR(VLOOKUP(B327,'Element wise-detail Summary'!$A:$D,3,0),0)</f>
        <v>Zone-5</v>
      </c>
      <c r="F327" s="143" t="str">
        <f>VLOOKUP(B327,'AFC Data details'!$B:$B,1,0)</f>
        <v>AZ5-V58-T1C6-001</v>
      </c>
      <c r="H327" s="3">
        <f>_xlfn.XLOOKUP(B327,'AFC Data details'!B:B,'AFC Data details'!P:P)</f>
        <v>2.1179999999999999</v>
      </c>
    </row>
    <row r="328" spans="1:8" x14ac:dyDescent="0.25">
      <c r="A328" s="154">
        <v>46011</v>
      </c>
      <c r="B328" s="151" t="s">
        <v>1754</v>
      </c>
      <c r="C328" s="151">
        <v>1</v>
      </c>
      <c r="D328" s="3" t="str">
        <f>VLOOKUP(B328,'Element wise-detail Summary'!$A:$D,2,0)</f>
        <v>V46</v>
      </c>
      <c r="E328" s="3" t="str">
        <f>IFERROR(VLOOKUP(B328,'Element wise-detail Summary'!$A:$D,3,0),0)</f>
        <v>Zone-3</v>
      </c>
      <c r="F328" s="143" t="str">
        <f>VLOOKUP(B328,'AFC Data details'!$B:$B,1,0)</f>
        <v>AZ3-V46-T1C6-004</v>
      </c>
      <c r="H328" s="3">
        <f>_xlfn.XLOOKUP(B328,'AFC Data details'!B:B,'AFC Data details'!P:P)</f>
        <v>2.097</v>
      </c>
    </row>
    <row r="329" spans="1:8" x14ac:dyDescent="0.25">
      <c r="A329" s="154">
        <v>46011</v>
      </c>
      <c r="B329" s="151" t="s">
        <v>1544</v>
      </c>
      <c r="C329" s="151">
        <v>1</v>
      </c>
      <c r="D329" s="3" t="str">
        <f>VLOOKUP(B329,'Element wise-detail Summary'!$A:$D,2,0)</f>
        <v>V56</v>
      </c>
      <c r="E329" s="3" t="str">
        <f>IFERROR(VLOOKUP(B329,'Element wise-detail Summary'!$A:$D,3,0),0)</f>
        <v>Zone-5</v>
      </c>
      <c r="F329" s="143" t="str">
        <f>VLOOKUP(B329,'AFC Data details'!$B:$B,1,0)</f>
        <v>AZ5-V56-T1C6-001</v>
      </c>
      <c r="H329" s="3">
        <f>_xlfn.XLOOKUP(B329,'AFC Data details'!B:B,'AFC Data details'!P:P)</f>
        <v>2.1219999999999999</v>
      </c>
    </row>
    <row r="330" spans="1:8" x14ac:dyDescent="0.25">
      <c r="A330" s="154">
        <v>46011</v>
      </c>
      <c r="B330" s="151" t="s">
        <v>1549</v>
      </c>
      <c r="C330" s="151">
        <v>1</v>
      </c>
      <c r="D330" s="3" t="str">
        <f>VLOOKUP(B330,'Element wise-detail Summary'!$A:$D,2,0)</f>
        <v>V57</v>
      </c>
      <c r="E330" s="3" t="str">
        <f>IFERROR(VLOOKUP(B330,'Element wise-detail Summary'!$A:$D,3,0),0)</f>
        <v>Zone-5</v>
      </c>
      <c r="F330" s="143" t="str">
        <f>VLOOKUP(B330,'AFC Data details'!$B:$B,1,0)</f>
        <v>AZ5-V57-T1C6-002</v>
      </c>
      <c r="H330" s="3">
        <f>_xlfn.XLOOKUP(B330,'AFC Data details'!B:B,'AFC Data details'!P:P)</f>
        <v>2.1219999999999999</v>
      </c>
    </row>
    <row r="331" spans="1:8" x14ac:dyDescent="0.25">
      <c r="A331" s="154">
        <v>46011</v>
      </c>
      <c r="B331" s="151" t="s">
        <v>1465</v>
      </c>
      <c r="C331" s="151">
        <v>1</v>
      </c>
      <c r="D331" s="3" t="str">
        <f>VLOOKUP(B331,'Element wise-detail Summary'!$A:$D,2,0)</f>
        <v>V44</v>
      </c>
      <c r="E331" s="3" t="str">
        <f>IFERROR(VLOOKUP(B331,'Element wise-detail Summary'!$A:$D,3,0),0)</f>
        <v>Zone-3</v>
      </c>
      <c r="F331" s="143" t="str">
        <f>VLOOKUP(B331,'AFC Data details'!$B:$B,1,0)</f>
        <v>AZ3-V44-T3C3-002</v>
      </c>
      <c r="H331" s="3">
        <f>_xlfn.XLOOKUP(B331,'AFC Data details'!B:B,'AFC Data details'!P:P)</f>
        <v>1.3320000000000001</v>
      </c>
    </row>
    <row r="332" spans="1:8" x14ac:dyDescent="0.25">
      <c r="A332" s="154">
        <v>46011</v>
      </c>
      <c r="B332" s="151" t="s">
        <v>1493</v>
      </c>
      <c r="C332" s="151">
        <v>1</v>
      </c>
      <c r="D332" s="3" t="str">
        <f>VLOOKUP(B332,'Element wise-detail Summary'!$A:$D,2,0)</f>
        <v>V49</v>
      </c>
      <c r="E332" s="3" t="str">
        <f>IFERROR(VLOOKUP(B332,'Element wise-detail Summary'!$A:$D,3,0),0)</f>
        <v>Zone-3</v>
      </c>
      <c r="F332" s="143" t="str">
        <f>VLOOKUP(B332,'AFC Data details'!$B:$B,1,0)</f>
        <v>AZ3-V49-T1C13-003</v>
      </c>
      <c r="H332" s="3">
        <f>_xlfn.XLOOKUP(B332,'AFC Data details'!B:B,'AFC Data details'!P:P)</f>
        <v>2.1080000000000001</v>
      </c>
    </row>
    <row r="333" spans="1:8" x14ac:dyDescent="0.25">
      <c r="A333" s="154">
        <v>46011</v>
      </c>
      <c r="B333" s="151" t="s">
        <v>1409</v>
      </c>
      <c r="C333" s="151">
        <v>1</v>
      </c>
      <c r="D333" s="3" t="str">
        <f>VLOOKUP(B333,'Element wise-detail Summary'!$A:$D,2,0)</f>
        <v>V40</v>
      </c>
      <c r="E333" s="3" t="str">
        <f>IFERROR(VLOOKUP(B333,'Element wise-detail Summary'!$A:$D,3,0),0)</f>
        <v>Zone-2</v>
      </c>
      <c r="F333" s="143" t="str">
        <f>VLOOKUP(B333,'AFC Data details'!$B:$B,1,0)</f>
        <v>AZ2-V40-T1C6-003</v>
      </c>
      <c r="H333" s="3">
        <f>_xlfn.XLOOKUP(B333,'AFC Data details'!B:B,'AFC Data details'!P:P)</f>
        <v>2.1040000000000001</v>
      </c>
    </row>
    <row r="334" spans="1:8" x14ac:dyDescent="0.25">
      <c r="A334" s="154">
        <v>46013</v>
      </c>
      <c r="B334" s="3" t="s">
        <v>1511</v>
      </c>
      <c r="C334" s="151">
        <v>1</v>
      </c>
      <c r="D334" s="3" t="str">
        <f>VLOOKUP(B334,'Element wise-detail Summary'!$A:$D,2,0)</f>
        <v>V52</v>
      </c>
      <c r="E334" s="3" t="str">
        <f>IFERROR(VLOOKUP(B334,'Element wise-detail Summary'!$A:$D,3,0),0)</f>
        <v>Zone-3</v>
      </c>
      <c r="F334" s="143" t="str">
        <f>VLOOKUP(B334,'AFC Data details'!$B:$B,1,0)</f>
        <v>AZ3-V52-T1C6-004</v>
      </c>
      <c r="H334" s="3">
        <f>_xlfn.XLOOKUP(B334,'AFC Data details'!B:B,'AFC Data details'!P:P)</f>
        <v>2.0840000000000001</v>
      </c>
    </row>
    <row r="335" spans="1:8" x14ac:dyDescent="0.25">
      <c r="A335" s="154">
        <v>46013</v>
      </c>
      <c r="B335" s="3" t="s">
        <v>1508</v>
      </c>
      <c r="C335" s="151">
        <v>1</v>
      </c>
      <c r="D335" s="3" t="str">
        <f>VLOOKUP(B335,'Element wise-detail Summary'!$A:$D,2,0)</f>
        <v>V50</v>
      </c>
      <c r="E335" s="3" t="str">
        <f>IFERROR(VLOOKUP(B335,'Element wise-detail Summary'!$A:$D,3,0),0)</f>
        <v>Zone-3</v>
      </c>
      <c r="F335" s="143" t="str">
        <f>VLOOKUP(B335,'AFC Data details'!$B:$B,1,0)</f>
        <v>AZ3-V50-T1C6-005</v>
      </c>
      <c r="H335" s="3">
        <f>_xlfn.XLOOKUP(B335,'AFC Data details'!B:B,'AFC Data details'!P:P)</f>
        <v>2.0840000000000001</v>
      </c>
    </row>
    <row r="336" spans="1:8" x14ac:dyDescent="0.25">
      <c r="A336" s="154">
        <v>46013</v>
      </c>
      <c r="B336" s="3" t="s">
        <v>1557</v>
      </c>
      <c r="C336" s="151">
        <v>1</v>
      </c>
      <c r="D336" s="3" t="str">
        <f>VLOOKUP(B336,'Element wise-detail Summary'!$A:$D,2,0)</f>
        <v>V58</v>
      </c>
      <c r="E336" s="3" t="str">
        <f>IFERROR(VLOOKUP(B336,'Element wise-detail Summary'!$A:$D,3,0),0)</f>
        <v>Zone-5</v>
      </c>
      <c r="F336" s="143" t="str">
        <f>VLOOKUP(B336,'AFC Data details'!$B:$B,1,0)</f>
        <v>AZ5-V58-T1C6-002</v>
      </c>
      <c r="H336" s="3">
        <f>_xlfn.XLOOKUP(B336,'AFC Data details'!B:B,'AFC Data details'!P:P)</f>
        <v>2.1179999999999999</v>
      </c>
    </row>
    <row r="337" spans="1:8" x14ac:dyDescent="0.25">
      <c r="A337" s="154">
        <v>46013</v>
      </c>
      <c r="B337" s="3" t="s">
        <v>1474</v>
      </c>
      <c r="C337" s="151">
        <v>1</v>
      </c>
      <c r="D337" s="3" t="str">
        <f>VLOOKUP(B337,'Element wise-detail Summary'!$A:$D,2,0)</f>
        <v>V45</v>
      </c>
      <c r="E337" s="3" t="str">
        <f>IFERROR(VLOOKUP(B337,'Element wise-detail Summary'!$A:$D,3,0),0)</f>
        <v>Zone-3</v>
      </c>
      <c r="F337" s="143" t="str">
        <f>VLOOKUP(B337,'AFC Data details'!$B:$B,1,0)</f>
        <v>AZ3-V45-T3C6-002</v>
      </c>
      <c r="H337" s="3">
        <f>_xlfn.XLOOKUP(B337,'AFC Data details'!B:B,'AFC Data details'!P:P)</f>
        <v>1.617</v>
      </c>
    </row>
    <row r="338" spans="1:8" x14ac:dyDescent="0.25">
      <c r="A338" s="154">
        <v>46013</v>
      </c>
      <c r="B338" s="3" t="s">
        <v>1518</v>
      </c>
      <c r="C338" s="151">
        <v>1</v>
      </c>
      <c r="D338" s="3" t="str">
        <f>VLOOKUP(B338,'Element wise-detail Summary'!$A:$D,2,0)</f>
        <v>V50</v>
      </c>
      <c r="E338" s="3" t="str">
        <f>IFERROR(VLOOKUP(B338,'Element wise-detail Summary'!$A:$D,3,0),0)</f>
        <v>Zone-3</v>
      </c>
      <c r="F338" s="143" t="str">
        <f>VLOOKUP(B338,'AFC Data details'!$B:$B,1,0)</f>
        <v>AZ3-V50-T3C5-002</v>
      </c>
      <c r="H338" s="3">
        <f>_xlfn.XLOOKUP(B338,'AFC Data details'!B:B,'AFC Data details'!P:P)</f>
        <v>1.6140000000000001</v>
      </c>
    </row>
    <row r="339" spans="1:8" x14ac:dyDescent="0.25">
      <c r="A339" s="154">
        <v>46013</v>
      </c>
      <c r="B339" s="3" t="s">
        <v>1717</v>
      </c>
      <c r="C339" s="151">
        <v>1</v>
      </c>
      <c r="D339" s="3" t="str">
        <f>VLOOKUP(B339,'Element wise-detail Summary'!$A:$D,2,0)</f>
        <v>V47</v>
      </c>
      <c r="E339" s="3" t="str">
        <f>IFERROR(VLOOKUP(B339,'Element wise-detail Summary'!$A:$D,3,0),0)</f>
        <v>Zone-3</v>
      </c>
      <c r="F339" s="143" t="str">
        <f>VLOOKUP(B339,'AFC Data details'!$B:$B,1,0)</f>
        <v>AZ3-V47-T1C6-004</v>
      </c>
      <c r="H339" s="3">
        <f>_xlfn.XLOOKUP(B339,'AFC Data details'!B:B,'AFC Data details'!P:P)</f>
        <v>2.097</v>
      </c>
    </row>
    <row r="340" spans="1:8" x14ac:dyDescent="0.25">
      <c r="A340" s="154">
        <v>46013</v>
      </c>
      <c r="B340" s="3" t="s">
        <v>1545</v>
      </c>
      <c r="C340" s="151">
        <v>1</v>
      </c>
      <c r="D340" s="3" t="str">
        <f>VLOOKUP(B340,'Element wise-detail Summary'!$A:$D,2,0)</f>
        <v>V56</v>
      </c>
      <c r="E340" s="3" t="str">
        <f>IFERROR(VLOOKUP(B340,'Element wise-detail Summary'!$A:$D,3,0),0)</f>
        <v>Zone-5</v>
      </c>
      <c r="F340" s="143" t="str">
        <f>VLOOKUP(B340,'AFC Data details'!$B:$B,1,0)</f>
        <v>AZ5-V56-T1C6-002</v>
      </c>
      <c r="H340" s="3">
        <f>_xlfn.XLOOKUP(B340,'AFC Data details'!B:B,'AFC Data details'!P:P)</f>
        <v>2.1219999999999999</v>
      </c>
    </row>
    <row r="341" spans="1:8" x14ac:dyDescent="0.25">
      <c r="A341" s="154">
        <v>46013</v>
      </c>
      <c r="B341" s="3" t="s">
        <v>1552</v>
      </c>
      <c r="C341" s="151">
        <v>1</v>
      </c>
      <c r="D341" s="3" t="str">
        <f>VLOOKUP(B341,'Element wise-detail Summary'!$A:$D,2,0)</f>
        <v>V57</v>
      </c>
      <c r="E341" s="3" t="str">
        <f>IFERROR(VLOOKUP(B341,'Element wise-detail Summary'!$A:$D,3,0),0)</f>
        <v>Zone-5</v>
      </c>
      <c r="F341" s="143" t="str">
        <f>VLOOKUP(B341,'AFC Data details'!$B:$B,1,0)</f>
        <v>AZ5-V57-T1C6-005</v>
      </c>
      <c r="H341" s="3">
        <f>_xlfn.XLOOKUP(B341,'AFC Data details'!B:B,'AFC Data details'!P:P)</f>
        <v>2.1219999999999999</v>
      </c>
    </row>
    <row r="342" spans="1:8" x14ac:dyDescent="0.25">
      <c r="A342" s="154">
        <v>46013</v>
      </c>
      <c r="B342" s="3" t="s">
        <v>1490</v>
      </c>
      <c r="C342" s="151">
        <v>1</v>
      </c>
      <c r="D342" s="3" t="str">
        <f>VLOOKUP(B342,'Element wise-detail Summary'!$A:$D,2,0)</f>
        <v>V49</v>
      </c>
      <c r="E342" s="3" t="str">
        <f>IFERROR(VLOOKUP(B342,'Element wise-detail Summary'!$A:$D,3,0),0)</f>
        <v>Zone-3</v>
      </c>
      <c r="F342" s="143" t="str">
        <f>VLOOKUP(B342,'AFC Data details'!$B:$B,1,0)</f>
        <v>AZ3-V49-T1C2-001</v>
      </c>
      <c r="H342" s="3">
        <f>_xlfn.XLOOKUP(B342,'AFC Data details'!B:B,'AFC Data details'!P:P)</f>
        <v>1.0980000000000001</v>
      </c>
    </row>
    <row r="343" spans="1:8" x14ac:dyDescent="0.25">
      <c r="A343" s="154">
        <v>46014</v>
      </c>
      <c r="B343" s="3" t="s">
        <v>1509</v>
      </c>
      <c r="C343" s="151">
        <v>1</v>
      </c>
      <c r="D343" s="3" t="str">
        <f>VLOOKUP(B343,'Element wise-detail Summary'!$A:$D,2,0)</f>
        <v>V51</v>
      </c>
      <c r="E343" s="3" t="str">
        <f>IFERROR(VLOOKUP(B343,'Element wise-detail Summary'!$A:$D,3,0),0)</f>
        <v>Zone-3</v>
      </c>
      <c r="F343" s="143" t="str">
        <f>VLOOKUP(B343,'AFC Data details'!$B:$B,1,0)</f>
        <v>AZ3-V51-T1C6-004</v>
      </c>
      <c r="H343" s="3">
        <f>_xlfn.XLOOKUP(B343,'AFC Data details'!B:B,'AFC Data details'!P:P)</f>
        <v>2.0840000000000001</v>
      </c>
    </row>
    <row r="344" spans="1:8" x14ac:dyDescent="0.25">
      <c r="A344" s="154">
        <v>46014</v>
      </c>
      <c r="B344" s="3" t="s">
        <v>1555</v>
      </c>
      <c r="C344" s="151">
        <v>1</v>
      </c>
      <c r="D344" s="3" t="str">
        <f>VLOOKUP(B344,'Element wise-detail Summary'!$A:$D,2,0)</f>
        <v>V57</v>
      </c>
      <c r="E344" s="3" t="str">
        <f>IFERROR(VLOOKUP(B344,'Element wise-detail Summary'!$A:$D,3,0),0)</f>
        <v>Zone-5</v>
      </c>
      <c r="F344" s="143" t="str">
        <f>VLOOKUP(B344,'AFC Data details'!$B:$B,1,0)</f>
        <v>AZ5-V57-T1C6-006</v>
      </c>
      <c r="H344" s="3">
        <f>_xlfn.XLOOKUP(B344,'AFC Data details'!B:B,'AFC Data details'!P:P)</f>
        <v>2.1219999999999999</v>
      </c>
    </row>
    <row r="345" spans="1:8" x14ac:dyDescent="0.25">
      <c r="A345" s="154">
        <v>46014</v>
      </c>
      <c r="B345" s="3" t="s">
        <v>1561</v>
      </c>
      <c r="C345" s="151">
        <v>1</v>
      </c>
      <c r="D345" s="3" t="str">
        <f>VLOOKUP(B345,'Element wise-detail Summary'!$A:$D,2,0)</f>
        <v>V59</v>
      </c>
      <c r="E345" s="3" t="str">
        <f>IFERROR(VLOOKUP(B345,'Element wise-detail Summary'!$A:$D,3,0),0)</f>
        <v>Zone-5</v>
      </c>
      <c r="F345" s="143" t="str">
        <f>VLOOKUP(B345,'AFC Data details'!$B:$B,1,0)</f>
        <v>AZ5-V59-T1C6-002</v>
      </c>
      <c r="H345" s="3">
        <f>_xlfn.XLOOKUP(B345,'AFC Data details'!B:B,'AFC Data details'!P:P)</f>
        <v>2.1179999999999999</v>
      </c>
    </row>
    <row r="346" spans="1:8" x14ac:dyDescent="0.25">
      <c r="A346" s="154">
        <v>46014</v>
      </c>
      <c r="B346" s="3" t="s">
        <v>1523</v>
      </c>
      <c r="C346" s="151">
        <v>1</v>
      </c>
      <c r="D346" s="3" t="str">
        <f>VLOOKUP(B346,'Element wise-detail Summary'!$A:$D,2,0)</f>
        <v>V51</v>
      </c>
      <c r="E346" s="3" t="str">
        <f>IFERROR(VLOOKUP(B346,'Element wise-detail Summary'!$A:$D,3,0),0)</f>
        <v>Zone-3</v>
      </c>
      <c r="F346" s="143" t="str">
        <f>VLOOKUP(B346,'AFC Data details'!$B:$B,1,0)</f>
        <v>AZ3-V51-T3C5-001</v>
      </c>
      <c r="H346" s="3">
        <f>_xlfn.XLOOKUP(B346,'AFC Data details'!B:B,'AFC Data details'!P:P)</f>
        <v>1.6339999999999999</v>
      </c>
    </row>
    <row r="347" spans="1:8" x14ac:dyDescent="0.25">
      <c r="A347" s="154">
        <v>46014</v>
      </c>
      <c r="B347" s="3" t="s">
        <v>1450</v>
      </c>
      <c r="C347" s="151">
        <v>1</v>
      </c>
      <c r="D347" s="3" t="str">
        <f>VLOOKUP(B347,'Element wise-detail Summary'!$A:$D,2,0)</f>
        <v>V43</v>
      </c>
      <c r="E347" s="3" t="str">
        <f>IFERROR(VLOOKUP(B347,'Element wise-detail Summary'!$A:$D,3,0),0)</f>
        <v>Zone-3</v>
      </c>
      <c r="F347" s="143" t="str">
        <f>VLOOKUP(B347,'AFC Data details'!$B:$B,1,0)</f>
        <v>AZ3-V43-T3C3-002</v>
      </c>
      <c r="H347" s="3">
        <f>_xlfn.XLOOKUP(B347,'AFC Data details'!B:B,'AFC Data details'!P:P)</f>
        <v>1.2929999999999999</v>
      </c>
    </row>
    <row r="348" spans="1:8" x14ac:dyDescent="0.25">
      <c r="A348" s="154">
        <v>46014</v>
      </c>
      <c r="B348" s="3" t="s">
        <v>1462</v>
      </c>
      <c r="C348" s="151">
        <v>1</v>
      </c>
      <c r="D348" s="3" t="str">
        <f>VLOOKUP(B348,'Element wise-detail Summary'!$A:$D,2,0)</f>
        <v>V44</v>
      </c>
      <c r="E348" s="3" t="str">
        <f>IFERROR(VLOOKUP(B348,'Element wise-detail Summary'!$A:$D,3,0),0)</f>
        <v>Zone-3</v>
      </c>
      <c r="F348" s="143" t="str">
        <f>VLOOKUP(B348,'AFC Data details'!$B:$B,1,0)</f>
        <v>AZ3-V44-T1C6-006</v>
      </c>
      <c r="H348" s="3">
        <f>_xlfn.XLOOKUP(B348,'AFC Data details'!B:B,'AFC Data details'!P:P)</f>
        <v>2.097</v>
      </c>
    </row>
    <row r="349" spans="1:8" x14ac:dyDescent="0.25">
      <c r="A349" s="154">
        <v>46014</v>
      </c>
      <c r="B349" s="3" t="s">
        <v>1546</v>
      </c>
      <c r="C349" s="151">
        <v>1</v>
      </c>
      <c r="D349" s="3" t="str">
        <f>VLOOKUP(B349,'Element wise-detail Summary'!$A:$D,2,0)</f>
        <v>V56</v>
      </c>
      <c r="E349" s="3" t="str">
        <f>IFERROR(VLOOKUP(B349,'Element wise-detail Summary'!$A:$D,3,0),0)</f>
        <v>Zone-5</v>
      </c>
      <c r="F349" s="143" t="str">
        <f>VLOOKUP(B349,'AFC Data details'!$B:$B,1,0)</f>
        <v>AZ5-V56-T1C6-003</v>
      </c>
      <c r="H349" s="3">
        <f>_xlfn.XLOOKUP(B349,'AFC Data details'!B:B,'AFC Data details'!P:P)</f>
        <v>2.1219999999999999</v>
      </c>
    </row>
    <row r="350" spans="1:8" x14ac:dyDescent="0.25">
      <c r="A350" s="154">
        <v>46014</v>
      </c>
      <c r="B350" s="3" t="s">
        <v>1494</v>
      </c>
      <c r="C350" s="151">
        <v>1</v>
      </c>
      <c r="D350" s="3" t="str">
        <f>VLOOKUP(B350,'Element wise-detail Summary'!$A:$D,2,0)</f>
        <v>V49</v>
      </c>
      <c r="E350" s="3" t="str">
        <f>IFERROR(VLOOKUP(B350,'Element wise-detail Summary'!$A:$D,3,0),0)</f>
        <v>Zone-3</v>
      </c>
      <c r="F350" s="143" t="str">
        <f>VLOOKUP(B350,'AFC Data details'!$B:$B,1,0)</f>
        <v>AZ3-V49-T1C14-001</v>
      </c>
      <c r="H350" s="3">
        <f>_xlfn.XLOOKUP(B350,'AFC Data details'!B:B,'AFC Data details'!P:P)</f>
        <v>2.2090000000000001</v>
      </c>
    </row>
    <row r="351" spans="1:8" x14ac:dyDescent="0.25">
      <c r="A351" s="154">
        <v>46015</v>
      </c>
      <c r="B351" s="164" t="s">
        <v>1512</v>
      </c>
      <c r="C351" s="151">
        <v>1</v>
      </c>
      <c r="D351" s="3" t="str">
        <f>VLOOKUP(B351,'Element wise-detail Summary'!$A:$D,2,0)</f>
        <v>V52</v>
      </c>
      <c r="E351" s="3" t="str">
        <f>IFERROR(VLOOKUP(B351,'Element wise-detail Summary'!$A:$D,3,0),0)</f>
        <v>Zone-3</v>
      </c>
      <c r="F351" s="143" t="str">
        <f>VLOOKUP(B351,'AFC Data details'!$B:$B,1,0)</f>
        <v>AZ3-V52-T1C6-005</v>
      </c>
      <c r="H351" s="3">
        <f>_xlfn.XLOOKUP(B351,'AFC Data details'!B:B,'AFC Data details'!P:P)</f>
        <v>2.0840000000000001</v>
      </c>
    </row>
    <row r="352" spans="1:8" x14ac:dyDescent="0.25">
      <c r="A352" s="154">
        <v>46015</v>
      </c>
      <c r="B352" s="3" t="s">
        <v>1559</v>
      </c>
      <c r="C352" s="151">
        <v>1</v>
      </c>
      <c r="D352" s="3" t="str">
        <f>VLOOKUP(B352,'Element wise-detail Summary'!$A:$D,2,0)</f>
        <v>V58</v>
      </c>
      <c r="E352" s="3" t="str">
        <f>IFERROR(VLOOKUP(B352,'Element wise-detail Summary'!$A:$D,3,0),0)</f>
        <v>Zone-5</v>
      </c>
      <c r="F352" s="143" t="str">
        <f>VLOOKUP(B352,'AFC Data details'!$B:$B,1,0)</f>
        <v>AZ5-V58-T1C6-004</v>
      </c>
      <c r="H352" s="3">
        <f>_xlfn.XLOOKUP(B352,'AFC Data details'!B:B,'AFC Data details'!P:P)</f>
        <v>2.1179999999999999</v>
      </c>
    </row>
    <row r="353" spans="1:8" x14ac:dyDescent="0.25">
      <c r="A353" s="154">
        <v>46015</v>
      </c>
      <c r="B353" s="3" t="s">
        <v>1524</v>
      </c>
      <c r="C353" s="151">
        <v>1</v>
      </c>
      <c r="D353" s="3" t="str">
        <f>VLOOKUP(B353,'Element wise-detail Summary'!$A:$D,2,0)</f>
        <v>V51</v>
      </c>
      <c r="E353" s="3" t="str">
        <f>IFERROR(VLOOKUP(B353,'Element wise-detail Summary'!$A:$D,3,0),0)</f>
        <v>Zone-3</v>
      </c>
      <c r="F353" s="143" t="str">
        <f>VLOOKUP(B353,'AFC Data details'!$B:$B,1,0)</f>
        <v>AZ3-V51-T3C5-002</v>
      </c>
      <c r="H353" s="3">
        <f>_xlfn.XLOOKUP(B353,'AFC Data details'!B:B,'AFC Data details'!P:P)</f>
        <v>1.452</v>
      </c>
    </row>
    <row r="354" spans="1:8" x14ac:dyDescent="0.25">
      <c r="A354" s="154">
        <v>46015</v>
      </c>
      <c r="B354" s="3" t="s">
        <v>1463</v>
      </c>
      <c r="C354" s="151">
        <v>1</v>
      </c>
      <c r="D354" s="3" t="str">
        <f>VLOOKUP(B354,'Element wise-detail Summary'!$A:$D,2,0)</f>
        <v>V46</v>
      </c>
      <c r="E354" s="3" t="str">
        <f>IFERROR(VLOOKUP(B354,'Element wise-detail Summary'!$A:$D,3,0),0)</f>
        <v>Zone-3</v>
      </c>
      <c r="F354" s="143" t="str">
        <f>VLOOKUP(B354,'AFC Data details'!$B:$B,1,0)</f>
        <v>AZ3-V46-T1C6-006</v>
      </c>
      <c r="H354" s="3">
        <f>_xlfn.XLOOKUP(B354,'AFC Data details'!B:B,'AFC Data details'!P:P)</f>
        <v>2.097</v>
      </c>
    </row>
    <row r="355" spans="1:8" x14ac:dyDescent="0.25">
      <c r="A355" s="154">
        <v>46015</v>
      </c>
      <c r="B355" s="3" t="s">
        <v>1563</v>
      </c>
      <c r="C355" s="151">
        <v>1</v>
      </c>
      <c r="D355" s="3" t="str">
        <f>VLOOKUP(B355,'Element wise-detail Summary'!$A:$D,2,0)</f>
        <v>V59</v>
      </c>
      <c r="E355" s="3" t="str">
        <f>IFERROR(VLOOKUP(B355,'Element wise-detail Summary'!$A:$D,3,0),0)</f>
        <v>Zone-5</v>
      </c>
      <c r="F355" s="143" t="str">
        <f>VLOOKUP(B355,'AFC Data details'!$B:$B,1,0)</f>
        <v>AZ5-V59-T1C6-004</v>
      </c>
      <c r="H355" s="3">
        <f>_xlfn.XLOOKUP(B355,'AFC Data details'!B:B,'AFC Data details'!P:P)</f>
        <v>2.1179999999999999</v>
      </c>
    </row>
    <row r="356" spans="1:8" x14ac:dyDescent="0.25">
      <c r="A356" s="154">
        <v>46015</v>
      </c>
      <c r="B356" s="3" t="s">
        <v>1553</v>
      </c>
      <c r="C356" s="151">
        <v>1</v>
      </c>
      <c r="D356" s="3" t="str">
        <f>VLOOKUP(B356,'Element wise-detail Summary'!$A:$D,2,0)</f>
        <v>V56</v>
      </c>
      <c r="E356" s="3" t="str">
        <f>IFERROR(VLOOKUP(B356,'Element wise-detail Summary'!$A:$D,3,0),0)</f>
        <v>Zone-5</v>
      </c>
      <c r="F356" s="143" t="str">
        <f>VLOOKUP(B356,'AFC Data details'!$B:$B,1,0)</f>
        <v>AZ5-V56-T1C6-006</v>
      </c>
      <c r="H356" s="3">
        <f>_xlfn.XLOOKUP(B356,'AFC Data details'!B:B,'AFC Data details'!P:P)</f>
        <v>2.1219999999999999</v>
      </c>
    </row>
    <row r="357" spans="1:8" x14ac:dyDescent="0.25">
      <c r="A357" s="154">
        <v>46015</v>
      </c>
      <c r="B357" s="3" t="s">
        <v>1532</v>
      </c>
      <c r="C357" s="151">
        <v>1</v>
      </c>
      <c r="D357" s="3" t="str">
        <f>VLOOKUP(B357,'Element wise-detail Summary'!$A:$D,2,0)</f>
        <v>V53</v>
      </c>
      <c r="E357" s="3" t="str">
        <f>IFERROR(VLOOKUP(B357,'Element wise-detail Summary'!$A:$D,3,0),0)</f>
        <v>Zone-3</v>
      </c>
      <c r="F357" s="143" t="str">
        <f>VLOOKUP(B357,'AFC Data details'!$B:$B,1,0)</f>
        <v>AZ3-V53-T1C2-001</v>
      </c>
      <c r="H357" s="3">
        <f>_xlfn.XLOOKUP(B357,'AFC Data details'!B:B,'AFC Data details'!P:P)</f>
        <v>1.0840000000000001</v>
      </c>
    </row>
    <row r="358" spans="1:8" x14ac:dyDescent="0.25">
      <c r="A358" s="154">
        <v>46016</v>
      </c>
      <c r="B358" s="3" t="s">
        <v>1513</v>
      </c>
      <c r="C358" s="151">
        <v>1</v>
      </c>
      <c r="D358" s="3" t="str">
        <f>VLOOKUP(B358,'Element wise-detail Summary'!$A:$D,2,0)</f>
        <v>V53</v>
      </c>
      <c r="E358" s="3" t="str">
        <f>IFERROR(VLOOKUP(B358,'Element wise-detail Summary'!$A:$D,3,0),0)</f>
        <v>Zone-3</v>
      </c>
      <c r="F358" s="143" t="str">
        <f>VLOOKUP(B358,'AFC Data details'!$B:$B,1,0)</f>
        <v>AZ3-V53-T1C6-004</v>
      </c>
      <c r="H358" s="3">
        <f>_xlfn.XLOOKUP(B358,'AFC Data details'!B:B,'AFC Data details'!P:P)</f>
        <v>2.0840000000000001</v>
      </c>
    </row>
    <row r="359" spans="1:8" x14ac:dyDescent="0.25">
      <c r="A359" s="154">
        <v>46016</v>
      </c>
      <c r="B359" s="3" t="s">
        <v>1558</v>
      </c>
      <c r="C359" s="151">
        <v>1</v>
      </c>
      <c r="D359" s="3" t="str">
        <f>VLOOKUP(B359,'Element wise-detail Summary'!$A:$D,2,0)</f>
        <v>V58</v>
      </c>
      <c r="E359" s="3" t="str">
        <f>IFERROR(VLOOKUP(B359,'Element wise-detail Summary'!$A:$D,3,0),0)</f>
        <v>Zone-5</v>
      </c>
      <c r="F359" s="143" t="str">
        <f>VLOOKUP(B359,'AFC Data details'!$B:$B,1,0)</f>
        <v>AZ5-V58-T1C6-003</v>
      </c>
      <c r="H359" s="3">
        <f>_xlfn.XLOOKUP(B359,'AFC Data details'!B:B,'AFC Data details'!P:P)</f>
        <v>2.1179999999999999</v>
      </c>
    </row>
    <row r="360" spans="1:8" x14ac:dyDescent="0.25">
      <c r="A360" s="154">
        <v>46016</v>
      </c>
      <c r="B360" s="3" t="s">
        <v>1560</v>
      </c>
      <c r="C360" s="151">
        <v>1</v>
      </c>
      <c r="D360" s="3" t="str">
        <f>VLOOKUP(B360,'Element wise-detail Summary'!$A:$D,2,0)</f>
        <v>V58</v>
      </c>
      <c r="E360" s="3" t="str">
        <f>IFERROR(VLOOKUP(B360,'Element wise-detail Summary'!$A:$D,3,0),0)</f>
        <v>Zone-5</v>
      </c>
      <c r="F360" s="143" t="str">
        <f>VLOOKUP(B360,'AFC Data details'!$B:$B,1,0)</f>
        <v>AZ5-V58-T1C6-005</v>
      </c>
      <c r="H360" s="3">
        <f>_xlfn.XLOOKUP(B360,'AFC Data details'!B:B,'AFC Data details'!P:P)</f>
        <v>2.1179999999999999</v>
      </c>
    </row>
    <row r="361" spans="1:8" x14ac:dyDescent="0.25">
      <c r="A361" s="154">
        <v>46016</v>
      </c>
      <c r="B361" s="3" t="s">
        <v>1562</v>
      </c>
      <c r="C361" s="151">
        <v>1</v>
      </c>
      <c r="D361" s="3" t="str">
        <f>VLOOKUP(B361,'Element wise-detail Summary'!$A:$D,2,0)</f>
        <v>V59</v>
      </c>
      <c r="E361" s="3" t="str">
        <f>IFERROR(VLOOKUP(B361,'Element wise-detail Summary'!$A:$D,3,0),0)</f>
        <v>Zone-5</v>
      </c>
      <c r="F361" s="143" t="str">
        <f>VLOOKUP(B361,'AFC Data details'!$B:$B,1,0)</f>
        <v>AZ5-V59-T1C6-003</v>
      </c>
      <c r="H361" s="3">
        <f>_xlfn.XLOOKUP(B361,'AFC Data details'!B:B,'AFC Data details'!P:P)</f>
        <v>2.1179999999999999</v>
      </c>
    </row>
    <row r="362" spans="1:8" x14ac:dyDescent="0.25">
      <c r="A362" s="154">
        <v>46016</v>
      </c>
      <c r="B362" s="3" t="s">
        <v>1472</v>
      </c>
      <c r="C362" s="151">
        <v>1</v>
      </c>
      <c r="D362" s="3" t="str">
        <f>VLOOKUP(B362,'Element wise-detail Summary'!$A:$D,2,0)</f>
        <v>V45</v>
      </c>
      <c r="E362" s="3" t="str">
        <f>IFERROR(VLOOKUP(B362,'Element wise-detail Summary'!$A:$D,3,0),0)</f>
        <v>Zone-3</v>
      </c>
      <c r="F362" s="143" t="str">
        <f>VLOOKUP(B362,'AFC Data details'!$B:$B,1,0)</f>
        <v>AZ3-V45-T3C6-001</v>
      </c>
      <c r="H362" s="3">
        <f>_xlfn.XLOOKUP(B362,'AFC Data details'!B:B,'AFC Data details'!P:P)</f>
        <v>1.8009999999999999</v>
      </c>
    </row>
    <row r="363" spans="1:8" x14ac:dyDescent="0.25">
      <c r="A363" s="154">
        <v>46016</v>
      </c>
      <c r="B363" s="3" t="s">
        <v>1484</v>
      </c>
      <c r="C363" s="151">
        <v>1</v>
      </c>
      <c r="D363" s="3" t="str">
        <f>VLOOKUP(B363,'Element wise-detail Summary'!$A:$D,2,0)</f>
        <v>V48</v>
      </c>
      <c r="E363" s="3" t="str">
        <f>IFERROR(VLOOKUP(B363,'Element wise-detail Summary'!$A:$D,3,0),0)</f>
        <v>Zone-3</v>
      </c>
      <c r="F363" s="143" t="str">
        <f>VLOOKUP(B363,'AFC Data details'!$B:$B,1,0)</f>
        <v>AZ3-V48-T1C14-001</v>
      </c>
      <c r="H363" s="3">
        <f>_xlfn.XLOOKUP(B363,'AFC Data details'!B:B,'AFC Data details'!P:P)</f>
        <v>2.3450000000000002</v>
      </c>
    </row>
    <row r="364" spans="1:8" x14ac:dyDescent="0.25">
      <c r="A364" s="154">
        <v>46016</v>
      </c>
      <c r="B364" s="3" t="s">
        <v>1564</v>
      </c>
      <c r="C364" s="151">
        <v>1</v>
      </c>
      <c r="D364" s="3" t="str">
        <f>VLOOKUP(B364,'Element wise-detail Summary'!$A:$D,2,0)</f>
        <v>V59</v>
      </c>
      <c r="E364" s="3" t="str">
        <f>IFERROR(VLOOKUP(B364,'Element wise-detail Summary'!$A:$D,3,0),0)</f>
        <v>Zone-5</v>
      </c>
      <c r="F364" s="143" t="str">
        <f>VLOOKUP(B364,'AFC Data details'!$B:$B,1,0)</f>
        <v>AZ5-V59-T1C6-005</v>
      </c>
      <c r="H364" s="3">
        <f>_xlfn.XLOOKUP(B364,'AFC Data details'!B:B,'AFC Data details'!P:P)</f>
        <v>2.1179999999999999</v>
      </c>
    </row>
    <row r="365" spans="1:8" x14ac:dyDescent="0.25">
      <c r="A365" s="154">
        <v>46016</v>
      </c>
      <c r="B365" s="3" t="s">
        <v>1565</v>
      </c>
      <c r="C365" s="151">
        <v>1</v>
      </c>
      <c r="D365" s="3" t="str">
        <f>VLOOKUP(B365,'Element wise-detail Summary'!$A:$D,2,0)</f>
        <v>V58</v>
      </c>
      <c r="E365" s="3" t="str">
        <f>IFERROR(VLOOKUP(B365,'Element wise-detail Summary'!$A:$D,3,0),0)</f>
        <v>Zone-5</v>
      </c>
      <c r="F365" s="143" t="str">
        <f>VLOOKUP(B365,'AFC Data details'!$B:$B,1,0)</f>
        <v>AZ5-V58-T1C6-006</v>
      </c>
      <c r="H365" s="3">
        <f>_xlfn.XLOOKUP(B365,'AFC Data details'!B:B,'AFC Data details'!P:P)</f>
        <v>2.1179999999999999</v>
      </c>
    </row>
    <row r="366" spans="1:8" x14ac:dyDescent="0.25">
      <c r="A366" s="154">
        <v>46016</v>
      </c>
      <c r="B366" s="3" t="s">
        <v>1466</v>
      </c>
      <c r="C366" s="151">
        <v>1</v>
      </c>
      <c r="D366" s="3" t="str">
        <f>VLOOKUP(B366,'Element wise-detail Summary'!$A:$D,2,0)</f>
        <v>V44</v>
      </c>
      <c r="E366" s="3" t="str">
        <f>IFERROR(VLOOKUP(B366,'Element wise-detail Summary'!$A:$D,3,0),0)</f>
        <v>Zone-3</v>
      </c>
      <c r="F366" s="143" t="str">
        <f>VLOOKUP(B366,'AFC Data details'!$B:$B,1,0)</f>
        <v>AZ3-V44-T3C3-003</v>
      </c>
      <c r="H366" s="3">
        <f>_xlfn.XLOOKUP(B366,'AFC Data details'!B:B,'AFC Data details'!P:P)</f>
        <v>1.5049999999999999</v>
      </c>
    </row>
    <row r="367" spans="1:8" x14ac:dyDescent="0.25">
      <c r="A367" s="154">
        <v>46016</v>
      </c>
      <c r="B367" s="3" t="s">
        <v>1519</v>
      </c>
      <c r="C367" s="151">
        <v>1</v>
      </c>
      <c r="D367" s="3" t="str">
        <f>VLOOKUP(B367,'Element wise-detail Summary'!$A:$D,2,0)</f>
        <v>V51</v>
      </c>
      <c r="E367" s="3" t="str">
        <f>IFERROR(VLOOKUP(B367,'Element wise-detail Summary'!$A:$D,3,0),0)</f>
        <v>Zone-3</v>
      </c>
      <c r="F367" s="143" t="str">
        <f>VLOOKUP(B367,'AFC Data details'!$B:$B,1,0)</f>
        <v>AZ3-V51-T1C2-001</v>
      </c>
      <c r="H367" s="3">
        <f>_xlfn.XLOOKUP(B367,'AFC Data details'!B:B,'AFC Data details'!P:P)</f>
        <v>1.1040000000000001</v>
      </c>
    </row>
    <row r="368" spans="1:8" x14ac:dyDescent="0.25">
      <c r="A368" s="154">
        <v>46017</v>
      </c>
      <c r="B368" s="3" t="s">
        <v>1514</v>
      </c>
      <c r="C368" s="151">
        <v>1</v>
      </c>
      <c r="D368" s="3" t="str">
        <f>VLOOKUP(B368,'Element wise-detail Summary'!$A:$D,2,0)</f>
        <v>V53</v>
      </c>
      <c r="E368" s="3" t="str">
        <f>IFERROR(VLOOKUP(B368,'Element wise-detail Summary'!$A:$D,3,0),0)</f>
        <v>Zone-3</v>
      </c>
      <c r="F368" s="143" t="str">
        <f>VLOOKUP(B368,'AFC Data details'!$B:$B,1,0)</f>
        <v>AZ3-V53-T1C6-005</v>
      </c>
      <c r="H368" s="3">
        <f>_xlfn.XLOOKUP(B368,'AFC Data details'!B:B,'AFC Data details'!P:P)</f>
        <v>2.0840000000000001</v>
      </c>
    </row>
    <row r="369" spans="1:8" x14ac:dyDescent="0.25">
      <c r="A369" s="154">
        <v>46017</v>
      </c>
      <c r="B369" s="3" t="s">
        <v>1841</v>
      </c>
      <c r="C369" s="151">
        <v>1</v>
      </c>
      <c r="D369" s="3" t="str">
        <f>VLOOKUP(B369,'Element wise-detail Summary'!$A:$D,2,0)</f>
        <v>V04</v>
      </c>
      <c r="E369" s="3" t="str">
        <f>IFERROR(VLOOKUP(B369,'Element wise-detail Summary'!$A:$D,3,0),0)</f>
        <v>Zone-4</v>
      </c>
      <c r="F369" s="143" t="str">
        <f>VLOOKUP(B369,'AFC Data details'!$B:$B,1,0)</f>
        <v>AZ4-V04-T1C6-001</v>
      </c>
      <c r="H369" s="3">
        <f>_xlfn.XLOOKUP(B369,'AFC Data details'!B:B,'AFC Data details'!P:P)</f>
        <v>2.2530000000000001</v>
      </c>
    </row>
    <row r="370" spans="1:8" x14ac:dyDescent="0.25">
      <c r="A370" s="154">
        <v>46017</v>
      </c>
      <c r="B370" s="3" t="s">
        <v>1960</v>
      </c>
      <c r="C370" s="151">
        <v>1</v>
      </c>
      <c r="D370" s="3" t="str">
        <f>VLOOKUP(B370,'Element wise-detail Summary'!$A:$D,2,0)</f>
        <v>V07</v>
      </c>
      <c r="E370" s="3" t="str">
        <f>IFERROR(VLOOKUP(B370,'Element wise-detail Summary'!$A:$D,3,0),0)</f>
        <v>Zone-4</v>
      </c>
      <c r="F370" s="143" t="str">
        <f>VLOOKUP(B370,'AFC Data details'!$B:$B,1,0)</f>
        <v>AZ4-V07-T1C6-004</v>
      </c>
      <c r="H370" s="3">
        <f>_xlfn.XLOOKUP(B370,'AFC Data details'!B:B,'AFC Data details'!P:P)</f>
        <v>2.141</v>
      </c>
    </row>
    <row r="371" spans="1:8" x14ac:dyDescent="0.25">
      <c r="A371" s="154">
        <v>46017</v>
      </c>
      <c r="B371" s="3" t="s">
        <v>1961</v>
      </c>
      <c r="C371" s="151">
        <v>1</v>
      </c>
      <c r="D371" s="3" t="str">
        <f>VLOOKUP(B371,'Element wise-detail Summary'!$A:$D,2,0)</f>
        <v>V05</v>
      </c>
      <c r="E371" s="3" t="str">
        <f>IFERROR(VLOOKUP(B371,'Element wise-detail Summary'!$A:$D,3,0),0)</f>
        <v>Zone-4</v>
      </c>
      <c r="F371" s="143" t="str">
        <f>VLOOKUP(B371,'AFC Data details'!$B:$B,1,0)</f>
        <v>AZ4-V05-T1C6-005</v>
      </c>
      <c r="H371" s="3">
        <f>_xlfn.XLOOKUP(B371,'AFC Data details'!B:B,'AFC Data details'!P:P)</f>
        <v>2.2160000000000002</v>
      </c>
    </row>
    <row r="372" spans="1:8" x14ac:dyDescent="0.25">
      <c r="A372" s="154">
        <v>46017</v>
      </c>
      <c r="B372" s="3" t="s">
        <v>1475</v>
      </c>
      <c r="C372" s="151">
        <v>1</v>
      </c>
      <c r="D372" s="3" t="str">
        <f>VLOOKUP(B372,'Element wise-detail Summary'!$A:$D,2,0)</f>
        <v>V46</v>
      </c>
      <c r="E372" s="3" t="str">
        <f>IFERROR(VLOOKUP(B372,'Element wise-detail Summary'!$A:$D,3,0),0)</f>
        <v>Zone-3</v>
      </c>
      <c r="F372" s="143" t="str">
        <f>VLOOKUP(B372,'AFC Data details'!$B:$B,1,0)</f>
        <v>AZ3-V46-T3C6-001</v>
      </c>
      <c r="H372" s="3">
        <f>_xlfn.XLOOKUP(B372,'AFC Data details'!B:B,'AFC Data details'!P:P)</f>
        <v>1.629</v>
      </c>
    </row>
    <row r="373" spans="1:8" x14ac:dyDescent="0.25">
      <c r="A373" s="154">
        <v>46017</v>
      </c>
      <c r="B373" s="3" t="s">
        <v>1485</v>
      </c>
      <c r="C373" s="151">
        <v>1</v>
      </c>
      <c r="D373" s="3" t="str">
        <f>VLOOKUP(B373,'Element wise-detail Summary'!$A:$D,2,0)</f>
        <v>V48</v>
      </c>
      <c r="E373" s="3" t="str">
        <f>IFERROR(VLOOKUP(B373,'Element wise-detail Summary'!$A:$D,3,0),0)</f>
        <v>Zone-3</v>
      </c>
      <c r="F373" s="143" t="str">
        <f>VLOOKUP(B373,'AFC Data details'!$B:$B,1,0)</f>
        <v>AZ3-V48-T1C14-002</v>
      </c>
      <c r="H373" s="3">
        <f>_xlfn.XLOOKUP(B373,'AFC Data details'!B:B,'AFC Data details'!P:P)</f>
        <v>2.3450000000000002</v>
      </c>
    </row>
    <row r="374" spans="1:8" x14ac:dyDescent="0.25">
      <c r="A374" s="154">
        <v>46017</v>
      </c>
      <c r="B374" s="3" t="s">
        <v>1566</v>
      </c>
      <c r="C374" s="151">
        <v>1</v>
      </c>
      <c r="D374" s="3" t="str">
        <f>VLOOKUP(B374,'Element wise-detail Summary'!$A:$D,2,0)</f>
        <v>V59</v>
      </c>
      <c r="E374" s="3" t="str">
        <f>IFERROR(VLOOKUP(B374,'Element wise-detail Summary'!$A:$D,3,0),0)</f>
        <v>Zone-5</v>
      </c>
      <c r="F374" s="143" t="str">
        <f>VLOOKUP(B374,'AFC Data details'!$B:$B,1,0)</f>
        <v>AZ5-V59-T1C6-001</v>
      </c>
      <c r="H374" s="3">
        <f>_xlfn.XLOOKUP(B374,'AFC Data details'!B:B,'AFC Data details'!P:P)</f>
        <v>2.1179999999999999</v>
      </c>
    </row>
    <row r="375" spans="1:8" x14ac:dyDescent="0.25">
      <c r="A375" s="154">
        <v>46017</v>
      </c>
      <c r="B375" s="3" t="s">
        <v>1550</v>
      </c>
      <c r="C375" s="151">
        <v>1</v>
      </c>
      <c r="D375" s="3" t="str">
        <f>VLOOKUP(B375,'Element wise-detail Summary'!$A:$D,2,0)</f>
        <v>V57</v>
      </c>
      <c r="E375" s="3" t="str">
        <f>IFERROR(VLOOKUP(B375,'Element wise-detail Summary'!$A:$D,3,0),0)</f>
        <v>Zone-5</v>
      </c>
      <c r="F375" s="143" t="str">
        <f>VLOOKUP(B375,'AFC Data details'!$B:$B,1,0)</f>
        <v>AZ5-V57-T1C6-003</v>
      </c>
      <c r="H375" s="3">
        <f>_xlfn.XLOOKUP(B375,'AFC Data details'!B:B,'AFC Data details'!P:P)</f>
        <v>2.1219999999999999</v>
      </c>
    </row>
    <row r="376" spans="1:8" x14ac:dyDescent="0.25">
      <c r="A376" s="154">
        <v>46017</v>
      </c>
      <c r="B376" s="3" t="s">
        <v>1495</v>
      </c>
      <c r="C376" s="151">
        <v>1</v>
      </c>
      <c r="D376" s="3" t="str">
        <f>VLOOKUP(B376,'Element wise-detail Summary'!$A:$D,2,0)</f>
        <v>V49</v>
      </c>
      <c r="E376" s="3" t="str">
        <f>IFERROR(VLOOKUP(B376,'Element wise-detail Summary'!$A:$D,3,0),0)</f>
        <v>Zone-3</v>
      </c>
      <c r="F376" s="143" t="str">
        <f>VLOOKUP(B376,'AFC Data details'!$B:$B,1,0)</f>
        <v>AZ3-V49-T1C14-002</v>
      </c>
      <c r="H376" s="3">
        <f>_xlfn.XLOOKUP(B376,'AFC Data details'!B:B,'AFC Data details'!P:P)</f>
        <v>2.3010000000000002</v>
      </c>
    </row>
    <row r="377" spans="1:8" x14ac:dyDescent="0.25">
      <c r="A377" s="154">
        <v>46017</v>
      </c>
      <c r="B377" s="3" t="s">
        <v>1468</v>
      </c>
      <c r="C377" s="151">
        <v>1</v>
      </c>
      <c r="D377" s="3" t="str">
        <f>VLOOKUP(B377,'Element wise-detail Summary'!$A:$D,2,0)</f>
        <v>V45</v>
      </c>
      <c r="E377" s="3" t="str">
        <f>IFERROR(VLOOKUP(B377,'Element wise-detail Summary'!$A:$D,3,0),0)</f>
        <v>Zone-3</v>
      </c>
      <c r="F377" s="143" t="str">
        <f>VLOOKUP(B377,'AFC Data details'!$B:$B,1,0)</f>
        <v>AZ3-V45-T1C6-001</v>
      </c>
      <c r="H377" s="3">
        <f>_xlfn.XLOOKUP(B377,'AFC Data details'!B:B,'AFC Data details'!P:P)</f>
        <v>2.0590000000000002</v>
      </c>
    </row>
    <row r="378" spans="1:8" x14ac:dyDescent="0.25">
      <c r="A378" s="154">
        <v>46017</v>
      </c>
      <c r="B378" s="3" t="s">
        <v>1469</v>
      </c>
      <c r="C378" s="151">
        <v>1</v>
      </c>
      <c r="D378" s="3" t="str">
        <f>VLOOKUP(B378,'Element wise-detail Summary'!$A:$D,2,0)</f>
        <v>V47</v>
      </c>
      <c r="E378" s="3" t="str">
        <f>IFERROR(VLOOKUP(B378,'Element wise-detail Summary'!$A:$D,3,0),0)</f>
        <v>Zone-3</v>
      </c>
      <c r="F378" s="143" t="str">
        <f>VLOOKUP(B378,'AFC Data details'!$B:$B,1,0)</f>
        <v>AZ3-V47-T1C6-001</v>
      </c>
      <c r="H378" s="3">
        <f>_xlfn.XLOOKUP(B378,'AFC Data details'!B:B,'AFC Data details'!P:P)</f>
        <v>2.0590000000000002</v>
      </c>
    </row>
    <row r="379" spans="1:8" x14ac:dyDescent="0.25">
      <c r="A379" s="154">
        <v>46018</v>
      </c>
      <c r="B379" s="3" t="s">
        <v>1515</v>
      </c>
      <c r="C379" s="151">
        <v>1</v>
      </c>
      <c r="D379" s="3" t="str">
        <f>VLOOKUP(B379,'Element wise-detail Summary'!$A:$D,2,0)</f>
        <v>V50</v>
      </c>
      <c r="E379" s="3" t="str">
        <f>IFERROR(VLOOKUP(B379,'Element wise-detail Summary'!$A:$D,3,0),0)</f>
        <v>Zone-3</v>
      </c>
      <c r="F379" s="143" t="str">
        <f>VLOOKUP(B379,'AFC Data details'!$B:$B,1,0)</f>
        <v>AZ3-V50-T1C6-006</v>
      </c>
      <c r="H379" s="3">
        <f>_xlfn.XLOOKUP(B379,'AFC Data details'!B:B,'AFC Data details'!P:P)</f>
        <v>2.0840000000000001</v>
      </c>
    </row>
    <row r="380" spans="1:8" x14ac:dyDescent="0.25">
      <c r="A380" s="154">
        <v>46018</v>
      </c>
      <c r="B380" s="3" t="s">
        <v>1962</v>
      </c>
      <c r="C380" s="151">
        <v>1</v>
      </c>
      <c r="D380" s="3" t="str">
        <f>VLOOKUP(B380,'Element wise-detail Summary'!$A:$D,2,0)</f>
        <v>V07</v>
      </c>
      <c r="E380" s="3" t="str">
        <f>IFERROR(VLOOKUP(B380,'Element wise-detail Summary'!$A:$D,3,0),0)</f>
        <v>Zone-4</v>
      </c>
      <c r="F380" s="143" t="str">
        <f>VLOOKUP(B380,'AFC Data details'!$B:$B,1,0)</f>
        <v>AZ4-V07-T1C6-005</v>
      </c>
      <c r="H380" s="3">
        <f>_xlfn.XLOOKUP(B380,'AFC Data details'!B:B,'AFC Data details'!P:P)</f>
        <v>2.141</v>
      </c>
    </row>
    <row r="381" spans="1:8" x14ac:dyDescent="0.25">
      <c r="A381" s="154">
        <v>46018</v>
      </c>
      <c r="B381" s="3" t="s">
        <v>1844</v>
      </c>
      <c r="C381" s="151">
        <v>1</v>
      </c>
      <c r="D381" s="3" t="str">
        <f>VLOOKUP(B381,'Element wise-detail Summary'!$A:$D,2,0)</f>
        <v>V04</v>
      </c>
      <c r="E381" s="3" t="str">
        <f>IFERROR(VLOOKUP(B381,'Element wise-detail Summary'!$A:$D,3,0),0)</f>
        <v>Zone-4</v>
      </c>
      <c r="F381" s="143" t="str">
        <f>VLOOKUP(B381,'AFC Data details'!$B:$B,1,0)</f>
        <v>AZ4-V04-T1C6-006</v>
      </c>
      <c r="H381" s="3">
        <f>_xlfn.XLOOKUP(B381,'AFC Data details'!B:B,'AFC Data details'!P:P)</f>
        <v>2.2160000000000002</v>
      </c>
    </row>
    <row r="382" spans="1:8" x14ac:dyDescent="0.25">
      <c r="A382" s="154">
        <v>46018</v>
      </c>
      <c r="B382" s="3" t="s">
        <v>1486</v>
      </c>
      <c r="C382" s="151">
        <v>1</v>
      </c>
      <c r="D382" s="3" t="str">
        <f>VLOOKUP(B382,'Element wise-detail Summary'!$A:$D,2,0)</f>
        <v>V48</v>
      </c>
      <c r="E382" s="3" t="str">
        <f>IFERROR(VLOOKUP(B382,'Element wise-detail Summary'!$A:$D,3,0),0)</f>
        <v>Zone-3</v>
      </c>
      <c r="F382" s="143" t="str">
        <f>VLOOKUP(B382,'AFC Data details'!$B:$B,1,0)</f>
        <v>AZ3-V48-T1C14-003</v>
      </c>
      <c r="H382" s="3">
        <f>_xlfn.XLOOKUP(B382,'AFC Data details'!B:B,'AFC Data details'!P:P)</f>
        <v>2.3450000000000002</v>
      </c>
    </row>
    <row r="383" spans="1:8" x14ac:dyDescent="0.25">
      <c r="A383" s="154">
        <v>46018</v>
      </c>
      <c r="B383" s="3" t="s">
        <v>1963</v>
      </c>
      <c r="C383" s="151">
        <v>1</v>
      </c>
      <c r="D383" s="3" t="str">
        <f>VLOOKUP(B383,'Element wise-detail Summary'!$A:$D,2,0)</f>
        <v>V09</v>
      </c>
      <c r="E383" s="3" t="str">
        <f>IFERROR(VLOOKUP(B383,'Element wise-detail Summary'!$A:$D,3,0),0)</f>
        <v>Zone-4</v>
      </c>
      <c r="F383" s="143" t="str">
        <f>VLOOKUP(B383,'AFC Data details'!$B:$B,1,0)</f>
        <v>AZ4-V09-T1C6-004</v>
      </c>
      <c r="H383" s="3">
        <f>_xlfn.XLOOKUP(B383,'AFC Data details'!B:B,'AFC Data details'!P:P)</f>
        <v>2.141</v>
      </c>
    </row>
    <row r="384" spans="1:8" x14ac:dyDescent="0.25">
      <c r="A384" s="154">
        <v>46018</v>
      </c>
      <c r="B384" s="3" t="s">
        <v>1551</v>
      </c>
      <c r="C384" s="151">
        <v>1</v>
      </c>
      <c r="D384" s="3" t="str">
        <f>VLOOKUP(B384,'Element wise-detail Summary'!$A:$D,2,0)</f>
        <v>V57</v>
      </c>
      <c r="E384" s="3" t="str">
        <f>IFERROR(VLOOKUP(B384,'Element wise-detail Summary'!$A:$D,3,0),0)</f>
        <v>Zone-5</v>
      </c>
      <c r="F384" s="143" t="str">
        <f>VLOOKUP(B384,'AFC Data details'!$B:$B,1,0)</f>
        <v>AZ5-V57-T1C6-004</v>
      </c>
      <c r="H384" s="3">
        <f>_xlfn.XLOOKUP(B384,'AFC Data details'!B:B,'AFC Data details'!P:P)</f>
        <v>2.1219999999999999</v>
      </c>
    </row>
    <row r="385" spans="1:8" x14ac:dyDescent="0.25">
      <c r="A385" s="154">
        <v>46018</v>
      </c>
      <c r="B385" s="3" t="s">
        <v>1467</v>
      </c>
      <c r="C385" s="151">
        <v>1</v>
      </c>
      <c r="D385" s="3" t="str">
        <f>VLOOKUP(B385,'Element wise-detail Summary'!$A:$D,2,0)</f>
        <v>V45</v>
      </c>
      <c r="E385" s="3" t="str">
        <f>IFERROR(VLOOKUP(B385,'Element wise-detail Summary'!$A:$D,3,0),0)</f>
        <v>Zone-3</v>
      </c>
      <c r="F385" s="143" t="str">
        <f>VLOOKUP(B385,'AFC Data details'!$B:$B,1,0)</f>
        <v>AZ3-V45-T1C3-001</v>
      </c>
      <c r="H385" s="3">
        <f>_xlfn.XLOOKUP(B385,'AFC Data details'!B:B,'AFC Data details'!P:P)</f>
        <v>1.2210000000000001</v>
      </c>
    </row>
    <row r="386" spans="1:8" x14ac:dyDescent="0.25">
      <c r="A386" s="154">
        <v>46020</v>
      </c>
      <c r="B386" s="3" t="s">
        <v>1516</v>
      </c>
      <c r="C386" s="151">
        <v>1</v>
      </c>
      <c r="D386" s="3" t="str">
        <f>VLOOKUP(B386,'Element wise-detail Summary'!$A:$D,2,0)</f>
        <v>V52</v>
      </c>
      <c r="E386" s="3" t="str">
        <f>IFERROR(VLOOKUP(B386,'Element wise-detail Summary'!$A:$D,3,0),0)</f>
        <v>Zone-3</v>
      </c>
      <c r="F386" s="143" t="str">
        <f>VLOOKUP(B386,'AFC Data details'!$B:$B,1,0)</f>
        <v>AZ3-V52-T1C6-006</v>
      </c>
      <c r="H386" s="3">
        <f>_xlfn.XLOOKUP(B386,'AFC Data details'!B:B,'AFC Data details'!P:P)</f>
        <v>2.0840000000000001</v>
      </c>
    </row>
    <row r="387" spans="1:8" x14ac:dyDescent="0.25">
      <c r="A387" s="154">
        <v>46020</v>
      </c>
      <c r="B387" s="3" t="s">
        <v>1842</v>
      </c>
      <c r="C387" s="151">
        <v>1</v>
      </c>
      <c r="D387" s="3" t="str">
        <f>VLOOKUP(B387,'Element wise-detail Summary'!$A:$D,2,0)</f>
        <v>V04</v>
      </c>
      <c r="E387" s="3" t="str">
        <f>IFERROR(VLOOKUP(B387,'Element wise-detail Summary'!$A:$D,3,0),0)</f>
        <v>Zone-4</v>
      </c>
      <c r="F387" s="143" t="str">
        <f>VLOOKUP(B387,'AFC Data details'!$B:$B,1,0)</f>
        <v>AZ4-V04-T1C6-002</v>
      </c>
      <c r="H387" s="3">
        <f>_xlfn.XLOOKUP(B387,'AFC Data details'!B:B,'AFC Data details'!P:P)</f>
        <v>2.2530000000000001</v>
      </c>
    </row>
    <row r="388" spans="1:8" x14ac:dyDescent="0.25">
      <c r="A388" s="154">
        <v>46020</v>
      </c>
      <c r="B388" s="3" t="s">
        <v>1856</v>
      </c>
      <c r="C388" s="151">
        <v>1</v>
      </c>
      <c r="D388" s="3" t="str">
        <f>VLOOKUP(B388,'Element wise-detail Summary'!$A:$D,2,0)</f>
        <v>V09</v>
      </c>
      <c r="E388" s="3" t="str">
        <f>IFERROR(VLOOKUP(B388,'Element wise-detail Summary'!$A:$D,3,0),0)</f>
        <v>Zone-4</v>
      </c>
      <c r="F388" s="143" t="str">
        <f>VLOOKUP(B388,'AFC Data details'!$B:$B,1,0)</f>
        <v>AZ4-V09-T1C6-001</v>
      </c>
      <c r="H388" s="3">
        <f>_xlfn.XLOOKUP(B388,'AFC Data details'!B:B,'AFC Data details'!P:P)</f>
        <v>2.141</v>
      </c>
    </row>
    <row r="389" spans="1:8" x14ac:dyDescent="0.25">
      <c r="A389" s="154">
        <v>46020</v>
      </c>
      <c r="B389" s="3" t="s">
        <v>1846</v>
      </c>
      <c r="C389" s="151">
        <v>1</v>
      </c>
      <c r="D389" s="3" t="str">
        <f>VLOOKUP(B389,'Element wise-detail Summary'!$A:$D,2,0)</f>
        <v>V05</v>
      </c>
      <c r="E389" s="3" t="str">
        <f>IFERROR(VLOOKUP(B389,'Element wise-detail Summary'!$A:$D,3,0),0)</f>
        <v>Zone-4</v>
      </c>
      <c r="F389" s="143" t="str">
        <f>VLOOKUP(B389,'AFC Data details'!$B:$B,1,0)</f>
        <v>AZ4-V05-T1C6-001</v>
      </c>
      <c r="H389" s="3">
        <f>_xlfn.XLOOKUP(B389,'AFC Data details'!B:B,'AFC Data details'!P:P)</f>
        <v>2.2530000000000001</v>
      </c>
    </row>
    <row r="390" spans="1:8" x14ac:dyDescent="0.25">
      <c r="A390" s="154">
        <v>46020</v>
      </c>
      <c r="B390" s="3" t="s">
        <v>1964</v>
      </c>
      <c r="C390" s="151">
        <v>1</v>
      </c>
      <c r="D390" s="3" t="str">
        <f>VLOOKUP(B390,'Element wise-detail Summary'!$A:$D,2,0)</f>
        <v>V13</v>
      </c>
      <c r="E390" s="3" t="str">
        <f>IFERROR(VLOOKUP(B390,'Element wise-detail Summary'!$A:$D,3,0),0)</f>
        <v>Zone-4</v>
      </c>
      <c r="F390" s="143" t="str">
        <f>VLOOKUP(B390,'AFC Data details'!$B:$B,1,0)</f>
        <v>AZ4-V13-T1C6-002</v>
      </c>
      <c r="H390" s="3">
        <f>_xlfn.XLOOKUP(B390,'AFC Data details'!B:B,'AFC Data details'!P:P)</f>
        <v>2.1840000000000002</v>
      </c>
    </row>
    <row r="391" spans="1:8" x14ac:dyDescent="0.25">
      <c r="A391" s="154">
        <v>46020</v>
      </c>
      <c r="B391" s="3" t="s">
        <v>1965</v>
      </c>
      <c r="C391" s="151">
        <v>1</v>
      </c>
      <c r="D391" s="3" t="str">
        <f>VLOOKUP(B391,'Element wise-detail Summary'!$A:$D,2,0)</f>
        <v>V09</v>
      </c>
      <c r="E391" s="3" t="str">
        <f>IFERROR(VLOOKUP(B391,'Element wise-detail Summary'!$A:$D,3,0),0)</f>
        <v>Zone-4</v>
      </c>
      <c r="F391" s="143" t="str">
        <f>VLOOKUP(B391,'AFC Data details'!$B:$B,1,0)</f>
        <v>AZ4-V09-T1C6-006</v>
      </c>
      <c r="H391" s="3">
        <f>_xlfn.XLOOKUP(B391,'AFC Data details'!B:B,'AFC Data details'!P:P)</f>
        <v>2.141</v>
      </c>
    </row>
    <row r="392" spans="1:8" x14ac:dyDescent="0.25">
      <c r="A392" s="154">
        <v>46020</v>
      </c>
      <c r="B392" s="3" t="s">
        <v>1966</v>
      </c>
      <c r="C392" s="151">
        <v>1</v>
      </c>
      <c r="D392" s="3" t="str">
        <f>VLOOKUP(B392,'Element wise-detail Summary'!$A:$D,2,0)</f>
        <v>V09</v>
      </c>
      <c r="E392" s="3" t="str">
        <f>IFERROR(VLOOKUP(B392,'Element wise-detail Summary'!$A:$D,3,0),0)</f>
        <v>Zone-4</v>
      </c>
      <c r="F392" s="143" t="str">
        <f>VLOOKUP(B392,'AFC Data details'!$B:$B,1,0)</f>
        <v>AZ4-V09-T1C6-005</v>
      </c>
      <c r="H392" s="3">
        <f>_xlfn.XLOOKUP(B392,'AFC Data details'!B:B,'AFC Data details'!P:P)</f>
        <v>2.141</v>
      </c>
    </row>
    <row r="393" spans="1:8" x14ac:dyDescent="0.25">
      <c r="A393" s="154">
        <v>46020</v>
      </c>
      <c r="B393" s="3" t="s">
        <v>1496</v>
      </c>
      <c r="C393" s="151">
        <v>1</v>
      </c>
      <c r="D393" s="3" t="str">
        <f>VLOOKUP(B393,'Element wise-detail Summary'!$A:$D,2,0)</f>
        <v>V49</v>
      </c>
      <c r="E393" s="3" t="str">
        <f>IFERROR(VLOOKUP(B393,'Element wise-detail Summary'!$A:$D,3,0),0)</f>
        <v>Zone-3</v>
      </c>
      <c r="F393" s="143" t="str">
        <f>VLOOKUP(B393,'AFC Data details'!$B:$B,1,0)</f>
        <v>AZ3-V49-T1C14-003</v>
      </c>
      <c r="H393" s="3">
        <f>_xlfn.XLOOKUP(B393,'AFC Data details'!B:B,'AFC Data details'!P:P)</f>
        <v>2.3010000000000002</v>
      </c>
    </row>
    <row r="394" spans="1:8" x14ac:dyDescent="0.25">
      <c r="A394" s="154">
        <v>46020</v>
      </c>
      <c r="B394" s="3" t="s">
        <v>1470</v>
      </c>
      <c r="C394" s="151">
        <v>1</v>
      </c>
      <c r="D394" s="3" t="str">
        <f>VLOOKUP(B394,'Element wise-detail Summary'!$A:$D,2,0)</f>
        <v>V45</v>
      </c>
      <c r="E394" s="3" t="str">
        <f>IFERROR(VLOOKUP(B394,'Element wise-detail Summary'!$A:$D,3,0),0)</f>
        <v>Zone-3</v>
      </c>
      <c r="F394" s="143" t="str">
        <f>VLOOKUP(B394,'AFC Data details'!$B:$B,1,0)</f>
        <v>AZ3-V45-T1C6-006</v>
      </c>
      <c r="H394" s="3">
        <f>_xlfn.XLOOKUP(B394,'AFC Data details'!B:B,'AFC Data details'!P:P)</f>
        <v>2.097</v>
      </c>
    </row>
    <row r="395" spans="1:8" x14ac:dyDescent="0.25">
      <c r="A395" s="154">
        <v>46020</v>
      </c>
      <c r="B395" s="3" t="s">
        <v>1477</v>
      </c>
      <c r="C395" s="151">
        <v>1</v>
      </c>
      <c r="D395" s="3" t="str">
        <f>VLOOKUP(B395,'Element wise-detail Summary'!$A:$D,2,0)</f>
        <v>V47</v>
      </c>
      <c r="E395" s="3" t="str">
        <f>IFERROR(VLOOKUP(B395,'Element wise-detail Summary'!$A:$D,3,0),0)</f>
        <v>Zone-3</v>
      </c>
      <c r="F395" s="143" t="str">
        <f>VLOOKUP(B395,'AFC Data details'!$B:$B,1,0)</f>
        <v>AZ3-V47-T1C2-001</v>
      </c>
      <c r="H395" s="3">
        <f>_xlfn.XLOOKUP(B395,'AFC Data details'!B:B,'AFC Data details'!P:P)</f>
        <v>1.101</v>
      </c>
    </row>
    <row r="396" spans="1:8" x14ac:dyDescent="0.25">
      <c r="A396" s="154">
        <v>46021</v>
      </c>
      <c r="B396" s="164" t="s">
        <v>1520</v>
      </c>
      <c r="C396" s="151">
        <v>1</v>
      </c>
      <c r="D396" s="3" t="str">
        <f>VLOOKUP(B396,'Element wise-detail Summary'!$A:$D,2,0)</f>
        <v>V51</v>
      </c>
      <c r="E396" s="3" t="str">
        <f>IFERROR(VLOOKUP(B396,'Element wise-detail Summary'!$A:$D,3,0),0)</f>
        <v>Zone-3</v>
      </c>
      <c r="F396" s="143" t="str">
        <f>VLOOKUP(B396,'AFC Data details'!$B:$B,1,0)</f>
        <v>AZ3-V51-T1C6-001</v>
      </c>
      <c r="H396" s="3">
        <f>_xlfn.XLOOKUP(B396,'AFC Data details'!B:B,'AFC Data details'!P:P)</f>
        <v>2.0470000000000002</v>
      </c>
    </row>
    <row r="397" spans="1:8" x14ac:dyDescent="0.25">
      <c r="A397" s="154">
        <v>46021</v>
      </c>
      <c r="B397" s="3" t="s">
        <v>1968</v>
      </c>
      <c r="C397" s="151">
        <v>1</v>
      </c>
      <c r="D397" s="3" t="str">
        <f>VLOOKUP(B397,'Element wise-detail Summary'!$A:$D,2,0)</f>
        <v>V04</v>
      </c>
      <c r="E397" s="3" t="str">
        <f>IFERROR(VLOOKUP(B397,'Element wise-detail Summary'!$A:$D,3,0),0)</f>
        <v>Zone-4</v>
      </c>
      <c r="F397" s="143" t="str">
        <f>VLOOKUP(B397,'AFC Data details'!$B:$B,1,0)</f>
        <v>AZ4-V04-T1C6-003</v>
      </c>
      <c r="H397" s="3">
        <f>_xlfn.XLOOKUP(B397,'AFC Data details'!B:B,'AFC Data details'!P:P)</f>
        <v>2.2530000000000001</v>
      </c>
    </row>
    <row r="398" spans="1:8" x14ac:dyDescent="0.25">
      <c r="A398" s="154">
        <v>46021</v>
      </c>
      <c r="B398" s="3" t="s">
        <v>1971</v>
      </c>
      <c r="C398" s="151">
        <v>1</v>
      </c>
      <c r="D398" s="3" t="str">
        <f>VLOOKUP(B398,'Element wise-detail Summary'!$A:$D,2,0)</f>
        <v>V08</v>
      </c>
      <c r="E398" s="3" t="str">
        <f>IFERROR(VLOOKUP(B398,'Element wise-detail Summary'!$A:$D,3,0),0)</f>
        <v>Zone-4</v>
      </c>
      <c r="F398" s="143" t="str">
        <f>VLOOKUP(B398,'AFC Data details'!$B:$B,1,0)</f>
        <v>AZ4-V08-T1C6-006</v>
      </c>
      <c r="H398" s="3">
        <f>_xlfn.XLOOKUP(B398,'AFC Data details'!B:B,'AFC Data details'!P:P)</f>
        <v>2.141</v>
      </c>
    </row>
    <row r="399" spans="1:8" x14ac:dyDescent="0.25">
      <c r="A399" s="154">
        <v>46021</v>
      </c>
      <c r="B399" s="3" t="s">
        <v>1847</v>
      </c>
      <c r="C399" s="151">
        <v>1</v>
      </c>
      <c r="D399" s="3" t="str">
        <f>VLOOKUP(B399,'Element wise-detail Summary'!$A:$D,2,0)</f>
        <v>V05</v>
      </c>
      <c r="E399" s="3" t="str">
        <f>IFERROR(VLOOKUP(B399,'Element wise-detail Summary'!$A:$D,3,0),0)</f>
        <v>Zone-4</v>
      </c>
      <c r="F399" s="143" t="str">
        <f>VLOOKUP(B399,'AFC Data details'!$B:$B,1,0)</f>
        <v>AZ4-V05-T1C6-006</v>
      </c>
      <c r="H399" s="3">
        <f>_xlfn.XLOOKUP(B399,'AFC Data details'!B:B,'AFC Data details'!P:P)</f>
        <v>2.2160000000000002</v>
      </c>
    </row>
    <row r="400" spans="1:8" x14ac:dyDescent="0.25">
      <c r="A400" s="154">
        <v>46021</v>
      </c>
      <c r="B400" s="3" t="s">
        <v>1478</v>
      </c>
      <c r="C400" s="151">
        <v>1</v>
      </c>
      <c r="D400" s="3" t="str">
        <f>VLOOKUP(B400,'Element wise-detail Summary'!$A:$D,2,0)</f>
        <v>V47</v>
      </c>
      <c r="E400" s="3" t="str">
        <f>IFERROR(VLOOKUP(B400,'Element wise-detail Summary'!$A:$D,3,0),0)</f>
        <v>Zone-3</v>
      </c>
      <c r="F400" s="143" t="str">
        <f>VLOOKUP(B400,'AFC Data details'!$B:$B,1,0)</f>
        <v>AZ3-V47-T3C6-001</v>
      </c>
      <c r="H400" s="3">
        <f>_xlfn.XLOOKUP(B400,'AFC Data details'!B:B,'AFC Data details'!P:P)</f>
        <v>1.665</v>
      </c>
    </row>
    <row r="401" spans="1:8" x14ac:dyDescent="0.25">
      <c r="A401" s="154">
        <v>46021</v>
      </c>
      <c r="B401" s="3" t="s">
        <v>1973</v>
      </c>
      <c r="C401" s="151">
        <v>1</v>
      </c>
      <c r="D401" s="3" t="str">
        <f>VLOOKUP(B401,'Element wise-detail Summary'!$A:$D,2,0)</f>
        <v>V13</v>
      </c>
      <c r="E401" s="3" t="str">
        <f>IFERROR(VLOOKUP(B401,'Element wise-detail Summary'!$A:$D,3,0),0)</f>
        <v>Zone-4</v>
      </c>
      <c r="F401" s="143" t="str">
        <f>VLOOKUP(B401,'AFC Data details'!$B:$B,1,0)</f>
        <v>AZ4-V13-T1C6-003</v>
      </c>
      <c r="H401" s="3">
        <f>_xlfn.XLOOKUP(B401,'AFC Data details'!B:B,'AFC Data details'!P:P)</f>
        <v>2.1840000000000002</v>
      </c>
    </row>
    <row r="402" spans="1:8" x14ac:dyDescent="0.25">
      <c r="A402" s="154">
        <v>46021</v>
      </c>
      <c r="B402" s="3" t="s">
        <v>1976</v>
      </c>
      <c r="C402" s="151">
        <v>1</v>
      </c>
      <c r="D402" s="3" t="str">
        <f>VLOOKUP(B402,'Element wise-detail Summary'!$A:$D,2,0)</f>
        <v>V06</v>
      </c>
      <c r="E402" s="3" t="str">
        <f>IFERROR(VLOOKUP(B402,'Element wise-detail Summary'!$A:$D,3,0),0)</f>
        <v>Zone-4</v>
      </c>
      <c r="F402" s="143" t="str">
        <f>VLOOKUP(B402,'AFC Data details'!$B:$B,1,0)</f>
        <v>AZ4-V06-T1C6-002</v>
      </c>
      <c r="H402" s="3">
        <f>_xlfn.XLOOKUP(B402,'AFC Data details'!B:B,'AFC Data details'!P:P)</f>
        <v>2.141</v>
      </c>
    </row>
    <row r="403" spans="1:8" x14ac:dyDescent="0.25">
      <c r="A403" s="154">
        <v>46021</v>
      </c>
      <c r="B403" s="3" t="s">
        <v>1978</v>
      </c>
      <c r="C403" s="151">
        <v>1</v>
      </c>
      <c r="D403" s="3" t="str">
        <f>VLOOKUP(B403,'Element wise-detail Summary'!$A:$D,2,0)</f>
        <v>V11</v>
      </c>
      <c r="E403" s="3" t="str">
        <f>IFERROR(VLOOKUP(B403,'Element wise-detail Summary'!$A:$D,3,0),0)</f>
        <v>Zone-4</v>
      </c>
      <c r="F403" s="143" t="str">
        <f>VLOOKUP(B403,'AFC Data details'!$B:$B,1,0)</f>
        <v>AZ4-V11-T1C6-006</v>
      </c>
      <c r="H403" s="3">
        <f>_xlfn.XLOOKUP(B403,'AFC Data details'!B:B,'AFC Data details'!P:P)</f>
        <v>2.1909999999999998</v>
      </c>
    </row>
    <row r="404" spans="1:8" x14ac:dyDescent="0.25">
      <c r="A404" s="154">
        <v>46021</v>
      </c>
      <c r="B404" s="3" t="s">
        <v>1980</v>
      </c>
      <c r="C404" s="151">
        <v>1</v>
      </c>
      <c r="D404" s="3" t="str">
        <f>VLOOKUP(B404,'Element wise-detail Summary'!$A:$D,2,0)</f>
        <v>V13</v>
      </c>
      <c r="E404" s="3" t="str">
        <f>IFERROR(VLOOKUP(B404,'Element wise-detail Summary'!$A:$D,3,0),0)</f>
        <v>Zone-4</v>
      </c>
      <c r="F404" s="143" t="str">
        <f>VLOOKUP(B404,'AFC Data details'!$B:$B,1,0)</f>
        <v>AZ4-V13-T1C6-006</v>
      </c>
      <c r="H404" s="3">
        <f>_xlfn.XLOOKUP(B404,'AFC Data details'!B:B,'AFC Data details'!P:P)</f>
        <v>2.1840000000000002</v>
      </c>
    </row>
    <row r="405" spans="1:8" x14ac:dyDescent="0.25">
      <c r="A405" s="154">
        <v>46021</v>
      </c>
      <c r="B405" s="3" t="s">
        <v>1783</v>
      </c>
      <c r="C405" s="151">
        <v>1</v>
      </c>
      <c r="D405" s="3" t="str">
        <f>VLOOKUP(B405,'Element wise-detail Summary'!$A:$D,2,0)</f>
        <v>V04</v>
      </c>
      <c r="E405" s="3" t="str">
        <f>IFERROR(VLOOKUP(B405,'Element wise-detail Summary'!$A:$D,3,0),0)</f>
        <v>Zone-4</v>
      </c>
      <c r="F405" s="143" t="str">
        <f>VLOOKUP(B405,'AFC Data details'!$B:$B,1,0)</f>
        <v>AZ4-V04-T1C2-001</v>
      </c>
      <c r="H405" s="3">
        <f>_xlfn.XLOOKUP(B405,'AFC Data details'!B:B,'AFC Data details'!P:P)</f>
        <v>1.1240000000000001</v>
      </c>
    </row>
    <row r="406" spans="1:8" x14ac:dyDescent="0.25">
      <c r="A406" s="154">
        <v>46022</v>
      </c>
      <c r="B406" s="3" t="s">
        <v>1843</v>
      </c>
      <c r="C406" s="151">
        <v>1</v>
      </c>
      <c r="D406" s="3" t="str">
        <f>VLOOKUP(B406,'Element wise-detail Summary'!$A:$D,2,0)</f>
        <v>V04</v>
      </c>
      <c r="E406" s="3" t="str">
        <f>IFERROR(VLOOKUP(B406,'Element wise-detail Summary'!$A:$D,3,0),0)</f>
        <v>Zone-4</v>
      </c>
      <c r="F406" s="143" t="str">
        <f>VLOOKUP(B406,'AFC Data details'!$B:$B,1,0)</f>
        <v>AZ4-V04-T1C6-004</v>
      </c>
      <c r="H406" s="3">
        <f>_xlfn.XLOOKUP(B406,'AFC Data details'!B:B,'AFC Data details'!P:P)</f>
        <v>2.2160000000000002</v>
      </c>
    </row>
    <row r="407" spans="1:8" x14ac:dyDescent="0.25">
      <c r="A407" s="154">
        <v>46022</v>
      </c>
      <c r="B407" s="3" t="s">
        <v>1969</v>
      </c>
      <c r="C407" s="151">
        <v>1</v>
      </c>
      <c r="D407" s="3" t="str">
        <f>VLOOKUP(B407,'Element wise-detail Summary'!$A:$D,2,0)</f>
        <v>V05</v>
      </c>
      <c r="E407" s="3" t="str">
        <f>IFERROR(VLOOKUP(B407,'Element wise-detail Summary'!$A:$D,3,0),0)</f>
        <v>Zone-4</v>
      </c>
      <c r="F407" s="143" t="str">
        <f>VLOOKUP(B407,'AFC Data details'!$B:$B,1,0)</f>
        <v>AZ4-V05-T1C6-002</v>
      </c>
      <c r="H407" s="3">
        <f>_xlfn.XLOOKUP(B407,'AFC Data details'!B:B,'AFC Data details'!P:P)</f>
        <v>2.2530000000000001</v>
      </c>
    </row>
    <row r="408" spans="1:8" x14ac:dyDescent="0.25">
      <c r="A408" s="154">
        <v>46022</v>
      </c>
      <c r="B408" s="3" t="s">
        <v>1857</v>
      </c>
      <c r="C408" s="151">
        <v>1</v>
      </c>
      <c r="D408" s="3" t="str">
        <f>VLOOKUP(B408,'Element wise-detail Summary'!$A:$D,2,0)</f>
        <v>V10</v>
      </c>
      <c r="E408" s="3" t="str">
        <f>IFERROR(VLOOKUP(B408,'Element wise-detail Summary'!$A:$D,3,0),0)</f>
        <v>Zone-4</v>
      </c>
      <c r="F408" s="143" t="str">
        <f>VLOOKUP(B408,'AFC Data details'!$B:$B,1,0)</f>
        <v>AZ4-V10-T1C6-001</v>
      </c>
      <c r="H408" s="3">
        <f>_xlfn.XLOOKUP(B408,'AFC Data details'!B:B,'AFC Data details'!P:P)</f>
        <v>2.1909999999999998</v>
      </c>
    </row>
    <row r="409" spans="1:8" x14ac:dyDescent="0.25">
      <c r="A409" s="154">
        <v>46022</v>
      </c>
      <c r="B409" s="3" t="s">
        <v>1848</v>
      </c>
      <c r="C409" s="151">
        <v>1</v>
      </c>
      <c r="D409" s="3" t="str">
        <f>VLOOKUP(B409,'Element wise-detail Summary'!$A:$D,2,0)</f>
        <v>V06</v>
      </c>
      <c r="E409" s="3" t="str">
        <f>IFERROR(VLOOKUP(B409,'Element wise-detail Summary'!$A:$D,3,0),0)</f>
        <v>Zone-4</v>
      </c>
      <c r="F409" s="143" t="str">
        <f>VLOOKUP(B409,'AFC Data details'!$B:$B,1,0)</f>
        <v>AZ4-V06-T1C6-001</v>
      </c>
      <c r="H409" s="3">
        <f>_xlfn.XLOOKUP(B409,'AFC Data details'!B:B,'AFC Data details'!P:P)</f>
        <v>2.1219999999999999</v>
      </c>
    </row>
    <row r="410" spans="1:8" x14ac:dyDescent="0.25">
      <c r="A410" s="154">
        <v>46022</v>
      </c>
      <c r="B410" s="3" t="s">
        <v>1479</v>
      </c>
      <c r="C410" s="151">
        <v>1</v>
      </c>
      <c r="D410" s="3" t="str">
        <f>VLOOKUP(B410,'Element wise-detail Summary'!$A:$D,2,0)</f>
        <v>V47</v>
      </c>
      <c r="E410" s="3" t="str">
        <f>IFERROR(VLOOKUP(B410,'Element wise-detail Summary'!$A:$D,3,0),0)</f>
        <v>Zone-3</v>
      </c>
      <c r="F410" s="143" t="str">
        <f>VLOOKUP(B410,'AFC Data details'!$B:$B,1,0)</f>
        <v>AZ3-V47-T3C6-002</v>
      </c>
      <c r="H410" s="3">
        <f>_xlfn.XLOOKUP(B410,'AFC Data details'!B:B,'AFC Data details'!P:P)</f>
        <v>1.48</v>
      </c>
    </row>
    <row r="411" spans="1:8" x14ac:dyDescent="0.25">
      <c r="A411" s="154">
        <v>46022</v>
      </c>
      <c r="B411" s="3" t="s">
        <v>1854</v>
      </c>
      <c r="C411" s="151">
        <v>1</v>
      </c>
      <c r="D411" s="3" t="str">
        <f>VLOOKUP(B411,'Element wise-detail Summary'!$A:$D,2,0)</f>
        <v>V08</v>
      </c>
      <c r="E411" s="3" t="str">
        <f>IFERROR(VLOOKUP(B411,'Element wise-detail Summary'!$A:$D,3,0),0)</f>
        <v>Zone-4</v>
      </c>
      <c r="F411" s="143" t="str">
        <f>VLOOKUP(B411,'AFC Data details'!$B:$B,1,0)</f>
        <v>AZ4-V08-T1C6-002</v>
      </c>
      <c r="H411" s="3">
        <f>_xlfn.XLOOKUP(B411,'AFC Data details'!B:B,'AFC Data details'!P:P)</f>
        <v>2.141</v>
      </c>
    </row>
    <row r="412" spans="1:8" x14ac:dyDescent="0.25">
      <c r="A412" s="154">
        <v>46022</v>
      </c>
      <c r="B412" s="3" t="s">
        <v>1858</v>
      </c>
      <c r="C412" s="151">
        <v>1</v>
      </c>
      <c r="D412" s="3" t="str">
        <f>VLOOKUP(B412,'Element wise-detail Summary'!$A:$D,2,0)</f>
        <v>V10</v>
      </c>
      <c r="E412" s="3" t="str">
        <f>IFERROR(VLOOKUP(B412,'Element wise-detail Summary'!$A:$D,3,0),0)</f>
        <v>Zone-4</v>
      </c>
      <c r="F412" s="143" t="str">
        <f>VLOOKUP(B412,'AFC Data details'!$B:$B,1,0)</f>
        <v>AZ4-V10-T1C6-002</v>
      </c>
      <c r="H412" s="3">
        <f>_xlfn.XLOOKUP(B412,'AFC Data details'!B:B,'AFC Data details'!P:P)</f>
        <v>2.1909999999999998</v>
      </c>
    </row>
    <row r="413" spans="1:8" x14ac:dyDescent="0.25">
      <c r="A413" s="154">
        <v>46022</v>
      </c>
      <c r="B413" s="3" t="s">
        <v>1861</v>
      </c>
      <c r="C413" s="151">
        <v>1</v>
      </c>
      <c r="D413" s="3" t="str">
        <f>VLOOKUP(B413,'Element wise-detail Summary'!$A:$D,2,0)</f>
        <v>V12</v>
      </c>
      <c r="E413" s="3" t="str">
        <f>IFERROR(VLOOKUP(B413,'Element wise-detail Summary'!$A:$D,3,0),0)</f>
        <v>Zone-4</v>
      </c>
      <c r="F413" s="143" t="str">
        <f>VLOOKUP(B413,'AFC Data details'!$B:$B,1,0)</f>
        <v>AZ4-V12-T1C6-002</v>
      </c>
      <c r="H413" s="3">
        <f>_xlfn.XLOOKUP(B413,'AFC Data details'!B:B,'AFC Data details'!P:P)</f>
        <v>2.1840000000000002</v>
      </c>
    </row>
    <row r="414" spans="1:8" x14ac:dyDescent="0.25">
      <c r="A414" s="154">
        <v>46022</v>
      </c>
      <c r="B414" s="3" t="s">
        <v>1540</v>
      </c>
      <c r="C414" s="151">
        <v>1</v>
      </c>
      <c r="D414" s="3" t="str">
        <f>VLOOKUP(B414,'Element wise-detail Summary'!$A:$D,2,0)</f>
        <v>V54</v>
      </c>
      <c r="E414" s="3" t="str">
        <f>IFERROR(VLOOKUP(B414,'Element wise-detail Summary'!$A:$D,3,0),0)</f>
        <v>Zone-3</v>
      </c>
      <c r="F414" s="143" t="str">
        <f>VLOOKUP(B414,'AFC Data details'!$B:$B,1,0)</f>
        <v>AZ3-V54-T1C14-001</v>
      </c>
      <c r="H414" s="3">
        <f>_xlfn.XLOOKUP(B414,'AFC Data details'!B:B,'AFC Data details'!P:P)</f>
        <v>2.2789999999999999</v>
      </c>
    </row>
    <row r="415" spans="1:8" x14ac:dyDescent="0.25">
      <c r="A415" s="154">
        <v>46022</v>
      </c>
      <c r="B415" s="3" t="s">
        <v>1471</v>
      </c>
      <c r="C415" s="151">
        <v>1</v>
      </c>
      <c r="D415" s="3" t="str">
        <f>VLOOKUP(B415,'Element wise-detail Summary'!$A:$D,2,0)</f>
        <v>V47</v>
      </c>
      <c r="E415" s="3" t="str">
        <f>IFERROR(VLOOKUP(B415,'Element wise-detail Summary'!$A:$D,3,0),0)</f>
        <v>Zone-3</v>
      </c>
      <c r="F415" s="143" t="str">
        <f>VLOOKUP(B415,'AFC Data details'!$B:$B,1,0)</f>
        <v>AZ3-V47-T1C6-006</v>
      </c>
      <c r="H415" s="3">
        <f>_xlfn.XLOOKUP(B415,'AFC Data details'!B:B,'AFC Data details'!P:P)</f>
        <v>2.097</v>
      </c>
    </row>
    <row r="416" spans="1:8" x14ac:dyDescent="0.25">
      <c r="A416" s="154">
        <v>46022</v>
      </c>
      <c r="B416" s="3" t="s">
        <v>1809</v>
      </c>
      <c r="C416" s="151">
        <v>1</v>
      </c>
      <c r="D416" s="3" t="str">
        <f>VLOOKUP(B416,'Element wise-detail Summary'!$A:$D,2,0)</f>
        <v>V09</v>
      </c>
      <c r="E416" s="3" t="str">
        <f>IFERROR(VLOOKUP(B416,'Element wise-detail Summary'!$A:$D,3,0),0)</f>
        <v>Zone-4</v>
      </c>
      <c r="F416" s="143" t="str">
        <f>VLOOKUP(B416,'AFC Data details'!$B:$B,1,0)</f>
        <v>AZ4-V09-T1C2-001</v>
      </c>
      <c r="H416" s="3">
        <f>_xlfn.XLOOKUP(B416,'AFC Data details'!B:B,'AFC Data details'!P:P)</f>
        <v>1.141</v>
      </c>
    </row>
    <row r="417" spans="1:8" x14ac:dyDescent="0.25">
      <c r="A417" s="154">
        <v>46024</v>
      </c>
      <c r="B417" s="3" t="s">
        <v>1967</v>
      </c>
      <c r="C417" s="151">
        <v>1</v>
      </c>
      <c r="D417" s="3" t="str">
        <f>VLOOKUP(B417,'Element wise-detail Summary'!$A:$D,2,0)</f>
        <v>V04</v>
      </c>
      <c r="E417" s="3" t="str">
        <f>IFERROR(VLOOKUP(B417,'Element wise-detail Summary'!$A:$D,3,0),0)</f>
        <v>Zone-4</v>
      </c>
      <c r="F417" s="143" t="str">
        <f>VLOOKUP(B417,'AFC Data details'!$B:$B,1,0)</f>
        <v>AZ4-V04-T1C6-005</v>
      </c>
      <c r="H417" s="3">
        <f>_xlfn.XLOOKUP(B417,'AFC Data details'!B:B,'AFC Data details'!P:P)</f>
        <v>2.2160000000000002</v>
      </c>
    </row>
    <row r="418" spans="1:8" x14ac:dyDescent="0.25">
      <c r="A418" s="154">
        <v>46024</v>
      </c>
      <c r="B418" s="3" t="s">
        <v>1970</v>
      </c>
      <c r="C418" s="151">
        <v>1</v>
      </c>
      <c r="D418" s="3" t="str">
        <f>VLOOKUP(B418,'Element wise-detail Summary'!$A:$D,2,0)</f>
        <v>V05</v>
      </c>
      <c r="E418" s="3" t="str">
        <f>IFERROR(VLOOKUP(B418,'Element wise-detail Summary'!$A:$D,3,0),0)</f>
        <v>Zone-4</v>
      </c>
      <c r="F418" s="143" t="str">
        <f>VLOOKUP(B418,'AFC Data details'!$B:$B,1,0)</f>
        <v>AZ4-V05-T1C6-003</v>
      </c>
      <c r="H418" s="3">
        <f>_xlfn.XLOOKUP(B418,'AFC Data details'!B:B,'AFC Data details'!P:P)</f>
        <v>2.2530000000000001</v>
      </c>
    </row>
    <row r="419" spans="1:8" x14ac:dyDescent="0.25">
      <c r="A419" s="154">
        <v>46024</v>
      </c>
      <c r="B419" s="3" t="s">
        <v>1972</v>
      </c>
      <c r="C419" s="151">
        <v>1</v>
      </c>
      <c r="D419" s="3" t="str">
        <f>VLOOKUP(B419,'Element wise-detail Summary'!$A:$D,2,0)</f>
        <v>V14</v>
      </c>
      <c r="E419" s="3" t="str">
        <f>IFERROR(VLOOKUP(B419,'Element wise-detail Summary'!$A:$D,3,0),0)</f>
        <v>Zone-4</v>
      </c>
      <c r="F419" s="143" t="str">
        <f>VLOOKUP(B419,'AFC Data details'!$B:$B,1,0)</f>
        <v>AZ4-V14-T1C6-005</v>
      </c>
      <c r="H419" s="3">
        <f>_xlfn.XLOOKUP(B419,'AFC Data details'!B:B,'AFC Data details'!P:P)</f>
        <v>2.1339999999999999</v>
      </c>
    </row>
    <row r="420" spans="1:8" x14ac:dyDescent="0.25">
      <c r="A420" s="154">
        <v>46024</v>
      </c>
      <c r="B420" s="3" t="s">
        <v>1849</v>
      </c>
      <c r="C420" s="151">
        <v>1</v>
      </c>
      <c r="D420" s="3" t="str">
        <f>VLOOKUP(B420,'Element wise-detail Summary'!$A:$D,2,0)</f>
        <v>V06</v>
      </c>
      <c r="E420" s="3" t="str">
        <f>IFERROR(VLOOKUP(B420,'Element wise-detail Summary'!$A:$D,3,0),0)</f>
        <v>Zone-4</v>
      </c>
      <c r="F420" s="143" t="str">
        <f>VLOOKUP(B420,'AFC Data details'!$B:$B,1,0)</f>
        <v>AZ4-V06-T1C6-006</v>
      </c>
      <c r="H420" s="3">
        <f>_xlfn.XLOOKUP(B420,'AFC Data details'!B:B,'AFC Data details'!P:P)</f>
        <v>2.141</v>
      </c>
    </row>
    <row r="421" spans="1:8" x14ac:dyDescent="0.25">
      <c r="A421" s="154">
        <v>46024</v>
      </c>
      <c r="B421" s="3" t="s">
        <v>1530</v>
      </c>
      <c r="C421" s="151">
        <v>1</v>
      </c>
      <c r="D421" s="3" t="str">
        <f>VLOOKUP(B421,'Element wise-detail Summary'!$A:$D,2,0)</f>
        <v>V52</v>
      </c>
      <c r="E421" s="3" t="str">
        <f>IFERROR(VLOOKUP(B421,'Element wise-detail Summary'!$A:$D,3,0),0)</f>
        <v>Zone-3</v>
      </c>
      <c r="F421" s="143" t="str">
        <f>VLOOKUP(B421,'AFC Data details'!$B:$B,1,0)</f>
        <v>AZ3-V52-T3C5-001</v>
      </c>
      <c r="H421" s="3">
        <f>_xlfn.XLOOKUP(B421,'AFC Data details'!B:B,'AFC Data details'!P:P)</f>
        <v>1.452</v>
      </c>
    </row>
    <row r="422" spans="1:8" x14ac:dyDescent="0.25">
      <c r="A422" s="154">
        <v>46024</v>
      </c>
      <c r="B422" s="3" t="s">
        <v>1974</v>
      </c>
      <c r="C422" s="151">
        <v>1</v>
      </c>
      <c r="D422" s="3" t="str">
        <f>VLOOKUP(B422,'Element wise-detail Summary'!$A:$D,2,0)</f>
        <v>V13</v>
      </c>
      <c r="E422" s="3" t="str">
        <f>IFERROR(VLOOKUP(B422,'Element wise-detail Summary'!$A:$D,3,0),0)</f>
        <v>Zone-4</v>
      </c>
      <c r="F422" s="143" t="str">
        <f>VLOOKUP(B422,'AFC Data details'!$B:$B,1,0)</f>
        <v>AZ4-V13-T1C6-004</v>
      </c>
      <c r="H422" s="3">
        <f>_xlfn.XLOOKUP(B422,'AFC Data details'!B:B,'AFC Data details'!P:P)</f>
        <v>2.1840000000000002</v>
      </c>
    </row>
    <row r="423" spans="1:8" x14ac:dyDescent="0.25">
      <c r="A423" s="154">
        <v>46024</v>
      </c>
      <c r="B423" s="3" t="s">
        <v>1975</v>
      </c>
      <c r="C423" s="151">
        <v>1</v>
      </c>
      <c r="D423" s="3" t="str">
        <f>VLOOKUP(B423,'Element wise-detail Summary'!$A:$D,2,0)</f>
        <v>V08</v>
      </c>
      <c r="E423" s="3" t="str">
        <f>IFERROR(VLOOKUP(B423,'Element wise-detail Summary'!$A:$D,3,0),0)</f>
        <v>Zone-4</v>
      </c>
      <c r="F423" s="143" t="str">
        <f>VLOOKUP(B423,'AFC Data details'!$B:$B,1,0)</f>
        <v>AZ4-V08-T1C6-003</v>
      </c>
      <c r="H423" s="3">
        <f>_xlfn.XLOOKUP(B423,'AFC Data details'!B:B,'AFC Data details'!P:P)</f>
        <v>2.141</v>
      </c>
    </row>
    <row r="424" spans="1:8" x14ac:dyDescent="0.25">
      <c r="A424" s="154">
        <v>46024</v>
      </c>
      <c r="B424" s="3" t="s">
        <v>1977</v>
      </c>
      <c r="C424" s="151">
        <v>1</v>
      </c>
      <c r="D424" s="3" t="str">
        <f>VLOOKUP(B424,'Element wise-detail Summary'!$A:$D,2,0)</f>
        <v>V06</v>
      </c>
      <c r="E424" s="3" t="str">
        <f>IFERROR(VLOOKUP(B424,'Element wise-detail Summary'!$A:$D,3,0),0)</f>
        <v>Zone-4</v>
      </c>
      <c r="F424" s="143" t="str">
        <f>VLOOKUP(B424,'AFC Data details'!$B:$B,1,0)</f>
        <v>AZ4-V06-T1C6-003</v>
      </c>
      <c r="H424" s="3">
        <f>_xlfn.XLOOKUP(B424,'AFC Data details'!B:B,'AFC Data details'!P:P)</f>
        <v>2.141</v>
      </c>
    </row>
    <row r="425" spans="1:8" x14ac:dyDescent="0.25">
      <c r="A425" s="154">
        <v>46024</v>
      </c>
      <c r="B425" s="3" t="s">
        <v>1979</v>
      </c>
      <c r="C425" s="151">
        <v>1</v>
      </c>
      <c r="D425" s="3" t="str">
        <f>VLOOKUP(B425,'Element wise-detail Summary'!$A:$D,2,0)</f>
        <v>V10</v>
      </c>
      <c r="E425" s="3" t="str">
        <f>IFERROR(VLOOKUP(B425,'Element wise-detail Summary'!$A:$D,3,0),0)</f>
        <v>Zone-4</v>
      </c>
      <c r="F425" s="143" t="str">
        <f>VLOOKUP(B425,'AFC Data details'!$B:$B,1,0)</f>
        <v>AZ4-V10-T1C6-003</v>
      </c>
      <c r="H425" s="3">
        <f>_xlfn.XLOOKUP(B425,'AFC Data details'!B:B,'AFC Data details'!P:P)</f>
        <v>2.1909999999999998</v>
      </c>
    </row>
    <row r="426" spans="1:8" x14ac:dyDescent="0.25">
      <c r="A426" s="154">
        <v>46024</v>
      </c>
      <c r="B426" s="3" t="s">
        <v>1981</v>
      </c>
      <c r="C426" s="151">
        <v>1</v>
      </c>
      <c r="D426" s="3" t="str">
        <f>VLOOKUP(B426,'Element wise-detail Summary'!$A:$D,2,0)</f>
        <v>V12</v>
      </c>
      <c r="E426" s="3" t="str">
        <f>IFERROR(VLOOKUP(B426,'Element wise-detail Summary'!$A:$D,3,0),0)</f>
        <v>Zone-4</v>
      </c>
      <c r="F426" s="143" t="str">
        <f>VLOOKUP(B426,'AFC Data details'!$B:$B,1,0)</f>
        <v>AZ4-V12-T1C6-003</v>
      </c>
      <c r="H426" s="3">
        <f>_xlfn.XLOOKUP(B426,'AFC Data details'!B:B,'AFC Data details'!P:P)</f>
        <v>2.1840000000000002</v>
      </c>
    </row>
    <row r="427" spans="1:8" x14ac:dyDescent="0.25">
      <c r="A427" s="154">
        <v>46024</v>
      </c>
      <c r="B427" s="3" t="s">
        <v>1982</v>
      </c>
      <c r="C427" s="151">
        <v>1</v>
      </c>
      <c r="D427" s="3" t="str">
        <f>VLOOKUP(B427,'Element wise-detail Summary'!$A:$D,2,0)</f>
        <v>V12</v>
      </c>
      <c r="E427" s="3" t="str">
        <f>IFERROR(VLOOKUP(B427,'Element wise-detail Summary'!$A:$D,3,0),0)</f>
        <v>Zone-4</v>
      </c>
      <c r="F427" s="143" t="str">
        <f>VLOOKUP(B427,'AFC Data details'!$B:$B,1,0)</f>
        <v>AZ4-V12-T1C6-006</v>
      </c>
      <c r="H427" s="3">
        <f>_xlfn.XLOOKUP(B427,'AFC Data details'!B:B,'AFC Data details'!P:P)</f>
        <v>2.1840000000000002</v>
      </c>
    </row>
    <row r="428" spans="1:8" x14ac:dyDescent="0.25">
      <c r="A428" s="154">
        <v>46024</v>
      </c>
      <c r="B428" s="3" t="s">
        <v>1819</v>
      </c>
      <c r="C428" s="151">
        <v>1</v>
      </c>
      <c r="D428" s="3" t="str">
        <f>VLOOKUP(B428,'Element wise-detail Summary'!$A:$D,2,0)</f>
        <v>V12</v>
      </c>
      <c r="E428" s="3" t="str">
        <f>IFERROR(VLOOKUP(B428,'Element wise-detail Summary'!$A:$D,3,0),0)</f>
        <v>Zone-4</v>
      </c>
      <c r="F428" s="143" t="str">
        <f>VLOOKUP(B428,'AFC Data details'!$B:$B,1,0)</f>
        <v>AZ4-V12-T1C2-001</v>
      </c>
      <c r="H428" s="3">
        <f>_xlfn.XLOOKUP(B428,'AFC Data details'!B:B,'AFC Data details'!P:P)</f>
        <v>1.1240000000000001</v>
      </c>
    </row>
    <row r="429" spans="1:8" x14ac:dyDescent="0.25">
      <c r="A429" s="154">
        <v>46024</v>
      </c>
      <c r="B429" s="3" t="s">
        <v>1531</v>
      </c>
      <c r="C429" s="151">
        <v>1</v>
      </c>
      <c r="D429" s="3" t="str">
        <f>VLOOKUP(B429,'Element wise-detail Summary'!$A:$D,2,0)</f>
        <v>V52</v>
      </c>
      <c r="E429" s="3" t="str">
        <f>IFERROR(VLOOKUP(B429,'Element wise-detail Summary'!$A:$D,3,0),0)</f>
        <v>Zone-3</v>
      </c>
      <c r="F429" s="143" t="str">
        <f>VLOOKUP(B429,'AFC Data details'!$B:$B,1,0)</f>
        <v>AZ3-V52-T3C5-002</v>
      </c>
      <c r="H429" s="3">
        <f>_xlfn.XLOOKUP(B429,'AFC Data details'!B:B,'AFC Data details'!P:P)</f>
        <v>1.625</v>
      </c>
    </row>
    <row r="430" spans="1:8" x14ac:dyDescent="0.25">
      <c r="A430" s="154">
        <v>46025</v>
      </c>
      <c r="B430" s="3" t="s">
        <v>1991</v>
      </c>
      <c r="C430" s="151">
        <v>1</v>
      </c>
      <c r="D430" s="3" t="str">
        <f>VLOOKUP(B430,'Element wise-detail Summary'!$A:$D,2,0)</f>
        <v>V05</v>
      </c>
      <c r="E430" s="3" t="str">
        <f>IFERROR(VLOOKUP(B430,'Element wise-detail Summary'!$A:$D,3,0),0)</f>
        <v>Zone-4</v>
      </c>
      <c r="F430" s="143" t="str">
        <f>VLOOKUP(B430,'AFC Data details'!$B:$B,1,0)</f>
        <v>AZ4-V05-T1C6-004</v>
      </c>
      <c r="H430" s="3">
        <f>_xlfn.XLOOKUP(B430,'AFC Data details'!B:B,'AFC Data details'!P:P)</f>
        <v>2.2160000000000002</v>
      </c>
    </row>
    <row r="431" spans="1:8" x14ac:dyDescent="0.25">
      <c r="A431" s="154">
        <v>46025</v>
      </c>
      <c r="B431" s="3" t="s">
        <v>1852</v>
      </c>
      <c r="C431" s="151">
        <v>1</v>
      </c>
      <c r="D431" s="3" t="str">
        <f>VLOOKUP(B431,'Element wise-detail Summary'!$A:$D,2,0)</f>
        <v>V07</v>
      </c>
      <c r="E431" s="3" t="str">
        <f>IFERROR(VLOOKUP(B431,'Element wise-detail Summary'!$A:$D,3,0),0)</f>
        <v>Zone-4</v>
      </c>
      <c r="F431" s="143" t="str">
        <f>VLOOKUP(B431,'AFC Data details'!$B:$B,1,0)</f>
        <v>AZ4-V07-T1C6-006</v>
      </c>
      <c r="H431" s="3">
        <f>_xlfn.XLOOKUP(B431,'AFC Data details'!B:B,'AFC Data details'!P:P)</f>
        <v>2.141</v>
      </c>
    </row>
    <row r="432" spans="1:8" x14ac:dyDescent="0.25">
      <c r="A432" s="154">
        <v>46025</v>
      </c>
      <c r="B432" s="3" t="s">
        <v>2013</v>
      </c>
      <c r="C432" s="151">
        <v>1</v>
      </c>
      <c r="D432" s="3" t="str">
        <f>VLOOKUP(B432,'Element wise-detail Summary'!$A:$D,2,0)</f>
        <v>V15</v>
      </c>
      <c r="E432" s="3" t="str">
        <f>IFERROR(VLOOKUP(B432,'Element wise-detail Summary'!$A:$D,3,0),0)</f>
        <v>Zone-4</v>
      </c>
      <c r="F432" s="143" t="str">
        <f>VLOOKUP(B432,'AFC Data details'!$B:$B,1,0)</f>
        <v>AZ4-V15-T1C6-002</v>
      </c>
      <c r="H432" s="3">
        <f>_xlfn.XLOOKUP(B432,'AFC Data details'!B:B,'AFC Data details'!P:P)</f>
        <v>2.1339999999999999</v>
      </c>
    </row>
    <row r="433" spans="1:8" x14ac:dyDescent="0.25">
      <c r="A433" s="154">
        <v>46025</v>
      </c>
      <c r="B433" s="3" t="s">
        <v>1851</v>
      </c>
      <c r="C433" s="151">
        <v>1</v>
      </c>
      <c r="D433" s="3" t="str">
        <f>VLOOKUP(B433,'Element wise-detail Summary'!$A:$D,2,0)</f>
        <v>V07</v>
      </c>
      <c r="E433" s="3" t="str">
        <f>IFERROR(VLOOKUP(B433,'Element wise-detail Summary'!$A:$D,3,0),0)</f>
        <v>Zone-4</v>
      </c>
      <c r="F433" s="143" t="str">
        <f>VLOOKUP(B433,'AFC Data details'!$B:$B,1,0)</f>
        <v>AZ4-V07-T1C6-001</v>
      </c>
      <c r="H433" s="3">
        <f>_xlfn.XLOOKUP(B433,'AFC Data details'!B:B,'AFC Data details'!P:P)</f>
        <v>2.1219999999999999</v>
      </c>
    </row>
    <row r="434" spans="1:8" x14ac:dyDescent="0.25">
      <c r="A434" s="154">
        <v>46025</v>
      </c>
      <c r="B434" s="3" t="s">
        <v>2009</v>
      </c>
      <c r="C434" s="151">
        <v>1</v>
      </c>
      <c r="D434" s="3" t="str">
        <f>VLOOKUP(B434,'Element wise-detail Summary'!$A:$D,2,0)</f>
        <v>V13</v>
      </c>
      <c r="E434" s="3" t="str">
        <f>IFERROR(VLOOKUP(B434,'Element wise-detail Summary'!$A:$D,3,0),0)</f>
        <v>Zone-4</v>
      </c>
      <c r="F434" s="143" t="str">
        <f>VLOOKUP(B434,'AFC Data details'!$B:$B,1,0)</f>
        <v>AZ4-V13-T1C6-005</v>
      </c>
      <c r="H434" s="3">
        <f>_xlfn.XLOOKUP(B434,'AFC Data details'!B:B,'AFC Data details'!P:P)</f>
        <v>2.1840000000000002</v>
      </c>
    </row>
    <row r="435" spans="1:8" x14ac:dyDescent="0.25">
      <c r="A435" s="154">
        <v>46025</v>
      </c>
      <c r="B435" s="3" t="s">
        <v>1992</v>
      </c>
      <c r="C435" s="151">
        <v>1</v>
      </c>
      <c r="D435" s="3" t="str">
        <f>VLOOKUP(B435,'Element wise-detail Summary'!$A:$D,2,0)</f>
        <v>V08</v>
      </c>
      <c r="E435" s="3" t="str">
        <f>IFERROR(VLOOKUP(B435,'Element wise-detail Summary'!$A:$D,3,0),0)</f>
        <v>Zone-4</v>
      </c>
      <c r="F435" s="143" t="str">
        <f>VLOOKUP(B435,'AFC Data details'!$B:$B,1,0)</f>
        <v>AZ4-V08-T1C6-004</v>
      </c>
      <c r="H435" s="3">
        <f>_xlfn.XLOOKUP(B435,'AFC Data details'!B:B,'AFC Data details'!P:P)</f>
        <v>2.141</v>
      </c>
    </row>
    <row r="436" spans="1:8" x14ac:dyDescent="0.25">
      <c r="A436" s="154">
        <v>46025</v>
      </c>
      <c r="B436" s="3" t="s">
        <v>2000</v>
      </c>
      <c r="C436" s="151">
        <v>1</v>
      </c>
      <c r="D436" s="3" t="str">
        <f>VLOOKUP(B436,'Element wise-detail Summary'!$A:$D,2,0)</f>
        <v>V10</v>
      </c>
      <c r="E436" s="3" t="str">
        <f>IFERROR(VLOOKUP(B436,'Element wise-detail Summary'!$A:$D,3,0),0)</f>
        <v>Zone-4</v>
      </c>
      <c r="F436" s="143" t="str">
        <f>VLOOKUP(B436,'AFC Data details'!$B:$B,1,0)</f>
        <v>AZ4-V10-T1C6-004</v>
      </c>
      <c r="H436" s="3">
        <f>_xlfn.XLOOKUP(B436,'AFC Data details'!B:B,'AFC Data details'!P:P)</f>
        <v>2.1909999999999998</v>
      </c>
    </row>
    <row r="437" spans="1:8" x14ac:dyDescent="0.25">
      <c r="A437" s="154">
        <v>46025</v>
      </c>
      <c r="B437" s="3" t="s">
        <v>2007</v>
      </c>
      <c r="C437" s="151">
        <v>1</v>
      </c>
      <c r="D437" s="3" t="str">
        <f>VLOOKUP(B437,'Element wise-detail Summary'!$A:$D,2,0)</f>
        <v>V12</v>
      </c>
      <c r="E437" s="3" t="str">
        <f>IFERROR(VLOOKUP(B437,'Element wise-detail Summary'!$A:$D,3,0),0)</f>
        <v>Zone-4</v>
      </c>
      <c r="F437" s="143" t="str">
        <f>VLOOKUP(B437,'AFC Data details'!$B:$B,1,0)</f>
        <v>AZ4-V12-T1C6-004</v>
      </c>
      <c r="H437" s="3">
        <f>_xlfn.XLOOKUP(B437,'AFC Data details'!B:B,'AFC Data details'!P:P)</f>
        <v>2.1840000000000002</v>
      </c>
    </row>
    <row r="438" spans="1:8" x14ac:dyDescent="0.25">
      <c r="A438" s="154">
        <v>46025</v>
      </c>
      <c r="B438" s="3" t="s">
        <v>1826</v>
      </c>
      <c r="C438" s="151">
        <v>1</v>
      </c>
      <c r="D438" s="3" t="str">
        <f>VLOOKUP(B438,'Element wise-detail Summary'!$A:$D,2,0)</f>
        <v>V14</v>
      </c>
      <c r="E438" s="3" t="str">
        <f>IFERROR(VLOOKUP(B438,'Element wise-detail Summary'!$A:$D,3,0),0)</f>
        <v>Zone-4</v>
      </c>
      <c r="F438" s="143" t="str">
        <f>VLOOKUP(B438,'AFC Data details'!$B:$B,1,0)</f>
        <v>AZ4-V14-T1C2-001</v>
      </c>
      <c r="H438" s="3">
        <f>_xlfn.XLOOKUP(B438,'AFC Data details'!B:B,'AFC Data details'!P:P)</f>
        <v>1.0780000000000001</v>
      </c>
    </row>
    <row r="439" spans="1:8" x14ac:dyDescent="0.25">
      <c r="A439" s="154">
        <v>46027</v>
      </c>
      <c r="B439" s="3" t="s">
        <v>2011</v>
      </c>
      <c r="C439" s="3">
        <v>1</v>
      </c>
      <c r="D439" s="3" t="str">
        <f>VLOOKUP(B439,'Element wise-detail Summary'!$A:$D,2,0)</f>
        <v>V14</v>
      </c>
      <c r="E439" s="3" t="str">
        <f>IFERROR(VLOOKUP(B439,'Element wise-detail Summary'!$A:$D,3,0),0)</f>
        <v>Zone-4</v>
      </c>
      <c r="F439" s="143" t="str">
        <f>VLOOKUP(B439,'AFC Data details'!$B:$B,1,0)</f>
        <v>AZ4-V14-T1C6-003</v>
      </c>
      <c r="H439" s="3">
        <f>_xlfn.XLOOKUP(B439,'AFC Data details'!B:B,'AFC Data details'!P:P)</f>
        <v>2.1339999999999999</v>
      </c>
    </row>
    <row r="440" spans="1:8" x14ac:dyDescent="0.25">
      <c r="A440" s="154">
        <v>46027</v>
      </c>
      <c r="B440" s="3" t="s">
        <v>1853</v>
      </c>
      <c r="C440" s="3">
        <v>1</v>
      </c>
      <c r="D440" s="3" t="str">
        <f>VLOOKUP(B440,'Element wise-detail Summary'!$A:$D,2,0)</f>
        <v>V08</v>
      </c>
      <c r="E440" s="3" t="str">
        <f>IFERROR(VLOOKUP(B440,'Element wise-detail Summary'!$A:$D,3,0),0)</f>
        <v>Zone-4</v>
      </c>
      <c r="F440" s="143" t="str">
        <f>VLOOKUP(B440,'AFC Data details'!$B:$B,1,0)</f>
        <v>AZ4-V08-T1C6-001</v>
      </c>
      <c r="H440" s="3">
        <f>_xlfn.XLOOKUP(B440,'AFC Data details'!B:B,'AFC Data details'!P:P)</f>
        <v>2.141</v>
      </c>
    </row>
    <row r="441" spans="1:8" x14ac:dyDescent="0.25">
      <c r="A441" s="154">
        <v>46027</v>
      </c>
      <c r="B441" s="3" t="s">
        <v>2014</v>
      </c>
      <c r="C441" s="3">
        <v>1</v>
      </c>
      <c r="D441" s="3" t="str">
        <f>VLOOKUP(B441,'Element wise-detail Summary'!$A:$D,2,0)</f>
        <v>V15</v>
      </c>
      <c r="E441" s="3" t="str">
        <f>IFERROR(VLOOKUP(B441,'Element wise-detail Summary'!$A:$D,3,0),0)</f>
        <v>Zone-4</v>
      </c>
      <c r="F441" s="143" t="str">
        <f>VLOOKUP(B441,'AFC Data details'!$B:$B,1,0)</f>
        <v>AZ4-V15-T1C6-003</v>
      </c>
      <c r="H441" s="3">
        <f>_xlfn.XLOOKUP(B441,'AFC Data details'!B:B,'AFC Data details'!P:P)</f>
        <v>2.1339999999999999</v>
      </c>
    </row>
    <row r="442" spans="1:8" x14ac:dyDescent="0.25">
      <c r="A442" s="154">
        <v>46027</v>
      </c>
      <c r="B442" s="3" t="s">
        <v>1865</v>
      </c>
      <c r="C442" s="3">
        <v>1</v>
      </c>
      <c r="D442" s="3" t="str">
        <f>VLOOKUP(B442,'Element wise-detail Summary'!$A:$D,2,0)</f>
        <v>V15</v>
      </c>
      <c r="E442" s="3" t="str">
        <f>IFERROR(VLOOKUP(B442,'Element wise-detail Summary'!$A:$D,3,0),0)</f>
        <v>Zone-4</v>
      </c>
      <c r="F442" s="143" t="str">
        <f>VLOOKUP(B442,'AFC Data details'!$B:$B,1,0)</f>
        <v>AZ4-V15-T1C6-001</v>
      </c>
      <c r="H442" s="3">
        <f>_xlfn.XLOOKUP(B442,'AFC Data details'!B:B,'AFC Data details'!P:P)</f>
        <v>2.1339999999999999</v>
      </c>
    </row>
    <row r="443" spans="1:8" x14ac:dyDescent="0.25">
      <c r="A443" s="154">
        <v>46027</v>
      </c>
      <c r="B443" s="3" t="s">
        <v>1480</v>
      </c>
      <c r="C443" s="3">
        <v>1</v>
      </c>
      <c r="D443" s="3" t="str">
        <f>VLOOKUP(B443,'Element wise-detail Summary'!$A:$D,2,0)</f>
        <v>V47</v>
      </c>
      <c r="E443" s="3" t="str">
        <f>IFERROR(VLOOKUP(B443,'Element wise-detail Summary'!$A:$D,3,0),0)</f>
        <v>Zone-3</v>
      </c>
      <c r="F443" s="143" t="str">
        <f>VLOOKUP(B443,'AFC Data details'!$B:$B,1,0)</f>
        <v>AZ3-V47-T3C6-003</v>
      </c>
      <c r="H443" s="3">
        <f>_xlfn.XLOOKUP(B443,'AFC Data details'!B:B,'AFC Data details'!P:P)</f>
        <v>1.48</v>
      </c>
    </row>
    <row r="444" spans="1:8" x14ac:dyDescent="0.25">
      <c r="A444" s="154">
        <v>46027</v>
      </c>
      <c r="B444" s="3" t="s">
        <v>1534</v>
      </c>
      <c r="C444" s="3">
        <v>1</v>
      </c>
      <c r="D444" s="3" t="str">
        <f>VLOOKUP(B444,'Element wise-detail Summary'!$A:$D,2,0)</f>
        <v>V53</v>
      </c>
      <c r="E444" s="3" t="str">
        <f>IFERROR(VLOOKUP(B444,'Element wise-detail Summary'!$A:$D,3,0),0)</f>
        <v>Zone-3</v>
      </c>
      <c r="F444" s="143" t="str">
        <f>VLOOKUP(B444,'AFC Data details'!$B:$B,1,0)</f>
        <v>AZ3-V53-T3C5-001</v>
      </c>
      <c r="H444" s="3">
        <f>_xlfn.XLOOKUP(B444,'AFC Data details'!B:B,'AFC Data details'!P:P)</f>
        <v>1.5940000000000001</v>
      </c>
    </row>
    <row r="445" spans="1:8" x14ac:dyDescent="0.25">
      <c r="A445" s="154">
        <v>46027</v>
      </c>
      <c r="B445" s="3" t="s">
        <v>1993</v>
      </c>
      <c r="C445" s="3">
        <v>1</v>
      </c>
      <c r="D445" s="3" t="str">
        <f>VLOOKUP(B445,'Element wise-detail Summary'!$A:$D,2,0)</f>
        <v>V08</v>
      </c>
      <c r="E445" s="3" t="str">
        <f>IFERROR(VLOOKUP(B445,'Element wise-detail Summary'!$A:$D,3,0),0)</f>
        <v>Zone-4</v>
      </c>
      <c r="F445" s="143" t="str">
        <f>VLOOKUP(B445,'AFC Data details'!$B:$B,1,0)</f>
        <v>AZ4-V08-T1C6-005</v>
      </c>
      <c r="H445" s="3">
        <f>_xlfn.XLOOKUP(B445,'AFC Data details'!B:B,'AFC Data details'!P:P)</f>
        <v>2.141</v>
      </c>
    </row>
    <row r="446" spans="1:8" x14ac:dyDescent="0.25">
      <c r="A446" s="154">
        <v>46027</v>
      </c>
      <c r="B446" s="3" t="s">
        <v>2001</v>
      </c>
      <c r="C446" s="3">
        <v>1</v>
      </c>
      <c r="D446" s="3" t="str">
        <f>VLOOKUP(B446,'Element wise-detail Summary'!$A:$D,2,0)</f>
        <v>V10</v>
      </c>
      <c r="E446" s="3" t="str">
        <f>IFERROR(VLOOKUP(B446,'Element wise-detail Summary'!$A:$D,3,0),0)</f>
        <v>Zone-4</v>
      </c>
      <c r="F446" s="143" t="str">
        <f>VLOOKUP(B446,'AFC Data details'!$B:$B,1,0)</f>
        <v>AZ4-V10-T1C6-005</v>
      </c>
      <c r="H446" s="3">
        <f>_xlfn.XLOOKUP(B446,'AFC Data details'!B:B,'AFC Data details'!P:P)</f>
        <v>2.1909999999999998</v>
      </c>
    </row>
    <row r="447" spans="1:8" x14ac:dyDescent="0.25">
      <c r="A447" s="154">
        <v>46027</v>
      </c>
      <c r="B447" s="3" t="s">
        <v>2008</v>
      </c>
      <c r="C447" s="3">
        <v>1</v>
      </c>
      <c r="D447" s="3" t="str">
        <f>VLOOKUP(B447,'Element wise-detail Summary'!$A:$D,2,0)</f>
        <v>V12</v>
      </c>
      <c r="E447" s="3" t="str">
        <f>IFERROR(VLOOKUP(B447,'Element wise-detail Summary'!$A:$D,3,0),0)</f>
        <v>Zone-4</v>
      </c>
      <c r="F447" s="143" t="str">
        <f>VLOOKUP(B447,'AFC Data details'!$B:$B,1,0)</f>
        <v>AZ4-V12-T1C6-005</v>
      </c>
      <c r="H447" s="3">
        <f>_xlfn.XLOOKUP(B447,'AFC Data details'!B:B,'AFC Data details'!P:P)</f>
        <v>2.1840000000000002</v>
      </c>
    </row>
    <row r="448" spans="1:8" x14ac:dyDescent="0.25">
      <c r="A448" s="154">
        <v>46027</v>
      </c>
      <c r="B448" s="3" t="s">
        <v>1863</v>
      </c>
      <c r="C448" s="3">
        <v>1</v>
      </c>
      <c r="D448" s="3" t="str">
        <f>VLOOKUP(B448,'Element wise-detail Summary'!$A:$D,2,0)</f>
        <v>V14</v>
      </c>
      <c r="E448" s="3" t="str">
        <f>IFERROR(VLOOKUP(B448,'Element wise-detail Summary'!$A:$D,3,0),0)</f>
        <v>Zone-4</v>
      </c>
      <c r="F448" s="143" t="str">
        <f>VLOOKUP(B448,'AFC Data details'!$B:$B,1,0)</f>
        <v>AZ4-V14-T1C6-001</v>
      </c>
      <c r="H448" s="3">
        <f>_xlfn.XLOOKUP(B448,'AFC Data details'!B:B,'AFC Data details'!P:P)</f>
        <v>2.1339999999999999</v>
      </c>
    </row>
    <row r="449" spans="1:8" x14ac:dyDescent="0.25">
      <c r="A449" s="154">
        <v>46027</v>
      </c>
      <c r="B449" s="3" t="s">
        <v>2015</v>
      </c>
      <c r="C449" s="3">
        <v>1</v>
      </c>
      <c r="D449" s="3" t="str">
        <f>VLOOKUP(B449,'Element wise-detail Summary'!$A:$D,2,0)</f>
        <v>V15</v>
      </c>
      <c r="E449" s="3" t="str">
        <f>IFERROR(VLOOKUP(B449,'Element wise-detail Summary'!$A:$D,3,0),0)</f>
        <v>Zone-4</v>
      </c>
      <c r="F449" s="143" t="str">
        <f>VLOOKUP(B449,'AFC Data details'!$B:$B,1,0)</f>
        <v>AZ4-V15-T1C6-004</v>
      </c>
      <c r="H449" s="3">
        <f>_xlfn.XLOOKUP(B449,'AFC Data details'!B:B,'AFC Data details'!P:P)</f>
        <v>2.1339999999999999</v>
      </c>
    </row>
    <row r="450" spans="1:8" x14ac:dyDescent="0.25">
      <c r="A450" s="154">
        <v>46027</v>
      </c>
      <c r="B450" s="3" t="s">
        <v>1833</v>
      </c>
      <c r="C450" s="3">
        <v>1</v>
      </c>
      <c r="D450" s="3" t="str">
        <f>VLOOKUP(B450,'Element wise-detail Summary'!$A:$D,2,0)</f>
        <v>V16</v>
      </c>
      <c r="E450" s="3" t="str">
        <f>IFERROR(VLOOKUP(B450,'Element wise-detail Summary'!$A:$D,3,0),0)</f>
        <v>Zone-4</v>
      </c>
      <c r="F450" s="143" t="str">
        <f>VLOOKUP(B450,'AFC Data details'!$B:$B,1,0)</f>
        <v>AZ4-V16-T1C2-001</v>
      </c>
      <c r="H450" s="3">
        <f>_xlfn.XLOOKUP(B450,'AFC Data details'!B:B,'AFC Data details'!P:P)</f>
        <v>1.0580000000000001</v>
      </c>
    </row>
    <row r="451" spans="1:8" x14ac:dyDescent="0.25">
      <c r="A451" s="154">
        <v>46028</v>
      </c>
      <c r="B451" s="3" t="s">
        <v>2012</v>
      </c>
      <c r="C451" s="3">
        <v>1</v>
      </c>
      <c r="D451" s="3" t="str">
        <f>VLOOKUP(B451,'Element wise-detail Summary'!$A:$D,2,0)</f>
        <v>V14</v>
      </c>
      <c r="E451" s="3" t="str">
        <f>IFERROR(VLOOKUP(B451,'Element wise-detail Summary'!$A:$D,3,0),0)</f>
        <v>Zone-4</v>
      </c>
      <c r="F451" s="143" t="str">
        <f>VLOOKUP(B451,'AFC Data details'!$B:$B,1,0)</f>
        <v>AZ4-V14-T1C6-004</v>
      </c>
      <c r="H451" s="3">
        <f>_xlfn.XLOOKUP(B451,'AFC Data details'!B:B,'AFC Data details'!P:P)</f>
        <v>2.1339999999999999</v>
      </c>
    </row>
    <row r="452" spans="1:8" x14ac:dyDescent="0.25">
      <c r="A452" s="154">
        <v>46028</v>
      </c>
      <c r="B452" s="3" t="s">
        <v>1835</v>
      </c>
      <c r="C452" s="3">
        <v>1</v>
      </c>
      <c r="D452" s="3" t="str">
        <f>VLOOKUP(B452,'Element wise-detail Summary'!$A:$D,2,0)</f>
        <v>V16</v>
      </c>
      <c r="E452" s="3" t="str">
        <f>IFERROR(VLOOKUP(B452,'Element wise-detail Summary'!$A:$D,3,0),0)</f>
        <v>Zone-4</v>
      </c>
      <c r="F452" s="143" t="str">
        <f>VLOOKUP(B452,'AFC Data details'!$B:$B,1,0)</f>
        <v>AZ4-V16-T1C13-001</v>
      </c>
      <c r="H452" s="3">
        <f>_xlfn.XLOOKUP(B452,'AFC Data details'!B:B,'AFC Data details'!P:P)</f>
        <v>2.0299999999999998</v>
      </c>
    </row>
    <row r="453" spans="1:8" x14ac:dyDescent="0.25">
      <c r="A453" s="154">
        <v>46028</v>
      </c>
      <c r="B453" s="3" t="s">
        <v>1983</v>
      </c>
      <c r="C453" s="3">
        <v>1</v>
      </c>
      <c r="D453" s="3" t="str">
        <f>VLOOKUP(B453,'Element wise-detail Summary'!$A:$D,2,0)</f>
        <v>V05</v>
      </c>
      <c r="E453" s="3" t="str">
        <f>IFERROR(VLOOKUP(B453,'Element wise-detail Summary'!$A:$D,3,0),0)</f>
        <v>Zone-4</v>
      </c>
      <c r="F453" s="143" t="str">
        <f>VLOOKUP(B453,'AFC Data details'!$B:$B,1,0)</f>
        <v>AZ4-V05-T3C3-004</v>
      </c>
      <c r="H453" s="3">
        <f>_xlfn.XLOOKUP(B453,'AFC Data details'!B:B,'AFC Data details'!P:P)</f>
        <v>1.431</v>
      </c>
    </row>
    <row r="454" spans="1:8" x14ac:dyDescent="0.25">
      <c r="A454" s="154">
        <v>46028</v>
      </c>
      <c r="B454" s="3" t="s">
        <v>1845</v>
      </c>
      <c r="C454" s="3">
        <v>1</v>
      </c>
      <c r="D454" s="3" t="str">
        <f>VLOOKUP(B454,'Element wise-detail Summary'!$A:$D,2,0)</f>
        <v>V04</v>
      </c>
      <c r="E454" s="3" t="str">
        <f>IFERROR(VLOOKUP(B454,'Element wise-detail Summary'!$A:$D,3,0),0)</f>
        <v>Zone-4</v>
      </c>
      <c r="F454" s="143" t="str">
        <f>VLOOKUP(B454,'AFC Data details'!$B:$B,1,0)</f>
        <v>AZ4-V04-T2C1-001</v>
      </c>
      <c r="H454" s="3">
        <f>_xlfn.XLOOKUP(B454,'AFC Data details'!B:B,'AFC Data details'!P:P)</f>
        <v>1.411</v>
      </c>
    </row>
    <row r="455" spans="1:8" x14ac:dyDescent="0.25">
      <c r="A455" s="154">
        <v>46028</v>
      </c>
      <c r="B455" s="3" t="s">
        <v>2017</v>
      </c>
      <c r="C455" s="3">
        <v>1</v>
      </c>
      <c r="D455" s="3" t="str">
        <f>VLOOKUP(B455,'Element wise-detail Summary'!$A:$D,2,0)</f>
        <v>V14</v>
      </c>
      <c r="E455" s="3" t="str">
        <f>IFERROR(VLOOKUP(B455,'Element wise-detail Summary'!$A:$D,3,0),0)</f>
        <v>Zone-4</v>
      </c>
      <c r="F455" s="143" t="str">
        <f>VLOOKUP(B455,'AFC Data details'!$B:$B,1,0)</f>
        <v>AZ4-V14-T1C6-006</v>
      </c>
      <c r="H455" s="3">
        <f>_xlfn.XLOOKUP(B455,'AFC Data details'!B:B,'AFC Data details'!P:P)</f>
        <v>2.1339999999999999</v>
      </c>
    </row>
    <row r="456" spans="1:8" x14ac:dyDescent="0.25">
      <c r="A456" s="154">
        <v>46028</v>
      </c>
      <c r="B456" s="3" t="s">
        <v>1535</v>
      </c>
      <c r="C456" s="3">
        <v>1</v>
      </c>
      <c r="D456" s="3" t="str">
        <f>VLOOKUP(B456,'Element wise-detail Summary'!$A:$D,2,0)</f>
        <v>V53</v>
      </c>
      <c r="E456" s="3" t="str">
        <f>IFERROR(VLOOKUP(B456,'Element wise-detail Summary'!$A:$D,3,0),0)</f>
        <v>Zone-3</v>
      </c>
      <c r="F456" s="143" t="str">
        <f>VLOOKUP(B456,'AFC Data details'!$B:$B,1,0)</f>
        <v>AZ3-V53-T3C5-002</v>
      </c>
      <c r="H456" s="3">
        <f>_xlfn.XLOOKUP(B456,'AFC Data details'!B:B,'AFC Data details'!P:P)</f>
        <v>1.4119999999999999</v>
      </c>
    </row>
    <row r="457" spans="1:8" x14ac:dyDescent="0.25">
      <c r="A457" s="154">
        <v>46028</v>
      </c>
      <c r="B457" s="3" t="s">
        <v>1862</v>
      </c>
      <c r="C457" s="3">
        <v>1</v>
      </c>
      <c r="D457" s="3" t="str">
        <f>VLOOKUP(B457,'Element wise-detail Summary'!$A:$D,2,0)</f>
        <v>V13</v>
      </c>
      <c r="E457" s="3" t="str">
        <f>IFERROR(VLOOKUP(B457,'Element wise-detail Summary'!$A:$D,3,0),0)</f>
        <v>Zone-4</v>
      </c>
      <c r="F457" s="143" t="str">
        <f>VLOOKUP(B457,'AFC Data details'!$B:$B,1,0)</f>
        <v>AZ4-V13-T1C6-001</v>
      </c>
      <c r="H457" s="3">
        <f>_xlfn.XLOOKUP(B457,'AFC Data details'!B:B,'AFC Data details'!P:P)</f>
        <v>2.1840000000000002</v>
      </c>
    </row>
    <row r="458" spans="1:8" x14ac:dyDescent="0.25">
      <c r="A458" s="154">
        <v>46028</v>
      </c>
      <c r="B458" s="3" t="s">
        <v>1994</v>
      </c>
      <c r="C458" s="3">
        <v>1</v>
      </c>
      <c r="D458" s="3" t="str">
        <f>VLOOKUP(B458,'Element wise-detail Summary'!$A:$D,2,0)</f>
        <v>V09</v>
      </c>
      <c r="E458" s="3" t="str">
        <f>IFERROR(VLOOKUP(B458,'Element wise-detail Summary'!$A:$D,3,0),0)</f>
        <v>Zone-4</v>
      </c>
      <c r="F458" s="143" t="str">
        <f>VLOOKUP(B458,'AFC Data details'!$B:$B,1,0)</f>
        <v>AZ4-V09-T1C6-002</v>
      </c>
      <c r="H458" s="3">
        <f>_xlfn.XLOOKUP(B458,'AFC Data details'!B:B,'AFC Data details'!P:P)</f>
        <v>2.141</v>
      </c>
    </row>
    <row r="459" spans="1:8" x14ac:dyDescent="0.25">
      <c r="A459" s="154">
        <v>46028</v>
      </c>
      <c r="B459" s="3" t="s">
        <v>1996</v>
      </c>
      <c r="C459" s="3">
        <v>1</v>
      </c>
      <c r="D459" s="3" t="str">
        <f>VLOOKUP(B459,'Element wise-detail Summary'!$A:$D,2,0)</f>
        <v>V06</v>
      </c>
      <c r="E459" s="3" t="str">
        <f>IFERROR(VLOOKUP(B459,'Element wise-detail Summary'!$A:$D,3,0),0)</f>
        <v>Zone-4</v>
      </c>
      <c r="F459" s="143" t="str">
        <f>VLOOKUP(B459,'AFC Data details'!$B:$B,1,0)</f>
        <v>AZ4-V06-T1C6-004</v>
      </c>
      <c r="H459" s="3">
        <f>_xlfn.XLOOKUP(B459,'AFC Data details'!B:B,'AFC Data details'!P:P)</f>
        <v>2.141</v>
      </c>
    </row>
    <row r="460" spans="1:8" x14ac:dyDescent="0.25">
      <c r="A460" s="154">
        <v>46028</v>
      </c>
      <c r="B460" s="3" t="s">
        <v>2002</v>
      </c>
      <c r="C460" s="3">
        <v>1</v>
      </c>
      <c r="D460" s="3" t="str">
        <f>VLOOKUP(B460,'Element wise-detail Summary'!$A:$D,2,0)</f>
        <v>V11</v>
      </c>
      <c r="E460" s="3" t="str">
        <f>IFERROR(VLOOKUP(B460,'Element wise-detail Summary'!$A:$D,3,0),0)</f>
        <v>Zone-4</v>
      </c>
      <c r="F460" s="143" t="str">
        <f>VLOOKUP(B460,'AFC Data details'!$B:$B,1,0)</f>
        <v>AZ4-V11-T1C6-002</v>
      </c>
      <c r="H460" s="3">
        <f>_xlfn.XLOOKUP(B460,'AFC Data details'!B:B,'AFC Data details'!P:P)</f>
        <v>2.1909999999999998</v>
      </c>
    </row>
    <row r="461" spans="1:8" x14ac:dyDescent="0.25">
      <c r="A461" s="154">
        <v>46028</v>
      </c>
      <c r="B461" s="3" t="s">
        <v>2010</v>
      </c>
      <c r="C461" s="3">
        <v>1</v>
      </c>
      <c r="D461" s="3" t="str">
        <f>VLOOKUP(B461,'Element wise-detail Summary'!$A:$D,2,0)</f>
        <v>V15</v>
      </c>
      <c r="E461" s="3" t="str">
        <f>IFERROR(VLOOKUP(B461,'Element wise-detail Summary'!$A:$D,3,0),0)</f>
        <v>Zone-4</v>
      </c>
      <c r="F461" s="143" t="str">
        <f>VLOOKUP(B461,'AFC Data details'!$B:$B,1,0)</f>
        <v>AZ4-V15-T1C6-006</v>
      </c>
      <c r="H461" s="3">
        <f>_xlfn.XLOOKUP(B461,'AFC Data details'!B:B,'AFC Data details'!P:P)</f>
        <v>2.1339999999999999</v>
      </c>
    </row>
    <row r="462" spans="1:8" x14ac:dyDescent="0.25">
      <c r="A462" s="154">
        <v>46028</v>
      </c>
      <c r="B462" s="3" t="s">
        <v>2016</v>
      </c>
      <c r="C462" s="3">
        <v>1</v>
      </c>
      <c r="D462" s="3" t="str">
        <f>VLOOKUP(B462,'Element wise-detail Summary'!$A:$D,2,0)</f>
        <v>V15</v>
      </c>
      <c r="E462" s="3" t="str">
        <f>IFERROR(VLOOKUP(B462,'Element wise-detail Summary'!$A:$D,3,0),0)</f>
        <v>Zone-4</v>
      </c>
      <c r="F462" s="143" t="str">
        <f>VLOOKUP(B462,'AFC Data details'!$B:$B,1,0)</f>
        <v>AZ4-V15-T1C6-005</v>
      </c>
      <c r="H462" s="3">
        <f>_xlfn.XLOOKUP(B462,'AFC Data details'!B:B,'AFC Data details'!P:P)</f>
        <v>2.1339999999999999</v>
      </c>
    </row>
    <row r="463" spans="1:8" x14ac:dyDescent="0.25">
      <c r="A463" s="154">
        <v>46028</v>
      </c>
      <c r="B463" s="3" t="s">
        <v>1807</v>
      </c>
      <c r="C463" s="3">
        <v>1</v>
      </c>
      <c r="D463" s="3" t="str">
        <f>VLOOKUP(B463,'Element wise-detail Summary'!$A:$D,2,0)</f>
        <v>V08</v>
      </c>
      <c r="E463" s="3" t="str">
        <f>IFERROR(VLOOKUP(B463,'Element wise-detail Summary'!$A:$D,3,0),0)</f>
        <v>Zone-4</v>
      </c>
      <c r="F463" s="143" t="str">
        <f>VLOOKUP(B463,'AFC Data details'!$B:$B,1,0)</f>
        <v>AZ4-V08-T3C3-003</v>
      </c>
      <c r="H463" s="3">
        <f>_xlfn.XLOOKUP(B463,'AFC Data details'!B:B,'AFC Data details'!P:P)</f>
        <v>1.37</v>
      </c>
    </row>
    <row r="464" spans="1:8" x14ac:dyDescent="0.25">
      <c r="A464" s="154">
        <v>46029</v>
      </c>
      <c r="B464" s="3" t="s">
        <v>1836</v>
      </c>
      <c r="C464" s="3">
        <v>1</v>
      </c>
      <c r="D464" s="3" t="str">
        <f>VLOOKUP(B464,'Element wise-detail Summary'!$A:$D,2,0)</f>
        <v>V16</v>
      </c>
      <c r="E464" s="3" t="str">
        <f>IFERROR(VLOOKUP(B464,'Element wise-detail Summary'!$A:$D,3,0),0)</f>
        <v>Zone-4</v>
      </c>
      <c r="F464" s="143" t="str">
        <f>VLOOKUP(B464,'AFC Data details'!$B:$B,1,0)</f>
        <v>AZ4-V16-T1C13-002</v>
      </c>
      <c r="H464" s="3">
        <f>_xlfn.XLOOKUP(B464,'AFC Data details'!B:B,'AFC Data details'!P:P)</f>
        <v>1.9359999999999999</v>
      </c>
    </row>
    <row r="465" spans="1:8" x14ac:dyDescent="0.25">
      <c r="A465" s="154">
        <v>46029</v>
      </c>
      <c r="B465" s="3" t="s">
        <v>1792</v>
      </c>
      <c r="C465" s="3">
        <v>1</v>
      </c>
      <c r="D465" s="3" t="str">
        <f>VLOOKUP(B465,'Element wise-detail Summary'!$A:$D,2,0)</f>
        <v>V06</v>
      </c>
      <c r="E465" s="3" t="str">
        <f>IFERROR(VLOOKUP(B465,'Element wise-detail Summary'!$A:$D,3,0),0)</f>
        <v>Zone-4</v>
      </c>
      <c r="F465" s="143" t="str">
        <f>VLOOKUP(B465,'AFC Data details'!$B:$B,1,0)</f>
        <v>AZ4-V06-T1C3-001</v>
      </c>
      <c r="H465" s="3">
        <f>_xlfn.XLOOKUP(B465,'AFC Data details'!B:B,'AFC Data details'!P:P)</f>
        <v>1.423</v>
      </c>
    </row>
    <row r="466" spans="1:8" x14ac:dyDescent="0.25">
      <c r="A466" s="154">
        <v>46029</v>
      </c>
      <c r="B466" s="3" t="s">
        <v>1855</v>
      </c>
      <c r="C466" s="3">
        <v>1</v>
      </c>
      <c r="D466" s="3" t="str">
        <f>VLOOKUP(B466,'Element wise-detail Summary'!$A:$D,2,0)</f>
        <v>V08</v>
      </c>
      <c r="E466" s="3" t="str">
        <f>IFERROR(VLOOKUP(B466,'Element wise-detail Summary'!$A:$D,3,0),0)</f>
        <v>Zone-4</v>
      </c>
      <c r="F466" s="143" t="str">
        <f>VLOOKUP(B466,'AFC Data details'!$B:$B,1,0)</f>
        <v>AZ4-V08-T2C1-001</v>
      </c>
      <c r="H466" s="3">
        <f>_xlfn.XLOOKUP(B466,'AFC Data details'!B:B,'AFC Data details'!P:P)</f>
        <v>1.361</v>
      </c>
    </row>
    <row r="467" spans="1:8" x14ac:dyDescent="0.25">
      <c r="A467" s="154">
        <v>46029</v>
      </c>
      <c r="B467" s="3" t="s">
        <v>1795</v>
      </c>
      <c r="C467" s="3">
        <v>1</v>
      </c>
      <c r="D467" s="3" t="str">
        <f>VLOOKUP(B467,'Element wise-detail Summary'!$A:$D,2,0)</f>
        <v>V06</v>
      </c>
      <c r="E467" s="3" t="str">
        <f>IFERROR(VLOOKUP(B467,'Element wise-detail Summary'!$A:$D,3,0),0)</f>
        <v>Zone-4</v>
      </c>
      <c r="F467" s="143" t="str">
        <f>VLOOKUP(B467,'AFC Data details'!$B:$B,1,0)</f>
        <v>AZ4-V06-T3C3S-001</v>
      </c>
      <c r="H467" s="3">
        <f>_xlfn.XLOOKUP(B467,'AFC Data details'!B:B,'AFC Data details'!P:P)</f>
        <v>1.631</v>
      </c>
    </row>
    <row r="468" spans="1:8" x14ac:dyDescent="0.25">
      <c r="A468" s="154">
        <v>46029</v>
      </c>
      <c r="B468" s="3" t="s">
        <v>1816</v>
      </c>
      <c r="C468" s="3">
        <v>1</v>
      </c>
      <c r="D468" s="3" t="str">
        <f>VLOOKUP(B468,'Element wise-detail Summary'!$A:$D,2,0)</f>
        <v>V11</v>
      </c>
      <c r="E468" s="3" t="str">
        <f>IFERROR(VLOOKUP(B468,'Element wise-detail Summary'!$A:$D,3,0),0)</f>
        <v>Zone-4</v>
      </c>
      <c r="F468" s="143" t="str">
        <f>VLOOKUP(B468,'AFC Data details'!$B:$B,1,0)</f>
        <v>AZ4-V11-T3C6-001</v>
      </c>
      <c r="H468" s="3">
        <f>_xlfn.XLOOKUP(B468,'AFC Data details'!B:B,'AFC Data details'!P:P)</f>
        <v>1.8160000000000001</v>
      </c>
    </row>
    <row r="469" spans="1:8" x14ac:dyDescent="0.25">
      <c r="A469" s="154">
        <v>46029</v>
      </c>
      <c r="B469" s="3" t="s">
        <v>1800</v>
      </c>
      <c r="C469" s="3">
        <v>1</v>
      </c>
      <c r="D469" s="3" t="str">
        <f>VLOOKUP(B469,'Element wise-detail Summary'!$A:$D,2,0)</f>
        <v>V07</v>
      </c>
      <c r="E469" s="3" t="str">
        <f>IFERROR(VLOOKUP(B469,'Element wise-detail Summary'!$A:$D,3,0),0)</f>
        <v>Zone-4</v>
      </c>
      <c r="F469" s="143" t="str">
        <f>VLOOKUP(B469,'AFC Data details'!$B:$B,1,0)</f>
        <v>AZ4-V07-T3C3S-002</v>
      </c>
      <c r="H469" s="3">
        <f>_xlfn.XLOOKUP(B469,'AFC Data details'!B:B,'AFC Data details'!P:P)</f>
        <v>1.657</v>
      </c>
    </row>
    <row r="470" spans="1:8" x14ac:dyDescent="0.25">
      <c r="A470" s="154">
        <v>46029</v>
      </c>
      <c r="B470" s="3" t="s">
        <v>1995</v>
      </c>
      <c r="C470" s="3">
        <v>1</v>
      </c>
      <c r="D470" s="3" t="str">
        <f>VLOOKUP(B470,'Element wise-detail Summary'!$A:$D,2,0)</f>
        <v>V09</v>
      </c>
      <c r="E470" s="3" t="str">
        <f>IFERROR(VLOOKUP(B470,'Element wise-detail Summary'!$A:$D,3,0),0)</f>
        <v>Zone-4</v>
      </c>
      <c r="F470" s="143" t="str">
        <f>VLOOKUP(B470,'AFC Data details'!$B:$B,1,0)</f>
        <v>AZ4-V09-T1C6-003</v>
      </c>
      <c r="H470" s="3">
        <f>_xlfn.XLOOKUP(B470,'AFC Data details'!B:B,'AFC Data details'!P:P)</f>
        <v>2.141</v>
      </c>
    </row>
    <row r="471" spans="1:8" x14ac:dyDescent="0.25">
      <c r="A471" s="154">
        <v>46029</v>
      </c>
      <c r="B471" s="3" t="s">
        <v>1997</v>
      </c>
      <c r="C471" s="3">
        <v>1</v>
      </c>
      <c r="D471" s="3" t="str">
        <f>VLOOKUP(B471,'Element wise-detail Summary'!$A:$D,2,0)</f>
        <v>V06</v>
      </c>
      <c r="E471" s="3" t="str">
        <f>IFERROR(VLOOKUP(B471,'Element wise-detail Summary'!$A:$D,3,0),0)</f>
        <v>Zone-4</v>
      </c>
      <c r="F471" s="143" t="str">
        <f>VLOOKUP(B471,'AFC Data details'!$B:$B,1,0)</f>
        <v>AZ4-V06-T1C6-005</v>
      </c>
      <c r="H471" s="3">
        <f>_xlfn.XLOOKUP(B471,'AFC Data details'!B:B,'AFC Data details'!P:P)</f>
        <v>2.141</v>
      </c>
    </row>
    <row r="472" spans="1:8" x14ac:dyDescent="0.25">
      <c r="A472" s="154">
        <v>46029</v>
      </c>
      <c r="B472" s="3" t="s">
        <v>2003</v>
      </c>
      <c r="C472" s="3">
        <v>1</v>
      </c>
      <c r="D472" s="3" t="str">
        <f>VLOOKUP(B472,'Element wise-detail Summary'!$A:$D,2,0)</f>
        <v>V11</v>
      </c>
      <c r="E472" s="3" t="str">
        <f>IFERROR(VLOOKUP(B472,'Element wise-detail Summary'!$A:$D,3,0),0)</f>
        <v>Zone-4</v>
      </c>
      <c r="F472" s="143" t="str">
        <f>VLOOKUP(B472,'AFC Data details'!$B:$B,1,0)</f>
        <v>AZ4-V11-T1C6-003</v>
      </c>
      <c r="H472" s="3">
        <f>_xlfn.XLOOKUP(B472,'AFC Data details'!B:B,'AFC Data details'!P:P)</f>
        <v>2.1909999999999998</v>
      </c>
    </row>
    <row r="473" spans="1:8" x14ac:dyDescent="0.25">
      <c r="A473" s="154">
        <v>46029</v>
      </c>
      <c r="B473" s="3" t="s">
        <v>2005</v>
      </c>
      <c r="C473" s="3">
        <v>1</v>
      </c>
      <c r="D473" s="3" t="str">
        <f>VLOOKUP(B473,'Element wise-detail Summary'!$A:$D,2,0)</f>
        <v>V11</v>
      </c>
      <c r="E473" s="3" t="str">
        <f>IFERROR(VLOOKUP(B473,'Element wise-detail Summary'!$A:$D,3,0),0)</f>
        <v>Zone-4</v>
      </c>
      <c r="F473" s="143" t="str">
        <f>VLOOKUP(B473,'AFC Data details'!$B:$B,1,0)</f>
        <v>AZ4-V11-T1C6-005</v>
      </c>
      <c r="H473" s="3">
        <f>_xlfn.XLOOKUP(B473,'AFC Data details'!B:B,'AFC Data details'!P:P)</f>
        <v>2.1909999999999998</v>
      </c>
    </row>
    <row r="474" spans="1:8" x14ac:dyDescent="0.25">
      <c r="A474" s="154">
        <v>46029</v>
      </c>
      <c r="B474" s="3" t="s">
        <v>1864</v>
      </c>
      <c r="C474" s="3">
        <v>1</v>
      </c>
      <c r="D474" s="3" t="str">
        <f>VLOOKUP(B474,'Element wise-detail Summary'!$A:$D,2,0)</f>
        <v>V14</v>
      </c>
      <c r="E474" s="3" t="str">
        <f>IFERROR(VLOOKUP(B474,'Element wise-detail Summary'!$A:$D,3,0),0)</f>
        <v>Zone-4</v>
      </c>
      <c r="F474" s="143" t="str">
        <f>VLOOKUP(B474,'AFC Data details'!$B:$B,1,0)</f>
        <v>AZ4-V14-T1C6-002</v>
      </c>
      <c r="H474" s="3">
        <f>_xlfn.XLOOKUP(B474,'AFC Data details'!B:B,'AFC Data details'!P:P)</f>
        <v>2.1339999999999999</v>
      </c>
    </row>
    <row r="475" spans="1:8" x14ac:dyDescent="0.25">
      <c r="A475" s="154">
        <v>46029</v>
      </c>
      <c r="B475" s="3" t="s">
        <v>1985</v>
      </c>
      <c r="C475" s="3">
        <v>1</v>
      </c>
      <c r="D475" s="3" t="str">
        <f>VLOOKUP(B475,'Element wise-detail Summary'!$A:$D,2,0)</f>
        <v>V08</v>
      </c>
      <c r="E475" s="3" t="str">
        <f>IFERROR(VLOOKUP(B475,'Element wise-detail Summary'!$A:$D,3,0),0)</f>
        <v>Zone-4</v>
      </c>
      <c r="F475" s="143" t="str">
        <f>VLOOKUP(B475,'AFC Data details'!$B:$B,1,0)</f>
        <v>AZ4-V08-T3C3-004</v>
      </c>
      <c r="H475" s="3">
        <f>_xlfn.XLOOKUP(B475,'AFC Data details'!B:B,'AFC Data details'!P:P)</f>
        <v>1.37</v>
      </c>
    </row>
    <row r="476" spans="1:8" x14ac:dyDescent="0.25">
      <c r="A476" s="154">
        <v>46030</v>
      </c>
      <c r="B476" s="3" t="s">
        <v>1788</v>
      </c>
      <c r="C476" s="3">
        <v>1</v>
      </c>
      <c r="D476" s="3" t="str">
        <f>VLOOKUP(B476,'Element wise-detail Summary'!$A:$D,2,0)</f>
        <v>V05</v>
      </c>
      <c r="E476" s="3" t="str">
        <f>IFERROR(VLOOKUP(B476,'Element wise-detail Summary'!$A:$D,3,0),0)</f>
        <v>Zone-4</v>
      </c>
      <c r="F476" s="143" t="str">
        <f>VLOOKUP(B476,'AFC Data details'!$B:$B,1,0)</f>
        <v>AZ4-V05-T3C3-001</v>
      </c>
      <c r="H476" s="3">
        <f>_xlfn.XLOOKUP(B476,'AFC Data details'!B:B,'AFC Data details'!P:P)</f>
        <v>1.5940000000000001</v>
      </c>
    </row>
    <row r="477" spans="1:8" x14ac:dyDescent="0.25">
      <c r="A477" s="154">
        <v>46030</v>
      </c>
      <c r="B477" s="3" t="s">
        <v>1986</v>
      </c>
      <c r="C477" s="3">
        <v>1</v>
      </c>
      <c r="D477" s="3" t="str">
        <f>VLOOKUP(B477,'Element wise-detail Summary'!$A:$D,2,0)</f>
        <v>V16</v>
      </c>
      <c r="E477" s="3" t="str">
        <f>IFERROR(VLOOKUP(B477,'Element wise-detail Summary'!$A:$D,3,0),0)</f>
        <v>Zone-4</v>
      </c>
      <c r="F477" s="143" t="str">
        <f>VLOOKUP(B477,'AFC Data details'!$B:$B,1,0)</f>
        <v>AZ4-V16-T1C13-003</v>
      </c>
      <c r="H477" s="3">
        <f>_xlfn.XLOOKUP(B477,'AFC Data details'!B:B,'AFC Data details'!P:P)</f>
        <v>1.9359999999999999</v>
      </c>
    </row>
    <row r="478" spans="1:8" x14ac:dyDescent="0.25">
      <c r="A478" s="154">
        <v>46030</v>
      </c>
      <c r="B478" s="3" t="s">
        <v>1794</v>
      </c>
      <c r="C478" s="3">
        <v>1</v>
      </c>
      <c r="D478" s="3" t="str">
        <f>VLOOKUP(B478,'Element wise-detail Summary'!$A:$D,2,0)</f>
        <v>V06</v>
      </c>
      <c r="E478" s="3" t="str">
        <f>IFERROR(VLOOKUP(B478,'Element wise-detail Summary'!$A:$D,3,0),0)</f>
        <v>Zone-4</v>
      </c>
      <c r="F478" s="143" t="str">
        <f>VLOOKUP(B478,'AFC Data details'!$B:$B,1,0)</f>
        <v>AZ4-V06-T3C3-001</v>
      </c>
      <c r="H478" s="3">
        <f>_xlfn.XLOOKUP(B478,'AFC Data details'!B:B,'AFC Data details'!P:P)</f>
        <v>1.4950000000000001</v>
      </c>
    </row>
    <row r="479" spans="1:8" x14ac:dyDescent="0.25">
      <c r="A479" s="154">
        <v>46030</v>
      </c>
      <c r="B479" s="3" t="s">
        <v>1850</v>
      </c>
      <c r="C479" s="3">
        <v>1</v>
      </c>
      <c r="D479" s="3" t="str">
        <f>VLOOKUP(B479,'Element wise-detail Summary'!$A:$D,2,0)</f>
        <v>V06</v>
      </c>
      <c r="E479" s="3" t="str">
        <f>IFERROR(VLOOKUP(B479,'Element wise-detail Summary'!$A:$D,3,0),0)</f>
        <v>Zone-4</v>
      </c>
      <c r="F479" s="143" t="str">
        <f>VLOOKUP(B479,'AFC Data details'!$B:$B,1,0)</f>
        <v>AZ4-V06-T2C1-001</v>
      </c>
      <c r="H479" s="3">
        <f>_xlfn.XLOOKUP(B479,'AFC Data details'!B:B,'AFC Data details'!P:P)</f>
        <v>1.4139999999999999</v>
      </c>
    </row>
    <row r="480" spans="1:8" x14ac:dyDescent="0.25">
      <c r="A480" s="154">
        <v>46030</v>
      </c>
      <c r="B480" s="3" t="s">
        <v>1796</v>
      </c>
      <c r="C480" s="3">
        <v>1</v>
      </c>
      <c r="D480" s="3" t="str">
        <f>VLOOKUP(B480,'Element wise-detail Summary'!$A:$D,2,0)</f>
        <v>V06</v>
      </c>
      <c r="E480" s="3" t="str">
        <f>IFERROR(VLOOKUP(B480,'Element wise-detail Summary'!$A:$D,3,0),0)</f>
        <v>Zone-4</v>
      </c>
      <c r="F480" s="143" t="str">
        <f>VLOOKUP(B480,'AFC Data details'!$B:$B,1,0)</f>
        <v>AZ4-V06-T3C3S-002</v>
      </c>
      <c r="H480" s="3">
        <f>_xlfn.XLOOKUP(B480,'AFC Data details'!B:B,'AFC Data details'!P:P)</f>
        <v>1.6930000000000001</v>
      </c>
    </row>
    <row r="481" spans="1:8" x14ac:dyDescent="0.25">
      <c r="A481" s="154">
        <v>46030</v>
      </c>
      <c r="B481" s="3" t="s">
        <v>1541</v>
      </c>
      <c r="C481" s="3">
        <v>1</v>
      </c>
      <c r="D481" s="3" t="str">
        <f>VLOOKUP(B481,'Element wise-detail Summary'!$A:$D,2,0)</f>
        <v>V54</v>
      </c>
      <c r="E481" s="3" t="str">
        <f>IFERROR(VLOOKUP(B481,'Element wise-detail Summary'!$A:$D,3,0),0)</f>
        <v>Zone-3</v>
      </c>
      <c r="F481" s="143" t="str">
        <f>VLOOKUP(B481,'AFC Data details'!$B:$B,1,0)</f>
        <v>AZ3-V54-T3C5-001</v>
      </c>
      <c r="H481" s="3">
        <f>_xlfn.XLOOKUP(B481,'AFC Data details'!B:B,'AFC Data details'!P:P)</f>
        <v>1.296</v>
      </c>
    </row>
    <row r="482" spans="1:8" x14ac:dyDescent="0.25">
      <c r="A482" s="154">
        <v>46030</v>
      </c>
      <c r="B482" s="3" t="s">
        <v>1999</v>
      </c>
      <c r="C482" s="3">
        <v>1</v>
      </c>
      <c r="D482" s="3" t="str">
        <f>VLOOKUP(B482,'Element wise-detail Summary'!$A:$D,2,0)</f>
        <v>V07</v>
      </c>
      <c r="E482" s="3" t="str">
        <f>IFERROR(VLOOKUP(B482,'Element wise-detail Summary'!$A:$D,3,0),0)</f>
        <v>Zone-4</v>
      </c>
      <c r="F482" s="143" t="str">
        <f>VLOOKUP(B482,'AFC Data details'!$B:$B,1,0)</f>
        <v>AZ4-V07-T1C6-003</v>
      </c>
      <c r="H482" s="3">
        <f>_xlfn.XLOOKUP(B482,'AFC Data details'!B:B,'AFC Data details'!P:P)</f>
        <v>2.141</v>
      </c>
    </row>
    <row r="483" spans="1:8" x14ac:dyDescent="0.25">
      <c r="A483" s="154">
        <v>46030</v>
      </c>
      <c r="B483" s="3" t="s">
        <v>1998</v>
      </c>
      <c r="C483" s="3">
        <v>1</v>
      </c>
      <c r="D483" s="3" t="str">
        <f>VLOOKUP(B483,'Element wise-detail Summary'!$A:$D,2,0)</f>
        <v>V07</v>
      </c>
      <c r="E483" s="3" t="str">
        <f>IFERROR(VLOOKUP(B483,'Element wise-detail Summary'!$A:$D,3,0),0)</f>
        <v>Zone-4</v>
      </c>
      <c r="F483" s="143" t="str">
        <f>VLOOKUP(B483,'AFC Data details'!$B:$B,1,0)</f>
        <v>AZ4-V07-T1C6-002</v>
      </c>
      <c r="H483" s="3">
        <f>_xlfn.XLOOKUP(B483,'AFC Data details'!B:B,'AFC Data details'!P:P)</f>
        <v>2.141</v>
      </c>
    </row>
    <row r="484" spans="1:8" x14ac:dyDescent="0.25">
      <c r="A484" s="154">
        <v>46030</v>
      </c>
      <c r="B484" s="3" t="s">
        <v>1859</v>
      </c>
      <c r="C484" s="3">
        <v>1</v>
      </c>
      <c r="D484" s="3" t="str">
        <f>VLOOKUP(B484,'Element wise-detail Summary'!$A:$D,2,0)</f>
        <v>V11</v>
      </c>
      <c r="E484" s="3" t="str">
        <f>IFERROR(VLOOKUP(B484,'Element wise-detail Summary'!$A:$D,3,0),0)</f>
        <v>Zone-4</v>
      </c>
      <c r="F484" s="143" t="str">
        <f>VLOOKUP(B484,'AFC Data details'!$B:$B,1,0)</f>
        <v>AZ4-V11-T1C6-001</v>
      </c>
      <c r="H484" s="3">
        <f>_xlfn.XLOOKUP(B484,'AFC Data details'!B:B,'AFC Data details'!P:P)</f>
        <v>2.1909999999999998</v>
      </c>
    </row>
    <row r="485" spans="1:8" x14ac:dyDescent="0.25">
      <c r="A485" s="154">
        <v>46030</v>
      </c>
      <c r="B485" s="3" t="s">
        <v>1805</v>
      </c>
      <c r="C485" s="3">
        <v>1</v>
      </c>
      <c r="D485" s="3" t="str">
        <f>VLOOKUP(B485,'Element wise-detail Summary'!$A:$D,2,0)</f>
        <v>V08</v>
      </c>
      <c r="E485" s="3" t="str">
        <f>IFERROR(VLOOKUP(B485,'Element wise-detail Summary'!$A:$D,3,0),0)</f>
        <v>Zone-4</v>
      </c>
      <c r="F485" s="143" t="str">
        <f>VLOOKUP(B485,'AFC Data details'!$B:$B,1,0)</f>
        <v>AZ4-V08-T3C3-001</v>
      </c>
      <c r="H485" s="3">
        <f>_xlfn.XLOOKUP(B485,'AFC Data details'!B:B,'AFC Data details'!P:P)</f>
        <v>1.448</v>
      </c>
    </row>
    <row r="486" spans="1:8" x14ac:dyDescent="0.25">
      <c r="A486" s="154">
        <v>46031</v>
      </c>
      <c r="B486" s="3" t="s">
        <v>1790</v>
      </c>
      <c r="C486" s="3">
        <v>1</v>
      </c>
      <c r="D486" s="3" t="str">
        <f>VLOOKUP(B486,'Element wise-detail Summary'!$A:$D,2,0)</f>
        <v>V05</v>
      </c>
      <c r="E486" s="3" t="str">
        <f>IFERROR(VLOOKUP(B486,'Element wise-detail Summary'!$A:$D,3,0),0)</f>
        <v>Zone-4</v>
      </c>
      <c r="F486" s="143" t="str">
        <f>VLOOKUP(B486,'AFC Data details'!$B:$B,1,0)</f>
        <v>AZ4-V05-T3C3-002</v>
      </c>
      <c r="H486" s="3">
        <f>_xlfn.XLOOKUP(B486,'AFC Data details'!B:B,'AFC Data details'!P:P)</f>
        <v>1.3680000000000001</v>
      </c>
    </row>
    <row r="487" spans="1:8" x14ac:dyDescent="0.25">
      <c r="A487" s="154">
        <v>46031</v>
      </c>
      <c r="B487" s="3" t="s">
        <v>1987</v>
      </c>
      <c r="C487" s="3">
        <v>1</v>
      </c>
      <c r="D487" s="3" t="str">
        <f>VLOOKUP(B487,'Element wise-detail Summary'!$A:$D,2,0)</f>
        <v>V16</v>
      </c>
      <c r="E487" s="3" t="str">
        <f>IFERROR(VLOOKUP(B487,'Element wise-detail Summary'!$A:$D,3,0),0)</f>
        <v>Zone-4</v>
      </c>
      <c r="F487" s="143" t="str">
        <f>VLOOKUP(B487,'AFC Data details'!$B:$B,1,0)</f>
        <v>AZ4-V16-T1C13-004</v>
      </c>
      <c r="H487" s="3">
        <f>_xlfn.XLOOKUP(B487,'AFC Data details'!B:B,'AFC Data details'!P:P)</f>
        <v>1.9359999999999999</v>
      </c>
    </row>
    <row r="488" spans="1:8" x14ac:dyDescent="0.25">
      <c r="A488" s="154">
        <v>46031</v>
      </c>
      <c r="B488" s="3" t="s">
        <v>1576</v>
      </c>
      <c r="C488" s="3">
        <v>1</v>
      </c>
      <c r="D488" s="3" t="str">
        <f>VLOOKUP(B488,'Element wise-detail Summary'!$A:$D,2,0)</f>
        <v>V66</v>
      </c>
      <c r="E488" s="3" t="str">
        <f>IFERROR(VLOOKUP(B488,'Element wise-detail Summary'!$A:$D,3,0),0)</f>
        <v>Zone-5</v>
      </c>
      <c r="F488" s="143" t="str">
        <f>VLOOKUP(B488,'AFC Data details'!$B:$B,1,0)</f>
        <v>AZ5-V66-T1C6-001</v>
      </c>
      <c r="H488" s="3">
        <f>_xlfn.XLOOKUP(B488,'AFC Data details'!B:B,'AFC Data details'!P:P)</f>
        <v>2.0470000000000002</v>
      </c>
    </row>
    <row r="489" spans="1:8" x14ac:dyDescent="0.25">
      <c r="A489" s="154">
        <v>46031</v>
      </c>
      <c r="B489" s="3" t="s">
        <v>1866</v>
      </c>
      <c r="C489" s="3">
        <v>1</v>
      </c>
      <c r="D489" s="3" t="str">
        <f>VLOOKUP(B489,'Element wise-detail Summary'!$A:$D,2,0)</f>
        <v>V16</v>
      </c>
      <c r="E489" s="3" t="str">
        <f>IFERROR(VLOOKUP(B489,'Element wise-detail Summary'!$A:$D,3,0),0)</f>
        <v>Zone-4</v>
      </c>
      <c r="F489" s="143" t="str">
        <f>VLOOKUP(B489,'AFC Data details'!$B:$B,1,0)</f>
        <v>AZ4-V16-T2C1-001</v>
      </c>
      <c r="H489" s="3">
        <f>_xlfn.XLOOKUP(B489,'AFC Data details'!B:B,'AFC Data details'!P:P)</f>
        <v>1.4119999999999999</v>
      </c>
    </row>
    <row r="490" spans="1:8" x14ac:dyDescent="0.25">
      <c r="A490" s="154">
        <v>46031</v>
      </c>
      <c r="B490" s="3" t="s">
        <v>1797</v>
      </c>
      <c r="C490" s="3">
        <v>1</v>
      </c>
      <c r="D490" s="3" t="str">
        <f>VLOOKUP(B490,'Element wise-detail Summary'!$A:$D,2,0)</f>
        <v>V06</v>
      </c>
      <c r="E490" s="3" t="str">
        <f>IFERROR(VLOOKUP(B490,'Element wise-detail Summary'!$A:$D,3,0),0)</f>
        <v>Zone-4</v>
      </c>
      <c r="F490" s="143" t="str">
        <f>VLOOKUP(B490,'AFC Data details'!$B:$B,1,0)</f>
        <v>AZ4-V06-T3C3S-003</v>
      </c>
      <c r="H490" s="3">
        <f>_xlfn.XLOOKUP(B490,'AFC Data details'!B:B,'AFC Data details'!P:P)</f>
        <v>1.8560000000000001</v>
      </c>
    </row>
    <row r="491" spans="1:8" x14ac:dyDescent="0.25">
      <c r="A491" s="154">
        <v>46031</v>
      </c>
      <c r="B491" s="3" t="s">
        <v>1818</v>
      </c>
      <c r="C491" s="3">
        <v>1</v>
      </c>
      <c r="D491" s="3" t="str">
        <f>VLOOKUP(B491,'Element wise-detail Summary'!$A:$D,2,0)</f>
        <v>V11</v>
      </c>
      <c r="E491" s="3" t="str">
        <f>IFERROR(VLOOKUP(B491,'Element wise-detail Summary'!$A:$D,3,0),0)</f>
        <v>Zone-4</v>
      </c>
      <c r="F491" s="143" t="str">
        <f>VLOOKUP(B491,'AFC Data details'!$B:$B,1,0)</f>
        <v>AZ4-V11-T3C6-002</v>
      </c>
      <c r="H491" s="3">
        <f>_xlfn.XLOOKUP(B491,'AFC Data details'!B:B,'AFC Data details'!P:P)</f>
        <v>1.6439999999999999</v>
      </c>
    </row>
    <row r="492" spans="1:8" x14ac:dyDescent="0.25">
      <c r="A492" s="154">
        <v>46031</v>
      </c>
      <c r="B492" s="3" t="s">
        <v>1801</v>
      </c>
      <c r="C492" s="3">
        <v>1</v>
      </c>
      <c r="D492" s="3" t="str">
        <f>VLOOKUP(B492,'Element wise-detail Summary'!$A:$D,2,0)</f>
        <v>V07</v>
      </c>
      <c r="E492" s="3" t="str">
        <f>IFERROR(VLOOKUP(B492,'Element wise-detail Summary'!$A:$D,3,0),0)</f>
        <v>Zone-4</v>
      </c>
      <c r="F492" s="143" t="str">
        <f>VLOOKUP(B492,'AFC Data details'!$B:$B,1,0)</f>
        <v>AZ4-V07-T3C3S-004</v>
      </c>
      <c r="H492" s="3">
        <f>_xlfn.XLOOKUP(B492,'AFC Data details'!B:B,'AFC Data details'!P:P)</f>
        <v>1.6819999999999999</v>
      </c>
    </row>
    <row r="493" spans="1:8" x14ac:dyDescent="0.25">
      <c r="A493" s="154">
        <v>46031</v>
      </c>
      <c r="B493" s="3" t="s">
        <v>1627</v>
      </c>
      <c r="C493" s="3">
        <v>1</v>
      </c>
      <c r="D493" s="3" t="str">
        <f>VLOOKUP(B493,'Element wise-detail Summary'!$A:$D,2,0)</f>
        <v>V70</v>
      </c>
      <c r="E493" s="3" t="str">
        <f>IFERROR(VLOOKUP(B493,'Element wise-detail Summary'!$A:$D,3,0),0)</f>
        <v>Zone-5</v>
      </c>
      <c r="F493" s="143" t="str">
        <f>VLOOKUP(B493,'AFC Data details'!$B:$B,1,0)</f>
        <v>AZ5-V70-T1C13-001</v>
      </c>
      <c r="H493" s="3">
        <f>_xlfn.XLOOKUP(B493,'AFC Data details'!B:B,'AFC Data details'!P:P)</f>
        <v>2.052</v>
      </c>
    </row>
    <row r="494" spans="1:8" x14ac:dyDescent="0.25">
      <c r="A494" s="154">
        <v>46031</v>
      </c>
      <c r="B494" s="3" t="s">
        <v>1620</v>
      </c>
      <c r="C494" s="3">
        <v>1</v>
      </c>
      <c r="D494" s="3" t="str">
        <f>VLOOKUP(B494,'Element wise-detail Summary'!$A:$D,2,0)</f>
        <v>V68</v>
      </c>
      <c r="E494" s="3" t="str">
        <f>IFERROR(VLOOKUP(B494,'Element wise-detail Summary'!$A:$D,3,0),0)</f>
        <v>Zone-5</v>
      </c>
      <c r="F494" s="143" t="str">
        <f>VLOOKUP(B494,'AFC Data details'!$B:$B,1,0)</f>
        <v>AZ5-V68-T1C6-004</v>
      </c>
      <c r="H494" s="3">
        <f>_xlfn.XLOOKUP(B494,'AFC Data details'!B:B,'AFC Data details'!P:P)</f>
        <v>2.0840000000000001</v>
      </c>
    </row>
    <row r="495" spans="1:8" x14ac:dyDescent="0.25">
      <c r="A495" s="154">
        <v>46031</v>
      </c>
      <c r="B495" s="3" t="s">
        <v>2004</v>
      </c>
      <c r="C495" s="3">
        <v>1</v>
      </c>
      <c r="D495" s="3" t="str">
        <f>VLOOKUP(B495,'Element wise-detail Summary'!$A:$D,2,0)</f>
        <v>V11</v>
      </c>
      <c r="E495" s="3" t="str">
        <f>IFERROR(VLOOKUP(B495,'Element wise-detail Summary'!$A:$D,3,0),0)</f>
        <v>Zone-4</v>
      </c>
      <c r="F495" s="143" t="str">
        <f>VLOOKUP(B495,'AFC Data details'!$B:$B,1,0)</f>
        <v>AZ4-V11-T1C6-004</v>
      </c>
      <c r="H495" s="3">
        <f>_xlfn.XLOOKUP(B495,'AFC Data details'!B:B,'AFC Data details'!P:P)</f>
        <v>2.1909999999999998</v>
      </c>
    </row>
    <row r="496" spans="1:8" x14ac:dyDescent="0.25">
      <c r="A496" s="154">
        <v>46031</v>
      </c>
      <c r="B496" s="3" t="s">
        <v>2006</v>
      </c>
      <c r="C496" s="3">
        <v>1</v>
      </c>
      <c r="D496" s="3" t="str">
        <f>VLOOKUP(B496,'Element wise-detail Summary'!$A:$D,2,0)</f>
        <v>V10</v>
      </c>
      <c r="E496" s="3" t="str">
        <f>IFERROR(VLOOKUP(B496,'Element wise-detail Summary'!$A:$D,3,0),0)</f>
        <v>Zone-4</v>
      </c>
      <c r="F496" s="143" t="str">
        <f>VLOOKUP(B496,'AFC Data details'!$B:$B,1,0)</f>
        <v>AZ4-V10-T1C6-006</v>
      </c>
      <c r="H496" s="3">
        <f>_xlfn.XLOOKUP(B496,'AFC Data details'!B:B,'AFC Data details'!P:P)</f>
        <v>2.1909999999999998</v>
      </c>
    </row>
    <row r="497" spans="1:8" x14ac:dyDescent="0.25">
      <c r="A497" s="154">
        <v>46031</v>
      </c>
      <c r="B497" s="3" t="s">
        <v>1806</v>
      </c>
      <c r="C497" s="3">
        <v>1</v>
      </c>
      <c r="D497" s="3" t="str">
        <f>VLOOKUP(B497,'Element wise-detail Summary'!$A:$D,2,0)</f>
        <v>V08</v>
      </c>
      <c r="E497" s="3" t="str">
        <f>IFERROR(VLOOKUP(B497,'Element wise-detail Summary'!$A:$D,3,0),0)</f>
        <v>Zone-4</v>
      </c>
      <c r="F497" s="143" t="str">
        <f>VLOOKUP(B497,'AFC Data details'!$B:$B,1,0)</f>
        <v>AZ4-V08-T3C3-002</v>
      </c>
      <c r="H497" s="3">
        <f>_xlfn.XLOOKUP(B497,'AFC Data details'!B:B,'AFC Data details'!P:P)</f>
        <v>1.448</v>
      </c>
    </row>
    <row r="498" spans="1:8" x14ac:dyDescent="0.25">
      <c r="A498" s="154">
        <v>46032</v>
      </c>
      <c r="B498" s="3" t="s">
        <v>1791</v>
      </c>
      <c r="C498" s="3">
        <v>1</v>
      </c>
      <c r="D498" s="3" t="str">
        <f>VLOOKUP(B498,'Element wise-detail Summary'!$A:$D,2,0)</f>
        <v>V05</v>
      </c>
      <c r="E498" s="3" t="str">
        <f>IFERROR(VLOOKUP(B498,'Element wise-detail Summary'!$A:$D,3,0),0)</f>
        <v>Zone-4</v>
      </c>
      <c r="F498" s="143" t="str">
        <f>VLOOKUP(B498,'AFC Data details'!$B:$B,1,0)</f>
        <v>AZ4-V05-T3C3-003</v>
      </c>
      <c r="H498" s="3">
        <f>_xlfn.XLOOKUP(B498,'AFC Data details'!B:B,'AFC Data details'!P:P)</f>
        <v>1.431</v>
      </c>
    </row>
    <row r="499" spans="1:8" x14ac:dyDescent="0.25">
      <c r="A499" s="154">
        <v>46032</v>
      </c>
      <c r="B499" s="3" t="s">
        <v>1837</v>
      </c>
      <c r="C499" s="3">
        <v>1</v>
      </c>
      <c r="D499" s="3" t="str">
        <f>VLOOKUP(B499,'Element wise-detail Summary'!$A:$D,2,0)</f>
        <v>V16</v>
      </c>
      <c r="E499" s="3" t="str">
        <f>IFERROR(VLOOKUP(B499,'Element wise-detail Summary'!$A:$D,3,0),0)</f>
        <v>Zone-4</v>
      </c>
      <c r="F499" s="143" t="str">
        <f>VLOOKUP(B499,'AFC Data details'!$B:$B,1,0)</f>
        <v>AZ4-V16-T1C13-005</v>
      </c>
      <c r="H499" s="3">
        <f>_xlfn.XLOOKUP(B499,'AFC Data details'!B:B,'AFC Data details'!P:P)</f>
        <v>1.9359999999999999</v>
      </c>
    </row>
    <row r="500" spans="1:8" x14ac:dyDescent="0.25">
      <c r="A500" s="154">
        <v>46032</v>
      </c>
      <c r="B500" s="3" t="s">
        <v>1577</v>
      </c>
      <c r="C500" s="3">
        <v>1</v>
      </c>
      <c r="D500" s="3" t="str">
        <f>VLOOKUP(B500,'Element wise-detail Summary'!$A:$D,2,0)</f>
        <v>V62</v>
      </c>
      <c r="E500" s="3" t="str">
        <f>IFERROR(VLOOKUP(B500,'Element wise-detail Summary'!$A:$D,3,0),0)</f>
        <v>Zone-5</v>
      </c>
      <c r="F500" s="143" t="str">
        <f>VLOOKUP(B500,'AFC Data details'!$B:$B,1,0)</f>
        <v>AZ5-V62-T1C6-002</v>
      </c>
      <c r="H500" s="3">
        <f>_xlfn.XLOOKUP(B500,'AFC Data details'!B:B,'AFC Data details'!P:P)</f>
        <v>2.0529999999999999</v>
      </c>
    </row>
    <row r="501" spans="1:8" x14ac:dyDescent="0.25">
      <c r="A501" s="154">
        <v>46032</v>
      </c>
      <c r="B501" s="3" t="s">
        <v>1988</v>
      </c>
      <c r="C501" s="3">
        <v>1</v>
      </c>
      <c r="D501" s="3" t="str">
        <f>VLOOKUP(B501,'Element wise-detail Summary'!$A:$D,2,0)</f>
        <v>V14</v>
      </c>
      <c r="E501" s="3" t="str">
        <f>IFERROR(VLOOKUP(B501,'Element wise-detail Summary'!$A:$D,3,0),0)</f>
        <v>Zone-4</v>
      </c>
      <c r="F501" s="143" t="str">
        <f>VLOOKUP(B501,'AFC Data details'!$B:$B,1,0)</f>
        <v>AZ4-V14-T2C1-001</v>
      </c>
      <c r="H501" s="3">
        <f>_xlfn.XLOOKUP(B501,'AFC Data details'!B:B,'AFC Data details'!P:P)</f>
        <v>1.4119999999999999</v>
      </c>
    </row>
    <row r="502" spans="1:8" x14ac:dyDescent="0.25">
      <c r="A502" s="154">
        <v>46032</v>
      </c>
      <c r="B502" s="3" t="s">
        <v>1798</v>
      </c>
      <c r="C502" s="3">
        <v>1</v>
      </c>
      <c r="D502" s="3" t="str">
        <f>VLOOKUP(B502,'Element wise-detail Summary'!$A:$D,2,0)</f>
        <v>V07</v>
      </c>
      <c r="E502" s="3" t="str">
        <f>IFERROR(VLOOKUP(B502,'Element wise-detail Summary'!$A:$D,3,0),0)</f>
        <v>Zone-4</v>
      </c>
      <c r="F502" s="143" t="str">
        <f>VLOOKUP(B502,'AFC Data details'!$B:$B,1,0)</f>
        <v>AZ4-V07-T3C3S-001</v>
      </c>
      <c r="H502" s="3">
        <f>_xlfn.XLOOKUP(B502,'AFC Data details'!B:B,'AFC Data details'!P:P)</f>
        <v>1.855</v>
      </c>
    </row>
    <row r="503" spans="1:8" x14ac:dyDescent="0.25">
      <c r="A503" s="154">
        <v>46032</v>
      </c>
      <c r="B503" s="3" t="s">
        <v>1542</v>
      </c>
      <c r="C503" s="3">
        <v>1</v>
      </c>
      <c r="D503" s="3" t="str">
        <f>VLOOKUP(B503,'Element wise-detail Summary'!$A:$D,2,0)</f>
        <v>V54</v>
      </c>
      <c r="E503" s="3" t="str">
        <f>IFERROR(VLOOKUP(B503,'Element wise-detail Summary'!$A:$D,3,0),0)</f>
        <v>Zone-3</v>
      </c>
      <c r="F503" s="143" t="str">
        <f>VLOOKUP(B503,'AFC Data details'!$B:$B,1,0)</f>
        <v>AZ3-V54-T3C5-002</v>
      </c>
      <c r="H503" s="3">
        <f>_xlfn.XLOOKUP(B503,'AFC Data details'!B:B,'AFC Data details'!P:P)</f>
        <v>1.296</v>
      </c>
    </row>
    <row r="504" spans="1:8" x14ac:dyDescent="0.25">
      <c r="A504" s="154">
        <v>46032</v>
      </c>
      <c r="B504" s="3" t="s">
        <v>1821</v>
      </c>
      <c r="C504" s="3">
        <v>1</v>
      </c>
      <c r="D504" s="3" t="str">
        <f>VLOOKUP(B504,'Element wise-detail Summary'!$A:$D,2,0)</f>
        <v>V12</v>
      </c>
      <c r="E504" s="3" t="str">
        <f>IFERROR(VLOOKUP(B504,'Element wise-detail Summary'!$A:$D,3,0),0)</f>
        <v>Zone-4</v>
      </c>
      <c r="F504" s="143" t="str">
        <f>VLOOKUP(B504,'AFC Data details'!$B:$B,1,0)</f>
        <v>AZ4-V12-T3C4-001</v>
      </c>
      <c r="H504" s="3">
        <f>_xlfn.XLOOKUP(B504,'AFC Data details'!B:B,'AFC Data details'!P:P)</f>
        <v>1.5760000000000001</v>
      </c>
    </row>
    <row r="505" spans="1:8" x14ac:dyDescent="0.25">
      <c r="A505" s="154">
        <v>46032</v>
      </c>
      <c r="B505" s="3" t="s">
        <v>1984</v>
      </c>
      <c r="C505" s="3">
        <v>1</v>
      </c>
      <c r="D505" s="3" t="str">
        <f>VLOOKUP(B505,'Element wise-detail Summary'!$A:$D,2,0)</f>
        <v>V07</v>
      </c>
      <c r="E505" s="3" t="str">
        <f>IFERROR(VLOOKUP(B505,'Element wise-detail Summary'!$A:$D,3,0),0)</f>
        <v>Zone-4</v>
      </c>
      <c r="F505" s="143" t="str">
        <f>VLOOKUP(B505,'AFC Data details'!$B:$B,1,0)</f>
        <v>AZ4-V07-T3C3S-003</v>
      </c>
      <c r="H505" s="3">
        <f>_xlfn.XLOOKUP(B505,'AFC Data details'!B:B,'AFC Data details'!P:P)</f>
        <v>1.6819999999999999</v>
      </c>
    </row>
    <row r="506" spans="1:8" x14ac:dyDescent="0.25">
      <c r="A506" s="154">
        <v>46032</v>
      </c>
      <c r="B506" s="3" t="s">
        <v>1628</v>
      </c>
      <c r="C506" s="3">
        <v>1</v>
      </c>
      <c r="D506" s="3" t="str">
        <f>VLOOKUP(B506,'Element wise-detail Summary'!$A:$D,2,0)</f>
        <v>V70</v>
      </c>
      <c r="E506" s="3" t="str">
        <f>IFERROR(VLOOKUP(B506,'Element wise-detail Summary'!$A:$D,3,0),0)</f>
        <v>Zone-5</v>
      </c>
      <c r="F506" s="143" t="str">
        <f>VLOOKUP(B506,'AFC Data details'!$B:$B,1,0)</f>
        <v>AZ5-V70-T1C13-002</v>
      </c>
      <c r="H506" s="3">
        <f>_xlfn.XLOOKUP(B506,'AFC Data details'!B:B,'AFC Data details'!P:P)</f>
        <v>2.052</v>
      </c>
    </row>
    <row r="507" spans="1:8" x14ac:dyDescent="0.25">
      <c r="A507" s="154">
        <v>46032</v>
      </c>
      <c r="B507" s="3" t="s">
        <v>1621</v>
      </c>
      <c r="C507" s="3">
        <v>1</v>
      </c>
      <c r="D507" s="3" t="str">
        <f>VLOOKUP(B507,'Element wise-detail Summary'!$A:$D,2,0)</f>
        <v>V68</v>
      </c>
      <c r="E507" s="3" t="str">
        <f>IFERROR(VLOOKUP(B507,'Element wise-detail Summary'!$A:$D,3,0),0)</f>
        <v>Zone-5</v>
      </c>
      <c r="F507" s="143" t="str">
        <f>VLOOKUP(B507,'AFC Data details'!$B:$B,1,0)</f>
        <v>AZ5-V68-T1C6-005</v>
      </c>
      <c r="H507" s="3">
        <f>_xlfn.XLOOKUP(B507,'AFC Data details'!B:B,'AFC Data details'!P:P)</f>
        <v>2.0840000000000001</v>
      </c>
    </row>
    <row r="508" spans="1:8" x14ac:dyDescent="0.25">
      <c r="A508" s="154">
        <v>46032</v>
      </c>
      <c r="B508" s="3" t="s">
        <v>1860</v>
      </c>
      <c r="C508" s="3">
        <v>1</v>
      </c>
      <c r="D508" s="3" t="str">
        <f>VLOOKUP(B508,'Element wise-detail Summary'!$A:$D,2,0)</f>
        <v>V12</v>
      </c>
      <c r="E508" s="3" t="str">
        <f>IFERROR(VLOOKUP(B508,'Element wise-detail Summary'!$A:$D,3,0),0)</f>
        <v>Zone-4</v>
      </c>
      <c r="F508" s="143" t="str">
        <f>VLOOKUP(B508,'AFC Data details'!$B:$B,1,0)</f>
        <v>AZ4-V12-T1C6-001</v>
      </c>
      <c r="H508" s="3">
        <f>_xlfn.XLOOKUP(B508,'AFC Data details'!B:B,'AFC Data details'!P:P)</f>
        <v>2.1840000000000002</v>
      </c>
    </row>
    <row r="509" spans="1:8" x14ac:dyDescent="0.25">
      <c r="A509" s="154">
        <v>46032</v>
      </c>
      <c r="B509" s="3" t="s">
        <v>1591</v>
      </c>
      <c r="C509" s="3">
        <v>1</v>
      </c>
      <c r="D509" s="3" t="str">
        <f>VLOOKUP(B509,'Element wise-detail Summary'!$A:$D,2,0)</f>
        <v>V65</v>
      </c>
      <c r="E509" s="3" t="str">
        <f>IFERROR(VLOOKUP(B509,'Element wise-detail Summary'!$A:$D,3,0),0)</f>
        <v>Zone-5</v>
      </c>
      <c r="F509" s="143" t="str">
        <f>VLOOKUP(B509,'AFC Data details'!$B:$B,1,0)</f>
        <v>AZ5-V65-T1C6-004</v>
      </c>
      <c r="H509" s="3">
        <f>_xlfn.XLOOKUP(B509,'AFC Data details'!B:B,'AFC Data details'!P:P)</f>
        <v>2.0840000000000001</v>
      </c>
    </row>
    <row r="510" spans="1:8" x14ac:dyDescent="0.25">
      <c r="A510" s="154">
        <v>46034</v>
      </c>
      <c r="B510" s="3" t="s">
        <v>1568</v>
      </c>
      <c r="C510" s="3">
        <v>1</v>
      </c>
      <c r="D510" s="3" t="str">
        <f>VLOOKUP(B510,'Element wise-detail Summary'!$A:$D,2,0)</f>
        <v>V61</v>
      </c>
      <c r="E510" s="3" t="str">
        <f>IFERROR(VLOOKUP(B510,'Element wise-detail Summary'!$A:$D,3,0),0)</f>
        <v>Zone-5</v>
      </c>
      <c r="F510" s="143" t="str">
        <f>VLOOKUP(B510,'AFC Data details'!$B:$B,1,0)</f>
        <v>AZ5-V61-T1C13-001</v>
      </c>
      <c r="H510" s="3">
        <f>_xlfn.XLOOKUP(B510,'AFC Data details'!B:B,'AFC Data details'!P:P)</f>
        <v>1.9950000000000001</v>
      </c>
    </row>
    <row r="511" spans="1:8" x14ac:dyDescent="0.25">
      <c r="A511" s="154">
        <v>46034</v>
      </c>
      <c r="B511" s="3" t="s">
        <v>1838</v>
      </c>
      <c r="C511" s="3">
        <v>1</v>
      </c>
      <c r="D511" s="3" t="str">
        <f>VLOOKUP(B511,'Element wise-detail Summary'!$A:$D,2,0)</f>
        <v>V16</v>
      </c>
      <c r="E511" s="3" t="str">
        <f>IFERROR(VLOOKUP(B511,'Element wise-detail Summary'!$A:$D,3,0),0)</f>
        <v>Zone-4</v>
      </c>
      <c r="F511" s="143" t="str">
        <f>VLOOKUP(B511,'AFC Data details'!$B:$B,1,0)</f>
        <v>AZ4-V16-T1C14-001</v>
      </c>
      <c r="H511" s="3">
        <f>_xlfn.XLOOKUP(B511,'AFC Data details'!B:B,'AFC Data details'!P:P)</f>
        <v>2.194</v>
      </c>
    </row>
    <row r="512" spans="1:8" x14ac:dyDescent="0.25">
      <c r="A512" s="154">
        <v>46034</v>
      </c>
      <c r="B512" s="3" t="s">
        <v>1578</v>
      </c>
      <c r="C512" s="3">
        <v>1</v>
      </c>
      <c r="D512" s="3" t="str">
        <f>VLOOKUP(B512,'Element wise-detail Summary'!$A:$D,2,0)</f>
        <v>V62</v>
      </c>
      <c r="E512" s="3" t="str">
        <f>IFERROR(VLOOKUP(B512,'Element wise-detail Summary'!$A:$D,3,0),0)</f>
        <v>Zone-5</v>
      </c>
      <c r="F512" s="143" t="str">
        <f>VLOOKUP(B512,'AFC Data details'!$B:$B,1,0)</f>
        <v>AZ5-V62-T1C6-003</v>
      </c>
      <c r="H512" s="3">
        <f>_xlfn.XLOOKUP(B512,'AFC Data details'!B:B,'AFC Data details'!P:P)</f>
        <v>2.0529999999999999</v>
      </c>
    </row>
    <row r="513" spans="1:8" x14ac:dyDescent="0.25">
      <c r="A513" s="154">
        <v>46034</v>
      </c>
      <c r="B513" s="3" t="s">
        <v>1989</v>
      </c>
      <c r="C513" s="3">
        <v>1</v>
      </c>
      <c r="D513" s="3" t="str">
        <f>VLOOKUP(B513,'Element wise-detail Summary'!$A:$D,2,0)</f>
        <v>V12</v>
      </c>
      <c r="E513" s="3" t="str">
        <f>IFERROR(VLOOKUP(B513,'Element wise-detail Summary'!$A:$D,3,0),0)</f>
        <v>Zone-4</v>
      </c>
      <c r="F513" s="143" t="str">
        <f>VLOOKUP(B513,'AFC Data details'!$B:$B,1,0)</f>
        <v>AZ4-V12-T2C1-001</v>
      </c>
      <c r="H513" s="3">
        <f>_xlfn.XLOOKUP(B513,'AFC Data details'!B:B,'AFC Data details'!P:P)</f>
        <v>1.4119999999999999</v>
      </c>
    </row>
    <row r="514" spans="1:8" x14ac:dyDescent="0.25">
      <c r="A514" s="154">
        <v>46034</v>
      </c>
      <c r="B514" s="3" t="s">
        <v>1575</v>
      </c>
      <c r="C514" s="3">
        <v>1</v>
      </c>
      <c r="D514" s="3" t="str">
        <f>VLOOKUP(B514,'Element wise-detail Summary'!$A:$D,2,0)</f>
        <v>V62</v>
      </c>
      <c r="E514" s="3" t="str">
        <f>IFERROR(VLOOKUP(B514,'Element wise-detail Summary'!$A:$D,3,0),0)</f>
        <v>Zone-5</v>
      </c>
      <c r="F514" s="143" t="str">
        <f>VLOOKUP(B514,'AFC Data details'!$B:$B,1,0)</f>
        <v>AZ5-V62-T1C6-001</v>
      </c>
      <c r="H514" s="3">
        <f>_xlfn.XLOOKUP(B514,'AFC Data details'!B:B,'AFC Data details'!P:P)</f>
        <v>2.0470000000000002</v>
      </c>
    </row>
    <row r="515" spans="1:8" x14ac:dyDescent="0.25">
      <c r="A515" s="154">
        <v>46034</v>
      </c>
      <c r="B515" s="3" t="s">
        <v>1543</v>
      </c>
      <c r="C515" s="3">
        <v>1</v>
      </c>
      <c r="D515" s="3" t="str">
        <f>VLOOKUP(B515,'Element wise-detail Summary'!$A:$D,2,0)</f>
        <v>V54</v>
      </c>
      <c r="E515" s="3" t="str">
        <f>IFERROR(VLOOKUP(B515,'Element wise-detail Summary'!$A:$D,3,0),0)</f>
        <v>Zone-3</v>
      </c>
      <c r="F515" s="143" t="str">
        <f>VLOOKUP(B515,'AFC Data details'!$B:$B,1,0)</f>
        <v>AZ3-V54-T3C5-003</v>
      </c>
      <c r="H515" s="3">
        <f>_xlfn.XLOOKUP(B515,'AFC Data details'!B:B,'AFC Data details'!P:P)</f>
        <v>1.4690000000000001</v>
      </c>
    </row>
    <row r="516" spans="1:8" x14ac:dyDescent="0.25">
      <c r="A516" s="154">
        <v>46034</v>
      </c>
      <c r="B516" s="3" t="s">
        <v>1822</v>
      </c>
      <c r="C516" s="3">
        <v>1</v>
      </c>
      <c r="D516" s="3" t="str">
        <f>VLOOKUP(B516,'Element wise-detail Summary'!$A:$D,2,0)</f>
        <v>V12</v>
      </c>
      <c r="E516" s="3" t="str">
        <f>IFERROR(VLOOKUP(B516,'Element wise-detail Summary'!$A:$D,3,0),0)</f>
        <v>Zone-4</v>
      </c>
      <c r="F516" s="143" t="str">
        <f>VLOOKUP(B516,'AFC Data details'!$B:$B,1,0)</f>
        <v>AZ4-V12-T3C5-001</v>
      </c>
      <c r="H516" s="3">
        <f>_xlfn.XLOOKUP(B516,'AFC Data details'!B:B,'AFC Data details'!P:P)</f>
        <v>1.389</v>
      </c>
    </row>
    <row r="517" spans="1:8" x14ac:dyDescent="0.25">
      <c r="A517" s="154">
        <v>46034</v>
      </c>
      <c r="B517" s="3" t="s">
        <v>1802</v>
      </c>
      <c r="C517" s="3">
        <v>1</v>
      </c>
      <c r="D517" s="3" t="str">
        <f>VLOOKUP(B517,'Element wise-detail Summary'!$A:$D,2,0)</f>
        <v>V07</v>
      </c>
      <c r="E517" s="3" t="str">
        <f>IFERROR(VLOOKUP(B517,'Element wise-detail Summary'!$A:$D,3,0),0)</f>
        <v>Zone-4</v>
      </c>
      <c r="F517" s="143" t="str">
        <f>VLOOKUP(B517,'AFC Data details'!$B:$B,1,0)</f>
        <v>AZ4-V07-T3C3S-005</v>
      </c>
      <c r="H517" s="3">
        <f>_xlfn.XLOOKUP(B517,'AFC Data details'!B:B,'AFC Data details'!P:P)</f>
        <v>1.6819999999999999</v>
      </c>
    </row>
    <row r="518" spans="1:8" x14ac:dyDescent="0.25">
      <c r="A518" s="154">
        <v>46034</v>
      </c>
      <c r="B518" s="3" t="s">
        <v>1629</v>
      </c>
      <c r="C518" s="3">
        <v>1</v>
      </c>
      <c r="D518" s="3" t="str">
        <f>VLOOKUP(B518,'Element wise-detail Summary'!$A:$D,2,0)</f>
        <v>V70</v>
      </c>
      <c r="E518" s="3" t="str">
        <f>IFERROR(VLOOKUP(B518,'Element wise-detail Summary'!$A:$D,3,0),0)</f>
        <v>Zone-5</v>
      </c>
      <c r="F518" s="143" t="str">
        <f>VLOOKUP(B518,'AFC Data details'!$B:$B,1,0)</f>
        <v>AZ5-V70-T1C13-003</v>
      </c>
      <c r="H518" s="3">
        <f>_xlfn.XLOOKUP(B518,'AFC Data details'!B:B,'AFC Data details'!P:P)</f>
        <v>2.052</v>
      </c>
    </row>
    <row r="519" spans="1:8" x14ac:dyDescent="0.25">
      <c r="A519" s="154">
        <v>46034</v>
      </c>
      <c r="B519" s="3" t="s">
        <v>1622</v>
      </c>
      <c r="C519" s="3">
        <v>1</v>
      </c>
      <c r="D519" s="3" t="str">
        <f>VLOOKUP(B519,'Element wise-detail Summary'!$A:$D,2,0)</f>
        <v>V69</v>
      </c>
      <c r="E519" s="3" t="str">
        <f>IFERROR(VLOOKUP(B519,'Element wise-detail Summary'!$A:$D,3,0),0)</f>
        <v>Zone-5</v>
      </c>
      <c r="F519" s="143" t="str">
        <f>VLOOKUP(B519,'AFC Data details'!$B:$B,1,0)</f>
        <v>AZ5-V69-T1C6-004</v>
      </c>
      <c r="H519" s="3">
        <f>_xlfn.XLOOKUP(B519,'AFC Data details'!B:B,'AFC Data details'!P:P)</f>
        <v>2.0840000000000001</v>
      </c>
    </row>
    <row r="520" spans="1:8" x14ac:dyDescent="0.25">
      <c r="A520" s="154">
        <v>46034</v>
      </c>
      <c r="B520" s="3" t="s">
        <v>1615</v>
      </c>
      <c r="C520" s="3">
        <v>1</v>
      </c>
      <c r="D520" s="3" t="str">
        <f>VLOOKUP(B520,'Element wise-detail Summary'!$A:$D,2,0)</f>
        <v>V68</v>
      </c>
      <c r="E520" s="3" t="str">
        <f>IFERROR(VLOOKUP(B520,'Element wise-detail Summary'!$A:$D,3,0),0)</f>
        <v>Zone-5</v>
      </c>
      <c r="F520" s="143" t="str">
        <f>VLOOKUP(B520,'AFC Data details'!$B:$B,1,0)</f>
        <v>AZ5-V68-T1C6-001</v>
      </c>
      <c r="H520" s="3">
        <f>_xlfn.XLOOKUP(B520,'AFC Data details'!B:B,'AFC Data details'!P:P)</f>
        <v>2.0470000000000002</v>
      </c>
    </row>
    <row r="521" spans="1:8" x14ac:dyDescent="0.25">
      <c r="A521" s="154">
        <v>46034</v>
      </c>
      <c r="B521" s="3" t="s">
        <v>1636</v>
      </c>
      <c r="C521" s="3">
        <v>1</v>
      </c>
      <c r="D521" s="3" t="str">
        <f>VLOOKUP(B521,'Element wise-detail Summary'!$A:$D,2,0)</f>
        <v>V55</v>
      </c>
      <c r="E521" s="3" t="str">
        <f>IFERROR(VLOOKUP(B521,'Element wise-detail Summary'!$A:$D,3,0),0)</f>
        <v>Zone-5</v>
      </c>
      <c r="F521" s="143" t="str">
        <f>VLOOKUP(B521,'AFC Data details'!$B:$B,1,0)</f>
        <v>AZ5-V55-T1C14-001</v>
      </c>
      <c r="H521" s="3">
        <f>_xlfn.XLOOKUP(B521,'AFC Data details'!B:B,'AFC Data details'!P:P)</f>
        <v>2.2919999999999998</v>
      </c>
    </row>
    <row r="522" spans="1:8" x14ac:dyDescent="0.25">
      <c r="A522" s="154">
        <v>46034</v>
      </c>
      <c r="B522" s="3" t="s">
        <v>1592</v>
      </c>
      <c r="C522" s="3">
        <v>1</v>
      </c>
      <c r="D522" s="3" t="str">
        <f>VLOOKUP(B522,'Element wise-detail Summary'!$A:$D,2,0)</f>
        <v>V65</v>
      </c>
      <c r="E522" s="3" t="str">
        <f>IFERROR(VLOOKUP(B522,'Element wise-detail Summary'!$A:$D,3,0),0)</f>
        <v>Zone-5</v>
      </c>
      <c r="F522" s="143" t="str">
        <f>VLOOKUP(B522,'AFC Data details'!$B:$B,1,0)</f>
        <v>AZ5-V65-T1C6-005</v>
      </c>
      <c r="H522" s="3">
        <f>_xlfn.XLOOKUP(B522,'AFC Data details'!B:B,'AFC Data details'!P:P)</f>
        <v>2.0840000000000001</v>
      </c>
    </row>
    <row r="523" spans="1:8" x14ac:dyDescent="0.25">
      <c r="A523" s="154">
        <v>46035</v>
      </c>
      <c r="B523" s="3" t="s">
        <v>1569</v>
      </c>
      <c r="C523" s="3">
        <v>1</v>
      </c>
      <c r="D523" s="3" t="str">
        <f>VLOOKUP(B523,'Element wise-detail Summary'!$A:$D,2,0)</f>
        <v>V61</v>
      </c>
      <c r="E523" s="3" t="str">
        <f>IFERROR(VLOOKUP(B523,'Element wise-detail Summary'!$A:$D,3,0),0)</f>
        <v>Zone-5</v>
      </c>
      <c r="F523" s="143" t="str">
        <f>VLOOKUP(B523,'AFC Data details'!$B:$B,1,0)</f>
        <v>AZ5-V61-T1C13-002</v>
      </c>
      <c r="H523" s="3">
        <f>_xlfn.XLOOKUP(B523,'AFC Data details'!B:B,'AFC Data details'!P:P)</f>
        <v>1.9950000000000001</v>
      </c>
    </row>
    <row r="524" spans="1:8" x14ac:dyDescent="0.25">
      <c r="A524" s="154">
        <v>46035</v>
      </c>
      <c r="B524" s="3" t="s">
        <v>1660</v>
      </c>
      <c r="C524" s="3">
        <v>1</v>
      </c>
      <c r="D524" s="3" t="str">
        <f>VLOOKUP(B524,'Element wise-detail Summary'!$A:$D,2,0)</f>
        <v>V60</v>
      </c>
      <c r="E524" s="3" t="str">
        <f>IFERROR(VLOOKUP(B524,'Element wise-detail Summary'!$A:$D,3,0),0)</f>
        <v>Zone-5</v>
      </c>
      <c r="F524" s="143" t="str">
        <f>VLOOKUP(B524,'AFC Data details'!$B:$B,1,0)</f>
        <v>AZ5-V60-T1C13-001</v>
      </c>
      <c r="H524" s="3">
        <f>_xlfn.XLOOKUP(B524,'AFC Data details'!B:B,'AFC Data details'!P:P)</f>
        <v>2.1760000000000002</v>
      </c>
    </row>
    <row r="525" spans="1:8" x14ac:dyDescent="0.25">
      <c r="A525" s="154">
        <v>46035</v>
      </c>
      <c r="B525" s="3" t="s">
        <v>1579</v>
      </c>
      <c r="C525" s="3">
        <v>1</v>
      </c>
      <c r="D525" s="3" t="str">
        <f>VLOOKUP(B525,'Element wise-detail Summary'!$A:$D,2,0)</f>
        <v>V63</v>
      </c>
      <c r="E525" s="3" t="str">
        <f>IFERROR(VLOOKUP(B525,'Element wise-detail Summary'!$A:$D,3,0),0)</f>
        <v>Zone-5</v>
      </c>
      <c r="F525" s="143" t="str">
        <f>VLOOKUP(B525,'AFC Data details'!$B:$B,1,0)</f>
        <v>AZ5-V63-T1C6-002</v>
      </c>
      <c r="H525" s="3">
        <f>_xlfn.XLOOKUP(B525,'AFC Data details'!B:B,'AFC Data details'!P:P)</f>
        <v>2.0529999999999999</v>
      </c>
    </row>
    <row r="526" spans="1:8" x14ac:dyDescent="0.25">
      <c r="A526" s="154">
        <v>46035</v>
      </c>
      <c r="B526" s="3" t="s">
        <v>1780</v>
      </c>
      <c r="C526" s="3">
        <v>1</v>
      </c>
      <c r="D526" s="3" t="str">
        <f>VLOOKUP(B526,'Element wise-detail Summary'!$A:$D,2,0)</f>
        <v>V03</v>
      </c>
      <c r="E526" s="3" t="str">
        <f>IFERROR(VLOOKUP(B526,'Element wise-detail Summary'!$A:$D,3,0),0)</f>
        <v>Zone-4</v>
      </c>
      <c r="F526" s="143" t="str">
        <f>VLOOKUP(B526,'AFC Data details'!$B:$B,1,0)</f>
        <v>AZ4-V03-T3C4-002</v>
      </c>
      <c r="H526" s="3">
        <f>_xlfn.XLOOKUP(B526,'AFC Data details'!B:B,'AFC Data details'!P:P)</f>
        <v>1.3640000000000001</v>
      </c>
    </row>
    <row r="527" spans="1:8" x14ac:dyDescent="0.25">
      <c r="A527" s="154">
        <v>46035</v>
      </c>
      <c r="B527" s="3" t="s">
        <v>1823</v>
      </c>
      <c r="C527" s="3">
        <v>1</v>
      </c>
      <c r="D527" s="3" t="str">
        <f>VLOOKUP(B527,'Element wise-detail Summary'!$A:$D,2,0)</f>
        <v>V13</v>
      </c>
      <c r="E527" s="3" t="str">
        <f>IFERROR(VLOOKUP(B527,'Element wise-detail Summary'!$A:$D,3,0),0)</f>
        <v>Zone-4</v>
      </c>
      <c r="F527" s="143" t="str">
        <f>VLOOKUP(B527,'AFC Data details'!$B:$B,1,0)</f>
        <v>AZ4-V13-T3C6-001</v>
      </c>
      <c r="H527" s="3">
        <f>_xlfn.XLOOKUP(B527,'AFC Data details'!B:B,'AFC Data details'!P:P)</f>
        <v>1.7929999999999999</v>
      </c>
    </row>
    <row r="528" spans="1:8" x14ac:dyDescent="0.25">
      <c r="A528" s="154">
        <v>46035</v>
      </c>
      <c r="B528" s="3" t="s">
        <v>1623</v>
      </c>
      <c r="C528" s="3">
        <v>1</v>
      </c>
      <c r="D528" s="3" t="str">
        <f>VLOOKUP(B528,'Element wise-detail Summary'!$A:$D,2,0)</f>
        <v>V69</v>
      </c>
      <c r="E528" s="3" t="str">
        <f>IFERROR(VLOOKUP(B528,'Element wise-detail Summary'!$A:$D,3,0),0)</f>
        <v>Zone-5</v>
      </c>
      <c r="F528" s="143" t="str">
        <f>VLOOKUP(B528,'AFC Data details'!$B:$B,1,0)</f>
        <v>AZ5-V69-T1C6-005</v>
      </c>
      <c r="H528" s="3">
        <f>_xlfn.XLOOKUP(B528,'AFC Data details'!B:B,'AFC Data details'!P:P)</f>
        <v>2.0840000000000001</v>
      </c>
    </row>
    <row r="529" spans="1:8" x14ac:dyDescent="0.25">
      <c r="A529" s="154">
        <v>46035</v>
      </c>
      <c r="B529" s="3" t="s">
        <v>1616</v>
      </c>
      <c r="C529" s="3">
        <v>1</v>
      </c>
      <c r="D529" s="3" t="str">
        <f>VLOOKUP(B529,'Element wise-detail Summary'!$A:$D,2,0)</f>
        <v>V68</v>
      </c>
      <c r="E529" s="3" t="str">
        <f>IFERROR(VLOOKUP(B529,'Element wise-detail Summary'!$A:$D,3,0),0)</f>
        <v>Zone-5</v>
      </c>
      <c r="F529" s="143" t="str">
        <f>VLOOKUP(B529,'AFC Data details'!$B:$B,1,0)</f>
        <v>AZ5-V68-T1C6-002</v>
      </c>
      <c r="H529" s="3">
        <f>_xlfn.XLOOKUP(B529,'AFC Data details'!B:B,'AFC Data details'!P:P)</f>
        <v>2.0339999999999998</v>
      </c>
    </row>
    <row r="530" spans="1:8" x14ac:dyDescent="0.25">
      <c r="A530" s="154">
        <v>46035</v>
      </c>
      <c r="B530" s="3" t="s">
        <v>1803</v>
      </c>
      <c r="C530" s="3">
        <v>1</v>
      </c>
      <c r="D530" s="3" t="str">
        <f>VLOOKUP(B530,'Element wise-detail Summary'!$A:$D,2,0)</f>
        <v>V08</v>
      </c>
      <c r="E530" s="3" t="str">
        <f>IFERROR(VLOOKUP(B530,'Element wise-detail Summary'!$A:$D,3,0),0)</f>
        <v>Zone-4</v>
      </c>
      <c r="F530" s="143" t="str">
        <f>VLOOKUP(B530,'AFC Data details'!$B:$B,1,0)</f>
        <v>AZ4-V08-T1C3S-001</v>
      </c>
      <c r="H530" s="3">
        <f>_xlfn.XLOOKUP(B530,'AFC Data details'!B:B,'AFC Data details'!P:P)</f>
        <v>1.4119999999999999</v>
      </c>
    </row>
    <row r="531" spans="1:8" x14ac:dyDescent="0.25">
      <c r="A531" s="154">
        <v>46035</v>
      </c>
      <c r="B531" s="3" t="s">
        <v>1593</v>
      </c>
      <c r="C531" s="3">
        <v>1</v>
      </c>
      <c r="D531" s="3" t="str">
        <f>VLOOKUP(B531,'Element wise-detail Summary'!$A:$D,2,0)</f>
        <v>V66</v>
      </c>
      <c r="E531" s="3" t="str">
        <f>IFERROR(VLOOKUP(B531,'Element wise-detail Summary'!$A:$D,3,0),0)</f>
        <v>Zone-5</v>
      </c>
      <c r="F531" s="143" t="str">
        <f>VLOOKUP(B531,'AFC Data details'!$B:$B,1,0)</f>
        <v>AZ5-V66-T1C6-004</v>
      </c>
      <c r="H531" s="3">
        <f>_xlfn.XLOOKUP(B531,'AFC Data details'!B:B,'AFC Data details'!P:P)</f>
        <v>2.0840000000000001</v>
      </c>
    </row>
    <row r="532" spans="1:8" x14ac:dyDescent="0.25">
      <c r="A532" s="154">
        <v>46035</v>
      </c>
      <c r="B532" s="3" t="s">
        <v>1808</v>
      </c>
      <c r="C532" s="3">
        <v>1</v>
      </c>
      <c r="D532" s="3" t="str">
        <f>VLOOKUP(B532,'Element wise-detail Summary'!$A:$D,2,0)</f>
        <v>V08</v>
      </c>
      <c r="E532" s="3" t="str">
        <f>IFERROR(VLOOKUP(B532,'Element wise-detail Summary'!$A:$D,3,0),0)</f>
        <v>Zone-4</v>
      </c>
      <c r="F532" s="143" t="str">
        <f>VLOOKUP(B532,'AFC Data details'!$B:$B,1,0)</f>
        <v>AZ4-V08-T3C3-005</v>
      </c>
      <c r="H532" s="3">
        <f>_xlfn.XLOOKUP(B532,'AFC Data details'!B:B,'AFC Data details'!P:P)</f>
        <v>1.569</v>
      </c>
    </row>
    <row r="533" spans="1:8" x14ac:dyDescent="0.25">
      <c r="A533" s="154">
        <v>46036</v>
      </c>
      <c r="B533" s="3" t="s">
        <v>1570</v>
      </c>
      <c r="C533" s="3">
        <v>1</v>
      </c>
      <c r="D533" s="3" t="str">
        <f>VLOOKUP(B533,'Element wise-detail Summary'!$A:$D,2,0)</f>
        <v>V61</v>
      </c>
      <c r="E533" s="3" t="str">
        <f>IFERROR(VLOOKUP(B533,'Element wise-detail Summary'!$A:$D,3,0),0)</f>
        <v>Zone-5</v>
      </c>
      <c r="F533" s="143" t="str">
        <f>VLOOKUP(B533,'AFC Data details'!$B:$B,1,0)</f>
        <v>AZ5-V61-T1C13-003</v>
      </c>
      <c r="H533" s="3">
        <f>_xlfn.XLOOKUP(B533,'AFC Data details'!B:B,'AFC Data details'!P:P)</f>
        <v>2.0550000000000002</v>
      </c>
    </row>
    <row r="534" spans="1:8" x14ac:dyDescent="0.25">
      <c r="A534" s="154">
        <v>46036</v>
      </c>
      <c r="B534" s="3" t="s">
        <v>1661</v>
      </c>
      <c r="C534" s="3">
        <v>1</v>
      </c>
      <c r="D534" s="3" t="str">
        <f>VLOOKUP(B534,'Element wise-detail Summary'!$A:$D,2,0)</f>
        <v>V60</v>
      </c>
      <c r="E534" s="3" t="str">
        <f>IFERROR(VLOOKUP(B534,'Element wise-detail Summary'!$A:$D,3,0),0)</f>
        <v>Zone-5</v>
      </c>
      <c r="F534" s="143" t="str">
        <f>VLOOKUP(B534,'AFC Data details'!$B:$B,1,0)</f>
        <v>AZ5-V60-T1C13-002</v>
      </c>
      <c r="H534" s="3">
        <f>_xlfn.XLOOKUP(B534,'AFC Data details'!B:B,'AFC Data details'!P:P)</f>
        <v>2.0299999999999998</v>
      </c>
    </row>
    <row r="535" spans="1:8" x14ac:dyDescent="0.25">
      <c r="A535" s="154">
        <v>46036</v>
      </c>
      <c r="B535" s="3" t="s">
        <v>1580</v>
      </c>
      <c r="C535" s="3">
        <v>1</v>
      </c>
      <c r="D535" s="3" t="str">
        <f>VLOOKUP(B535,'Element wise-detail Summary'!$A:$D,2,0)</f>
        <v>V63</v>
      </c>
      <c r="E535" s="3" t="str">
        <f>IFERROR(VLOOKUP(B535,'Element wise-detail Summary'!$A:$D,3,0),0)</f>
        <v>Zone-5</v>
      </c>
      <c r="F535" s="143" t="str">
        <f>VLOOKUP(B535,'AFC Data details'!$B:$B,1,0)</f>
        <v>AZ5-V63-T1C6-003</v>
      </c>
      <c r="H535" s="3">
        <f>_xlfn.XLOOKUP(B535,'AFC Data details'!B:B,'AFC Data details'!P:P)</f>
        <v>2.0529999999999999</v>
      </c>
    </row>
    <row r="536" spans="1:8" x14ac:dyDescent="0.25">
      <c r="A536" s="154">
        <v>46036</v>
      </c>
      <c r="B536" s="3" t="s">
        <v>1990</v>
      </c>
      <c r="C536" s="3">
        <v>1</v>
      </c>
      <c r="D536" s="3" t="str">
        <f>VLOOKUP(B536,'Element wise-detail Summary'!$A:$D,2,0)</f>
        <v>V10</v>
      </c>
      <c r="E536" s="3" t="str">
        <f>IFERROR(VLOOKUP(B536,'Element wise-detail Summary'!$A:$D,3,0),0)</f>
        <v>Zone-4</v>
      </c>
      <c r="F536" s="143" t="str">
        <f>VLOOKUP(B536,'AFC Data details'!$B:$B,1,0)</f>
        <v>AZ4-V10-T2C1-001</v>
      </c>
      <c r="H536" s="3">
        <f>_xlfn.XLOOKUP(B536,'AFC Data details'!B:B,'AFC Data details'!P:P)</f>
        <v>1.4119999999999999</v>
      </c>
    </row>
    <row r="537" spans="1:8" x14ac:dyDescent="0.25">
      <c r="A537" s="154">
        <v>46036</v>
      </c>
      <c r="B537" s="3" t="s">
        <v>1584</v>
      </c>
      <c r="C537" s="3">
        <v>1</v>
      </c>
      <c r="D537" s="3" t="str">
        <f>VLOOKUP(B537,'Element wise-detail Summary'!$A:$D,2,0)</f>
        <v>V67</v>
      </c>
      <c r="E537" s="3" t="str">
        <f>IFERROR(VLOOKUP(B537,'Element wise-detail Summary'!$A:$D,3,0),0)</f>
        <v>Zone-5</v>
      </c>
      <c r="F537" s="143" t="str">
        <f>VLOOKUP(B537,'AFC Data details'!$B:$B,1,0)</f>
        <v>AZ5-V67-T1C6-003</v>
      </c>
      <c r="H537" s="3">
        <f>_xlfn.XLOOKUP(B537,'AFC Data details'!B:B,'AFC Data details'!P:P)</f>
        <v>2.0529999999999999</v>
      </c>
    </row>
    <row r="538" spans="1:8" x14ac:dyDescent="0.25">
      <c r="A538" s="154">
        <v>46036</v>
      </c>
      <c r="B538" s="3" t="s">
        <v>1825</v>
      </c>
      <c r="C538" s="3">
        <v>1</v>
      </c>
      <c r="D538" s="3" t="str">
        <f>VLOOKUP(B538,'Element wise-detail Summary'!$A:$D,2,0)</f>
        <v>V13</v>
      </c>
      <c r="E538" s="3" t="str">
        <f>IFERROR(VLOOKUP(B538,'Element wise-detail Summary'!$A:$D,3,0),0)</f>
        <v>Zone-4</v>
      </c>
      <c r="F538" s="143" t="str">
        <f>VLOOKUP(B538,'AFC Data details'!$B:$B,1,0)</f>
        <v>AZ4-V13-T3C6-002</v>
      </c>
      <c r="H538" s="3">
        <f>_xlfn.XLOOKUP(B538,'AFC Data details'!B:B,'AFC Data details'!P:P)</f>
        <v>1.621</v>
      </c>
    </row>
    <row r="539" spans="1:8" x14ac:dyDescent="0.25">
      <c r="A539" s="154">
        <v>46036</v>
      </c>
      <c r="B539" s="3" t="s">
        <v>1589</v>
      </c>
      <c r="C539" s="3">
        <v>1</v>
      </c>
      <c r="D539" s="3" t="str">
        <f>VLOOKUP(B539,'Element wise-detail Summary'!$A:$D,2,0)</f>
        <v>V64</v>
      </c>
      <c r="E539" s="3" t="str">
        <f>IFERROR(VLOOKUP(B539,'Element wise-detail Summary'!$A:$D,3,0),0)</f>
        <v>Zone-5</v>
      </c>
      <c r="F539" s="143" t="str">
        <f>VLOOKUP(B539,'AFC Data details'!$B:$B,1,0)</f>
        <v>AZ5-V64-T1C6-004</v>
      </c>
      <c r="H539" s="3">
        <f>_xlfn.XLOOKUP(B539,'AFC Data details'!B:B,'AFC Data details'!P:P)</f>
        <v>2.0840000000000001</v>
      </c>
    </row>
    <row r="540" spans="1:8" x14ac:dyDescent="0.25">
      <c r="A540" s="154">
        <v>46036</v>
      </c>
      <c r="B540" s="3" t="s">
        <v>1630</v>
      </c>
      <c r="C540" s="3">
        <v>1</v>
      </c>
      <c r="D540" s="3" t="str">
        <f>VLOOKUP(B540,'Element wise-detail Summary'!$A:$D,2,0)</f>
        <v>V70</v>
      </c>
      <c r="E540" s="3" t="str">
        <f>IFERROR(VLOOKUP(B540,'Element wise-detail Summary'!$A:$D,3,0),0)</f>
        <v>Zone-5</v>
      </c>
      <c r="F540" s="143" t="str">
        <f>VLOOKUP(B540,'AFC Data details'!$B:$B,1,0)</f>
        <v>AZ5-V70-T1C13-004</v>
      </c>
      <c r="H540" s="3">
        <f>_xlfn.XLOOKUP(B540,'AFC Data details'!B:B,'AFC Data details'!P:P)</f>
        <v>2.052</v>
      </c>
    </row>
    <row r="541" spans="1:8" x14ac:dyDescent="0.25">
      <c r="A541" s="154">
        <v>46036</v>
      </c>
      <c r="B541" s="3" t="s">
        <v>1631</v>
      </c>
      <c r="C541" s="3">
        <v>1</v>
      </c>
      <c r="D541" s="3" t="str">
        <f>VLOOKUP(B541,'Element wise-detail Summary'!$A:$D,2,0)</f>
        <v>V70</v>
      </c>
      <c r="E541" s="3" t="str">
        <f>IFERROR(VLOOKUP(B541,'Element wise-detail Summary'!$A:$D,3,0),0)</f>
        <v>Zone-5</v>
      </c>
      <c r="F541" s="143" t="str">
        <f>VLOOKUP(B541,'AFC Data details'!$B:$B,1,0)</f>
        <v>AZ5-V70-T1C13-005</v>
      </c>
      <c r="H541" s="3">
        <f>_xlfn.XLOOKUP(B541,'AFC Data details'!B:B,'AFC Data details'!P:P)</f>
        <v>2.052</v>
      </c>
    </row>
    <row r="542" spans="1:8" x14ac:dyDescent="0.25">
      <c r="A542" s="154">
        <v>46036</v>
      </c>
      <c r="B542" s="3" t="s">
        <v>1624</v>
      </c>
      <c r="C542" s="3">
        <v>1</v>
      </c>
      <c r="D542" s="3" t="str">
        <f>VLOOKUP(B542,'Element wise-detail Summary'!$A:$D,2,0)</f>
        <v>V68</v>
      </c>
      <c r="E542" s="3" t="str">
        <f>IFERROR(VLOOKUP(B542,'Element wise-detail Summary'!$A:$D,3,0),0)</f>
        <v>Zone-5</v>
      </c>
      <c r="F542" s="143" t="str">
        <f>VLOOKUP(B542,'AFC Data details'!$B:$B,1,0)</f>
        <v>AZ5-V68-T1C6-006</v>
      </c>
      <c r="H542" s="3">
        <f>_xlfn.XLOOKUP(B542,'AFC Data details'!B:B,'AFC Data details'!P:P)</f>
        <v>2.0840000000000001</v>
      </c>
    </row>
    <row r="543" spans="1:8" x14ac:dyDescent="0.25">
      <c r="A543" s="154">
        <v>46036</v>
      </c>
      <c r="B543" s="3" t="s">
        <v>1617</v>
      </c>
      <c r="C543" s="3">
        <v>1</v>
      </c>
      <c r="D543" s="3" t="str">
        <f>VLOOKUP(B543,'Element wise-detail Summary'!$A:$D,2,0)</f>
        <v>V68</v>
      </c>
      <c r="E543" s="3" t="str">
        <f>IFERROR(VLOOKUP(B543,'Element wise-detail Summary'!$A:$D,3,0),0)</f>
        <v>Zone-5</v>
      </c>
      <c r="F543" s="143" t="str">
        <f>VLOOKUP(B543,'AFC Data details'!$B:$B,1,0)</f>
        <v>AZ5-V68-T1C6-003</v>
      </c>
      <c r="H543" s="3">
        <f>_xlfn.XLOOKUP(B543,'AFC Data details'!B:B,'AFC Data details'!P:P)</f>
        <v>2.0339999999999998</v>
      </c>
    </row>
    <row r="544" spans="1:8" x14ac:dyDescent="0.25">
      <c r="A544" s="154">
        <v>46036</v>
      </c>
      <c r="B544" s="3" t="s">
        <v>1637</v>
      </c>
      <c r="C544" s="3">
        <v>1</v>
      </c>
      <c r="D544" s="3" t="str">
        <f>VLOOKUP(B544,'Element wise-detail Summary'!$A:$D,2,0)</f>
        <v>V55</v>
      </c>
      <c r="E544" s="3" t="str">
        <f>IFERROR(VLOOKUP(B544,'Element wise-detail Summary'!$A:$D,3,0),0)</f>
        <v>Zone-5</v>
      </c>
      <c r="F544" s="143" t="str">
        <f>VLOOKUP(B544,'AFC Data details'!$B:$B,1,0)</f>
        <v>AZ5-V55-T1C14-002</v>
      </c>
      <c r="H544" s="3">
        <f>_xlfn.XLOOKUP(B544,'AFC Data details'!B:B,'AFC Data details'!P:P)</f>
        <v>2.2919999999999998</v>
      </c>
    </row>
    <row r="545" spans="1:8" x14ac:dyDescent="0.25">
      <c r="A545" s="154">
        <v>46036</v>
      </c>
      <c r="B545" s="3" t="s">
        <v>1594</v>
      </c>
      <c r="C545" s="3">
        <v>1</v>
      </c>
      <c r="D545" s="3" t="str">
        <f>VLOOKUP(B545,'Element wise-detail Summary'!$A:$D,2,0)</f>
        <v>V66</v>
      </c>
      <c r="E545" s="3" t="str">
        <f>IFERROR(VLOOKUP(B545,'Element wise-detail Summary'!$A:$D,3,0),0)</f>
        <v>Zone-5</v>
      </c>
      <c r="F545" s="143" t="str">
        <f>VLOOKUP(B545,'AFC Data details'!$B:$B,1,0)</f>
        <v>AZ5-V66-T1C6-005</v>
      </c>
      <c r="H545" s="3">
        <f>_xlfn.XLOOKUP(B545,'AFC Data details'!B:B,'AFC Data details'!P:P)</f>
        <v>2.0840000000000001</v>
      </c>
    </row>
    <row r="546" spans="1:8" x14ac:dyDescent="0.25">
      <c r="A546" s="154">
        <v>46037</v>
      </c>
      <c r="B546" s="3" t="s">
        <v>1571</v>
      </c>
      <c r="C546" s="3">
        <v>1</v>
      </c>
      <c r="D546" s="3" t="str">
        <f>VLOOKUP(B546,'Element wise-detail Summary'!$A:$D,2,0)</f>
        <v>V61</v>
      </c>
      <c r="E546" s="3" t="str">
        <f>IFERROR(VLOOKUP(B546,'Element wise-detail Summary'!$A:$D,3,0),0)</f>
        <v>Zone-5</v>
      </c>
      <c r="F546" s="143" t="str">
        <f>VLOOKUP(B546,'AFC Data details'!$B:$B,1,0)</f>
        <v>AZ5-V61-T1C13-004</v>
      </c>
      <c r="H546" s="3">
        <f>_xlfn.XLOOKUP(B546,'AFC Data details'!B:B,'AFC Data details'!P:P)</f>
        <v>2.0550000000000002</v>
      </c>
    </row>
    <row r="547" spans="1:8" x14ac:dyDescent="0.25">
      <c r="A547" s="154">
        <v>46037</v>
      </c>
      <c r="B547" s="3" t="s">
        <v>1662</v>
      </c>
      <c r="C547" s="3">
        <v>1</v>
      </c>
      <c r="D547" s="3" t="str">
        <f>VLOOKUP(B547,'Element wise-detail Summary'!$A:$D,2,0)</f>
        <v>V60</v>
      </c>
      <c r="E547" s="3" t="str">
        <f>IFERROR(VLOOKUP(B547,'Element wise-detail Summary'!$A:$D,3,0),0)</f>
        <v>Zone-5</v>
      </c>
      <c r="F547" s="143" t="str">
        <f>VLOOKUP(B547,'AFC Data details'!$B:$B,1,0)</f>
        <v>AZ5-V60-T1C13-003</v>
      </c>
      <c r="H547" s="3">
        <f>_xlfn.XLOOKUP(B547,'AFC Data details'!B:B,'AFC Data details'!P:P)</f>
        <v>2.0299999999999998</v>
      </c>
    </row>
    <row r="548" spans="1:8" x14ac:dyDescent="0.25">
      <c r="A548" s="154">
        <v>46037</v>
      </c>
      <c r="B548" s="3" t="s">
        <v>1581</v>
      </c>
      <c r="C548" s="3">
        <v>1</v>
      </c>
      <c r="D548" s="3" t="str">
        <f>VLOOKUP(B548,'Element wise-detail Summary'!$A:$D,2,0)</f>
        <v>V66</v>
      </c>
      <c r="E548" s="3" t="str">
        <f>IFERROR(VLOOKUP(B548,'Element wise-detail Summary'!$A:$D,3,0),0)</f>
        <v>Zone-5</v>
      </c>
      <c r="F548" s="143" t="str">
        <f>VLOOKUP(B548,'AFC Data details'!$B:$B,1,0)</f>
        <v>AZ5-V66-T1C6-002</v>
      </c>
      <c r="H548" s="3">
        <f>_xlfn.XLOOKUP(B548,'AFC Data details'!B:B,'AFC Data details'!P:P)</f>
        <v>2.0529999999999999</v>
      </c>
    </row>
    <row r="549" spans="1:8" x14ac:dyDescent="0.25">
      <c r="A549" s="154">
        <v>46037</v>
      </c>
      <c r="B549" s="3" t="s">
        <v>1655</v>
      </c>
      <c r="C549" s="3">
        <v>1</v>
      </c>
      <c r="D549" s="3" t="str">
        <f>VLOOKUP(B549,'Element wise-detail Summary'!$A:$D,2,0)</f>
        <v>V59</v>
      </c>
      <c r="E549" s="3" t="str">
        <f>IFERROR(VLOOKUP(B549,'Element wise-detail Summary'!$A:$D,3,0),0)</f>
        <v>Zone-5</v>
      </c>
      <c r="F549" s="143" t="str">
        <f>VLOOKUP(B549,'AFC Data details'!$B:$B,1,0)</f>
        <v>AZ5-V59-T2C1-001</v>
      </c>
      <c r="H549" s="3">
        <f>_xlfn.XLOOKUP(B549,'AFC Data details'!B:B,'AFC Data details'!P:P)</f>
        <v>1.4430000000000001</v>
      </c>
    </row>
    <row r="550" spans="1:8" x14ac:dyDescent="0.25">
      <c r="A550" s="154">
        <v>46037</v>
      </c>
      <c r="B550" s="3" t="s">
        <v>1585</v>
      </c>
      <c r="C550" s="3">
        <v>1</v>
      </c>
      <c r="D550" s="3" t="str">
        <f>VLOOKUP(B550,'Element wise-detail Summary'!$A:$D,2,0)</f>
        <v>V62</v>
      </c>
      <c r="E550" s="3" t="str">
        <f>IFERROR(VLOOKUP(B550,'Element wise-detail Summary'!$A:$D,3,0),0)</f>
        <v>Zone-5</v>
      </c>
      <c r="F550" s="143" t="str">
        <f>VLOOKUP(B550,'AFC Data details'!$B:$B,1,0)</f>
        <v>AZ5-V62-T1C6-004</v>
      </c>
      <c r="H550" s="3">
        <f>_xlfn.XLOOKUP(B550,'AFC Data details'!B:B,'AFC Data details'!P:P)</f>
        <v>2.0840000000000001</v>
      </c>
    </row>
    <row r="551" spans="1:8" x14ac:dyDescent="0.25">
      <c r="A551" s="154">
        <v>46037</v>
      </c>
      <c r="B551" s="3" t="s">
        <v>1782</v>
      </c>
      <c r="C551" s="3">
        <v>1</v>
      </c>
      <c r="D551" s="3" t="str">
        <f>VLOOKUP(B551,'Element wise-detail Summary'!$A:$D,2,0)</f>
        <v>V03</v>
      </c>
      <c r="E551" s="3" t="str">
        <f>IFERROR(VLOOKUP(B551,'Element wise-detail Summary'!$A:$D,3,0),0)</f>
        <v>Zone-4</v>
      </c>
      <c r="F551" s="143" t="str">
        <f>VLOOKUP(B551,'AFC Data details'!$B:$B,1,0)</f>
        <v>AZ4-V03-T3C5-001</v>
      </c>
      <c r="H551" s="3">
        <f>_xlfn.XLOOKUP(B551,'AFC Data details'!B:B,'AFC Data details'!P:P)</f>
        <v>1.3879999999999999</v>
      </c>
    </row>
    <row r="552" spans="1:8" x14ac:dyDescent="0.25">
      <c r="A552" s="154">
        <v>46037</v>
      </c>
      <c r="B552" s="3" t="s">
        <v>1828</v>
      </c>
      <c r="C552" s="3">
        <v>1</v>
      </c>
      <c r="D552" s="3" t="str">
        <f>VLOOKUP(B552,'Element wise-detail Summary'!$A:$D,2,0)</f>
        <v>V14</v>
      </c>
      <c r="E552" s="3" t="str">
        <f>IFERROR(VLOOKUP(B552,'Element wise-detail Summary'!$A:$D,3,0),0)</f>
        <v>Zone-4</v>
      </c>
      <c r="F552" s="143" t="str">
        <f>VLOOKUP(B552,'AFC Data details'!$B:$B,1,0)</f>
        <v>AZ4-V14-T3C4-001</v>
      </c>
      <c r="H552" s="3">
        <f>_xlfn.XLOOKUP(B552,'AFC Data details'!B:B,'AFC Data details'!P:P)</f>
        <v>1.575</v>
      </c>
    </row>
    <row r="553" spans="1:8" x14ac:dyDescent="0.25">
      <c r="A553" s="154">
        <v>46037</v>
      </c>
      <c r="B553" s="3" t="s">
        <v>1590</v>
      </c>
      <c r="C553" s="3">
        <v>1</v>
      </c>
      <c r="D553" s="3" t="str">
        <f>VLOOKUP(B553,'Element wise-detail Summary'!$A:$D,2,0)</f>
        <v>V64</v>
      </c>
      <c r="E553" s="3" t="str">
        <f>IFERROR(VLOOKUP(B553,'Element wise-detail Summary'!$A:$D,3,0),0)</f>
        <v>Zone-5</v>
      </c>
      <c r="F553" s="143" t="str">
        <f>VLOOKUP(B553,'AFC Data details'!$B:$B,1,0)</f>
        <v>AZ5-V64-T1C6-005</v>
      </c>
      <c r="H553" s="3">
        <f>_xlfn.XLOOKUP(B553,'AFC Data details'!B:B,'AFC Data details'!P:P)</f>
        <v>2.0840000000000001</v>
      </c>
    </row>
    <row r="554" spans="1:8" x14ac:dyDescent="0.25">
      <c r="A554" s="154">
        <v>46037</v>
      </c>
      <c r="B554" s="3" t="s">
        <v>1573</v>
      </c>
      <c r="C554" s="3">
        <v>1</v>
      </c>
      <c r="D554" s="3" t="str">
        <f>VLOOKUP(B554,'Element wise-detail Summary'!$A:$D,2,0)</f>
        <v>V61</v>
      </c>
      <c r="E554" s="3" t="str">
        <f>IFERROR(VLOOKUP(B554,'Element wise-detail Summary'!$A:$D,3,0),0)</f>
        <v>Zone-5</v>
      </c>
      <c r="F554" s="143" t="str">
        <f>VLOOKUP(B554,'AFC Data details'!$B:$B,1,0)</f>
        <v>AZ5-V61-T1C14-002</v>
      </c>
      <c r="H554" s="3">
        <f>_xlfn.XLOOKUP(B554,'AFC Data details'!B:B,'AFC Data details'!P:P)</f>
        <v>2.1949999999999998</v>
      </c>
    </row>
    <row r="555" spans="1:8" x14ac:dyDescent="0.25">
      <c r="A555" s="154">
        <v>46037</v>
      </c>
      <c r="B555" s="3" t="s">
        <v>1633</v>
      </c>
      <c r="C555" s="3">
        <v>1</v>
      </c>
      <c r="D555" s="3" t="str">
        <f>VLOOKUP(B555,'Element wise-detail Summary'!$A:$D,2,0)</f>
        <v>V55</v>
      </c>
      <c r="E555" s="3" t="str">
        <f>IFERROR(VLOOKUP(B555,'Element wise-detail Summary'!$A:$D,3,0),0)</f>
        <v>Zone-5</v>
      </c>
      <c r="F555" s="143" t="str">
        <f>VLOOKUP(B555,'AFC Data details'!$B:$B,1,0)</f>
        <v>AZ5-V55-T1C2-001</v>
      </c>
      <c r="H555" s="3">
        <f>_xlfn.XLOOKUP(B555,'AFC Data details'!B:B,'AFC Data details'!P:P)</f>
        <v>1.087</v>
      </c>
    </row>
    <row r="556" spans="1:8" x14ac:dyDescent="0.25">
      <c r="A556" s="154">
        <v>46037</v>
      </c>
      <c r="B556" s="3" t="s">
        <v>1618</v>
      </c>
      <c r="C556" s="3">
        <v>1</v>
      </c>
      <c r="D556" s="3" t="str">
        <f>VLOOKUP(B556,'Element wise-detail Summary'!$A:$D,2,0)</f>
        <v>V69</v>
      </c>
      <c r="E556" s="3" t="str">
        <f>IFERROR(VLOOKUP(B556,'Element wise-detail Summary'!$A:$D,3,0),0)</f>
        <v>Zone-5</v>
      </c>
      <c r="F556" s="143" t="str">
        <f>VLOOKUP(B556,'AFC Data details'!$B:$B,1,0)</f>
        <v>AZ5-V69-T1C6-002</v>
      </c>
      <c r="H556" s="3">
        <f>_xlfn.XLOOKUP(B556,'AFC Data details'!B:B,'AFC Data details'!P:P)</f>
        <v>2.0339999999999998</v>
      </c>
    </row>
    <row r="557" spans="1:8" x14ac:dyDescent="0.25">
      <c r="A557" s="154">
        <v>46037</v>
      </c>
      <c r="B557" s="3" t="s">
        <v>1638</v>
      </c>
      <c r="C557" s="3">
        <v>1</v>
      </c>
      <c r="D557" s="3" t="str">
        <f>VLOOKUP(B557,'Element wise-detail Summary'!$A:$D,2,0)</f>
        <v>V55</v>
      </c>
      <c r="E557" s="3" t="str">
        <f>IFERROR(VLOOKUP(B557,'Element wise-detail Summary'!$A:$D,3,0),0)</f>
        <v>Zone-5</v>
      </c>
      <c r="F557" s="143" t="str">
        <f>VLOOKUP(B557,'AFC Data details'!$B:$B,1,0)</f>
        <v>AZ5-V55-T1C14-003</v>
      </c>
      <c r="H557" s="3">
        <f>_xlfn.XLOOKUP(B557,'AFC Data details'!B:B,'AFC Data details'!P:P)</f>
        <v>2.2410000000000001</v>
      </c>
    </row>
    <row r="558" spans="1:8" x14ac:dyDescent="0.25">
      <c r="A558" s="154">
        <v>46037</v>
      </c>
      <c r="B558" s="3" t="s">
        <v>1609</v>
      </c>
      <c r="C558" s="3">
        <v>1</v>
      </c>
      <c r="D558" s="3" t="str">
        <f>VLOOKUP(B558,'Element wise-detail Summary'!$A:$D,2,0)</f>
        <v>V64</v>
      </c>
      <c r="E558" s="3" t="str">
        <f>IFERROR(VLOOKUP(B558,'Element wise-detail Summary'!$A:$D,3,0),0)</f>
        <v>Zone-5</v>
      </c>
      <c r="F558" s="143" t="str">
        <f>VLOOKUP(B558,'AFC Data details'!$B:$B,1,0)</f>
        <v>AZ5-V64-T1C6-001</v>
      </c>
      <c r="H558" s="3">
        <f>_xlfn.XLOOKUP(B558,'AFC Data details'!B:B,'AFC Data details'!P:P)</f>
        <v>2.0470000000000002</v>
      </c>
    </row>
    <row r="559" spans="1:8" x14ac:dyDescent="0.25">
      <c r="A559" s="154">
        <v>46037</v>
      </c>
      <c r="B559" s="3" t="s">
        <v>1595</v>
      </c>
      <c r="C559" s="3">
        <v>1</v>
      </c>
      <c r="D559" s="3" t="str">
        <f>VLOOKUP(B559,'Element wise-detail Summary'!$A:$D,2,0)</f>
        <v>V67</v>
      </c>
      <c r="E559" s="3" t="str">
        <f>IFERROR(VLOOKUP(B559,'Element wise-detail Summary'!$A:$D,3,0),0)</f>
        <v>Zone-5</v>
      </c>
      <c r="F559" s="143" t="str">
        <f>VLOOKUP(B559,'AFC Data details'!$B:$B,1,0)</f>
        <v>AZ5-V67-T1C6-004</v>
      </c>
      <c r="H559" s="3">
        <f>_xlfn.XLOOKUP(B559,'AFC Data details'!B:B,'AFC Data details'!P:P)</f>
        <v>2.0840000000000001</v>
      </c>
    </row>
    <row r="560" spans="1:8" x14ac:dyDescent="0.25">
      <c r="A560" s="154">
        <v>46037</v>
      </c>
      <c r="B560" s="3" t="s">
        <v>1639</v>
      </c>
      <c r="C560" s="3">
        <v>1</v>
      </c>
      <c r="D560" s="3" t="str">
        <f>VLOOKUP(B560,'Element wise-detail Summary'!$A:$D,2,0)</f>
        <v>V55</v>
      </c>
      <c r="E560" s="3" t="str">
        <f>IFERROR(VLOOKUP(B560,'Element wise-detail Summary'!$A:$D,3,0),0)</f>
        <v>Zone-5</v>
      </c>
      <c r="F560" s="143" t="str">
        <f>VLOOKUP(B560,'AFC Data details'!$B:$B,1,0)</f>
        <v>AZ5-V55-T1C14-004</v>
      </c>
      <c r="H560" s="3">
        <f>_xlfn.XLOOKUP(B560,'AFC Data details'!B:B,'AFC Data details'!P:P)</f>
        <v>2.1019999999999999</v>
      </c>
    </row>
    <row r="561" spans="1:8" x14ac:dyDescent="0.25">
      <c r="A561" s="154">
        <v>46038</v>
      </c>
      <c r="B561" s="3" t="s">
        <v>1567</v>
      </c>
      <c r="C561" s="3">
        <v>1</v>
      </c>
      <c r="D561" s="3" t="str">
        <f>VLOOKUP(B561,'Element wise-detail Summary'!$A:$D,2,0)</f>
        <v>V59</v>
      </c>
      <c r="E561" s="3" t="str">
        <f>IFERROR(VLOOKUP(B561,'Element wise-detail Summary'!$A:$D,3,0),0)</f>
        <v>Zone-5</v>
      </c>
      <c r="F561" s="143" t="str">
        <f>VLOOKUP(B561,'AFC Data details'!$B:$B,1,0)</f>
        <v>AZ5-V59-T1C6-006</v>
      </c>
      <c r="H561" s="3">
        <f>_xlfn.XLOOKUP(B561,'AFC Data details'!B:B,'AFC Data details'!P:P)</f>
        <v>2.1179999999999999</v>
      </c>
    </row>
    <row r="562" spans="1:8" x14ac:dyDescent="0.25">
      <c r="A562" s="154">
        <v>46038</v>
      </c>
      <c r="B562" s="3" t="s">
        <v>1663</v>
      </c>
      <c r="C562" s="3">
        <v>1</v>
      </c>
      <c r="D562" s="3" t="str">
        <f>VLOOKUP(B562,'Element wise-detail Summary'!$A:$D,2,0)</f>
        <v>V60</v>
      </c>
      <c r="E562" s="3" t="str">
        <f>IFERROR(VLOOKUP(B562,'Element wise-detail Summary'!$A:$D,3,0),0)</f>
        <v>Zone-5</v>
      </c>
      <c r="F562" s="143" t="str">
        <f>VLOOKUP(B562,'AFC Data details'!$B:$B,1,0)</f>
        <v>AZ5-V60-T1C13-004</v>
      </c>
      <c r="H562" s="3">
        <f>_xlfn.XLOOKUP(B562,'AFC Data details'!B:B,'AFC Data details'!P:P)</f>
        <v>1.97</v>
      </c>
    </row>
    <row r="563" spans="1:8" x14ac:dyDescent="0.25">
      <c r="A563" s="154">
        <v>46038</v>
      </c>
      <c r="B563" s="3" t="s">
        <v>1582</v>
      </c>
      <c r="C563" s="3">
        <v>1</v>
      </c>
      <c r="D563" s="3" t="str">
        <f>VLOOKUP(B563,'Element wise-detail Summary'!$A:$D,2,0)</f>
        <v>V66</v>
      </c>
      <c r="E563" s="3" t="str">
        <f>IFERROR(VLOOKUP(B563,'Element wise-detail Summary'!$A:$D,3,0),0)</f>
        <v>Zone-5</v>
      </c>
      <c r="F563" s="143" t="str">
        <f>VLOOKUP(B563,'AFC Data details'!$B:$B,1,0)</f>
        <v>AZ5-V66-T1C6-003</v>
      </c>
      <c r="H563" s="3">
        <f>_xlfn.XLOOKUP(B563,'AFC Data details'!B:B,'AFC Data details'!P:P)</f>
        <v>2.0529999999999999</v>
      </c>
    </row>
    <row r="564" spans="1:8" x14ac:dyDescent="0.25">
      <c r="A564" s="154">
        <v>46038</v>
      </c>
      <c r="B564" s="3" t="s">
        <v>1644</v>
      </c>
      <c r="C564" s="3">
        <v>1</v>
      </c>
      <c r="D564" s="3" t="str">
        <f>VLOOKUP(B564,'Element wise-detail Summary'!$A:$D,2,0)</f>
        <v>V55</v>
      </c>
      <c r="E564" s="3" t="str">
        <f>IFERROR(VLOOKUP(B564,'Element wise-detail Summary'!$A:$D,3,0),0)</f>
        <v>Zone-5</v>
      </c>
      <c r="F564" s="143" t="str">
        <f>VLOOKUP(B564,'AFC Data details'!$B:$B,1,0)</f>
        <v>AZ5-V55-T2C1-001</v>
      </c>
      <c r="H564" s="3">
        <f>_xlfn.XLOOKUP(B564,'AFC Data details'!B:B,'AFC Data details'!P:P)</f>
        <v>1.39</v>
      </c>
    </row>
    <row r="565" spans="1:8" x14ac:dyDescent="0.25">
      <c r="A565" s="154">
        <v>46038</v>
      </c>
      <c r="B565" s="3" t="s">
        <v>1586</v>
      </c>
      <c r="C565" s="3">
        <v>1</v>
      </c>
      <c r="D565" s="3" t="str">
        <f>VLOOKUP(B565,'Element wise-detail Summary'!$A:$D,2,0)</f>
        <v>V62</v>
      </c>
      <c r="E565" s="3" t="str">
        <f>IFERROR(VLOOKUP(B565,'Element wise-detail Summary'!$A:$D,3,0),0)</f>
        <v>Zone-5</v>
      </c>
      <c r="F565" s="143" t="str">
        <f>VLOOKUP(B565,'AFC Data details'!$B:$B,1,0)</f>
        <v>AZ5-V62-T1C6-005</v>
      </c>
      <c r="H565" s="3">
        <f>_xlfn.XLOOKUP(B565,'AFC Data details'!B:B,'AFC Data details'!P:P)</f>
        <v>2.0840000000000001</v>
      </c>
    </row>
    <row r="566" spans="1:8" x14ac:dyDescent="0.25">
      <c r="A566" s="154">
        <v>46038</v>
      </c>
      <c r="B566" s="3" t="s">
        <v>1785</v>
      </c>
      <c r="C566" s="3">
        <v>1</v>
      </c>
      <c r="D566" s="3" t="str">
        <f>VLOOKUP(B566,'Element wise-detail Summary'!$A:$D,2,0)</f>
        <v>V04</v>
      </c>
      <c r="E566" s="3" t="str">
        <f>IFERROR(VLOOKUP(B566,'Element wise-detail Summary'!$A:$D,3,0),0)</f>
        <v>Zone-4</v>
      </c>
      <c r="F566" s="143" t="str">
        <f>VLOOKUP(B566,'AFC Data details'!$B:$B,1,0)</f>
        <v>AZ4-V04-T3C6-001</v>
      </c>
      <c r="H566" s="3">
        <f>_xlfn.XLOOKUP(B566,'AFC Data details'!B:B,'AFC Data details'!P:P)</f>
        <v>1.611</v>
      </c>
    </row>
    <row r="567" spans="1:8" x14ac:dyDescent="0.25">
      <c r="A567" s="154">
        <v>46038</v>
      </c>
      <c r="B567" s="3" t="s">
        <v>1829</v>
      </c>
      <c r="C567" s="3">
        <v>1</v>
      </c>
      <c r="D567" s="3" t="str">
        <f>VLOOKUP(B567,'Element wise-detail Summary'!$A:$D,2,0)</f>
        <v>V14</v>
      </c>
      <c r="E567" s="3" t="str">
        <f>IFERROR(VLOOKUP(B567,'Element wise-detail Summary'!$A:$D,3,0),0)</f>
        <v>Zone-4</v>
      </c>
      <c r="F567" s="143" t="str">
        <f>VLOOKUP(B567,'AFC Data details'!$B:$B,1,0)</f>
        <v>AZ4-V14-T3C5-001</v>
      </c>
      <c r="H567" s="3">
        <f>_xlfn.XLOOKUP(B567,'AFC Data details'!B:B,'AFC Data details'!P:P)</f>
        <v>1.375</v>
      </c>
    </row>
    <row r="568" spans="1:8" x14ac:dyDescent="0.25">
      <c r="A568" s="154">
        <v>46038</v>
      </c>
      <c r="B568" s="3" t="s">
        <v>1597</v>
      </c>
      <c r="C568" s="3">
        <v>1</v>
      </c>
      <c r="D568" s="3" t="str">
        <f>VLOOKUP(B568,'Element wise-detail Summary'!$A:$D,2,0)</f>
        <v>V62</v>
      </c>
      <c r="E568" s="3" t="str">
        <f>IFERROR(VLOOKUP(B568,'Element wise-detail Summary'!$A:$D,3,0),0)</f>
        <v>Zone-5</v>
      </c>
      <c r="F568" s="143" t="str">
        <f>VLOOKUP(B568,'AFC Data details'!$B:$B,1,0)</f>
        <v>AZ5-V62-T1C6-006</v>
      </c>
      <c r="H568" s="3">
        <f>_xlfn.XLOOKUP(B568,'AFC Data details'!B:B,'AFC Data details'!P:P)</f>
        <v>2.0840000000000001</v>
      </c>
    </row>
    <row r="569" spans="1:8" x14ac:dyDescent="0.25">
      <c r="A569" s="154">
        <v>46038</v>
      </c>
      <c r="B569" s="3" t="s">
        <v>1619</v>
      </c>
      <c r="C569" s="3">
        <v>1</v>
      </c>
      <c r="D569" s="3" t="str">
        <f>VLOOKUP(B569,'Element wise-detail Summary'!$A:$D,2,0)</f>
        <v>V69</v>
      </c>
      <c r="E569" s="3" t="str">
        <f>IFERROR(VLOOKUP(B569,'Element wise-detail Summary'!$A:$D,3,0),0)</f>
        <v>Zone-5</v>
      </c>
      <c r="F569" s="143" t="str">
        <f>VLOOKUP(B569,'AFC Data details'!$B:$B,1,0)</f>
        <v>AZ5-V69-T1C6-003</v>
      </c>
      <c r="H569" s="3">
        <f>_xlfn.XLOOKUP(B569,'AFC Data details'!B:B,'AFC Data details'!P:P)</f>
        <v>2.0339999999999998</v>
      </c>
    </row>
    <row r="570" spans="1:8" x14ac:dyDescent="0.25">
      <c r="A570" s="154">
        <v>46038</v>
      </c>
      <c r="B570" s="3" t="s">
        <v>1643</v>
      </c>
      <c r="C570" s="3">
        <v>1</v>
      </c>
      <c r="D570" s="3" t="str">
        <f>VLOOKUP(B570,'Element wise-detail Summary'!$A:$D,2,0)</f>
        <v>V55</v>
      </c>
      <c r="E570" s="3" t="str">
        <f>IFERROR(VLOOKUP(B570,'Element wise-detail Summary'!$A:$D,3,0),0)</f>
        <v>Zone-5</v>
      </c>
      <c r="F570" s="143" t="str">
        <f>VLOOKUP(B570,'AFC Data details'!$B:$B,1,0)</f>
        <v>AZ5-V55-T1C14-008</v>
      </c>
      <c r="H570" s="3">
        <f>_xlfn.XLOOKUP(B570,'AFC Data details'!B:B,'AFC Data details'!P:P)</f>
        <v>2.1800000000000002</v>
      </c>
    </row>
    <row r="571" spans="1:8" x14ac:dyDescent="0.25">
      <c r="A571" s="154">
        <v>46038</v>
      </c>
      <c r="B571" s="3" t="s">
        <v>1610</v>
      </c>
      <c r="C571" s="3">
        <v>1</v>
      </c>
      <c r="D571" s="3" t="str">
        <f>VLOOKUP(B571,'Element wise-detail Summary'!$A:$D,2,0)</f>
        <v>V64</v>
      </c>
      <c r="E571" s="3" t="str">
        <f>IFERROR(VLOOKUP(B571,'Element wise-detail Summary'!$A:$D,3,0),0)</f>
        <v>Zone-5</v>
      </c>
      <c r="F571" s="143" t="str">
        <f>VLOOKUP(B571,'AFC Data details'!$B:$B,1,0)</f>
        <v>AZ5-V64-T1C6-002</v>
      </c>
      <c r="H571" s="3">
        <f>_xlfn.XLOOKUP(B571,'AFC Data details'!B:B,'AFC Data details'!P:P)</f>
        <v>2.0470000000000002</v>
      </c>
    </row>
    <row r="572" spans="1:8" x14ac:dyDescent="0.25">
      <c r="A572" s="154">
        <v>46038</v>
      </c>
      <c r="B572" s="3" t="s">
        <v>1596</v>
      </c>
      <c r="C572" s="3">
        <v>1</v>
      </c>
      <c r="D572" s="3" t="str">
        <f>VLOOKUP(B572,'Element wise-detail Summary'!$A:$D,2,0)</f>
        <v>V67</v>
      </c>
      <c r="E572" s="3" t="str">
        <f>IFERROR(VLOOKUP(B572,'Element wise-detail Summary'!$A:$D,3,0),0)</f>
        <v>Zone-5</v>
      </c>
      <c r="F572" s="143" t="str">
        <f>VLOOKUP(B572,'AFC Data details'!$B:$B,1,0)</f>
        <v>AZ5-V67-T1C6-005</v>
      </c>
      <c r="H572" s="3">
        <f>_xlfn.XLOOKUP(B572,'AFC Data details'!B:B,'AFC Data details'!P:P)</f>
        <v>2.0840000000000001</v>
      </c>
    </row>
    <row r="573" spans="1:8" x14ac:dyDescent="0.25">
      <c r="A573" s="154">
        <v>46038</v>
      </c>
      <c r="B573" s="3" t="s">
        <v>1640</v>
      </c>
      <c r="C573" s="3">
        <v>1</v>
      </c>
      <c r="D573" s="3" t="str">
        <f>VLOOKUP(B573,'Element wise-detail Summary'!$A:$D,2,0)</f>
        <v>V55</v>
      </c>
      <c r="E573" s="3" t="str">
        <f>IFERROR(VLOOKUP(B573,'Element wise-detail Summary'!$A:$D,3,0),0)</f>
        <v>Zone-5</v>
      </c>
      <c r="F573" s="143" t="str">
        <f>VLOOKUP(B573,'AFC Data details'!$B:$B,1,0)</f>
        <v>AZ5-V55-T1C14-005</v>
      </c>
      <c r="H573" s="3">
        <f>_xlfn.XLOOKUP(B573,'AFC Data details'!B:B,'AFC Data details'!P:P)</f>
        <v>2.1019999999999999</v>
      </c>
    </row>
    <row r="574" spans="1:8" x14ac:dyDescent="0.25">
      <c r="A574" s="154">
        <v>46039</v>
      </c>
      <c r="B574" s="3" t="s">
        <v>1664</v>
      </c>
      <c r="C574" s="3">
        <v>1</v>
      </c>
      <c r="D574" s="3" t="str">
        <f>VLOOKUP(B574,'Element wise-detail Summary'!$A:$D,2,0)</f>
        <v>V60</v>
      </c>
      <c r="E574" s="3" t="str">
        <f>IFERROR(VLOOKUP(B574,'Element wise-detail Summary'!$A:$D,3,0),0)</f>
        <v>Zone-5</v>
      </c>
      <c r="F574" s="143" t="str">
        <f>VLOOKUP(B574,'AFC Data details'!$B:$B,1,0)</f>
        <v>AZ5-V60-T1C13-005</v>
      </c>
      <c r="H574" s="3">
        <f>_xlfn.XLOOKUP(B574,'AFC Data details'!B:B,'AFC Data details'!P:P)</f>
        <v>1.9710000000000001</v>
      </c>
    </row>
    <row r="575" spans="1:8" x14ac:dyDescent="0.25">
      <c r="A575" s="154">
        <v>46039</v>
      </c>
      <c r="B575" s="3" t="s">
        <v>1583</v>
      </c>
      <c r="C575" s="3">
        <v>1</v>
      </c>
      <c r="D575" s="3" t="str">
        <f>VLOOKUP(B575,'Element wise-detail Summary'!$A:$D,2,0)</f>
        <v>V67</v>
      </c>
      <c r="E575" s="3" t="str">
        <f>IFERROR(VLOOKUP(B575,'Element wise-detail Summary'!$A:$D,3,0),0)</f>
        <v>Zone-5</v>
      </c>
      <c r="F575" s="143" t="str">
        <f>VLOOKUP(B575,'AFC Data details'!$B:$B,1,0)</f>
        <v>AZ5-V67-T1C6-002</v>
      </c>
      <c r="H575" s="3">
        <f>_xlfn.XLOOKUP(B575,'AFC Data details'!B:B,'AFC Data details'!P:P)</f>
        <v>2.0529999999999999</v>
      </c>
    </row>
    <row r="576" spans="1:8" x14ac:dyDescent="0.25">
      <c r="A576" s="154">
        <v>46039</v>
      </c>
      <c r="B576" s="3" t="s">
        <v>1940</v>
      </c>
      <c r="C576" s="3">
        <v>1</v>
      </c>
      <c r="D576" s="3" t="str">
        <f>VLOOKUP(B576,'Element wise-detail Summary'!$A:$D,2,0)</f>
        <v>PV36</v>
      </c>
      <c r="E576" s="3" t="str">
        <f>IFERROR(VLOOKUP(B576,'Element wise-detail Summary'!$A:$D,3,0),0)</f>
        <v>Zone-6</v>
      </c>
      <c r="F576" s="143" t="str">
        <f>VLOOKUP(B576,'AFC Data details'!$B:$B,1,0)</f>
        <v>AZ6-PV36-T2C1-001</v>
      </c>
      <c r="H576" s="3">
        <f>_xlfn.XLOOKUP(B576,'AFC Data details'!B:B,'AFC Data details'!P:P)</f>
        <v>1.4119999999999999</v>
      </c>
    </row>
    <row r="577" spans="1:8" x14ac:dyDescent="0.25">
      <c r="A577" s="154">
        <v>46039</v>
      </c>
      <c r="B577" s="3" t="s">
        <v>1587</v>
      </c>
      <c r="C577" s="3">
        <v>1</v>
      </c>
      <c r="D577" s="3" t="str">
        <f>VLOOKUP(B577,'Element wise-detail Summary'!$A:$D,2,0)</f>
        <v>V63</v>
      </c>
      <c r="E577" s="3" t="str">
        <f>IFERROR(VLOOKUP(B577,'Element wise-detail Summary'!$A:$D,3,0),0)</f>
        <v>Zone-5</v>
      </c>
      <c r="F577" s="143" t="str">
        <f>VLOOKUP(B577,'AFC Data details'!$B:$B,1,0)</f>
        <v>AZ5-V63-T1C6-004</v>
      </c>
      <c r="H577" s="3">
        <f>_xlfn.XLOOKUP(B577,'AFC Data details'!B:B,'AFC Data details'!P:P)</f>
        <v>2.0840000000000001</v>
      </c>
    </row>
    <row r="578" spans="1:8" x14ac:dyDescent="0.25">
      <c r="A578" s="154">
        <v>46039</v>
      </c>
      <c r="B578" s="3" t="s">
        <v>1598</v>
      </c>
      <c r="C578" s="3">
        <v>1</v>
      </c>
      <c r="D578" s="3" t="str">
        <f>VLOOKUP(B578,'Element wise-detail Summary'!$A:$D,2,0)</f>
        <v>V64</v>
      </c>
      <c r="E578" s="3" t="str">
        <f>IFERROR(VLOOKUP(B578,'Element wise-detail Summary'!$A:$D,3,0),0)</f>
        <v>Zone-5</v>
      </c>
      <c r="F578" s="143" t="str">
        <f>VLOOKUP(B578,'AFC Data details'!$B:$B,1,0)</f>
        <v>AZ5-V64-T1C6-006</v>
      </c>
      <c r="H578" s="3">
        <f>_xlfn.XLOOKUP(B578,'AFC Data details'!B:B,'AFC Data details'!P:P)</f>
        <v>2.0840000000000001</v>
      </c>
    </row>
    <row r="579" spans="1:8" x14ac:dyDescent="0.25">
      <c r="A579" s="154">
        <v>46039</v>
      </c>
      <c r="B579" s="3" t="s">
        <v>1604</v>
      </c>
      <c r="C579" s="3">
        <v>1</v>
      </c>
      <c r="D579" s="3" t="str">
        <f>VLOOKUP(B579,'Element wise-detail Summary'!$A:$D,2,0)</f>
        <v>V67</v>
      </c>
      <c r="E579" s="3" t="str">
        <f>IFERROR(VLOOKUP(B579,'Element wise-detail Summary'!$A:$D,3,0),0)</f>
        <v>Zone-5</v>
      </c>
      <c r="F579" s="143" t="str">
        <f>VLOOKUP(B579,'AFC Data details'!$B:$B,1,0)</f>
        <v>AZ5-V67-T1C6-006</v>
      </c>
      <c r="H579" s="3">
        <f>_xlfn.XLOOKUP(B579,'AFC Data details'!B:B,'AFC Data details'!P:P)</f>
        <v>2.0840000000000001</v>
      </c>
    </row>
    <row r="580" spans="1:8" x14ac:dyDescent="0.25">
      <c r="A580" s="154">
        <v>46039</v>
      </c>
      <c r="B580" s="3" t="s">
        <v>1634</v>
      </c>
      <c r="C580" s="3">
        <v>1</v>
      </c>
      <c r="D580" s="3" t="str">
        <f>VLOOKUP(B580,'Element wise-detail Summary'!$A:$D,2,0)</f>
        <v>V55</v>
      </c>
      <c r="E580" s="3" t="str">
        <f>IFERROR(VLOOKUP(B580,'Element wise-detail Summary'!$A:$D,3,0),0)</f>
        <v>Zone-5</v>
      </c>
      <c r="F580" s="143" t="str">
        <f>VLOOKUP(B580,'AFC Data details'!$B:$B,1,0)</f>
        <v>AZ5-V55-T1C11-001</v>
      </c>
      <c r="H580" s="3">
        <f>_xlfn.XLOOKUP(B580,'AFC Data details'!B:B,'AFC Data details'!P:P)</f>
        <v>1.877</v>
      </c>
    </row>
    <row r="581" spans="1:8" x14ac:dyDescent="0.25">
      <c r="A581" s="154">
        <v>46039</v>
      </c>
      <c r="B581" s="3" t="s">
        <v>1625</v>
      </c>
      <c r="C581" s="3">
        <v>1</v>
      </c>
      <c r="D581" s="3" t="str">
        <f>VLOOKUP(B581,'Element wise-detail Summary'!$A:$D,2,0)</f>
        <v>V69</v>
      </c>
      <c r="E581" s="3" t="str">
        <f>IFERROR(VLOOKUP(B581,'Element wise-detail Summary'!$A:$D,3,0),0)</f>
        <v>Zone-5</v>
      </c>
      <c r="F581" s="143" t="str">
        <f>VLOOKUP(B581,'AFC Data details'!$B:$B,1,0)</f>
        <v>AZ5-V69-T1C6-001</v>
      </c>
      <c r="H581" s="3">
        <f>_xlfn.XLOOKUP(B581,'AFC Data details'!B:B,'AFC Data details'!P:P)</f>
        <v>2.0470000000000002</v>
      </c>
    </row>
    <row r="582" spans="1:8" x14ac:dyDescent="0.25">
      <c r="A582" s="154">
        <v>46039</v>
      </c>
      <c r="B582" s="3" t="s">
        <v>1648</v>
      </c>
      <c r="C582" s="3">
        <v>1</v>
      </c>
      <c r="D582" s="3" t="str">
        <f>VLOOKUP(B582,'Element wise-detail Summary'!$A:$D,2,0)</f>
        <v>V57</v>
      </c>
      <c r="E582" s="3" t="str">
        <f>IFERROR(VLOOKUP(B582,'Element wise-detail Summary'!$A:$D,3,0),0)</f>
        <v>Zone-5</v>
      </c>
      <c r="F582" s="143" t="str">
        <f>VLOOKUP(B582,'AFC Data details'!$B:$B,1,0)</f>
        <v>AZ5-V57-T1C2-001</v>
      </c>
      <c r="H582" s="3">
        <f>_xlfn.XLOOKUP(B582,'AFC Data details'!B:B,'AFC Data details'!P:P)</f>
        <v>1.0780000000000001</v>
      </c>
    </row>
    <row r="583" spans="1:8" x14ac:dyDescent="0.25">
      <c r="A583" s="154">
        <v>46039</v>
      </c>
      <c r="B583" s="3" t="s">
        <v>1611</v>
      </c>
      <c r="C583" s="3">
        <v>1</v>
      </c>
      <c r="D583" s="3" t="str">
        <f>VLOOKUP(B583,'Element wise-detail Summary'!$A:$D,2,0)</f>
        <v>V64</v>
      </c>
      <c r="E583" s="3" t="str">
        <f>IFERROR(VLOOKUP(B583,'Element wise-detail Summary'!$A:$D,3,0),0)</f>
        <v>Zone-5</v>
      </c>
      <c r="F583" s="143" t="str">
        <f>VLOOKUP(B583,'AFC Data details'!$B:$B,1,0)</f>
        <v>AZ5-V64-T1C6-003</v>
      </c>
      <c r="H583" s="3">
        <f>_xlfn.XLOOKUP(B583,'AFC Data details'!B:B,'AFC Data details'!P:P)</f>
        <v>2.0470000000000002</v>
      </c>
    </row>
    <row r="584" spans="1:8" x14ac:dyDescent="0.25">
      <c r="A584" s="154">
        <v>46039</v>
      </c>
      <c r="B584" s="3" t="s">
        <v>1613</v>
      </c>
      <c r="C584" s="3">
        <v>1</v>
      </c>
      <c r="D584" s="3" t="str">
        <f>VLOOKUP(B584,'Element wise-detail Summary'!$A:$D,2,0)</f>
        <v>V65</v>
      </c>
      <c r="E584" s="3" t="str">
        <f>IFERROR(VLOOKUP(B584,'Element wise-detail Summary'!$A:$D,3,0),0)</f>
        <v>Zone-5</v>
      </c>
      <c r="F584" s="143" t="str">
        <f>VLOOKUP(B584,'AFC Data details'!$B:$B,1,0)</f>
        <v>AZ5-V65-T1C6-003</v>
      </c>
      <c r="H584" s="3">
        <f>_xlfn.XLOOKUP(B584,'AFC Data details'!B:B,'AFC Data details'!P:P)</f>
        <v>2.0470000000000002</v>
      </c>
    </row>
    <row r="585" spans="1:8" x14ac:dyDescent="0.25">
      <c r="A585" s="154">
        <v>46039</v>
      </c>
      <c r="B585" s="3" t="s">
        <v>1641</v>
      </c>
      <c r="C585" s="3">
        <v>1</v>
      </c>
      <c r="D585" s="3" t="str">
        <f>VLOOKUP(B585,'Element wise-detail Summary'!$A:$D,2,0)</f>
        <v>V55</v>
      </c>
      <c r="E585" s="3" t="str">
        <f>IFERROR(VLOOKUP(B585,'Element wise-detail Summary'!$A:$D,3,0),0)</f>
        <v>Zone-5</v>
      </c>
      <c r="F585" s="143" t="str">
        <f>VLOOKUP(B585,'AFC Data details'!$B:$B,1,0)</f>
        <v>AZ5-V55-T1C14-006</v>
      </c>
      <c r="H585" s="3">
        <f>_xlfn.XLOOKUP(B585,'AFC Data details'!B:B,'AFC Data details'!P:P)</f>
        <v>2.1429999999999998</v>
      </c>
    </row>
    <row r="586" spans="1:8" x14ac:dyDescent="0.25">
      <c r="A586" s="154">
        <v>46041</v>
      </c>
      <c r="B586" s="3" t="s">
        <v>1572</v>
      </c>
      <c r="C586" s="3">
        <v>1</v>
      </c>
      <c r="D586" s="3" t="str">
        <f>VLOOKUP(B586,'Element wise-detail Summary'!$A:$D,2,0)</f>
        <v>V61</v>
      </c>
      <c r="E586" s="3" t="str">
        <f>IFERROR(VLOOKUP(B586,'Element wise-detail Summary'!$A:$D,3,0),0)</f>
        <v>Zone-5</v>
      </c>
      <c r="F586" s="143" t="str">
        <f>VLOOKUP(B586,'AFC Data details'!$B:$B,1,0)</f>
        <v>AZ5-V61-T1C14-001</v>
      </c>
      <c r="H586" s="3">
        <f>_xlfn.XLOOKUP(B586,'AFC Data details'!B:B,'AFC Data details'!P:P)</f>
        <v>2.1949999999999998</v>
      </c>
    </row>
    <row r="587" spans="1:8" x14ac:dyDescent="0.25">
      <c r="A587" s="154">
        <v>46041</v>
      </c>
      <c r="B587" s="3" t="s">
        <v>1879</v>
      </c>
      <c r="C587" s="3">
        <v>1</v>
      </c>
      <c r="D587" s="3" t="str">
        <f>VLOOKUP(B587,'Element wise-detail Summary'!$A:$D,2,0)</f>
        <v>PV20</v>
      </c>
      <c r="E587" s="3" t="str">
        <f>IFERROR(VLOOKUP(B587,'Element wise-detail Summary'!$A:$D,3,0),0)</f>
        <v>Zone-6</v>
      </c>
      <c r="F587" s="143" t="str">
        <f>VLOOKUP(B587,'AFC Data details'!$B:$B,1,0)</f>
        <v>AZ6-PV20-T1C6-001</v>
      </c>
      <c r="H587" s="3">
        <f>_xlfn.XLOOKUP(B587,'AFC Data details'!B:B,'AFC Data details'!P:P)</f>
        <v>2.1219999999999999</v>
      </c>
    </row>
    <row r="588" spans="1:8" x14ac:dyDescent="0.25">
      <c r="A588" s="154">
        <v>46041</v>
      </c>
      <c r="B588" s="3" t="s">
        <v>1928</v>
      </c>
      <c r="C588" s="3">
        <v>1</v>
      </c>
      <c r="D588" s="3" t="str">
        <f>VLOOKUP(B588,'Element wise-detail Summary'!$A:$D,2,0)</f>
        <v>PV34</v>
      </c>
      <c r="E588" s="3" t="str">
        <f>IFERROR(VLOOKUP(B588,'Element wise-detail Summary'!$A:$D,3,0),0)</f>
        <v>Zone-6</v>
      </c>
      <c r="F588" s="143" t="str">
        <f>VLOOKUP(B588,'AFC Data details'!$B:$B,1,0)</f>
        <v>AZ6-PV34-T1C6-001</v>
      </c>
      <c r="H588" s="3">
        <f>_xlfn.XLOOKUP(B588,'AFC Data details'!B:B,'AFC Data details'!P:P)</f>
        <v>2.0590000000000002</v>
      </c>
    </row>
    <row r="589" spans="1:8" x14ac:dyDescent="0.25">
      <c r="A589" s="154">
        <v>46041</v>
      </c>
      <c r="B589" s="3" t="s">
        <v>2042</v>
      </c>
      <c r="C589" s="3">
        <v>1</v>
      </c>
      <c r="D589" s="3" t="str">
        <f>VLOOKUP(B589,'Element wise-detail Summary'!$A:$D,2,0)</f>
        <v>PV34</v>
      </c>
      <c r="E589" s="3" t="str">
        <f>IFERROR(VLOOKUP(B589,'Element wise-detail Summary'!$A:$D,3,0),0)</f>
        <v>Zone-6</v>
      </c>
      <c r="F589" s="143" t="str">
        <f>VLOOKUP(B589,'AFC Data details'!$B:$B,1,0)</f>
        <v>AZ6-PV34-T2C1-001</v>
      </c>
      <c r="H589" s="3">
        <f>_xlfn.XLOOKUP(B589,'AFC Data details'!B:B,'AFC Data details'!P:P)</f>
        <v>1.4119999999999999</v>
      </c>
    </row>
    <row r="590" spans="1:8" x14ac:dyDescent="0.25">
      <c r="A590" s="154">
        <v>46041</v>
      </c>
      <c r="B590" s="3" t="s">
        <v>1588</v>
      </c>
      <c r="C590" s="3">
        <v>1</v>
      </c>
      <c r="D590" s="3" t="str">
        <f>VLOOKUP(B590,'Element wise-detail Summary'!$A:$D,2,0)</f>
        <v>V63</v>
      </c>
      <c r="E590" s="3" t="str">
        <f>IFERROR(VLOOKUP(B590,'Element wise-detail Summary'!$A:$D,3,0),0)</f>
        <v>Zone-5</v>
      </c>
      <c r="F590" s="143" t="str">
        <f>VLOOKUP(B590,'AFC Data details'!$B:$B,1,0)</f>
        <v>AZ5-V63-T1C6-005</v>
      </c>
      <c r="H590" s="3">
        <f>_xlfn.XLOOKUP(B590,'AFC Data details'!B:B,'AFC Data details'!P:P)</f>
        <v>2.0840000000000001</v>
      </c>
    </row>
    <row r="591" spans="1:8" x14ac:dyDescent="0.25">
      <c r="A591" s="154">
        <v>46041</v>
      </c>
      <c r="B591" s="3" t="s">
        <v>1786</v>
      </c>
      <c r="C591" s="3">
        <v>1</v>
      </c>
      <c r="D591" s="3" t="str">
        <f>VLOOKUP(B591,'Element wise-detail Summary'!$A:$D,2,0)</f>
        <v>V04</v>
      </c>
      <c r="E591" s="3" t="str">
        <f>IFERROR(VLOOKUP(B591,'Element wise-detail Summary'!$A:$D,3,0),0)</f>
        <v>Zone-4</v>
      </c>
      <c r="F591" s="143" t="str">
        <f>VLOOKUP(B591,'AFC Data details'!$B:$B,1,0)</f>
        <v>AZ4-V04-T3C6-002</v>
      </c>
      <c r="H591" s="3">
        <f>_xlfn.XLOOKUP(B591,'AFC Data details'!B:B,'AFC Data details'!P:P)</f>
        <v>1.758</v>
      </c>
    </row>
    <row r="592" spans="1:8" x14ac:dyDescent="0.25">
      <c r="A592" s="154">
        <v>46041</v>
      </c>
      <c r="B592" s="3" t="s">
        <v>1830</v>
      </c>
      <c r="C592" s="3">
        <v>1</v>
      </c>
      <c r="D592" s="3" t="str">
        <f>VLOOKUP(B592,'Element wise-detail Summary'!$A:$D,2,0)</f>
        <v>V15</v>
      </c>
      <c r="E592" s="3" t="str">
        <f>IFERROR(VLOOKUP(B592,'Element wise-detail Summary'!$A:$D,3,0),0)</f>
        <v>Zone-4</v>
      </c>
      <c r="F592" s="143" t="str">
        <f>VLOOKUP(B592,'AFC Data details'!$B:$B,1,0)</f>
        <v>AZ4-V15-T3C5-001</v>
      </c>
      <c r="H592" s="3">
        <f>_xlfn.XLOOKUP(B592,'AFC Data details'!B:B,'AFC Data details'!P:P)</f>
        <v>1.5760000000000001</v>
      </c>
    </row>
    <row r="593" spans="1:8" x14ac:dyDescent="0.25">
      <c r="A593" s="154">
        <v>46041</v>
      </c>
      <c r="B593" s="3" t="s">
        <v>1599</v>
      </c>
      <c r="C593" s="3">
        <v>1</v>
      </c>
      <c r="D593" s="3" t="str">
        <f>VLOOKUP(B593,'Element wise-detail Summary'!$A:$D,2,0)</f>
        <v>V66</v>
      </c>
      <c r="E593" s="3" t="str">
        <f>IFERROR(VLOOKUP(B593,'Element wise-detail Summary'!$A:$D,3,0),0)</f>
        <v>Zone-5</v>
      </c>
      <c r="F593" s="143" t="str">
        <f>VLOOKUP(B593,'AFC Data details'!$B:$B,1,0)</f>
        <v>AZ5-V66-T1C6-006</v>
      </c>
      <c r="H593" s="3">
        <f>_xlfn.XLOOKUP(B593,'AFC Data details'!B:B,'AFC Data details'!P:P)</f>
        <v>2.0840000000000001</v>
      </c>
    </row>
    <row r="594" spans="1:8" x14ac:dyDescent="0.25">
      <c r="A594" s="154">
        <v>46041</v>
      </c>
      <c r="B594" s="3" t="s">
        <v>1626</v>
      </c>
      <c r="C594" s="3">
        <v>1</v>
      </c>
      <c r="D594" s="3" t="str">
        <f>VLOOKUP(B594,'Element wise-detail Summary'!$A:$D,2,0)</f>
        <v>V69</v>
      </c>
      <c r="E594" s="3" t="str">
        <f>IFERROR(VLOOKUP(B594,'Element wise-detail Summary'!$A:$D,3,0),0)</f>
        <v>Zone-5</v>
      </c>
      <c r="F594" s="143" t="str">
        <f>VLOOKUP(B594,'AFC Data details'!$B:$B,1,0)</f>
        <v>AZ5-V69-T1C6-006</v>
      </c>
      <c r="H594" s="3">
        <f>_xlfn.XLOOKUP(B594,'AFC Data details'!B:B,'AFC Data details'!P:P)</f>
        <v>2.0840000000000001</v>
      </c>
    </row>
    <row r="595" spans="1:8" x14ac:dyDescent="0.25">
      <c r="A595" s="154">
        <v>46041</v>
      </c>
      <c r="B595" s="3" t="s">
        <v>1635</v>
      </c>
      <c r="C595" s="3">
        <v>1</v>
      </c>
      <c r="D595" s="3" t="str">
        <f>VLOOKUP(B595,'Element wise-detail Summary'!$A:$D,2,0)</f>
        <v>V55</v>
      </c>
      <c r="E595" s="3" t="str">
        <f>IFERROR(VLOOKUP(B595,'Element wise-detail Summary'!$A:$D,3,0),0)</f>
        <v>Zone-5</v>
      </c>
      <c r="F595" s="143" t="str">
        <f>VLOOKUP(B595,'AFC Data details'!$B:$B,1,0)</f>
        <v>AZ5-V55-T1C11-002</v>
      </c>
      <c r="H595" s="3">
        <f>_xlfn.XLOOKUP(B595,'AFC Data details'!B:B,'AFC Data details'!P:P)</f>
        <v>1.8120000000000001</v>
      </c>
    </row>
    <row r="596" spans="1:8" x14ac:dyDescent="0.25">
      <c r="A596" s="154">
        <v>46041</v>
      </c>
      <c r="B596" s="3" t="s">
        <v>1654</v>
      </c>
      <c r="C596" s="3">
        <v>1</v>
      </c>
      <c r="D596" s="3" t="str">
        <f>VLOOKUP(B596,'Element wise-detail Summary'!$A:$D,2,0)</f>
        <v>V59</v>
      </c>
      <c r="E596" s="3" t="str">
        <f>IFERROR(VLOOKUP(B596,'Element wise-detail Summary'!$A:$D,3,0),0)</f>
        <v>Zone-5</v>
      </c>
      <c r="F596" s="143" t="str">
        <f>VLOOKUP(B596,'AFC Data details'!$B:$B,1,0)</f>
        <v>AZ5-V59-T1C2-001</v>
      </c>
      <c r="H596" s="3">
        <f>_xlfn.XLOOKUP(B596,'AFC Data details'!B:B,'AFC Data details'!P:P)</f>
        <v>1.046</v>
      </c>
    </row>
    <row r="597" spans="1:8" x14ac:dyDescent="0.25">
      <c r="A597" s="154">
        <v>46041</v>
      </c>
      <c r="B597" s="3" t="s">
        <v>1612</v>
      </c>
      <c r="C597" s="3">
        <v>1</v>
      </c>
      <c r="D597" s="3" t="str">
        <f>VLOOKUP(B597,'Element wise-detail Summary'!$A:$D,2,0)</f>
        <v>V65</v>
      </c>
      <c r="E597" s="3" t="str">
        <f>IFERROR(VLOOKUP(B597,'Element wise-detail Summary'!$A:$D,3,0),0)</f>
        <v>Zone-5</v>
      </c>
      <c r="F597" s="143" t="str">
        <f>VLOOKUP(B597,'AFC Data details'!$B:$B,1,0)</f>
        <v>AZ5-V65-T1C6-002</v>
      </c>
      <c r="H597" s="3">
        <f>_xlfn.XLOOKUP(B597,'AFC Data details'!B:B,'AFC Data details'!P:P)</f>
        <v>2.0470000000000002</v>
      </c>
    </row>
    <row r="598" spans="1:8" x14ac:dyDescent="0.25">
      <c r="A598" s="154">
        <v>46041</v>
      </c>
      <c r="B598" s="3" t="s">
        <v>1614</v>
      </c>
      <c r="C598" s="3">
        <v>1</v>
      </c>
      <c r="D598" s="3" t="str">
        <f>VLOOKUP(B598,'Element wise-detail Summary'!$A:$D,2,0)</f>
        <v>V65</v>
      </c>
      <c r="E598" s="3" t="str">
        <f>IFERROR(VLOOKUP(B598,'Element wise-detail Summary'!$A:$D,3,0),0)</f>
        <v>Zone-5</v>
      </c>
      <c r="F598" s="143" t="str">
        <f>VLOOKUP(B598,'AFC Data details'!$B:$B,1,0)</f>
        <v>AZ5-V65-T1C6-001</v>
      </c>
      <c r="H598" s="3">
        <f>_xlfn.XLOOKUP(B598,'AFC Data details'!B:B,'AFC Data details'!P:P)</f>
        <v>2.0470000000000002</v>
      </c>
    </row>
    <row r="599" spans="1:8" x14ac:dyDescent="0.25">
      <c r="A599" s="154">
        <v>46041</v>
      </c>
      <c r="B599" s="3" t="s">
        <v>1642</v>
      </c>
      <c r="C599" s="3">
        <v>1</v>
      </c>
      <c r="D599" s="3" t="str">
        <f>VLOOKUP(B599,'Element wise-detail Summary'!$A:$D,2,0)</f>
        <v>V55</v>
      </c>
      <c r="E599" s="3" t="str">
        <f>IFERROR(VLOOKUP(B599,'Element wise-detail Summary'!$A:$D,3,0),0)</f>
        <v>Zone-5</v>
      </c>
      <c r="F599" s="143" t="str">
        <f>VLOOKUP(B599,'AFC Data details'!$B:$B,1,0)</f>
        <v>AZ5-V55-T1C14-007</v>
      </c>
      <c r="H599" s="3">
        <f>_xlfn.XLOOKUP(B599,'AFC Data details'!B:B,'AFC Data details'!P:P)</f>
        <v>2.1819999999999999</v>
      </c>
    </row>
    <row r="600" spans="1:8" x14ac:dyDescent="0.25">
      <c r="A600" s="154">
        <v>46042</v>
      </c>
      <c r="B600" s="3" t="s">
        <v>1867</v>
      </c>
      <c r="C600" s="3">
        <v>1</v>
      </c>
      <c r="D600" s="3" t="str">
        <f>VLOOKUP(B600,'Element wise-detail Summary'!$A:$D,2,0)</f>
        <v>PV17</v>
      </c>
      <c r="E600" s="3" t="str">
        <f>IFERROR(VLOOKUP(B600,'Element wise-detail Summary'!$A:$D,3,0),0)</f>
        <v>Zone-6</v>
      </c>
      <c r="F600" s="143" t="str">
        <f>VLOOKUP(B600,'AFC Data details'!$B:$B,1,0)</f>
        <v>AZ6-PV17-T1C1-001</v>
      </c>
      <c r="H600" s="3">
        <f>_xlfn.XLOOKUP(B600,'AFC Data details'!B:B,'AFC Data details'!P:P)</f>
        <v>0.97599999999999998</v>
      </c>
    </row>
    <row r="601" spans="1:8" x14ac:dyDescent="0.25">
      <c r="A601" s="154">
        <v>46042</v>
      </c>
      <c r="B601" s="3" t="s">
        <v>2055</v>
      </c>
      <c r="C601" s="3">
        <v>1</v>
      </c>
      <c r="D601" s="3" t="str">
        <f>VLOOKUP(B601,'Element wise-detail Summary'!$A:$D,2,0)</f>
        <v>PV21</v>
      </c>
      <c r="E601" s="3" t="str">
        <f>IFERROR(VLOOKUP(B601,'Element wise-detail Summary'!$A:$D,3,0),0)</f>
        <v>Zone-6</v>
      </c>
      <c r="F601" s="143" t="str">
        <f>VLOOKUP(B601,'AFC Data details'!$B:$B,1,0)</f>
        <v>AZ6-PV21-T1C6-006</v>
      </c>
      <c r="H601" s="3">
        <f>_xlfn.XLOOKUP(B601,'AFC Data details'!B:B,'AFC Data details'!P:P)</f>
        <v>2.1219999999999999</v>
      </c>
    </row>
    <row r="602" spans="1:8" x14ac:dyDescent="0.25">
      <c r="A602" s="154">
        <v>46042</v>
      </c>
      <c r="B602" s="3" t="s">
        <v>2151</v>
      </c>
      <c r="C602" s="3">
        <v>1</v>
      </c>
      <c r="D602" s="3" t="str">
        <f>VLOOKUP(B602,'Element wise-detail Summary'!$A:$D,2,0)</f>
        <v>PV35</v>
      </c>
      <c r="E602" s="3" t="str">
        <f>IFERROR(VLOOKUP(B602,'Element wise-detail Summary'!$A:$D,3,0),0)</f>
        <v>Zone-6</v>
      </c>
      <c r="F602" s="143" t="str">
        <f>VLOOKUP(B602,'AFC Data details'!$B:$B,1,0)</f>
        <v>AZ6-PV35-T1C6-006</v>
      </c>
      <c r="H602" s="3">
        <f>_xlfn.XLOOKUP(B602,'AFC Data details'!B:B,'AFC Data details'!P:P)</f>
        <v>2.0590000000000002</v>
      </c>
    </row>
    <row r="603" spans="1:8" x14ac:dyDescent="0.25">
      <c r="A603" s="154">
        <v>46042</v>
      </c>
      <c r="B603" s="3" t="s">
        <v>2164</v>
      </c>
      <c r="C603" s="3">
        <v>1</v>
      </c>
      <c r="D603" s="3" t="str">
        <f>VLOOKUP(B603,'Element wise-detail Summary'!$A:$D,2,0)</f>
        <v>PV32</v>
      </c>
      <c r="E603" s="3" t="str">
        <f>IFERROR(VLOOKUP(B603,'Element wise-detail Summary'!$A:$D,3,0),0)</f>
        <v>Zone-6</v>
      </c>
      <c r="F603" s="143" t="str">
        <f>VLOOKUP(B603,'AFC Data details'!$B:$B,1,0)</f>
        <v>AZ6-PV32-T2C1-001</v>
      </c>
      <c r="H603" s="3">
        <f>_xlfn.XLOOKUP(B603,'AFC Data details'!B:B,'AFC Data details'!P:P)</f>
        <v>1.4119999999999999</v>
      </c>
    </row>
    <row r="604" spans="1:8" x14ac:dyDescent="0.25">
      <c r="A604" s="154">
        <v>46042</v>
      </c>
      <c r="B604" s="3" t="s">
        <v>1880</v>
      </c>
      <c r="C604" s="3">
        <v>1</v>
      </c>
      <c r="D604" s="3" t="str">
        <f>VLOOKUP(B604,'Element wise-detail Summary'!$A:$D,2,0)</f>
        <v>PV20</v>
      </c>
      <c r="E604" s="3" t="str">
        <f>IFERROR(VLOOKUP(B604,'Element wise-detail Summary'!$A:$D,3,0),0)</f>
        <v>Zone-6</v>
      </c>
      <c r="F604" s="143" t="str">
        <f>VLOOKUP(B604,'AFC Data details'!$B:$B,1,0)</f>
        <v>AZ6-PV20-T1C6-002</v>
      </c>
      <c r="H604" s="3">
        <f>_xlfn.XLOOKUP(B604,'AFC Data details'!B:B,'AFC Data details'!P:P)</f>
        <v>2.1219999999999999</v>
      </c>
    </row>
    <row r="605" spans="1:8" x14ac:dyDescent="0.25">
      <c r="A605" s="154">
        <v>46042</v>
      </c>
      <c r="B605" s="3" t="s">
        <v>1811</v>
      </c>
      <c r="C605" s="3">
        <v>1</v>
      </c>
      <c r="D605" s="3" t="str">
        <f>VLOOKUP(B605,'Element wise-detail Summary'!$A:$D,2,0)</f>
        <v>V09</v>
      </c>
      <c r="E605" s="3" t="str">
        <f>IFERROR(VLOOKUP(B605,'Element wise-detail Summary'!$A:$D,3,0),0)</f>
        <v>Zone-4</v>
      </c>
      <c r="F605" s="143" t="str">
        <f>VLOOKUP(B605,'AFC Data details'!$B:$B,1,0)</f>
        <v>AZ4-V09-T3C6-001</v>
      </c>
      <c r="H605" s="3">
        <f>_xlfn.XLOOKUP(B605,'AFC Data details'!B:B,'AFC Data details'!P:P)</f>
        <v>1.851</v>
      </c>
    </row>
    <row r="606" spans="1:8" x14ac:dyDescent="0.25">
      <c r="A606" s="154">
        <v>46042</v>
      </c>
      <c r="B606" s="3" t="s">
        <v>1832</v>
      </c>
      <c r="C606" s="3">
        <v>1</v>
      </c>
      <c r="D606" s="3" t="str">
        <f>VLOOKUP(B606,'Element wise-detail Summary'!$A:$D,2,0)</f>
        <v>V15</v>
      </c>
      <c r="E606" s="3" t="str">
        <f>IFERROR(VLOOKUP(B606,'Element wise-detail Summary'!$A:$D,3,0),0)</f>
        <v>Zone-4</v>
      </c>
      <c r="F606" s="143" t="str">
        <f>VLOOKUP(B606,'AFC Data details'!$B:$B,1,0)</f>
        <v>AZ4-V15-T3C5-002</v>
      </c>
      <c r="H606" s="3">
        <f>_xlfn.XLOOKUP(B606,'AFC Data details'!B:B,'AFC Data details'!P:P)</f>
        <v>1.403</v>
      </c>
    </row>
    <row r="607" spans="1:8" x14ac:dyDescent="0.25">
      <c r="A607" s="154">
        <v>46042</v>
      </c>
      <c r="B607" s="3" t="s">
        <v>1600</v>
      </c>
      <c r="C607" s="3">
        <v>1</v>
      </c>
      <c r="D607" s="3" t="str">
        <f>VLOOKUP(B607,'Element wise-detail Summary'!$A:$D,2,0)</f>
        <v>V63</v>
      </c>
      <c r="E607" s="3" t="str">
        <f>IFERROR(VLOOKUP(B607,'Element wise-detail Summary'!$A:$D,3,0),0)</f>
        <v>Zone-5</v>
      </c>
      <c r="F607" s="143" t="str">
        <f>VLOOKUP(B607,'AFC Data details'!$B:$B,1,0)</f>
        <v>AZ5-V63-T1C6-001</v>
      </c>
      <c r="H607" s="3">
        <f>_xlfn.XLOOKUP(B607,'AFC Data details'!B:B,'AFC Data details'!P:P)</f>
        <v>2.052</v>
      </c>
    </row>
    <row r="608" spans="1:8" x14ac:dyDescent="0.25">
      <c r="A608" s="154">
        <v>46042</v>
      </c>
      <c r="B608" s="3" t="s">
        <v>1632</v>
      </c>
      <c r="C608" s="3">
        <v>1</v>
      </c>
      <c r="D608" s="3" t="str">
        <f>VLOOKUP(B608,'Element wise-detail Summary'!$A:$D,2,0)</f>
        <v>V70</v>
      </c>
      <c r="E608" s="3" t="str">
        <f>IFERROR(VLOOKUP(B608,'Element wise-detail Summary'!$A:$D,3,0),0)</f>
        <v>Zone-5</v>
      </c>
      <c r="F608" s="143" t="str">
        <f>VLOOKUP(B608,'AFC Data details'!$B:$B,1,0)</f>
        <v>AZ5-V70-T1C14-001</v>
      </c>
      <c r="H608" s="3">
        <f>_xlfn.XLOOKUP(B608,'AFC Data details'!B:B,'AFC Data details'!P:P)</f>
        <v>2.2290000000000001</v>
      </c>
    </row>
    <row r="609" spans="1:8" x14ac:dyDescent="0.25">
      <c r="A609" s="154">
        <v>46042</v>
      </c>
      <c r="B609" s="3" t="s">
        <v>1665</v>
      </c>
      <c r="C609" s="3">
        <v>1</v>
      </c>
      <c r="D609" s="3" t="str">
        <f>VLOOKUP(B609,'Element wise-detail Summary'!$A:$D,2,0)</f>
        <v>V60</v>
      </c>
      <c r="E609" s="3" t="str">
        <f>IFERROR(VLOOKUP(B609,'Element wise-detail Summary'!$A:$D,3,0),0)</f>
        <v>Zone-5</v>
      </c>
      <c r="F609" s="143" t="str">
        <f>VLOOKUP(B609,'AFC Data details'!$B:$B,1,0)</f>
        <v>AZ5-V60-T1C14-001</v>
      </c>
      <c r="H609" s="3">
        <f>_xlfn.XLOOKUP(B609,'AFC Data details'!B:B,'AFC Data details'!P:P)</f>
        <v>2.1760000000000002</v>
      </c>
    </row>
    <row r="610" spans="1:8" x14ac:dyDescent="0.25">
      <c r="A610" s="154">
        <v>46042</v>
      </c>
      <c r="B610" s="3" t="s">
        <v>2067</v>
      </c>
      <c r="C610" s="3">
        <v>1</v>
      </c>
      <c r="D610" s="3" t="str">
        <f>VLOOKUP(B610,'Element wise-detail Summary'!$A:$D,2,0)</f>
        <v>PV18</v>
      </c>
      <c r="E610" s="3" t="str">
        <f>IFERROR(VLOOKUP(B610,'Element wise-detail Summary'!$A:$D,3,0),0)</f>
        <v>Zone-6</v>
      </c>
      <c r="F610" s="143" t="str">
        <f>VLOOKUP(B610,'AFC Data details'!$B:$B,1,0)</f>
        <v>AZ6-PV18-T1C6-003</v>
      </c>
      <c r="H610" s="3">
        <f>_xlfn.XLOOKUP(B610,'AFC Data details'!B:B,'AFC Data details'!P:P)</f>
        <v>2.1219999999999999</v>
      </c>
    </row>
    <row r="611" spans="1:8" x14ac:dyDescent="0.25">
      <c r="A611" s="154">
        <v>46042</v>
      </c>
      <c r="B611" s="3" t="s">
        <v>2073</v>
      </c>
      <c r="C611" s="3">
        <v>1</v>
      </c>
      <c r="D611" s="3" t="str">
        <f>VLOOKUP(B611,'Element wise-detail Summary'!$A:$D,2,0)</f>
        <v>PV19</v>
      </c>
      <c r="E611" s="3" t="str">
        <f>IFERROR(VLOOKUP(B611,'Element wise-detail Summary'!$A:$D,3,0),0)</f>
        <v>Zone-6</v>
      </c>
      <c r="F611" s="143" t="str">
        <f>VLOOKUP(B611,'AFC Data details'!$B:$B,1,0)</f>
        <v>AZ6-PV19-T1C6-005</v>
      </c>
      <c r="H611" s="3">
        <f>_xlfn.XLOOKUP(B611,'AFC Data details'!B:B,'AFC Data details'!P:P)</f>
        <v>2.1219999999999999</v>
      </c>
    </row>
    <row r="612" spans="1:8" x14ac:dyDescent="0.25">
      <c r="A612" s="154">
        <v>46042</v>
      </c>
      <c r="B612" s="3" t="s">
        <v>1889</v>
      </c>
      <c r="C612" s="3">
        <v>1</v>
      </c>
      <c r="D612" s="3" t="str">
        <f>VLOOKUP(B612,'Element wise-detail Summary'!$A:$D,2,0)</f>
        <v>PV24</v>
      </c>
      <c r="E612" s="3" t="str">
        <f>IFERROR(VLOOKUP(B612,'Element wise-detail Summary'!$A:$D,3,0),0)</f>
        <v>Zone-6</v>
      </c>
      <c r="F612" s="143" t="str">
        <f>VLOOKUP(B612,'AFC Data details'!$B:$B,1,0)</f>
        <v>AZ6-PV24-T1C13-001</v>
      </c>
      <c r="H612" s="3">
        <f>_xlfn.XLOOKUP(B612,'AFC Data details'!B:B,'AFC Data details'!P:P)</f>
        <v>2.0760000000000001</v>
      </c>
    </row>
    <row r="613" spans="1:8" x14ac:dyDescent="0.25">
      <c r="A613" s="154">
        <v>46043</v>
      </c>
      <c r="B613" s="3" t="s">
        <v>1868</v>
      </c>
      <c r="C613" s="3">
        <v>1</v>
      </c>
      <c r="D613" s="3" t="str">
        <f>VLOOKUP(B613,'Element wise-detail Summary'!$A:$D,2,0)</f>
        <v>PV17</v>
      </c>
      <c r="E613" s="3" t="str">
        <f>IFERROR(VLOOKUP(B613,'Element wise-detail Summary'!$A:$D,3,0),0)</f>
        <v>Zone-6</v>
      </c>
      <c r="F613" s="143" t="str">
        <f>VLOOKUP(B613,'AFC Data details'!$B:$B,1,0)</f>
        <v>AZ6-PV17-T1C10-001</v>
      </c>
      <c r="H613" s="3">
        <f>_xlfn.XLOOKUP(B613,'AFC Data details'!B:B,'AFC Data details'!P:P)</f>
        <v>1.266</v>
      </c>
    </row>
    <row r="614" spans="1:8" x14ac:dyDescent="0.25">
      <c r="A614" s="154">
        <v>46043</v>
      </c>
      <c r="B614" s="3" t="s">
        <v>2057</v>
      </c>
      <c r="C614" s="3">
        <v>1</v>
      </c>
      <c r="D614" s="3" t="str">
        <f>VLOOKUP(B614,'Element wise-detail Summary'!$A:$D,2,0)</f>
        <v>PV18</v>
      </c>
      <c r="E614" s="3" t="str">
        <f>IFERROR(VLOOKUP(B614,'Element wise-detail Summary'!$A:$D,3,0),0)</f>
        <v>Zone-6</v>
      </c>
      <c r="F614" s="143" t="str">
        <f>VLOOKUP(B614,'AFC Data details'!$B:$B,1,0)</f>
        <v>AZ6-PV18-T1C6-001</v>
      </c>
      <c r="H614" s="3">
        <f>_xlfn.XLOOKUP(B614,'AFC Data details'!B:B,'AFC Data details'!P:P)</f>
        <v>2.1219999999999999</v>
      </c>
    </row>
    <row r="615" spans="1:8" x14ac:dyDescent="0.25">
      <c r="A615" s="154">
        <v>46043</v>
      </c>
      <c r="B615" s="3" t="s">
        <v>1929</v>
      </c>
      <c r="C615" s="3">
        <v>1</v>
      </c>
      <c r="D615" s="3" t="str">
        <f>VLOOKUP(B615,'Element wise-detail Summary'!$A:$D,2,0)</f>
        <v>PV34</v>
      </c>
      <c r="E615" s="3" t="str">
        <f>IFERROR(VLOOKUP(B615,'Element wise-detail Summary'!$A:$D,3,0),0)</f>
        <v>Zone-6</v>
      </c>
      <c r="F615" s="143" t="str">
        <f>VLOOKUP(B615,'AFC Data details'!$B:$B,1,0)</f>
        <v>AZ6-PV34-T1C6-002</v>
      </c>
      <c r="H615" s="3">
        <f>_xlfn.XLOOKUP(B615,'AFC Data details'!B:B,'AFC Data details'!P:P)</f>
        <v>2.0590000000000002</v>
      </c>
    </row>
    <row r="616" spans="1:8" x14ac:dyDescent="0.25">
      <c r="A616" s="154">
        <v>46043</v>
      </c>
      <c r="B616" s="3" t="s">
        <v>2165</v>
      </c>
      <c r="C616" s="3">
        <v>1</v>
      </c>
      <c r="D616" s="3" t="str">
        <f>VLOOKUP(B616,'Element wise-detail Summary'!$A:$D,2,0)</f>
        <v>PV30</v>
      </c>
      <c r="E616" s="3" t="str">
        <f>IFERROR(VLOOKUP(B616,'Element wise-detail Summary'!$A:$D,3,0),0)</f>
        <v>Zone-6</v>
      </c>
      <c r="F616" s="143" t="str">
        <f>VLOOKUP(B616,'AFC Data details'!$B:$B,1,0)</f>
        <v>AZ6-PV30-T2C1-001</v>
      </c>
      <c r="H616" s="3">
        <f>_xlfn.XLOOKUP(B616,'AFC Data details'!B:B,'AFC Data details'!P:P)</f>
        <v>1.4119999999999999</v>
      </c>
    </row>
    <row r="617" spans="1:8" x14ac:dyDescent="0.25">
      <c r="A617" s="154">
        <v>46043</v>
      </c>
      <c r="B617" s="3" t="s">
        <v>2059</v>
      </c>
      <c r="C617" s="3">
        <v>1</v>
      </c>
      <c r="D617" s="3" t="str">
        <f>VLOOKUP(B617,'Element wise-detail Summary'!$A:$D,2,0)</f>
        <v>PV20</v>
      </c>
      <c r="E617" s="3" t="str">
        <f>IFERROR(VLOOKUP(B617,'Element wise-detail Summary'!$A:$D,3,0),0)</f>
        <v>Zone-6</v>
      </c>
      <c r="F617" s="143" t="str">
        <f>VLOOKUP(B617,'AFC Data details'!$B:$B,1,0)</f>
        <v>AZ6-PV20-T1C6-003</v>
      </c>
      <c r="H617" s="3">
        <f>_xlfn.XLOOKUP(B617,'AFC Data details'!B:B,'AFC Data details'!P:P)</f>
        <v>2.1219999999999999</v>
      </c>
    </row>
    <row r="618" spans="1:8" x14ac:dyDescent="0.25">
      <c r="A618" s="154">
        <v>46043</v>
      </c>
      <c r="B618" s="3" t="s">
        <v>1812</v>
      </c>
      <c r="C618" s="3">
        <v>1</v>
      </c>
      <c r="D618" s="3" t="str">
        <f>VLOOKUP(B618,'Element wise-detail Summary'!$A:$D,2,0)</f>
        <v>V09</v>
      </c>
      <c r="E618" s="3" t="str">
        <f>IFERROR(VLOOKUP(B618,'Element wise-detail Summary'!$A:$D,3,0),0)</f>
        <v>Zone-4</v>
      </c>
      <c r="F618" s="143" t="str">
        <f>VLOOKUP(B618,'AFC Data details'!$B:$B,1,0)</f>
        <v>AZ4-V09-T3C6-002</v>
      </c>
      <c r="H618" s="3">
        <f>_xlfn.XLOOKUP(B618,'AFC Data details'!B:B,'AFC Data details'!P:P)</f>
        <v>1.679</v>
      </c>
    </row>
    <row r="619" spans="1:8" x14ac:dyDescent="0.25">
      <c r="A619" s="154">
        <v>46043</v>
      </c>
      <c r="B619" s="3" t="s">
        <v>1839</v>
      </c>
      <c r="C619" s="3">
        <v>1</v>
      </c>
      <c r="D619" s="3" t="str">
        <f>VLOOKUP(B619,'Element wise-detail Summary'!$A:$D,2,0)</f>
        <v>V16</v>
      </c>
      <c r="E619" s="3" t="str">
        <f>IFERROR(VLOOKUP(B619,'Element wise-detail Summary'!$A:$D,3,0),0)</f>
        <v>Zone-4</v>
      </c>
      <c r="F619" s="143" t="str">
        <f>VLOOKUP(B619,'AFC Data details'!$B:$B,1,0)</f>
        <v>AZ4-V16-T3C4-001</v>
      </c>
      <c r="H619" s="3">
        <f>_xlfn.XLOOKUP(B619,'AFC Data details'!B:B,'AFC Data details'!P:P)</f>
        <v>1.335</v>
      </c>
    </row>
    <row r="620" spans="1:8" x14ac:dyDescent="0.25">
      <c r="A620" s="154">
        <v>46043</v>
      </c>
      <c r="B620" s="3" t="s">
        <v>1601</v>
      </c>
      <c r="C620" s="3">
        <v>1</v>
      </c>
      <c r="D620" s="3" t="str">
        <f>VLOOKUP(B620,'Element wise-detail Summary'!$A:$D,2,0)</f>
        <v>V67</v>
      </c>
      <c r="E620" s="3" t="str">
        <f>IFERROR(VLOOKUP(B620,'Element wise-detail Summary'!$A:$D,3,0),0)</f>
        <v>Zone-5</v>
      </c>
      <c r="F620" s="143" t="str">
        <f>VLOOKUP(B620,'AFC Data details'!$B:$B,1,0)</f>
        <v>AZ5-V67-T1C6-001</v>
      </c>
      <c r="H620" s="3">
        <f>_xlfn.XLOOKUP(B620,'AFC Data details'!B:B,'AFC Data details'!P:P)</f>
        <v>2.052</v>
      </c>
    </row>
    <row r="621" spans="1:8" x14ac:dyDescent="0.25">
      <c r="A621" s="154">
        <v>46043</v>
      </c>
      <c r="B621" s="3" t="s">
        <v>2103</v>
      </c>
      <c r="C621" s="3">
        <v>1</v>
      </c>
      <c r="D621" s="3" t="str">
        <f>VLOOKUP(B621,'Element wise-detail Summary'!$A:$D,2,0)</f>
        <v>PV22</v>
      </c>
      <c r="E621" s="3" t="str">
        <f>IFERROR(VLOOKUP(B621,'Element wise-detail Summary'!$A:$D,3,0),0)</f>
        <v>Zone-6</v>
      </c>
      <c r="F621" s="143" t="str">
        <f>VLOOKUP(B621,'AFC Data details'!$B:$B,1,0)</f>
        <v>AZ6-PV22-T1C6-004</v>
      </c>
      <c r="H621" s="3">
        <f>_xlfn.XLOOKUP(B621,'AFC Data details'!B:B,'AFC Data details'!P:P)</f>
        <v>2.1280000000000001</v>
      </c>
    </row>
    <row r="622" spans="1:8" x14ac:dyDescent="0.25">
      <c r="A622" s="154">
        <v>46043</v>
      </c>
      <c r="B622" s="3" t="s">
        <v>1683</v>
      </c>
      <c r="C622" s="3">
        <v>1</v>
      </c>
      <c r="D622" s="3" t="str">
        <f>VLOOKUP(B622,'Element wise-detail Summary'!$A:$D,2,0)</f>
        <v>V68</v>
      </c>
      <c r="E622" s="3" t="str">
        <f>IFERROR(VLOOKUP(B622,'Element wise-detail Summary'!$A:$D,3,0),0)</f>
        <v>Zone-5</v>
      </c>
      <c r="F622" s="143" t="str">
        <f>VLOOKUP(B622,'AFC Data details'!$B:$B,1,0)</f>
        <v>AZ5-V68-T1C2-001</v>
      </c>
      <c r="H622" s="3">
        <f>_xlfn.XLOOKUP(B622,'AFC Data details'!B:B,'AFC Data details'!P:P)</f>
        <v>1.089</v>
      </c>
    </row>
    <row r="623" spans="1:8" x14ac:dyDescent="0.25">
      <c r="A623" s="154">
        <v>46043</v>
      </c>
      <c r="B623" s="3" t="s">
        <v>1668</v>
      </c>
      <c r="C623" s="3">
        <v>1</v>
      </c>
      <c r="D623" s="3" t="str">
        <f>VLOOKUP(B623,'Element wise-detail Summary'!$A:$D,2,0)</f>
        <v>V62</v>
      </c>
      <c r="E623" s="3" t="str">
        <f>IFERROR(VLOOKUP(B623,'Element wise-detail Summary'!$A:$D,3,0),0)</f>
        <v>Zone-5</v>
      </c>
      <c r="F623" s="143" t="str">
        <f>VLOOKUP(B623,'AFC Data details'!$B:$B,1,0)</f>
        <v>AZ5-V62-T1C2-001</v>
      </c>
      <c r="H623" s="3">
        <f>_xlfn.XLOOKUP(B623,'AFC Data details'!B:B,'AFC Data details'!P:P)</f>
        <v>1.032</v>
      </c>
    </row>
    <row r="624" spans="1:8" x14ac:dyDescent="0.25">
      <c r="A624" s="154">
        <v>46043</v>
      </c>
      <c r="B624" s="3" t="s">
        <v>1895</v>
      </c>
      <c r="C624" s="3">
        <v>1</v>
      </c>
      <c r="D624" s="3" t="str">
        <f>VLOOKUP(B624,'Element wise-detail Summary'!$A:$D,2,0)</f>
        <v>PV25</v>
      </c>
      <c r="E624" s="3" t="str">
        <f>IFERROR(VLOOKUP(B624,'Element wise-detail Summary'!$A:$D,3,0),0)</f>
        <v>Zone-6</v>
      </c>
      <c r="F624" s="143" t="str">
        <f>VLOOKUP(B624,'AFC Data details'!$B:$B,1,0)</f>
        <v>AZ6-PV25-T1C13-001</v>
      </c>
      <c r="H624" s="3">
        <f>_xlfn.XLOOKUP(B624,'AFC Data details'!B:B,'AFC Data details'!P:P)</f>
        <v>1.9490000000000001</v>
      </c>
    </row>
    <row r="625" spans="1:8" x14ac:dyDescent="0.25">
      <c r="A625" s="154">
        <v>46043</v>
      </c>
      <c r="B625" s="3" t="s">
        <v>2068</v>
      </c>
      <c r="C625" s="3">
        <v>1</v>
      </c>
      <c r="D625" s="3" t="str">
        <f>VLOOKUP(B625,'Element wise-detail Summary'!$A:$D,2,0)</f>
        <v>PV18</v>
      </c>
      <c r="E625" s="3" t="str">
        <f>IFERROR(VLOOKUP(B625,'Element wise-detail Summary'!$A:$D,3,0),0)</f>
        <v>Zone-6</v>
      </c>
      <c r="F625" s="143" t="str">
        <f>VLOOKUP(B625,'AFC Data details'!$B:$B,1,0)</f>
        <v>AZ6-PV18-T1C6-004</v>
      </c>
      <c r="H625" s="3">
        <f>_xlfn.XLOOKUP(B625,'AFC Data details'!B:B,'AFC Data details'!P:P)</f>
        <v>2.1219999999999999</v>
      </c>
    </row>
    <row r="626" spans="1:8" x14ac:dyDescent="0.25">
      <c r="A626" s="154">
        <v>46043</v>
      </c>
      <c r="B626" s="3" t="s">
        <v>1884</v>
      </c>
      <c r="C626" s="3">
        <v>1</v>
      </c>
      <c r="D626" s="3" t="str">
        <f>VLOOKUP(B626,'Element wise-detail Summary'!$A:$D,2,0)</f>
        <v>PV21</v>
      </c>
      <c r="E626" s="3" t="str">
        <f>IFERROR(VLOOKUP(B626,'Element wise-detail Summary'!$A:$D,3,0),0)</f>
        <v>Zone-6</v>
      </c>
      <c r="F626" s="143" t="str">
        <f>VLOOKUP(B626,'AFC Data details'!$B:$B,1,0)</f>
        <v>AZ6-PV21-T1C6-001</v>
      </c>
      <c r="H626" s="3">
        <f>_xlfn.XLOOKUP(B626,'AFC Data details'!B:B,'AFC Data details'!P:P)</f>
        <v>2.1219999999999999</v>
      </c>
    </row>
    <row r="627" spans="1:8" x14ac:dyDescent="0.25">
      <c r="A627" s="154">
        <v>46044</v>
      </c>
      <c r="B627" s="3" t="s">
        <v>1869</v>
      </c>
      <c r="C627" s="3">
        <v>1</v>
      </c>
      <c r="D627" s="3" t="str">
        <f>VLOOKUP(B627,'Element wise-detail Summary'!$A:$D,2,0)</f>
        <v>PV17</v>
      </c>
      <c r="E627" s="3" t="str">
        <f>IFERROR(VLOOKUP(B627,'Element wise-detail Summary'!$A:$D,3,0),0)</f>
        <v>Zone-6</v>
      </c>
      <c r="F627" s="143" t="str">
        <f>VLOOKUP(B627,'AFC Data details'!$B:$B,1,0)</f>
        <v>AZ6-PV17-T1C13-001</v>
      </c>
      <c r="H627" s="3">
        <f>_xlfn.XLOOKUP(B627,'AFC Data details'!B:B,'AFC Data details'!P:P)</f>
        <v>1.974</v>
      </c>
    </row>
    <row r="628" spans="1:8" x14ac:dyDescent="0.25">
      <c r="A628" s="154">
        <v>46044</v>
      </c>
      <c r="B628" s="3" t="s">
        <v>2058</v>
      </c>
      <c r="C628" s="3">
        <v>1</v>
      </c>
      <c r="D628" s="3" t="str">
        <f>VLOOKUP(B628,'Element wise-detail Summary'!$A:$D,2,0)</f>
        <v>PV19</v>
      </c>
      <c r="E628" s="3" t="str">
        <f>IFERROR(VLOOKUP(B628,'Element wise-detail Summary'!$A:$D,3,0),0)</f>
        <v>Zone-6</v>
      </c>
      <c r="F628" s="143" t="str">
        <f>VLOOKUP(B628,'AFC Data details'!$B:$B,1,0)</f>
        <v>AZ6-PV19-T1C6-006</v>
      </c>
      <c r="H628" s="3">
        <f>_xlfn.XLOOKUP(B628,'AFC Data details'!B:B,'AFC Data details'!P:P)</f>
        <v>2.1219999999999999</v>
      </c>
    </row>
    <row r="629" spans="1:8" x14ac:dyDescent="0.25">
      <c r="A629" s="154">
        <v>46044</v>
      </c>
      <c r="B629" s="3" t="s">
        <v>2153</v>
      </c>
      <c r="C629" s="3">
        <v>1</v>
      </c>
      <c r="D629" s="3" t="str">
        <f>VLOOKUP(B629,'Element wise-detail Summary'!$A:$D,2,0)</f>
        <v>PV34</v>
      </c>
      <c r="E629" s="3" t="str">
        <f>IFERROR(VLOOKUP(B629,'Element wise-detail Summary'!$A:$D,3,0),0)</f>
        <v>Zone-6</v>
      </c>
      <c r="F629" s="143" t="str">
        <f>VLOOKUP(B629,'AFC Data details'!$B:$B,1,0)</f>
        <v>AZ6-PV34-T1C6-003</v>
      </c>
      <c r="H629" s="3">
        <f>_xlfn.XLOOKUP(B629,'AFC Data details'!B:B,'AFC Data details'!P:P)</f>
        <v>2.0590000000000002</v>
      </c>
    </row>
    <row r="630" spans="1:8" x14ac:dyDescent="0.25">
      <c r="A630" s="154">
        <v>46044</v>
      </c>
      <c r="B630" s="3" t="s">
        <v>2166</v>
      </c>
      <c r="C630" s="3">
        <v>1</v>
      </c>
      <c r="D630" s="3" t="str">
        <f>VLOOKUP(B630,'Element wise-detail Summary'!$A:$D,2,0)</f>
        <v>PV28</v>
      </c>
      <c r="E630" s="3" t="str">
        <f>IFERROR(VLOOKUP(B630,'Element wise-detail Summary'!$A:$D,3,0),0)</f>
        <v>Zone-6</v>
      </c>
      <c r="F630" s="143" t="str">
        <f>VLOOKUP(B630,'AFC Data details'!$B:$B,1,0)</f>
        <v>AZ6-PV28-T2C1-001</v>
      </c>
      <c r="H630" s="3">
        <f>_xlfn.XLOOKUP(B630,'AFC Data details'!B:B,'AFC Data details'!P:P)</f>
        <v>1.4119999999999999</v>
      </c>
    </row>
    <row r="631" spans="1:8" x14ac:dyDescent="0.25">
      <c r="A631" s="154">
        <v>46044</v>
      </c>
      <c r="B631" s="3" t="s">
        <v>2060</v>
      </c>
      <c r="C631" s="3">
        <v>1</v>
      </c>
      <c r="D631" s="3" t="str">
        <f>VLOOKUP(B631,'Element wise-detail Summary'!$A:$D,2,0)</f>
        <v>PV20</v>
      </c>
      <c r="E631" s="3" t="str">
        <f>IFERROR(VLOOKUP(B631,'Element wise-detail Summary'!$A:$D,3,0),0)</f>
        <v>Zone-6</v>
      </c>
      <c r="F631" s="143" t="str">
        <f>VLOOKUP(B631,'AFC Data details'!$B:$B,1,0)</f>
        <v>AZ6-PV20-T1C6-004</v>
      </c>
      <c r="H631" s="3">
        <f>_xlfn.XLOOKUP(B631,'AFC Data details'!B:B,'AFC Data details'!P:P)</f>
        <v>2.1219999999999999</v>
      </c>
    </row>
    <row r="632" spans="1:8" x14ac:dyDescent="0.25">
      <c r="A632" s="154">
        <v>46044</v>
      </c>
      <c r="B632" s="3" t="s">
        <v>1840</v>
      </c>
      <c r="C632" s="3">
        <v>1</v>
      </c>
      <c r="D632" s="3" t="str">
        <f>VLOOKUP(B632,'Element wise-detail Summary'!$A:$D,2,0)</f>
        <v>V16</v>
      </c>
      <c r="E632" s="3" t="str">
        <f>IFERROR(VLOOKUP(B632,'Element wise-detail Summary'!$A:$D,3,0),0)</f>
        <v>Zone-4</v>
      </c>
      <c r="F632" s="143" t="str">
        <f>VLOOKUP(B632,'AFC Data details'!$B:$B,1,0)</f>
        <v>AZ4-V16-T3C4-002</v>
      </c>
      <c r="H632" s="3">
        <f>_xlfn.XLOOKUP(B632,'AFC Data details'!B:B,'AFC Data details'!P:P)</f>
        <v>1.508</v>
      </c>
    </row>
    <row r="633" spans="1:8" x14ac:dyDescent="0.25">
      <c r="A633" s="154">
        <v>46044</v>
      </c>
      <c r="B633" s="3" t="s">
        <v>1602</v>
      </c>
      <c r="C633" s="3">
        <v>1</v>
      </c>
      <c r="D633" s="3" t="str">
        <f>VLOOKUP(B633,'Element wise-detail Summary'!$A:$D,2,0)</f>
        <v>V63</v>
      </c>
      <c r="E633" s="3" t="str">
        <f>IFERROR(VLOOKUP(B633,'Element wise-detail Summary'!$A:$D,3,0),0)</f>
        <v>Zone-5</v>
      </c>
      <c r="F633" s="143" t="str">
        <f>VLOOKUP(B633,'AFC Data details'!$B:$B,1,0)</f>
        <v>AZ5-V63-T1C6-006</v>
      </c>
      <c r="H633" s="3">
        <f>_xlfn.XLOOKUP(B633,'AFC Data details'!B:B,'AFC Data details'!P:P)</f>
        <v>2.0840000000000001</v>
      </c>
    </row>
    <row r="634" spans="1:8" x14ac:dyDescent="0.25">
      <c r="A634" s="154">
        <v>46044</v>
      </c>
      <c r="B634" s="3" t="s">
        <v>2104</v>
      </c>
      <c r="C634" s="3">
        <v>1</v>
      </c>
      <c r="D634" s="3" t="str">
        <f>VLOOKUP(B634,'Element wise-detail Summary'!$A:$D,2,0)</f>
        <v>PV22</v>
      </c>
      <c r="E634" s="3" t="str">
        <f>IFERROR(VLOOKUP(B634,'Element wise-detail Summary'!$A:$D,3,0),0)</f>
        <v>Zone-6</v>
      </c>
      <c r="F634" s="143" t="str">
        <f>VLOOKUP(B634,'AFC Data details'!$B:$B,1,0)</f>
        <v>AZ6-PV22-T1C6-005</v>
      </c>
      <c r="H634" s="3">
        <f>_xlfn.XLOOKUP(B634,'AFC Data details'!B:B,'AFC Data details'!P:P)</f>
        <v>2.1280000000000001</v>
      </c>
    </row>
    <row r="635" spans="1:8" x14ac:dyDescent="0.25">
      <c r="A635" s="154">
        <v>46044</v>
      </c>
      <c r="B635" s="3" t="s">
        <v>1688</v>
      </c>
      <c r="C635" s="3">
        <v>1</v>
      </c>
      <c r="D635" s="3" t="str">
        <f>VLOOKUP(B635,'Element wise-detail Summary'!$A:$D,2,0)</f>
        <v>V70</v>
      </c>
      <c r="E635" s="3" t="str">
        <f>IFERROR(VLOOKUP(B635,'Element wise-detail Summary'!$A:$D,3,0),0)</f>
        <v>Zone-5</v>
      </c>
      <c r="F635" s="143" t="str">
        <f>VLOOKUP(B635,'AFC Data details'!$B:$B,1,0)</f>
        <v>AZ5-V70-T1C2-001</v>
      </c>
      <c r="H635" s="3">
        <f>_xlfn.XLOOKUP(B635,'AFC Data details'!B:B,'AFC Data details'!P:P)</f>
        <v>1.095</v>
      </c>
    </row>
    <row r="636" spans="1:8" x14ac:dyDescent="0.25">
      <c r="A636" s="154">
        <v>46044</v>
      </c>
      <c r="B636" s="3" t="s">
        <v>1673</v>
      </c>
      <c r="C636" s="3">
        <v>1</v>
      </c>
      <c r="D636" s="3" t="str">
        <f>VLOOKUP(B636,'Element wise-detail Summary'!$A:$D,2,0)</f>
        <v>V64</v>
      </c>
      <c r="E636" s="3" t="str">
        <f>IFERROR(VLOOKUP(B636,'Element wise-detail Summary'!$A:$D,3,0),0)</f>
        <v>Zone-5</v>
      </c>
      <c r="F636" s="143" t="str">
        <f>VLOOKUP(B636,'AFC Data details'!$B:$B,1,0)</f>
        <v>AZ5-V64-T1C2-001</v>
      </c>
      <c r="H636" s="3">
        <f>_xlfn.XLOOKUP(B636,'AFC Data details'!B:B,'AFC Data details'!P:P)</f>
        <v>1.052</v>
      </c>
    </row>
    <row r="637" spans="1:8" x14ac:dyDescent="0.25">
      <c r="A637" s="154">
        <v>46044</v>
      </c>
      <c r="B637" s="3" t="s">
        <v>2085</v>
      </c>
      <c r="C637" s="3">
        <v>1</v>
      </c>
      <c r="D637" s="3" t="str">
        <f>VLOOKUP(B637,'Element wise-detail Summary'!$A:$D,2,0)</f>
        <v>PV25</v>
      </c>
      <c r="E637" s="3" t="str">
        <f>IFERROR(VLOOKUP(B637,'Element wise-detail Summary'!$A:$D,3,0),0)</f>
        <v>Zone-6</v>
      </c>
      <c r="F637" s="143" t="str">
        <f>VLOOKUP(B637,'AFC Data details'!$B:$B,1,0)</f>
        <v>AZ6-PV25-T1C13-002</v>
      </c>
      <c r="H637" s="3">
        <f>_xlfn.XLOOKUP(B637,'AFC Data details'!B:B,'AFC Data details'!P:P)</f>
        <v>1.9490000000000001</v>
      </c>
    </row>
    <row r="638" spans="1:8" x14ac:dyDescent="0.25">
      <c r="A638" s="154">
        <v>46044</v>
      </c>
      <c r="B638" s="3" t="s">
        <v>2069</v>
      </c>
      <c r="C638" s="3">
        <v>1</v>
      </c>
      <c r="D638" s="3" t="str">
        <f>VLOOKUP(B638,'Element wise-detail Summary'!$A:$D,2,0)</f>
        <v>PV18</v>
      </c>
      <c r="E638" s="3" t="str">
        <f>IFERROR(VLOOKUP(B638,'Element wise-detail Summary'!$A:$D,3,0),0)</f>
        <v>Zone-6</v>
      </c>
      <c r="F638" s="143" t="str">
        <f>VLOOKUP(B638,'AFC Data details'!$B:$B,1,0)</f>
        <v>AZ6-PV18-T1C6-005</v>
      </c>
      <c r="H638" s="3">
        <f>_xlfn.XLOOKUP(B638,'AFC Data details'!B:B,'AFC Data details'!P:P)</f>
        <v>2.1219999999999999</v>
      </c>
    </row>
    <row r="639" spans="1:8" x14ac:dyDescent="0.25">
      <c r="A639" s="154">
        <v>46044</v>
      </c>
      <c r="B639" s="3" t="s">
        <v>2076</v>
      </c>
      <c r="C639" s="3">
        <v>1</v>
      </c>
      <c r="D639" s="3" t="str">
        <f>VLOOKUP(B639,'Element wise-detail Summary'!$A:$D,2,0)</f>
        <v>PV20</v>
      </c>
      <c r="E639" s="3" t="str">
        <f>IFERROR(VLOOKUP(B639,'Element wise-detail Summary'!$A:$D,3,0),0)</f>
        <v>Zone-6</v>
      </c>
      <c r="F639" s="143" t="str">
        <f>VLOOKUP(B639,'AFC Data details'!$B:$B,1,0)</f>
        <v>AZ6-PV20-T1C6-006</v>
      </c>
      <c r="H639" s="3">
        <f>_xlfn.XLOOKUP(B639,'AFC Data details'!B:B,'AFC Data details'!P:P)</f>
        <v>2.1219999999999999</v>
      </c>
    </row>
    <row r="640" spans="1:8" x14ac:dyDescent="0.25">
      <c r="A640" s="154">
        <v>46044</v>
      </c>
      <c r="B640" s="3" t="s">
        <v>1890</v>
      </c>
      <c r="C640" s="3">
        <v>1</v>
      </c>
      <c r="D640" s="3" t="str">
        <f>VLOOKUP(B640,'Element wise-detail Summary'!$A:$D,2,0)</f>
        <v>PV24</v>
      </c>
      <c r="E640" s="3" t="str">
        <f>IFERROR(VLOOKUP(B640,'Element wise-detail Summary'!$A:$D,3,0),0)</f>
        <v>Zone-6</v>
      </c>
      <c r="F640" s="143" t="str">
        <f>VLOOKUP(B640,'AFC Data details'!$B:$B,1,0)</f>
        <v>AZ6-PV24-T1C13-002</v>
      </c>
      <c r="H640" s="3">
        <f>_xlfn.XLOOKUP(B640,'AFC Data details'!B:B,'AFC Data details'!P:P)</f>
        <v>2.0760000000000001</v>
      </c>
    </row>
    <row r="641" spans="1:8" x14ac:dyDescent="0.25">
      <c r="A641" s="154">
        <v>46045</v>
      </c>
      <c r="B641" s="3" t="s">
        <v>1603</v>
      </c>
      <c r="C641" s="3">
        <v>1</v>
      </c>
      <c r="D641" s="3" t="str">
        <f>VLOOKUP(B641,'Element wise-detail Summary'!$A:$D,2,0)</f>
        <v>V65</v>
      </c>
      <c r="E641" s="3" t="str">
        <f>IFERROR(VLOOKUP(B641,'Element wise-detail Summary'!$A:$D,3,0),0)</f>
        <v>Zone-5</v>
      </c>
      <c r="F641" s="143" t="str">
        <f>VLOOKUP(B641,'AFC Data details'!$B:$B,1,0)</f>
        <v>AZ5-V65-T1C6-006</v>
      </c>
      <c r="H641" s="3">
        <f>_xlfn.XLOOKUP(B641,'AFC Data details'!B:B,'AFC Data details'!P:P)</f>
        <v>2.0840000000000001</v>
      </c>
    </row>
    <row r="642" spans="1:8" x14ac:dyDescent="0.25">
      <c r="A642" s="154">
        <v>46045</v>
      </c>
      <c r="B642" s="3" t="s">
        <v>1678</v>
      </c>
      <c r="C642" s="3">
        <v>1</v>
      </c>
      <c r="D642" s="3" t="str">
        <f>VLOOKUP(B642,'Element wise-detail Summary'!$A:$D,2,0)</f>
        <v>V66</v>
      </c>
      <c r="E642" s="3" t="str">
        <f>IFERROR(VLOOKUP(B642,'Element wise-detail Summary'!$A:$D,3,0),0)</f>
        <v>Zone-5</v>
      </c>
      <c r="F642" s="143" t="str">
        <f>VLOOKUP(B642,'AFC Data details'!$B:$B,1,0)</f>
        <v>AZ5-V66-T1C2-001</v>
      </c>
      <c r="H642" s="3">
        <f>_xlfn.XLOOKUP(B642,'AFC Data details'!B:B,'AFC Data details'!P:P)</f>
        <v>1.069</v>
      </c>
    </row>
    <row r="643" spans="1:8" x14ac:dyDescent="0.25">
      <c r="A643" s="154">
        <v>46045</v>
      </c>
      <c r="B643" s="3" t="s">
        <v>2086</v>
      </c>
      <c r="C643" s="3">
        <v>1</v>
      </c>
      <c r="D643" s="3" t="str">
        <f>VLOOKUP(B643,'Element wise-detail Summary'!$A:$D,2,0)</f>
        <v>PV25</v>
      </c>
      <c r="E643" s="3" t="str">
        <f>IFERROR(VLOOKUP(B643,'Element wise-detail Summary'!$A:$D,3,0),0)</f>
        <v>Zone-6</v>
      </c>
      <c r="F643" s="143" t="str">
        <f>VLOOKUP(B643,'AFC Data details'!$B:$B,1,0)</f>
        <v>AZ6-PV25-T1C13-003</v>
      </c>
      <c r="H643" s="3">
        <f>_xlfn.XLOOKUP(B643,'AFC Data details'!B:B,'AFC Data details'!P:P)</f>
        <v>1.9490000000000001</v>
      </c>
    </row>
    <row r="644" spans="1:8" x14ac:dyDescent="0.25">
      <c r="A644" s="154">
        <v>46045</v>
      </c>
      <c r="B644" s="3" t="s">
        <v>2070</v>
      </c>
      <c r="C644" s="3">
        <v>1</v>
      </c>
      <c r="D644" s="3" t="str">
        <f>VLOOKUP(B644,'Element wise-detail Summary'!$A:$D,2,0)</f>
        <v>PV19</v>
      </c>
      <c r="E644" s="3" t="str">
        <f>IFERROR(VLOOKUP(B644,'Element wise-detail Summary'!$A:$D,3,0),0)</f>
        <v>Zone-6</v>
      </c>
      <c r="F644" s="143" t="str">
        <f>VLOOKUP(B644,'AFC Data details'!$B:$B,1,0)</f>
        <v>AZ6-PV19-T1C6-002</v>
      </c>
      <c r="H644" s="3">
        <f>_xlfn.XLOOKUP(B644,'AFC Data details'!B:B,'AFC Data details'!P:P)</f>
        <v>2.1219999999999999</v>
      </c>
    </row>
    <row r="645" spans="1:8" x14ac:dyDescent="0.25">
      <c r="A645" s="154">
        <v>46045</v>
      </c>
      <c r="B645" s="3" t="s">
        <v>2077</v>
      </c>
      <c r="C645" s="3">
        <v>1</v>
      </c>
      <c r="D645" s="3" t="str">
        <f>VLOOKUP(B645,'Element wise-detail Summary'!$A:$D,2,0)</f>
        <v>PV19</v>
      </c>
      <c r="E645" s="3" t="str">
        <f>IFERROR(VLOOKUP(B645,'Element wise-detail Summary'!$A:$D,3,0),0)</f>
        <v>Zone-6</v>
      </c>
      <c r="F645" s="143" t="str">
        <f>VLOOKUP(B645,'AFC Data details'!$B:$B,1,0)</f>
        <v>AZ6-PV19-T1C6-001</v>
      </c>
      <c r="H645" s="3">
        <f>_xlfn.XLOOKUP(B645,'AFC Data details'!B:B,'AFC Data details'!P:P)</f>
        <v>2.1219999999999999</v>
      </c>
    </row>
    <row r="646" spans="1:8" x14ac:dyDescent="0.25">
      <c r="A646" s="154">
        <v>46045</v>
      </c>
      <c r="B646" s="3" t="s">
        <v>2081</v>
      </c>
      <c r="C646" s="3">
        <v>1</v>
      </c>
      <c r="D646" s="3" t="str">
        <f>VLOOKUP(B646,'Element wise-detail Summary'!$A:$D,2,0)</f>
        <v>PV24</v>
      </c>
      <c r="E646" s="3" t="str">
        <f>IFERROR(VLOOKUP(B646,'Element wise-detail Summary'!$A:$D,3,0),0)</f>
        <v>Zone-6</v>
      </c>
      <c r="F646" s="143" t="str">
        <f>VLOOKUP(B646,'AFC Data details'!$B:$B,1,0)</f>
        <v>AZ6-PV24-T1C13-003</v>
      </c>
      <c r="H646" s="3">
        <f>_xlfn.XLOOKUP(B646,'AFC Data details'!B:B,'AFC Data details'!P:P)</f>
        <v>2.0760000000000001</v>
      </c>
    </row>
    <row r="647" spans="1:8" x14ac:dyDescent="0.25">
      <c r="A647" s="154">
        <v>46045</v>
      </c>
      <c r="B647" s="3" t="s">
        <v>1870</v>
      </c>
      <c r="C647" s="3">
        <v>1</v>
      </c>
      <c r="D647" s="3" t="str">
        <f>VLOOKUP(B647,'Element wise-detail Summary'!$A:$D,2,0)</f>
        <v>PV17</v>
      </c>
      <c r="E647" s="3" t="str">
        <f>IFERROR(VLOOKUP(B647,'Element wise-detail Summary'!$A:$D,3,0),0)</f>
        <v>Zone-6</v>
      </c>
      <c r="F647" s="143" t="str">
        <f>VLOOKUP(B647,'AFC Data details'!$B:$B,1,0)</f>
        <v>AZ6-PV17-T1C13-002</v>
      </c>
      <c r="H647" s="3">
        <f>_xlfn.XLOOKUP(B647,'AFC Data details'!B:B,'AFC Data details'!P:P)</f>
        <v>1.9790000000000001</v>
      </c>
    </row>
    <row r="648" spans="1:8" x14ac:dyDescent="0.25">
      <c r="A648" s="154">
        <v>46045</v>
      </c>
      <c r="B648" s="3" t="s">
        <v>1883</v>
      </c>
      <c r="C648" s="3">
        <v>1</v>
      </c>
      <c r="D648" s="3" t="str">
        <f>VLOOKUP(B648,'Element wise-detail Summary'!$A:$D,2,0)</f>
        <v>PV21</v>
      </c>
      <c r="E648" s="3" t="str">
        <f>IFERROR(VLOOKUP(B648,'Element wise-detail Summary'!$A:$D,3,0),0)</f>
        <v>Zone-6</v>
      </c>
      <c r="F648" s="143" t="str">
        <f>VLOOKUP(B648,'AFC Data details'!$B:$B,1,0)</f>
        <v>AZ6-PV21-T1C1-001</v>
      </c>
      <c r="H648" s="3">
        <f>_xlfn.XLOOKUP(B648,'AFC Data details'!B:B,'AFC Data details'!P:P)</f>
        <v>0.97099999999999997</v>
      </c>
    </row>
    <row r="649" spans="1:8" x14ac:dyDescent="0.25">
      <c r="A649" s="154">
        <v>46045</v>
      </c>
      <c r="B649" s="3" t="s">
        <v>2154</v>
      </c>
      <c r="C649" s="3">
        <v>1</v>
      </c>
      <c r="D649" s="3" t="str">
        <f>VLOOKUP(B649,'Element wise-detail Summary'!$A:$D,2,0)</f>
        <v>PV34</v>
      </c>
      <c r="E649" s="3" t="str">
        <f>IFERROR(VLOOKUP(B649,'Element wise-detail Summary'!$A:$D,3,0),0)</f>
        <v>Zone-6</v>
      </c>
      <c r="F649" s="143" t="str">
        <f>VLOOKUP(B649,'AFC Data details'!$B:$B,1,0)</f>
        <v>AZ6-PV34-T1C6-004</v>
      </c>
      <c r="H649" s="3">
        <f>_xlfn.XLOOKUP(B649,'AFC Data details'!B:B,'AFC Data details'!P:P)</f>
        <v>2.0590000000000002</v>
      </c>
    </row>
    <row r="650" spans="1:8" x14ac:dyDescent="0.25">
      <c r="A650" s="154">
        <v>46045</v>
      </c>
      <c r="B650" s="3" t="s">
        <v>2167</v>
      </c>
      <c r="C650" s="3">
        <v>1</v>
      </c>
      <c r="D650" s="3" t="str">
        <f>VLOOKUP(B650,'Element wise-detail Summary'!$A:$D,2,0)</f>
        <v>PV26</v>
      </c>
      <c r="E650" s="3" t="str">
        <f>IFERROR(VLOOKUP(B650,'Element wise-detail Summary'!$A:$D,3,0),0)</f>
        <v>Zone-6</v>
      </c>
      <c r="F650" s="143" t="str">
        <f>VLOOKUP(B650,'AFC Data details'!$B:$B,1,0)</f>
        <v>AZ6-PV26-T2C1-001</v>
      </c>
      <c r="H650" s="3">
        <f>_xlfn.XLOOKUP(B650,'AFC Data details'!B:B,'AFC Data details'!P:P)</f>
        <v>1.4119999999999999</v>
      </c>
    </row>
    <row r="651" spans="1:8" x14ac:dyDescent="0.25">
      <c r="A651" s="154">
        <v>46045</v>
      </c>
      <c r="B651" s="3" t="s">
        <v>2061</v>
      </c>
      <c r="C651" s="3">
        <v>1</v>
      </c>
      <c r="D651" s="3" t="str">
        <f>VLOOKUP(B651,'Element wise-detail Summary'!$A:$D,2,0)</f>
        <v>PV20</v>
      </c>
      <c r="E651" s="3" t="str">
        <f>IFERROR(VLOOKUP(B651,'Element wise-detail Summary'!$A:$D,3,0),0)</f>
        <v>Zone-6</v>
      </c>
      <c r="F651" s="143" t="str">
        <f>VLOOKUP(B651,'AFC Data details'!$B:$B,1,0)</f>
        <v>AZ6-PV20-T1C6-005</v>
      </c>
      <c r="H651" s="3">
        <f>_xlfn.XLOOKUP(B651,'AFC Data details'!B:B,'AFC Data details'!P:P)</f>
        <v>2.1219999999999999</v>
      </c>
    </row>
    <row r="652" spans="1:8" x14ac:dyDescent="0.25">
      <c r="A652" s="154">
        <v>46045</v>
      </c>
      <c r="B652" s="3" t="s">
        <v>1813</v>
      </c>
      <c r="C652" s="3">
        <v>1</v>
      </c>
      <c r="D652" s="3" t="str">
        <f>VLOOKUP(B652,'Element wise-detail Summary'!$A:$D,2,0)</f>
        <v>V10</v>
      </c>
      <c r="E652" s="3" t="str">
        <f>IFERROR(VLOOKUP(B652,'Element wise-detail Summary'!$A:$D,3,0),0)</f>
        <v>Zone-4</v>
      </c>
      <c r="F652" s="143" t="str">
        <f>VLOOKUP(B652,'AFC Data details'!$B:$B,1,0)</f>
        <v>AZ4-V10-T3C4-001</v>
      </c>
      <c r="H652" s="3">
        <f>_xlfn.XLOOKUP(B652,'AFC Data details'!B:B,'AFC Data details'!P:P)</f>
        <v>1.595</v>
      </c>
    </row>
    <row r="653" spans="1:8" x14ac:dyDescent="0.25">
      <c r="A653" s="154">
        <v>46045</v>
      </c>
      <c r="B653" s="3" t="s">
        <v>1815</v>
      </c>
      <c r="C653" s="3">
        <v>1</v>
      </c>
      <c r="D653" s="3" t="str">
        <f>VLOOKUP(B653,'Element wise-detail Summary'!$A:$D,2,0)</f>
        <v>V10</v>
      </c>
      <c r="E653" s="3" t="str">
        <f>IFERROR(VLOOKUP(B653,'Element wise-detail Summary'!$A:$D,3,0),0)</f>
        <v>Zone-4</v>
      </c>
      <c r="F653" s="143" t="str">
        <f>VLOOKUP(B653,'AFC Data details'!$B:$B,1,0)</f>
        <v>AZ4-V10-T3C5-001</v>
      </c>
      <c r="H653" s="3">
        <f>_xlfn.XLOOKUP(B653,'AFC Data details'!B:B,'AFC Data details'!P:P)</f>
        <v>1.4059999999999999</v>
      </c>
    </row>
    <row r="654" spans="1:8" x14ac:dyDescent="0.25">
      <c r="A654" s="154">
        <v>46046</v>
      </c>
      <c r="B654" s="3" t="s">
        <v>1908</v>
      </c>
      <c r="C654" s="3">
        <v>1</v>
      </c>
      <c r="D654" s="3" t="str">
        <f>VLOOKUP(B654,'Element wise-detail Summary'!$A:$D,2,0)</f>
        <v>PV28</v>
      </c>
      <c r="E654" s="3" t="str">
        <f>IFERROR(VLOOKUP(B654,'Element wise-detail Summary'!$A:$D,3,0),0)</f>
        <v>Zone-6</v>
      </c>
      <c r="F654" s="143" t="str">
        <f>VLOOKUP(B654,'AFC Data details'!$B:$B,1,0)</f>
        <v>AZ6-PV28-T1C6-002</v>
      </c>
      <c r="H654" s="3">
        <f>_xlfn.XLOOKUP(B654,'AFC Data details'!B:B,'AFC Data details'!P:P)</f>
        <v>2.0779999999999998</v>
      </c>
    </row>
    <row r="655" spans="1:8" x14ac:dyDescent="0.25">
      <c r="A655" s="154">
        <v>46046</v>
      </c>
      <c r="B655" s="3" t="s">
        <v>2071</v>
      </c>
      <c r="C655" s="3">
        <v>1</v>
      </c>
      <c r="D655" s="3" t="str">
        <f>VLOOKUP(B655,'Element wise-detail Summary'!$A:$D,2,0)</f>
        <v>PV19</v>
      </c>
      <c r="E655" s="3" t="str">
        <f>IFERROR(VLOOKUP(B655,'Element wise-detail Summary'!$A:$D,3,0),0)</f>
        <v>Zone-6</v>
      </c>
      <c r="F655" s="143" t="str">
        <f>VLOOKUP(B655,'AFC Data details'!$B:$B,1,0)</f>
        <v>AZ6-PV19-T1C6-003</v>
      </c>
      <c r="H655" s="3">
        <f>_xlfn.XLOOKUP(B655,'AFC Data details'!B:B,'AFC Data details'!P:P)</f>
        <v>2.1219999999999999</v>
      </c>
    </row>
    <row r="656" spans="1:8" x14ac:dyDescent="0.25">
      <c r="A656" s="154">
        <v>46046</v>
      </c>
      <c r="B656" s="3" t="s">
        <v>2078</v>
      </c>
      <c r="C656" s="3">
        <v>1</v>
      </c>
      <c r="D656" s="3" t="str">
        <f>VLOOKUP(B656,'Element wise-detail Summary'!$A:$D,2,0)</f>
        <v>PV18</v>
      </c>
      <c r="E656" s="3" t="str">
        <f>IFERROR(VLOOKUP(B656,'Element wise-detail Summary'!$A:$D,3,0),0)</f>
        <v>Zone-6</v>
      </c>
      <c r="F656" s="143" t="str">
        <f>VLOOKUP(B656,'AFC Data details'!$B:$B,1,0)</f>
        <v>AZ6-PV18-T1C6-006</v>
      </c>
      <c r="H656" s="3">
        <f>_xlfn.XLOOKUP(B656,'AFC Data details'!B:B,'AFC Data details'!P:P)</f>
        <v>2.1219999999999999</v>
      </c>
    </row>
    <row r="657" spans="1:8" x14ac:dyDescent="0.25">
      <c r="A657" s="154">
        <v>46046</v>
      </c>
      <c r="B657" s="3" t="s">
        <v>2048</v>
      </c>
      <c r="C657" s="3">
        <v>1</v>
      </c>
      <c r="D657" s="3" t="str">
        <f>VLOOKUP(B657,'Element wise-detail Summary'!$A:$D,2,0)</f>
        <v>PV17</v>
      </c>
      <c r="E657" s="3" t="str">
        <f>IFERROR(VLOOKUP(B657,'Element wise-detail Summary'!$A:$D,3,0),0)</f>
        <v>Zone-6</v>
      </c>
      <c r="F657" s="143" t="str">
        <f>VLOOKUP(B657,'AFC Data details'!$B:$B,1,0)</f>
        <v>AZ6-PV17-T1C13-003</v>
      </c>
      <c r="H657" s="3">
        <f>_xlfn.XLOOKUP(B657,'AFC Data details'!B:B,'AFC Data details'!P:P)</f>
        <v>1.9790000000000001</v>
      </c>
    </row>
    <row r="658" spans="1:8" x14ac:dyDescent="0.25">
      <c r="A658" s="154">
        <v>46046</v>
      </c>
      <c r="B658" s="3" t="s">
        <v>2155</v>
      </c>
      <c r="C658" s="3">
        <v>1</v>
      </c>
      <c r="D658" s="3" t="str">
        <f>VLOOKUP(B658,'Element wise-detail Summary'!$A:$D,2,0)</f>
        <v>PV34</v>
      </c>
      <c r="E658" s="3" t="str">
        <f>IFERROR(VLOOKUP(B658,'Element wise-detail Summary'!$A:$D,3,0),0)</f>
        <v>Zone-6</v>
      </c>
      <c r="F658" s="143" t="str">
        <f>VLOOKUP(B658,'AFC Data details'!$B:$B,1,0)</f>
        <v>AZ6-PV34-T1C6-005</v>
      </c>
      <c r="H658" s="3">
        <f>_xlfn.XLOOKUP(B658,'AFC Data details'!B:B,'AFC Data details'!P:P)</f>
        <v>2.0590000000000002</v>
      </c>
    </row>
    <row r="659" spans="1:8" x14ac:dyDescent="0.25">
      <c r="A659" s="154">
        <v>46046</v>
      </c>
      <c r="B659" s="3" t="s">
        <v>2168</v>
      </c>
      <c r="C659" s="3">
        <v>1</v>
      </c>
      <c r="D659" s="3" t="str">
        <f>VLOOKUP(B659,'Element wise-detail Summary'!$A:$D,2,0)</f>
        <v>PV24</v>
      </c>
      <c r="E659" s="3" t="str">
        <f>IFERROR(VLOOKUP(B659,'Element wise-detail Summary'!$A:$D,3,0),0)</f>
        <v>Zone-6</v>
      </c>
      <c r="F659" s="143" t="str">
        <f>VLOOKUP(B659,'AFC Data details'!$B:$B,1,0)</f>
        <v>AZ6-PV24-T2C1-001</v>
      </c>
      <c r="H659" s="3">
        <f>_xlfn.XLOOKUP(B659,'AFC Data details'!B:B,'AFC Data details'!P:P)</f>
        <v>1.4119999999999999</v>
      </c>
    </row>
    <row r="660" spans="1:8" x14ac:dyDescent="0.25">
      <c r="A660" s="154">
        <v>46046</v>
      </c>
      <c r="B660" s="3" t="s">
        <v>2062</v>
      </c>
      <c r="C660" s="3">
        <v>1</v>
      </c>
      <c r="D660" s="3" t="str">
        <f>VLOOKUP(B660,'Element wise-detail Summary'!$A:$D,2,0)</f>
        <v>PV21</v>
      </c>
      <c r="E660" s="3" t="str">
        <f>IFERROR(VLOOKUP(B660,'Element wise-detail Summary'!$A:$D,3,0),0)</f>
        <v>Zone-6</v>
      </c>
      <c r="F660" s="143" t="str">
        <f>VLOOKUP(B660,'AFC Data details'!$B:$B,1,0)</f>
        <v>AZ6-PV21-T1C6-002</v>
      </c>
      <c r="H660" s="3">
        <f>_xlfn.XLOOKUP(B660,'AFC Data details'!B:B,'AFC Data details'!P:P)</f>
        <v>2.1219999999999999</v>
      </c>
    </row>
    <row r="661" spans="1:8" x14ac:dyDescent="0.25">
      <c r="A661" s="154">
        <v>46048</v>
      </c>
      <c r="B661" s="3" t="s">
        <v>2117</v>
      </c>
      <c r="C661" s="3">
        <v>1</v>
      </c>
      <c r="D661" s="3" t="str">
        <f>VLOOKUP(B661,'Element wise-detail Summary'!$A:$D,2,0)</f>
        <v>PV28</v>
      </c>
      <c r="E661" s="3" t="str">
        <f>IFERROR(VLOOKUP(B661,'Element wise-detail Summary'!$A:$D,3,0),0)</f>
        <v>Zone-6</v>
      </c>
      <c r="F661" s="143" t="str">
        <f>VLOOKUP(B661,'AFC Data details'!$B:$B,1,0)</f>
        <v>AZ6-PV28-T1C6-003</v>
      </c>
      <c r="H661" s="3">
        <f>_xlfn.XLOOKUP(B661,'AFC Data details'!B:B,'AFC Data details'!P:P)</f>
        <v>2.0779999999999998</v>
      </c>
    </row>
    <row r="662" spans="1:8" x14ac:dyDescent="0.25">
      <c r="A662" s="154">
        <v>46048</v>
      </c>
      <c r="B662" s="3" t="s">
        <v>2094</v>
      </c>
      <c r="C662" s="3">
        <v>1</v>
      </c>
      <c r="D662" s="3" t="str">
        <f>VLOOKUP(B662,'Element wise-detail Summary'!$A:$D,2,0)</f>
        <v>PV26</v>
      </c>
      <c r="E662" s="3" t="str">
        <f>IFERROR(VLOOKUP(B662,'Element wise-detail Summary'!$A:$D,3,0),0)</f>
        <v>Zone-6</v>
      </c>
      <c r="F662" s="143" t="str">
        <f>VLOOKUP(B662,'AFC Data details'!$B:$B,1,0)</f>
        <v>AZ6-PV26-T1C6-004</v>
      </c>
      <c r="H662" s="3">
        <f>_xlfn.XLOOKUP(B662,'AFC Data details'!B:B,'AFC Data details'!P:P)</f>
        <v>2.1280000000000001</v>
      </c>
    </row>
    <row r="663" spans="1:8" x14ac:dyDescent="0.25">
      <c r="A663" s="154">
        <v>46048</v>
      </c>
      <c r="B663" s="3" t="s">
        <v>2087</v>
      </c>
      <c r="C663" s="3">
        <v>1</v>
      </c>
      <c r="D663" s="3" t="str">
        <f>VLOOKUP(B663,'Element wise-detail Summary'!$A:$D,2,0)</f>
        <v>PV25</v>
      </c>
      <c r="E663" s="3" t="str">
        <f>IFERROR(VLOOKUP(B663,'Element wise-detail Summary'!$A:$D,3,0),0)</f>
        <v>Zone-6</v>
      </c>
      <c r="F663" s="143" t="str">
        <f>VLOOKUP(B663,'AFC Data details'!$B:$B,1,0)</f>
        <v>AZ6-PV25-T1C13-004</v>
      </c>
      <c r="H663" s="3">
        <f>_xlfn.XLOOKUP(B663,'AFC Data details'!B:B,'AFC Data details'!P:P)</f>
        <v>1.9490000000000001</v>
      </c>
    </row>
    <row r="664" spans="1:8" x14ac:dyDescent="0.25">
      <c r="A664" s="154">
        <v>46048</v>
      </c>
      <c r="B664" s="3" t="s">
        <v>2072</v>
      </c>
      <c r="C664" s="3">
        <v>1</v>
      </c>
      <c r="D664" s="3" t="str">
        <f>VLOOKUP(B664,'Element wise-detail Summary'!$A:$D,2,0)</f>
        <v>PV19</v>
      </c>
      <c r="E664" s="3" t="str">
        <f>IFERROR(VLOOKUP(B664,'Element wise-detail Summary'!$A:$D,3,0),0)</f>
        <v>Zone-6</v>
      </c>
      <c r="F664" s="143" t="str">
        <f>VLOOKUP(B664,'AFC Data details'!$B:$B,1,0)</f>
        <v>AZ6-PV19-T1C6-004</v>
      </c>
      <c r="H664" s="3">
        <f>_xlfn.XLOOKUP(B664,'AFC Data details'!B:B,'AFC Data details'!P:P)</f>
        <v>2.1219999999999999</v>
      </c>
    </row>
    <row r="665" spans="1:8" x14ac:dyDescent="0.25">
      <c r="A665" s="154">
        <v>46048</v>
      </c>
      <c r="B665" s="3" t="s">
        <v>2099</v>
      </c>
      <c r="C665" s="3">
        <v>1</v>
      </c>
      <c r="D665" s="3" t="str">
        <f>VLOOKUP(B665,'Element wise-detail Summary'!$A:$D,2,0)</f>
        <v>PV27</v>
      </c>
      <c r="E665" s="3" t="str">
        <f>IFERROR(VLOOKUP(B665,'Element wise-detail Summary'!$A:$D,3,0),0)</f>
        <v>Zone-6</v>
      </c>
      <c r="F665" s="143" t="str">
        <f>VLOOKUP(B665,'AFC Data details'!$B:$B,1,0)</f>
        <v>AZ6-PV27-T1C6-004</v>
      </c>
      <c r="H665" s="3">
        <f>_xlfn.XLOOKUP(B665,'AFC Data details'!B:B,'AFC Data details'!P:P)</f>
        <v>2.1280000000000001</v>
      </c>
    </row>
    <row r="666" spans="1:8" x14ac:dyDescent="0.25">
      <c r="A666" s="154">
        <v>46048</v>
      </c>
      <c r="B666" s="3" t="s">
        <v>2082</v>
      </c>
      <c r="C666" s="3">
        <v>1</v>
      </c>
      <c r="D666" s="3" t="str">
        <f>VLOOKUP(B666,'Element wise-detail Summary'!$A:$D,2,0)</f>
        <v>PV24</v>
      </c>
      <c r="E666" s="3" t="str">
        <f>IFERROR(VLOOKUP(B666,'Element wise-detail Summary'!$A:$D,3,0),0)</f>
        <v>Zone-6</v>
      </c>
      <c r="F666" s="143" t="str">
        <f>VLOOKUP(B666,'AFC Data details'!$B:$B,1,0)</f>
        <v>AZ6-PV24-T1C13-004</v>
      </c>
      <c r="H666" s="3">
        <f>_xlfn.XLOOKUP(B666,'AFC Data details'!B:B,'AFC Data details'!P:P)</f>
        <v>2.0760000000000001</v>
      </c>
    </row>
    <row r="667" spans="1:8" x14ac:dyDescent="0.25">
      <c r="A667" s="154">
        <v>46048</v>
      </c>
      <c r="B667" s="3" t="s">
        <v>2049</v>
      </c>
      <c r="C667" s="3">
        <v>1</v>
      </c>
      <c r="D667" s="3" t="str">
        <f>VLOOKUP(B667,'Element wise-detail Summary'!$A:$D,2,0)</f>
        <v>PV17</v>
      </c>
      <c r="E667" s="3" t="str">
        <f>IFERROR(VLOOKUP(B667,'Element wise-detail Summary'!$A:$D,3,0),0)</f>
        <v>Zone-6</v>
      </c>
      <c r="F667" s="143" t="str">
        <f>VLOOKUP(B667,'AFC Data details'!$B:$B,1,0)</f>
        <v>AZ6-PV17-T1C13-004</v>
      </c>
      <c r="H667" s="3">
        <f>_xlfn.XLOOKUP(B667,'AFC Data details'!B:B,'AFC Data details'!P:P)</f>
        <v>1.9790000000000001</v>
      </c>
    </row>
    <row r="668" spans="1:8" x14ac:dyDescent="0.25">
      <c r="A668" s="154">
        <v>46048</v>
      </c>
      <c r="B668" s="3" t="s">
        <v>2074</v>
      </c>
      <c r="C668" s="3">
        <v>1</v>
      </c>
      <c r="D668" s="3" t="str">
        <f>VLOOKUP(B668,'Element wise-detail Summary'!$A:$D,2,0)</f>
        <v>PV23</v>
      </c>
      <c r="E668" s="3" t="str">
        <f>IFERROR(VLOOKUP(B668,'Element wise-detail Summary'!$A:$D,3,0),0)</f>
        <v>Zone-6</v>
      </c>
      <c r="F668" s="143" t="str">
        <f>VLOOKUP(B668,'AFC Data details'!$B:$B,1,0)</f>
        <v>AZ6-PV23-T1C1-001</v>
      </c>
      <c r="H668" s="3">
        <f>_xlfn.XLOOKUP(B668,'AFC Data details'!B:B,'AFC Data details'!P:P)</f>
        <v>0.97099999999999997</v>
      </c>
    </row>
    <row r="669" spans="1:8" x14ac:dyDescent="0.25">
      <c r="A669" s="154">
        <v>46048</v>
      </c>
      <c r="B669" s="3" t="s">
        <v>2156</v>
      </c>
      <c r="C669" s="3">
        <v>1</v>
      </c>
      <c r="D669" s="3" t="str">
        <f>VLOOKUP(B669,'Element wise-detail Summary'!$A:$D,2,0)</f>
        <v>PV35</v>
      </c>
      <c r="E669" s="3" t="str">
        <f>IFERROR(VLOOKUP(B669,'Element wise-detail Summary'!$A:$D,3,0),0)</f>
        <v>Zone-6</v>
      </c>
      <c r="F669" s="143" t="str">
        <f>VLOOKUP(B669,'AFC Data details'!$B:$B,1,0)</f>
        <v>AZ6-PV35-T1C6-002</v>
      </c>
      <c r="H669" s="3">
        <f>_xlfn.XLOOKUP(B669,'AFC Data details'!B:B,'AFC Data details'!P:P)</f>
        <v>2.0590000000000002</v>
      </c>
    </row>
    <row r="670" spans="1:8" x14ac:dyDescent="0.25">
      <c r="A670" s="154">
        <v>46048</v>
      </c>
      <c r="B670" s="3" t="s">
        <v>2169</v>
      </c>
      <c r="C670" s="3">
        <v>1</v>
      </c>
      <c r="D670" s="3" t="str">
        <f>VLOOKUP(B670,'Element wise-detail Summary'!$A:$D,2,0)</f>
        <v>PV22</v>
      </c>
      <c r="E670" s="3" t="str">
        <f>IFERROR(VLOOKUP(B670,'Element wise-detail Summary'!$A:$D,3,0),0)</f>
        <v>Zone-6</v>
      </c>
      <c r="F670" s="143" t="str">
        <f>VLOOKUP(B670,'AFC Data details'!$B:$B,1,0)</f>
        <v>AZ6-PV22-T2C1-001</v>
      </c>
      <c r="H670" s="3">
        <f>_xlfn.XLOOKUP(B670,'AFC Data details'!B:B,'AFC Data details'!P:P)</f>
        <v>1.4119999999999999</v>
      </c>
    </row>
    <row r="671" spans="1:8" x14ac:dyDescent="0.25">
      <c r="A671" s="154">
        <v>46048</v>
      </c>
      <c r="B671" s="3" t="s">
        <v>2063</v>
      </c>
      <c r="C671" s="3">
        <v>1</v>
      </c>
      <c r="D671" s="3" t="str">
        <f>VLOOKUP(B671,'Element wise-detail Summary'!$A:$D,2,0)</f>
        <v>PV21</v>
      </c>
      <c r="E671" s="3" t="str">
        <f>IFERROR(VLOOKUP(B671,'Element wise-detail Summary'!$A:$D,3,0),0)</f>
        <v>Zone-6</v>
      </c>
      <c r="F671" s="143" t="str">
        <f>VLOOKUP(B671,'AFC Data details'!$B:$B,1,0)</f>
        <v>AZ6-PV21-T1C6-003</v>
      </c>
      <c r="H671" s="3">
        <f>_xlfn.XLOOKUP(B671,'AFC Data details'!B:B,'AFC Data details'!P:P)</f>
        <v>2.1219999999999999</v>
      </c>
    </row>
    <row r="672" spans="1:8" x14ac:dyDescent="0.25">
      <c r="A672" s="154">
        <v>46048</v>
      </c>
      <c r="B672" s="3" t="s">
        <v>1787</v>
      </c>
      <c r="C672" s="3">
        <v>1</v>
      </c>
      <c r="D672" s="3" t="str">
        <f>VLOOKUP(B672,'Element wise-detail Summary'!$A:$D,2,0)</f>
        <v>V04</v>
      </c>
      <c r="E672" s="3" t="str">
        <f>IFERROR(VLOOKUP(B672,'Element wise-detail Summary'!$A:$D,3,0),0)</f>
        <v>Zone-4</v>
      </c>
      <c r="F672" s="143" t="str">
        <f>VLOOKUP(B672,'AFC Data details'!$B:$B,1,0)</f>
        <v>AZ4-V04-T3C6S-001</v>
      </c>
      <c r="H672" s="3">
        <f>_xlfn.XLOOKUP(B672,'AFC Data details'!B:B,'AFC Data details'!P:P)</f>
        <v>2.2559999999999998</v>
      </c>
    </row>
    <row r="673" spans="1:8" x14ac:dyDescent="0.25">
      <c r="A673" s="154">
        <v>46048</v>
      </c>
      <c r="B673" s="3" t="s">
        <v>1651</v>
      </c>
      <c r="C673" s="3">
        <v>1</v>
      </c>
      <c r="D673" s="3" t="str">
        <f>VLOOKUP(B673,'Element wise-detail Summary'!$A:$D,2,0)</f>
        <v>V57</v>
      </c>
      <c r="E673" s="3" t="str">
        <f>IFERROR(VLOOKUP(B673,'Element wise-detail Summary'!$A:$D,3,0),0)</f>
        <v>Zone-5</v>
      </c>
      <c r="F673" s="143" t="str">
        <f>VLOOKUP(B673,'AFC Data details'!$B:$B,1,0)</f>
        <v>AZ5-V57-T3C5-002</v>
      </c>
      <c r="H673" s="3">
        <f>_xlfn.XLOOKUP(B673,'AFC Data details'!B:B,'AFC Data details'!P:P)</f>
        <v>1.5960000000000001</v>
      </c>
    </row>
    <row r="674" spans="1:8" x14ac:dyDescent="0.25">
      <c r="A674" s="154">
        <v>46048</v>
      </c>
      <c r="B674" s="3" t="s">
        <v>2110</v>
      </c>
      <c r="C674" s="3">
        <v>1</v>
      </c>
      <c r="D674" s="3" t="str">
        <f>VLOOKUP(B674,'Element wise-detail Summary'!$A:$D,2,0)</f>
        <v>PV23</v>
      </c>
      <c r="E674" s="3" t="str">
        <f>IFERROR(VLOOKUP(B674,'Element wise-detail Summary'!$A:$D,3,0),0)</f>
        <v>Zone-6</v>
      </c>
      <c r="F674" s="143" t="str">
        <f>VLOOKUP(B674,'AFC Data details'!$B:$B,1,0)</f>
        <v>AZ6-PV23-T1C6-001</v>
      </c>
      <c r="H674" s="3">
        <f>_xlfn.XLOOKUP(B674,'AFC Data details'!B:B,'AFC Data details'!P:P)</f>
        <v>2.1280000000000001</v>
      </c>
    </row>
    <row r="675" spans="1:8" x14ac:dyDescent="0.25">
      <c r="A675" s="154">
        <v>46049</v>
      </c>
      <c r="B675" s="3" t="s">
        <v>2050</v>
      </c>
      <c r="C675" s="3">
        <v>1</v>
      </c>
      <c r="D675" s="3" t="str">
        <f>VLOOKUP(B675,'Element wise-detail Summary'!$A:$D,2,0)</f>
        <v>PV17</v>
      </c>
      <c r="E675" s="3" t="str">
        <f>IFERROR(VLOOKUP(B675,'Element wise-detail Summary'!$A:$D,3,0),0)</f>
        <v>Zone-6</v>
      </c>
      <c r="F675" s="143" t="str">
        <f>VLOOKUP(B675,'AFC Data details'!$B:$B,1,0)</f>
        <v>AZ6-PV17-T1C13-005</v>
      </c>
      <c r="H675" s="3">
        <f>_xlfn.XLOOKUP(B675,'AFC Data details'!B:B,'AFC Data details'!P:P)</f>
        <v>1.9790000000000001</v>
      </c>
    </row>
    <row r="676" spans="1:8" x14ac:dyDescent="0.25">
      <c r="A676" s="154">
        <v>46049</v>
      </c>
      <c r="B676" s="3" t="s">
        <v>1894</v>
      </c>
      <c r="C676" s="3">
        <v>1</v>
      </c>
      <c r="D676" s="3" t="str">
        <f>VLOOKUP(B676,'Element wise-detail Summary'!$A:$D,2,0)</f>
        <v>PV25</v>
      </c>
      <c r="E676" s="3" t="str">
        <f>IFERROR(VLOOKUP(B676,'Element wise-detail Summary'!$A:$D,3,0),0)</f>
        <v>Zone-6</v>
      </c>
      <c r="F676" s="143" t="str">
        <f>VLOOKUP(B676,'AFC Data details'!$B:$B,1,0)</f>
        <v>AZ6-PV25-T1C1-001</v>
      </c>
      <c r="H676" s="3">
        <f>_xlfn.XLOOKUP(B676,'AFC Data details'!B:B,'AFC Data details'!P:P)</f>
        <v>0.96499999999999997</v>
      </c>
    </row>
    <row r="677" spans="1:8" x14ac:dyDescent="0.25">
      <c r="A677" s="154">
        <v>46049</v>
      </c>
      <c r="B677" s="3" t="s">
        <v>1924</v>
      </c>
      <c r="C677" s="3">
        <v>1</v>
      </c>
      <c r="D677" s="3" t="str">
        <f>VLOOKUP(B677,'Element wise-detail Summary'!$A:$D,2,0)</f>
        <v>PV33</v>
      </c>
      <c r="E677" s="3" t="str">
        <f>IFERROR(VLOOKUP(B677,'Element wise-detail Summary'!$A:$D,3,0),0)</f>
        <v>Zone-6</v>
      </c>
      <c r="F677" s="143" t="str">
        <f>VLOOKUP(B677,'AFC Data details'!$B:$B,1,0)</f>
        <v>AZ6-PV33-T1C6-001</v>
      </c>
      <c r="H677" s="3">
        <f>_xlfn.XLOOKUP(B677,'AFC Data details'!B:B,'AFC Data details'!P:P)</f>
        <v>2.0840000000000001</v>
      </c>
    </row>
    <row r="678" spans="1:8" x14ac:dyDescent="0.25">
      <c r="A678" s="154">
        <v>46049</v>
      </c>
      <c r="B678" s="3" t="s">
        <v>2170</v>
      </c>
      <c r="C678" s="3">
        <v>1</v>
      </c>
      <c r="D678" s="3" t="str">
        <f>VLOOKUP(B678,'Element wise-detail Summary'!$A:$D,2,0)</f>
        <v>PV20</v>
      </c>
      <c r="E678" s="3" t="str">
        <f>IFERROR(VLOOKUP(B678,'Element wise-detail Summary'!$A:$D,3,0),0)</f>
        <v>Zone-6</v>
      </c>
      <c r="F678" s="143" t="str">
        <f>VLOOKUP(B678,'AFC Data details'!$B:$B,1,0)</f>
        <v>AZ6-PV20-T2C1-001</v>
      </c>
      <c r="H678" s="3">
        <f>_xlfn.XLOOKUP(B678,'AFC Data details'!B:B,'AFC Data details'!P:P)</f>
        <v>1.4119999999999999</v>
      </c>
    </row>
    <row r="679" spans="1:8" x14ac:dyDescent="0.25">
      <c r="A679" s="154">
        <v>46049</v>
      </c>
      <c r="B679" s="3" t="s">
        <v>2064</v>
      </c>
      <c r="C679" s="3">
        <v>1</v>
      </c>
      <c r="D679" s="3" t="str">
        <f>VLOOKUP(B679,'Element wise-detail Summary'!$A:$D,2,0)</f>
        <v>PV21</v>
      </c>
      <c r="E679" s="3" t="str">
        <f>IFERROR(VLOOKUP(B679,'Element wise-detail Summary'!$A:$D,3,0),0)</f>
        <v>Zone-6</v>
      </c>
      <c r="F679" s="143" t="str">
        <f>VLOOKUP(B679,'AFC Data details'!$B:$B,1,0)</f>
        <v>AZ6-PV21-T1C6-004</v>
      </c>
      <c r="H679" s="3">
        <f>_xlfn.XLOOKUP(B679,'AFC Data details'!B:B,'AFC Data details'!P:P)</f>
        <v>2.1219999999999999</v>
      </c>
    </row>
    <row r="680" spans="1:8" x14ac:dyDescent="0.25">
      <c r="A680" s="154">
        <v>46049</v>
      </c>
      <c r="B680" s="3" t="s">
        <v>1645</v>
      </c>
      <c r="C680" s="3">
        <v>1</v>
      </c>
      <c r="D680" s="3" t="str">
        <f>VLOOKUP(B680,'Element wise-detail Summary'!$A:$D,2,0)</f>
        <v>V55</v>
      </c>
      <c r="E680" s="3" t="str">
        <f>IFERROR(VLOOKUP(B680,'Element wise-detail Summary'!$A:$D,3,0),0)</f>
        <v>Zone-5</v>
      </c>
      <c r="F680" s="143" t="str">
        <f>VLOOKUP(B680,'AFC Data details'!$B:$B,1,0)</f>
        <v>AZ5-V55-T3C5-002</v>
      </c>
      <c r="H680" s="3">
        <f>_xlfn.XLOOKUP(B680,'AFC Data details'!B:B,'AFC Data details'!P:P)</f>
        <v>1.5129999999999999</v>
      </c>
    </row>
    <row r="681" spans="1:8" x14ac:dyDescent="0.25">
      <c r="A681" s="154">
        <v>46049</v>
      </c>
      <c r="B681" s="3" t="s">
        <v>1652</v>
      </c>
      <c r="C681" s="3">
        <v>1</v>
      </c>
      <c r="D681" s="3" t="str">
        <f>VLOOKUP(B681,'Element wise-detail Summary'!$A:$D,2,0)</f>
        <v>V58</v>
      </c>
      <c r="E681" s="3" t="str">
        <f>IFERROR(VLOOKUP(B681,'Element wise-detail Summary'!$A:$D,3,0),0)</f>
        <v>Zone-5</v>
      </c>
      <c r="F681" s="143" t="str">
        <f>VLOOKUP(B681,'AFC Data details'!$B:$B,1,0)</f>
        <v>AZ5-V58-T3C5-001</v>
      </c>
      <c r="H681" s="3">
        <f>_xlfn.XLOOKUP(B681,'AFC Data details'!B:B,'AFC Data details'!P:P)</f>
        <v>1.573</v>
      </c>
    </row>
    <row r="682" spans="1:8" x14ac:dyDescent="0.25">
      <c r="A682" s="154">
        <v>46049</v>
      </c>
      <c r="B682" s="3" t="s">
        <v>1899</v>
      </c>
      <c r="C682" s="3">
        <v>1</v>
      </c>
      <c r="D682" s="3" t="str">
        <f>VLOOKUP(B682,'Element wise-detail Summary'!$A:$D,2,0)</f>
        <v>PV26</v>
      </c>
      <c r="E682" s="3" t="str">
        <f>IFERROR(VLOOKUP(B682,'Element wise-detail Summary'!$A:$D,3,0),0)</f>
        <v>Zone-6</v>
      </c>
      <c r="F682" s="143" t="str">
        <f>VLOOKUP(B682,'AFC Data details'!$B:$B,1,0)</f>
        <v>AZ6-PV26-T1C6-001</v>
      </c>
      <c r="H682" s="3">
        <f>_xlfn.XLOOKUP(B682,'AFC Data details'!B:B,'AFC Data details'!P:P)</f>
        <v>2.1280000000000001</v>
      </c>
    </row>
    <row r="683" spans="1:8" x14ac:dyDescent="0.25">
      <c r="A683" s="154">
        <v>46049</v>
      </c>
      <c r="B683" s="3" t="s">
        <v>2118</v>
      </c>
      <c r="C683" s="3">
        <v>1</v>
      </c>
      <c r="D683" s="3" t="str">
        <f>VLOOKUP(B683,'Element wise-detail Summary'!$A:$D,2,0)</f>
        <v>PV28</v>
      </c>
      <c r="E683" s="3" t="str">
        <f>IFERROR(VLOOKUP(B683,'Element wise-detail Summary'!$A:$D,3,0),0)</f>
        <v>Zone-6</v>
      </c>
      <c r="F683" s="143" t="str">
        <f>VLOOKUP(B683,'AFC Data details'!$B:$B,1,0)</f>
        <v>AZ6-PV28-T1C6-004</v>
      </c>
      <c r="H683" s="3">
        <f>_xlfn.XLOOKUP(B683,'AFC Data details'!B:B,'AFC Data details'!P:P)</f>
        <v>2.0779999999999998</v>
      </c>
    </row>
    <row r="684" spans="1:8" x14ac:dyDescent="0.25">
      <c r="A684" s="154">
        <v>46049</v>
      </c>
      <c r="B684" s="3" t="s">
        <v>2095</v>
      </c>
      <c r="C684" s="3">
        <v>1</v>
      </c>
      <c r="D684" s="3" t="str">
        <f>VLOOKUP(B684,'Element wise-detail Summary'!$A:$D,2,0)</f>
        <v>PV26</v>
      </c>
      <c r="E684" s="3" t="str">
        <f>IFERROR(VLOOKUP(B684,'Element wise-detail Summary'!$A:$D,3,0),0)</f>
        <v>Zone-6</v>
      </c>
      <c r="F684" s="143" t="str">
        <f>VLOOKUP(B684,'AFC Data details'!$B:$B,1,0)</f>
        <v>AZ6-PV26-T1C6-005</v>
      </c>
      <c r="H684" s="3">
        <f>_xlfn.XLOOKUP(B684,'AFC Data details'!B:B,'AFC Data details'!P:P)</f>
        <v>2.1280000000000001</v>
      </c>
    </row>
    <row r="685" spans="1:8" x14ac:dyDescent="0.25">
      <c r="A685" s="154">
        <v>46049</v>
      </c>
      <c r="B685" s="3" t="s">
        <v>2088</v>
      </c>
      <c r="C685" s="3">
        <v>1</v>
      </c>
      <c r="D685" s="3" t="str">
        <f>VLOOKUP(B685,'Element wise-detail Summary'!$A:$D,2,0)</f>
        <v>PV25</v>
      </c>
      <c r="E685" s="3" t="str">
        <f>IFERROR(VLOOKUP(B685,'Element wise-detail Summary'!$A:$D,3,0),0)</f>
        <v>Zone-6</v>
      </c>
      <c r="F685" s="143" t="str">
        <f>VLOOKUP(B685,'AFC Data details'!$B:$B,1,0)</f>
        <v>AZ6-PV25-T1C13-005</v>
      </c>
      <c r="H685" s="3">
        <f>_xlfn.XLOOKUP(B685,'AFC Data details'!B:B,'AFC Data details'!P:P)</f>
        <v>1.9490000000000001</v>
      </c>
    </row>
    <row r="686" spans="1:8" x14ac:dyDescent="0.25">
      <c r="A686" s="154">
        <v>46049</v>
      </c>
      <c r="B686" s="3" t="s">
        <v>2100</v>
      </c>
      <c r="C686" s="3">
        <v>1</v>
      </c>
      <c r="D686" s="3" t="str">
        <f>VLOOKUP(B686,'Element wise-detail Summary'!$A:$D,2,0)</f>
        <v>PV27</v>
      </c>
      <c r="E686" s="3" t="str">
        <f>IFERROR(VLOOKUP(B686,'Element wise-detail Summary'!$A:$D,3,0),0)</f>
        <v>Zone-6</v>
      </c>
      <c r="F686" s="143" t="str">
        <f>VLOOKUP(B686,'AFC Data details'!$B:$B,1,0)</f>
        <v>AZ6-PV27-T1C6-005</v>
      </c>
      <c r="H686" s="3">
        <f>_xlfn.XLOOKUP(B686,'AFC Data details'!B:B,'AFC Data details'!P:P)</f>
        <v>2.1280000000000001</v>
      </c>
    </row>
    <row r="687" spans="1:8" x14ac:dyDescent="0.25">
      <c r="A687" s="154">
        <v>46049</v>
      </c>
      <c r="B687" s="3" t="s">
        <v>2083</v>
      </c>
      <c r="C687" s="3">
        <v>1</v>
      </c>
      <c r="D687" s="3" t="str">
        <f>VLOOKUP(B687,'Element wise-detail Summary'!$A:$D,2,0)</f>
        <v>PV24</v>
      </c>
      <c r="E687" s="3" t="str">
        <f>IFERROR(VLOOKUP(B687,'Element wise-detail Summary'!$A:$D,3,0),0)</f>
        <v>Zone-6</v>
      </c>
      <c r="F687" s="143" t="str">
        <f>VLOOKUP(B687,'AFC Data details'!$B:$B,1,0)</f>
        <v>AZ6-PV24-T1C13-005</v>
      </c>
      <c r="H687" s="3">
        <f>_xlfn.XLOOKUP(B687,'AFC Data details'!B:B,'AFC Data details'!P:P)</f>
        <v>2.0760000000000001</v>
      </c>
    </row>
    <row r="688" spans="1:8" x14ac:dyDescent="0.25">
      <c r="A688" s="154">
        <v>46049</v>
      </c>
      <c r="B688" s="3" t="s">
        <v>2109</v>
      </c>
      <c r="C688" s="3">
        <v>1</v>
      </c>
      <c r="D688" s="3" t="str">
        <f>VLOOKUP(B688,'Element wise-detail Summary'!$A:$D,2,0)</f>
        <v>PV26</v>
      </c>
      <c r="E688" s="3" t="str">
        <f>IFERROR(VLOOKUP(B688,'Element wise-detail Summary'!$A:$D,3,0),0)</f>
        <v>Zone-6</v>
      </c>
      <c r="F688" s="143" t="str">
        <f>VLOOKUP(B688,'AFC Data details'!$B:$B,1,0)</f>
        <v>AZ6-PV26-T1C6-006</v>
      </c>
      <c r="H688" s="3">
        <f>_xlfn.XLOOKUP(B688,'AFC Data details'!B:B,'AFC Data details'!P:P)</f>
        <v>2.1280000000000001</v>
      </c>
    </row>
    <row r="689" spans="1:8" x14ac:dyDescent="0.25">
      <c r="A689" s="154">
        <v>46050</v>
      </c>
      <c r="B689" s="3" t="s">
        <v>1920</v>
      </c>
      <c r="C689" s="3">
        <v>1</v>
      </c>
      <c r="D689" s="3" t="str">
        <f>VLOOKUP(B689,'Element wise-detail Summary'!$A:$D,2,0)</f>
        <v>PV32</v>
      </c>
      <c r="E689" s="3" t="str">
        <f>IFERROR(VLOOKUP(B689,'Element wise-detail Summary'!$A:$D,3,0),0)</f>
        <v>Zone-6</v>
      </c>
      <c r="F689" s="143" t="str">
        <f>VLOOKUP(B689,'AFC Data details'!$B:$B,1,0)</f>
        <v>AZ6-PV32-T1C6-001</v>
      </c>
      <c r="H689" s="3">
        <f>_xlfn.XLOOKUP(B689,'AFC Data details'!B:B,'AFC Data details'!P:P)</f>
        <v>2.0840000000000001</v>
      </c>
    </row>
    <row r="690" spans="1:8" x14ac:dyDescent="0.25">
      <c r="A690" s="154">
        <v>46050</v>
      </c>
      <c r="B690" s="3" t="s">
        <v>1903</v>
      </c>
      <c r="C690" s="3">
        <v>1</v>
      </c>
      <c r="D690" s="3" t="str">
        <f>VLOOKUP(B690,'Element wise-detail Summary'!$A:$D,2,0)</f>
        <v>PV27</v>
      </c>
      <c r="E690" s="3" t="str">
        <f>IFERROR(VLOOKUP(B690,'Element wise-detail Summary'!$A:$D,3,0),0)</f>
        <v>Zone-6</v>
      </c>
      <c r="F690" s="143" t="str">
        <f>VLOOKUP(B690,'AFC Data details'!$B:$B,1,0)</f>
        <v>AZ6-PV27-T1C1-001</v>
      </c>
      <c r="H690" s="3">
        <f>_xlfn.XLOOKUP(B690,'AFC Data details'!B:B,'AFC Data details'!P:P)</f>
        <v>0.97099999999999997</v>
      </c>
    </row>
    <row r="691" spans="1:8" x14ac:dyDescent="0.25">
      <c r="A691" s="154">
        <v>46050</v>
      </c>
      <c r="B691" s="3" t="s">
        <v>2147</v>
      </c>
      <c r="C691" s="3">
        <v>1</v>
      </c>
      <c r="D691" s="3" t="str">
        <f>VLOOKUP(B691,'Element wise-detail Summary'!$A:$D,2,0)</f>
        <v>PV32</v>
      </c>
      <c r="E691" s="3" t="str">
        <f>IFERROR(VLOOKUP(B691,'Element wise-detail Summary'!$A:$D,3,0),0)</f>
        <v>Zone-6</v>
      </c>
      <c r="F691" s="143" t="str">
        <f>VLOOKUP(B691,'AFC Data details'!$B:$B,1,0)</f>
        <v>AZ6-PV32-T1C6-006</v>
      </c>
      <c r="H691" s="3">
        <f>_xlfn.XLOOKUP(B691,'AFC Data details'!B:B,'AFC Data details'!P:P)</f>
        <v>2.0840000000000001</v>
      </c>
    </row>
    <row r="692" spans="1:8" x14ac:dyDescent="0.25">
      <c r="A692" s="154">
        <v>46050</v>
      </c>
      <c r="B692" s="3" t="s">
        <v>2171</v>
      </c>
      <c r="C692" s="3">
        <v>1</v>
      </c>
      <c r="D692" s="3" t="str">
        <f>VLOOKUP(B692,'Element wise-detail Summary'!$A:$D,2,0)</f>
        <v>PV18</v>
      </c>
      <c r="E692" s="3" t="str">
        <f>IFERROR(VLOOKUP(B692,'Element wise-detail Summary'!$A:$D,3,0),0)</f>
        <v>Zone-6</v>
      </c>
      <c r="F692" s="143" t="str">
        <f>VLOOKUP(B692,'AFC Data details'!$B:$B,1,0)</f>
        <v>AZ6-PV18-T2C1-001</v>
      </c>
      <c r="H692" s="3">
        <f>_xlfn.XLOOKUP(B692,'AFC Data details'!B:B,'AFC Data details'!P:P)</f>
        <v>1.4119999999999999</v>
      </c>
    </row>
    <row r="693" spans="1:8" x14ac:dyDescent="0.25">
      <c r="A693" s="154">
        <v>46050</v>
      </c>
      <c r="B693" s="3" t="s">
        <v>2065</v>
      </c>
      <c r="C693" s="3">
        <v>1</v>
      </c>
      <c r="D693" s="3" t="str">
        <f>VLOOKUP(B693,'Element wise-detail Summary'!$A:$D,2,0)</f>
        <v>PV21</v>
      </c>
      <c r="E693" s="3" t="str">
        <f>IFERROR(VLOOKUP(B693,'Element wise-detail Summary'!$A:$D,3,0),0)</f>
        <v>Zone-6</v>
      </c>
      <c r="F693" s="143" t="str">
        <f>VLOOKUP(B693,'AFC Data details'!$B:$B,1,0)</f>
        <v>AZ6-PV21-T1C6-005</v>
      </c>
      <c r="H693" s="3">
        <f>_xlfn.XLOOKUP(B693,'AFC Data details'!B:B,'AFC Data details'!P:P)</f>
        <v>2.1219999999999999</v>
      </c>
    </row>
    <row r="694" spans="1:8" x14ac:dyDescent="0.25">
      <c r="A694" s="154">
        <v>46050</v>
      </c>
      <c r="B694" s="3" t="s">
        <v>1653</v>
      </c>
      <c r="C694" s="3">
        <v>1</v>
      </c>
      <c r="D694" s="3" t="str">
        <f>VLOOKUP(B694,'Element wise-detail Summary'!$A:$D,2,0)</f>
        <v>V58</v>
      </c>
      <c r="E694" s="3" t="str">
        <f>IFERROR(VLOOKUP(B694,'Element wise-detail Summary'!$A:$D,3,0),0)</f>
        <v>Zone-5</v>
      </c>
      <c r="F694" s="143" t="str">
        <f>VLOOKUP(B694,'AFC Data details'!$B:$B,1,0)</f>
        <v>AZ5-V58-T3C5-002</v>
      </c>
      <c r="H694" s="3">
        <f>_xlfn.XLOOKUP(B694,'AFC Data details'!B:B,'AFC Data details'!P:P)</f>
        <v>1.4</v>
      </c>
    </row>
    <row r="695" spans="1:8" x14ac:dyDescent="0.25">
      <c r="A695" s="154">
        <v>46050</v>
      </c>
      <c r="B695" s="3" t="s">
        <v>2090</v>
      </c>
      <c r="C695" s="3">
        <v>1</v>
      </c>
      <c r="D695" s="3" t="str">
        <f>VLOOKUP(B695,'Element wise-detail Summary'!$A:$D,2,0)</f>
        <v>PV27</v>
      </c>
      <c r="E695" s="3" t="str">
        <f>IFERROR(VLOOKUP(B695,'Element wise-detail Summary'!$A:$D,3,0),0)</f>
        <v>Zone-6</v>
      </c>
      <c r="F695" s="143" t="str">
        <f>VLOOKUP(B695,'AFC Data details'!$B:$B,1,0)</f>
        <v>AZ6-PV27-T1C6-006</v>
      </c>
      <c r="H695" s="3">
        <f>_xlfn.XLOOKUP(B695,'AFC Data details'!B:B,'AFC Data details'!P:P)</f>
        <v>2.1280000000000001</v>
      </c>
    </row>
    <row r="696" spans="1:8" x14ac:dyDescent="0.25">
      <c r="A696" s="154">
        <v>46050</v>
      </c>
      <c r="B696" s="3" t="s">
        <v>2105</v>
      </c>
      <c r="C696" s="3">
        <v>1</v>
      </c>
      <c r="D696" s="3" t="str">
        <f>VLOOKUP(B696,'Element wise-detail Summary'!$A:$D,2,0)</f>
        <v>PV23</v>
      </c>
      <c r="E696" s="3" t="str">
        <f>IFERROR(VLOOKUP(B696,'Element wise-detail Summary'!$A:$D,3,0),0)</f>
        <v>Zone-6</v>
      </c>
      <c r="F696" s="143" t="str">
        <f>VLOOKUP(B696,'AFC Data details'!$B:$B,1,0)</f>
        <v>AZ6-PV23-T1C6-002</v>
      </c>
      <c r="H696" s="3">
        <f>_xlfn.XLOOKUP(B696,'AFC Data details'!B:B,'AFC Data details'!P:P)</f>
        <v>2.1280000000000001</v>
      </c>
    </row>
    <row r="697" spans="1:8" x14ac:dyDescent="0.25">
      <c r="A697" s="154">
        <v>46050</v>
      </c>
      <c r="B697" s="3" t="s">
        <v>2119</v>
      </c>
      <c r="C697" s="3">
        <v>1</v>
      </c>
      <c r="D697" s="3" t="str">
        <f>VLOOKUP(B697,'Element wise-detail Summary'!$A:$D,2,0)</f>
        <v>PV28</v>
      </c>
      <c r="E697" s="3" t="str">
        <f>IFERROR(VLOOKUP(B697,'Element wise-detail Summary'!$A:$D,3,0),0)</f>
        <v>Zone-6</v>
      </c>
      <c r="F697" s="143" t="str">
        <f>VLOOKUP(B697,'AFC Data details'!$B:$B,1,0)</f>
        <v>AZ6-PV28-T1C6-005</v>
      </c>
      <c r="H697" s="3">
        <f>_xlfn.XLOOKUP(B697,'AFC Data details'!B:B,'AFC Data details'!P:P)</f>
        <v>2.0779999999999998</v>
      </c>
    </row>
    <row r="698" spans="1:8" x14ac:dyDescent="0.25">
      <c r="A698" s="154">
        <v>46050</v>
      </c>
      <c r="B698" s="3" t="s">
        <v>2096</v>
      </c>
      <c r="C698" s="3">
        <v>1</v>
      </c>
      <c r="D698" s="3" t="str">
        <f>VLOOKUP(B698,'Element wise-detail Summary'!$A:$D,2,0)</f>
        <v>PV27</v>
      </c>
      <c r="E698" s="3" t="str">
        <f>IFERROR(VLOOKUP(B698,'Element wise-detail Summary'!$A:$D,3,0),0)</f>
        <v>Zone-6</v>
      </c>
      <c r="F698" s="143" t="str">
        <f>VLOOKUP(B698,'AFC Data details'!$B:$B,1,0)</f>
        <v>AZ6-PV27-T1C6-002</v>
      </c>
      <c r="H698" s="3">
        <f>_xlfn.XLOOKUP(B698,'AFC Data details'!B:B,'AFC Data details'!P:P)</f>
        <v>2.1280000000000001</v>
      </c>
    </row>
    <row r="699" spans="1:8" x14ac:dyDescent="0.25">
      <c r="A699" s="154">
        <v>46050</v>
      </c>
      <c r="B699" s="3" t="s">
        <v>1896</v>
      </c>
      <c r="C699" s="3">
        <v>1</v>
      </c>
      <c r="D699" s="3" t="str">
        <f>VLOOKUP(B699,'Element wise-detail Summary'!$A:$D,2,0)</f>
        <v>PV25</v>
      </c>
      <c r="E699" s="3" t="str">
        <f>IFERROR(VLOOKUP(B699,'Element wise-detail Summary'!$A:$D,3,0),0)</f>
        <v>Zone-6</v>
      </c>
      <c r="F699" s="143" t="str">
        <f>VLOOKUP(B699,'AFC Data details'!$B:$B,1,0)</f>
        <v>AZ6-PV25-T1C13-006</v>
      </c>
      <c r="H699" s="3">
        <f>_xlfn.XLOOKUP(B699,'AFC Data details'!B:B,'AFC Data details'!P:P)</f>
        <v>1.9490000000000001</v>
      </c>
    </row>
    <row r="700" spans="1:8" x14ac:dyDescent="0.25">
      <c r="A700" s="154">
        <v>46050</v>
      </c>
      <c r="B700" s="3" t="s">
        <v>2101</v>
      </c>
      <c r="C700" s="3">
        <v>1</v>
      </c>
      <c r="D700" s="3" t="str">
        <f>VLOOKUP(B700,'Element wise-detail Summary'!$A:$D,2,0)</f>
        <v>PV22</v>
      </c>
      <c r="E700" s="3" t="str">
        <f>IFERROR(VLOOKUP(B700,'Element wise-detail Summary'!$A:$D,3,0),0)</f>
        <v>Zone-6</v>
      </c>
      <c r="F700" s="143" t="str">
        <f>VLOOKUP(B700,'AFC Data details'!$B:$B,1,0)</f>
        <v>AZ6-PV22-T1C6-002</v>
      </c>
      <c r="H700" s="3">
        <f>_xlfn.XLOOKUP(B700,'AFC Data details'!B:B,'AFC Data details'!P:P)</f>
        <v>2.1280000000000001</v>
      </c>
    </row>
    <row r="701" spans="1:8" x14ac:dyDescent="0.25">
      <c r="A701" s="154">
        <v>46050</v>
      </c>
      <c r="B701" s="3" t="s">
        <v>2111</v>
      </c>
      <c r="C701" s="3">
        <v>1</v>
      </c>
      <c r="D701" s="3" t="str">
        <f>VLOOKUP(B701,'Element wise-detail Summary'!$A:$D,2,0)</f>
        <v>PV22</v>
      </c>
      <c r="E701" s="3" t="str">
        <f>IFERROR(VLOOKUP(B701,'Element wise-detail Summary'!$A:$D,3,0),0)</f>
        <v>Zone-6</v>
      </c>
      <c r="F701" s="143" t="str">
        <f>VLOOKUP(B701,'AFC Data details'!$B:$B,1,0)</f>
        <v>AZ6-PV22-T1C6-006</v>
      </c>
      <c r="H701" s="3">
        <f>_xlfn.XLOOKUP(B701,'AFC Data details'!B:B,'AFC Data details'!P:P)</f>
        <v>2.1280000000000001</v>
      </c>
    </row>
    <row r="702" spans="1:8" x14ac:dyDescent="0.25">
      <c r="A702" s="154">
        <v>46051</v>
      </c>
      <c r="B702" s="3" t="s">
        <v>2091</v>
      </c>
      <c r="C702" s="3">
        <v>1</v>
      </c>
      <c r="D702" s="3" t="str">
        <f>VLOOKUP(B702,'Element wise-detail Summary'!$A:$D,2,0)</f>
        <v>PV22</v>
      </c>
      <c r="E702" s="3" t="str">
        <f>IFERROR(VLOOKUP(B702,'Element wise-detail Summary'!$A:$D,3,0),0)</f>
        <v>Zone-6</v>
      </c>
      <c r="F702" s="143" t="str">
        <f>VLOOKUP(B702,'AFC Data details'!$B:$B,1,0)</f>
        <v>AZ6-PV22-T1C6-001</v>
      </c>
      <c r="H702" s="3">
        <f>_xlfn.XLOOKUP(B702,'AFC Data details'!B:B,'AFC Data details'!P:P)</f>
        <v>2.1280000000000001</v>
      </c>
    </row>
    <row r="703" spans="1:8" x14ac:dyDescent="0.25">
      <c r="A703" s="154">
        <v>46051</v>
      </c>
      <c r="B703" s="3" t="s">
        <v>2120</v>
      </c>
      <c r="C703" s="3">
        <v>1</v>
      </c>
      <c r="D703" s="3" t="str">
        <f>VLOOKUP(B703,'Element wise-detail Summary'!$A:$D,2,0)</f>
        <v>PV29</v>
      </c>
      <c r="E703" s="3" t="str">
        <f>IFERROR(VLOOKUP(B703,'Element wise-detail Summary'!$A:$D,3,0),0)</f>
        <v>Zone-6</v>
      </c>
      <c r="F703" s="143" t="str">
        <f>VLOOKUP(B703,'AFC Data details'!$B:$B,1,0)</f>
        <v>AZ6-PV29-T1C6-002</v>
      </c>
      <c r="H703" s="3">
        <f>_xlfn.XLOOKUP(B703,'AFC Data details'!B:B,'AFC Data details'!P:P)</f>
        <v>2.0779999999999998</v>
      </c>
    </row>
    <row r="704" spans="1:8" x14ac:dyDescent="0.25">
      <c r="A704" s="154">
        <v>46051</v>
      </c>
      <c r="B704" s="3" t="s">
        <v>2098</v>
      </c>
      <c r="C704" s="3">
        <v>1</v>
      </c>
      <c r="D704" s="3" t="str">
        <f>VLOOKUP(B704,'Element wise-detail Summary'!$A:$D,2,0)</f>
        <v>PV27</v>
      </c>
      <c r="E704" s="3" t="str">
        <f>IFERROR(VLOOKUP(B704,'Element wise-detail Summary'!$A:$D,3,0),0)</f>
        <v>Zone-6</v>
      </c>
      <c r="F704" s="143" t="str">
        <f>VLOOKUP(B704,'AFC Data details'!$B:$B,1,0)</f>
        <v>AZ6-PV27-T1C6-003</v>
      </c>
      <c r="H704" s="3">
        <f>_xlfn.XLOOKUP(B704,'AFC Data details'!B:B,'AFC Data details'!P:P)</f>
        <v>2.1280000000000001</v>
      </c>
    </row>
    <row r="705" spans="1:8" x14ac:dyDescent="0.25">
      <c r="A705" s="154">
        <v>46051</v>
      </c>
      <c r="B705" s="3" t="s">
        <v>2102</v>
      </c>
      <c r="C705" s="3">
        <v>1</v>
      </c>
      <c r="D705" s="3" t="str">
        <f>VLOOKUP(B705,'Element wise-detail Summary'!$A:$D,2,0)</f>
        <v>PV22</v>
      </c>
      <c r="E705" s="3" t="str">
        <f>IFERROR(VLOOKUP(B705,'Element wise-detail Summary'!$A:$D,3,0),0)</f>
        <v>Zone-6</v>
      </c>
      <c r="F705" s="143" t="str">
        <f>VLOOKUP(B705,'AFC Data details'!$B:$B,1,0)</f>
        <v>AZ6-PV22-T1C6-003</v>
      </c>
      <c r="H705" s="3">
        <f>_xlfn.XLOOKUP(B705,'AFC Data details'!B:B,'AFC Data details'!P:P)</f>
        <v>2.1280000000000001</v>
      </c>
    </row>
    <row r="706" spans="1:8" x14ac:dyDescent="0.25">
      <c r="A706" s="154">
        <v>46051</v>
      </c>
      <c r="B706" s="3" t="s">
        <v>1891</v>
      </c>
      <c r="C706" s="3">
        <v>1</v>
      </c>
      <c r="D706" s="3" t="str">
        <f>VLOOKUP(B706,'Element wise-detail Summary'!$A:$D,2,0)</f>
        <v>PV24</v>
      </c>
      <c r="E706" s="3" t="str">
        <f>IFERROR(VLOOKUP(B706,'Element wise-detail Summary'!$A:$D,3,0),0)</f>
        <v>Zone-6</v>
      </c>
      <c r="F706" s="143" t="str">
        <f>VLOOKUP(B706,'AFC Data details'!$B:$B,1,0)</f>
        <v>AZ6-PV24-T1C13-006</v>
      </c>
      <c r="H706" s="3">
        <f>_xlfn.XLOOKUP(B706,'AFC Data details'!B:B,'AFC Data details'!P:P)</f>
        <v>2.0760000000000001</v>
      </c>
    </row>
    <row r="707" spans="1:8" x14ac:dyDescent="0.25">
      <c r="A707" s="154">
        <v>46051</v>
      </c>
      <c r="B707" s="3" t="s">
        <v>2128</v>
      </c>
      <c r="C707" s="3">
        <v>1</v>
      </c>
      <c r="D707" s="3" t="str">
        <f>VLOOKUP(B707,'Element wise-detail Summary'!$A:$D,2,0)</f>
        <v>PV33</v>
      </c>
      <c r="E707" s="3" t="str">
        <f>IFERROR(VLOOKUP(B707,'Element wise-detail Summary'!$A:$D,3,0),0)</f>
        <v>Zone-6</v>
      </c>
      <c r="F707" s="143" t="str">
        <f>VLOOKUP(B707,'AFC Data details'!$B:$B,1,0)</f>
        <v>AZ6-PV33-T1C6-006</v>
      </c>
      <c r="H707" s="3">
        <f>_xlfn.XLOOKUP(B707,'AFC Data details'!B:B,'AFC Data details'!P:P)</f>
        <v>2.0840000000000001</v>
      </c>
    </row>
    <row r="708" spans="1:8" x14ac:dyDescent="0.25">
      <c r="A708" s="154">
        <v>46051</v>
      </c>
      <c r="B708" s="3" t="s">
        <v>1914</v>
      </c>
      <c r="C708" s="3">
        <v>1</v>
      </c>
      <c r="D708" s="3" t="str">
        <f>VLOOKUP(B708,'Element wise-detail Summary'!$A:$D,2,0)</f>
        <v>PV30</v>
      </c>
      <c r="E708" s="3" t="str">
        <f>IFERROR(VLOOKUP(B708,'Element wise-detail Summary'!$A:$D,3,0),0)</f>
        <v>Zone-6</v>
      </c>
      <c r="F708" s="143" t="str">
        <f>VLOOKUP(B708,'AFC Data details'!$B:$B,1,0)</f>
        <v>AZ6-PV30-T1C1-001</v>
      </c>
      <c r="H708" s="3">
        <f>_xlfn.XLOOKUP(B708,'AFC Data details'!B:B,'AFC Data details'!P:P)</f>
        <v>0.96499999999999997</v>
      </c>
    </row>
    <row r="709" spans="1:8" x14ac:dyDescent="0.25">
      <c r="A709" s="154">
        <v>46051</v>
      </c>
      <c r="B709" s="3" t="s">
        <v>2148</v>
      </c>
      <c r="C709" s="3">
        <v>1</v>
      </c>
      <c r="D709" s="3" t="str">
        <f>VLOOKUP(B709,'Element wise-detail Summary'!$A:$D,2,0)</f>
        <v>PV31</v>
      </c>
      <c r="E709" s="3" t="str">
        <f>IFERROR(VLOOKUP(B709,'Element wise-detail Summary'!$A:$D,3,0),0)</f>
        <v>Zone-6</v>
      </c>
      <c r="F709" s="143" t="str">
        <f>VLOOKUP(B709,'AFC Data details'!$B:$B,1,0)</f>
        <v>AZ6-PV31-T1C6-001</v>
      </c>
      <c r="H709" s="3">
        <f>_xlfn.XLOOKUP(B709,'AFC Data details'!B:B,'AFC Data details'!P:P)</f>
        <v>2.0840000000000001</v>
      </c>
    </row>
    <row r="710" spans="1:8" x14ac:dyDescent="0.25">
      <c r="A710" s="154">
        <v>46051</v>
      </c>
      <c r="B710" s="3" t="s">
        <v>2191</v>
      </c>
      <c r="C710" s="3">
        <v>1</v>
      </c>
      <c r="D710" s="3" t="str">
        <f>VLOOKUP(B710,'Element wise-detail Summary'!$A:$D,2,0)</f>
        <v>PV01</v>
      </c>
      <c r="E710" s="3" t="str">
        <f>IFERROR(VLOOKUP(B710,'Element wise-detail Summary'!$A:$D,3,0),0)</f>
        <v>Zone-7</v>
      </c>
      <c r="F710" s="143" t="str">
        <f>VLOOKUP(B710,'AFC Data details'!$B:$B,1,0)</f>
        <v>AZ7-PV01-T2C1-001</v>
      </c>
      <c r="H710" s="3">
        <f>_xlfn.XLOOKUP(B710,'AFC Data details'!B:B,'AFC Data details'!P:P)</f>
        <v>1.413</v>
      </c>
    </row>
    <row r="711" spans="1:8" x14ac:dyDescent="0.25">
      <c r="A711" s="154">
        <v>46051</v>
      </c>
      <c r="B711" s="3" t="s">
        <v>2066</v>
      </c>
      <c r="C711" s="3">
        <v>1</v>
      </c>
      <c r="D711" s="3" t="str">
        <f>VLOOKUP(B711,'Element wise-detail Summary'!$A:$D,2,0)</f>
        <v>PV18</v>
      </c>
      <c r="E711" s="3" t="str">
        <f>IFERROR(VLOOKUP(B711,'Element wise-detail Summary'!$A:$D,3,0),0)</f>
        <v>Zone-6</v>
      </c>
      <c r="F711" s="143" t="str">
        <f>VLOOKUP(B711,'AFC Data details'!$B:$B,1,0)</f>
        <v>AZ6-PV18-T1C6-002</v>
      </c>
      <c r="H711" s="3">
        <f>_xlfn.XLOOKUP(B711,'AFC Data details'!B:B,'AFC Data details'!P:P)</f>
        <v>2.1219999999999999</v>
      </c>
    </row>
    <row r="712" spans="1:8" x14ac:dyDescent="0.25">
      <c r="A712" s="154">
        <v>46051</v>
      </c>
      <c r="B712" s="3" t="s">
        <v>1646</v>
      </c>
      <c r="C712" s="3">
        <v>1</v>
      </c>
      <c r="D712" s="3" t="str">
        <f>VLOOKUP(B712,'Element wise-detail Summary'!$A:$D,2,0)</f>
        <v>V56</v>
      </c>
      <c r="E712" s="3" t="str">
        <f>IFERROR(VLOOKUP(B712,'Element wise-detail Summary'!$A:$D,3,0),0)</f>
        <v>Zone-5</v>
      </c>
      <c r="F712" s="143" t="str">
        <f>VLOOKUP(B712,'AFC Data details'!$B:$B,1,0)</f>
        <v>AZ5-V56-T3C5-001</v>
      </c>
      <c r="H712" s="3">
        <f>_xlfn.XLOOKUP(B712,'AFC Data details'!B:B,'AFC Data details'!P:P)</f>
        <v>1.589</v>
      </c>
    </row>
    <row r="713" spans="1:8" x14ac:dyDescent="0.25">
      <c r="A713" s="154">
        <v>46051</v>
      </c>
      <c r="B713" s="3" t="s">
        <v>1656</v>
      </c>
      <c r="C713" s="3">
        <v>1</v>
      </c>
      <c r="D713" s="3" t="str">
        <f>VLOOKUP(B713,'Element wise-detail Summary'!$A:$D,2,0)</f>
        <v>V59</v>
      </c>
      <c r="E713" s="3" t="str">
        <f>IFERROR(VLOOKUP(B713,'Element wise-detail Summary'!$A:$D,3,0),0)</f>
        <v>Zone-5</v>
      </c>
      <c r="F713" s="143" t="str">
        <f>VLOOKUP(B713,'AFC Data details'!$B:$B,1,0)</f>
        <v>AZ5-V59-T3C5-001</v>
      </c>
      <c r="H713" s="3">
        <f>_xlfn.XLOOKUP(B713,'AFC Data details'!B:B,'AFC Data details'!P:P)</f>
        <v>1.3360000000000001</v>
      </c>
    </row>
    <row r="714" spans="1:8" x14ac:dyDescent="0.25">
      <c r="A714" s="154">
        <v>46051</v>
      </c>
      <c r="B714" s="3" t="s">
        <v>1907</v>
      </c>
      <c r="C714" s="3">
        <v>1</v>
      </c>
      <c r="D714" s="3" t="str">
        <f>VLOOKUP(B714,'Element wise-detail Summary'!$A:$D,2,0)</f>
        <v>PV28</v>
      </c>
      <c r="E714" s="3" t="str">
        <f>IFERROR(VLOOKUP(B714,'Element wise-detail Summary'!$A:$D,3,0),0)</f>
        <v>Zone-6</v>
      </c>
      <c r="F714" s="143" t="str">
        <f>VLOOKUP(B714,'AFC Data details'!$B:$B,1,0)</f>
        <v>AZ6-PV28-T1C6-001</v>
      </c>
      <c r="H714" s="3">
        <f>_xlfn.XLOOKUP(B714,'AFC Data details'!B:B,'AFC Data details'!P:P)</f>
        <v>2.0779999999999998</v>
      </c>
    </row>
    <row r="715" spans="1:8" x14ac:dyDescent="0.25">
      <c r="A715" s="154">
        <v>46052</v>
      </c>
      <c r="B715" s="3" t="s">
        <v>2130</v>
      </c>
      <c r="C715" s="3">
        <v>1</v>
      </c>
      <c r="D715" s="3" t="str">
        <f>VLOOKUP(B715,'Element wise-detail Summary'!$A:$D,2,0)</f>
        <v>PV30</v>
      </c>
      <c r="E715" s="3" t="str">
        <f>IFERROR(VLOOKUP(B715,'Element wise-detail Summary'!$A:$D,3,0),0)</f>
        <v>Zone-6</v>
      </c>
      <c r="F715" s="143" t="str">
        <f>VLOOKUP(B715,'AFC Data details'!$B:$B,1,0)</f>
        <v>AZ6-PV30-T1C6-001</v>
      </c>
      <c r="H715" s="3">
        <f>_xlfn.XLOOKUP(B715,'AFC Data details'!B:B,'AFC Data details'!P:P)</f>
        <v>2.0840000000000001</v>
      </c>
    </row>
    <row r="716" spans="1:8" x14ac:dyDescent="0.25">
      <c r="A716" s="154">
        <v>46052</v>
      </c>
      <c r="B716" s="3" t="s">
        <v>1919</v>
      </c>
      <c r="C716" s="3">
        <v>1</v>
      </c>
      <c r="D716" s="3" t="str">
        <f>VLOOKUP(B716,'Element wise-detail Summary'!$A:$D,2,0)</f>
        <v>PV32</v>
      </c>
      <c r="E716" s="3" t="str">
        <f>IFERROR(VLOOKUP(B716,'Element wise-detail Summary'!$A:$D,3,0),0)</f>
        <v>Zone-6</v>
      </c>
      <c r="F716" s="143" t="str">
        <f>VLOOKUP(B716,'AFC Data details'!$B:$B,1,0)</f>
        <v>AZ6-PV32-T1C1-001</v>
      </c>
      <c r="H716" s="3">
        <f>_xlfn.XLOOKUP(B716,'AFC Data details'!B:B,'AFC Data details'!P:P)</f>
        <v>0.95</v>
      </c>
    </row>
    <row r="717" spans="1:8" x14ac:dyDescent="0.25">
      <c r="A717" s="154">
        <v>46052</v>
      </c>
      <c r="B717" s="3" t="s">
        <v>2149</v>
      </c>
      <c r="C717" s="3">
        <v>1</v>
      </c>
      <c r="D717" s="3" t="str">
        <f>VLOOKUP(B717,'Element wise-detail Summary'!$A:$D,2,0)</f>
        <v>PV30</v>
      </c>
      <c r="E717" s="3" t="str">
        <f>IFERROR(VLOOKUP(B717,'Element wise-detail Summary'!$A:$D,3,0),0)</f>
        <v>Zone-6</v>
      </c>
      <c r="F717" s="143" t="str">
        <f>VLOOKUP(B717,'AFC Data details'!$B:$B,1,0)</f>
        <v>AZ6-PV30-T1C6-006</v>
      </c>
      <c r="H717" s="3">
        <f>_xlfn.XLOOKUP(B717,'AFC Data details'!B:B,'AFC Data details'!P:P)</f>
        <v>2.0840000000000001</v>
      </c>
    </row>
    <row r="718" spans="1:8" x14ac:dyDescent="0.25">
      <c r="A718" s="154">
        <v>46052</v>
      </c>
      <c r="B718" s="3" t="s">
        <v>2200</v>
      </c>
      <c r="C718" s="3">
        <v>1</v>
      </c>
      <c r="D718" s="3" t="str">
        <f>VLOOKUP(B718,'Element wise-detail Summary'!$A:$D,2,0)</f>
        <v>PV03</v>
      </c>
      <c r="E718" s="3" t="str">
        <f>IFERROR(VLOOKUP(B718,'Element wise-detail Summary'!$A:$D,3,0),0)</f>
        <v>Zone-7</v>
      </c>
      <c r="F718" s="143" t="str">
        <f>VLOOKUP(B718,'AFC Data details'!$B:$B,1,0)</f>
        <v>AZ7-PV03-T2C1-001</v>
      </c>
      <c r="H718" s="3">
        <f>_xlfn.XLOOKUP(B718,'AFC Data details'!B:B,'AFC Data details'!P:P)</f>
        <v>1.413</v>
      </c>
    </row>
    <row r="719" spans="1:8" x14ac:dyDescent="0.25">
      <c r="A719" s="154">
        <v>46052</v>
      </c>
      <c r="B719" s="3" t="s">
        <v>1904</v>
      </c>
      <c r="C719" s="3">
        <v>1</v>
      </c>
      <c r="D719" s="3" t="str">
        <f>VLOOKUP(B719,'Element wise-detail Summary'!$A:$D,2,0)</f>
        <v>PV27</v>
      </c>
      <c r="E719" s="3" t="str">
        <f>IFERROR(VLOOKUP(B719,'Element wise-detail Summary'!$A:$D,3,0),0)</f>
        <v>Zone-6</v>
      </c>
      <c r="F719" s="143" t="str">
        <f>VLOOKUP(B719,'AFC Data details'!$B:$B,1,0)</f>
        <v>AZ6-PV27-T1C6-001</v>
      </c>
      <c r="H719" s="3">
        <f>_xlfn.XLOOKUP(B719,'AFC Data details'!B:B,'AFC Data details'!P:P)</f>
        <v>2.1280000000000001</v>
      </c>
    </row>
    <row r="720" spans="1:8" x14ac:dyDescent="0.25">
      <c r="A720" s="154">
        <v>46052</v>
      </c>
      <c r="B720" s="3" t="s">
        <v>1657</v>
      </c>
      <c r="C720" s="3">
        <v>1</v>
      </c>
      <c r="D720" s="3" t="str">
        <f>VLOOKUP(B720,'Element wise-detail Summary'!$A:$D,2,0)</f>
        <v>V59</v>
      </c>
      <c r="E720" s="3" t="str">
        <f>IFERROR(VLOOKUP(B720,'Element wise-detail Summary'!$A:$D,3,0),0)</f>
        <v>Zone-5</v>
      </c>
      <c r="F720" s="143" t="str">
        <f>VLOOKUP(B720,'AFC Data details'!$B:$B,1,0)</f>
        <v>AZ5-V59-T3C5-002</v>
      </c>
      <c r="H720" s="3">
        <f>_xlfn.XLOOKUP(B720,'AFC Data details'!B:B,'AFC Data details'!P:P)</f>
        <v>1.5249999999999999</v>
      </c>
    </row>
    <row r="721" spans="1:8" x14ac:dyDescent="0.25">
      <c r="A721" s="154">
        <v>46052</v>
      </c>
      <c r="B721" s="3" t="s">
        <v>2115</v>
      </c>
      <c r="C721" s="3">
        <v>1</v>
      </c>
      <c r="D721" s="3" t="str">
        <f>VLOOKUP(B721,'Element wise-detail Summary'!$A:$D,2,0)</f>
        <v>PV29</v>
      </c>
      <c r="E721" s="3" t="str">
        <f>IFERROR(VLOOKUP(B721,'Element wise-detail Summary'!$A:$D,3,0),0)</f>
        <v>Zone-6</v>
      </c>
      <c r="F721" s="143" t="str">
        <f>VLOOKUP(B721,'AFC Data details'!$B:$B,1,0)</f>
        <v>AZ6-PV29-T1C6-006</v>
      </c>
      <c r="H721" s="3">
        <f>_xlfn.XLOOKUP(B721,'AFC Data details'!B:B,'AFC Data details'!P:P)</f>
        <v>2.0779999999999998</v>
      </c>
    </row>
    <row r="722" spans="1:8" x14ac:dyDescent="0.25">
      <c r="A722" s="154">
        <v>46052</v>
      </c>
      <c r="B722" s="3" t="s">
        <v>2092</v>
      </c>
      <c r="C722" s="3">
        <v>1</v>
      </c>
      <c r="D722" s="3" t="str">
        <f>VLOOKUP(B722,'Element wise-detail Summary'!$A:$D,2,0)</f>
        <v>PV23</v>
      </c>
      <c r="E722" s="3" t="str">
        <f>IFERROR(VLOOKUP(B722,'Element wise-detail Summary'!$A:$D,3,0),0)</f>
        <v>Zone-6</v>
      </c>
      <c r="F722" s="143" t="str">
        <f>VLOOKUP(B722,'AFC Data details'!$B:$B,1,0)</f>
        <v>AZ6-PV23-T1C6-006</v>
      </c>
      <c r="H722" s="3">
        <f>_xlfn.XLOOKUP(B722,'AFC Data details'!B:B,'AFC Data details'!P:P)</f>
        <v>2.1280000000000001</v>
      </c>
    </row>
    <row r="723" spans="1:8" x14ac:dyDescent="0.25">
      <c r="A723" s="154">
        <v>46052</v>
      </c>
      <c r="B723" s="3" t="s">
        <v>2106</v>
      </c>
      <c r="C723" s="3">
        <v>1</v>
      </c>
      <c r="D723" s="3" t="str">
        <f>VLOOKUP(B723,'Element wise-detail Summary'!$A:$D,2,0)</f>
        <v>PV23</v>
      </c>
      <c r="E723" s="3" t="str">
        <f>IFERROR(VLOOKUP(B723,'Element wise-detail Summary'!$A:$D,3,0),0)</f>
        <v>Zone-6</v>
      </c>
      <c r="F723" s="143" t="str">
        <f>VLOOKUP(B723,'AFC Data details'!$B:$B,1,0)</f>
        <v>AZ6-PV23-T1C6-003</v>
      </c>
      <c r="H723" s="3">
        <f>_xlfn.XLOOKUP(B723,'AFC Data details'!B:B,'AFC Data details'!P:P)</f>
        <v>2.1280000000000001</v>
      </c>
    </row>
    <row r="724" spans="1:8" x14ac:dyDescent="0.25">
      <c r="A724" s="154">
        <v>46052</v>
      </c>
      <c r="B724" s="3" t="s">
        <v>2121</v>
      </c>
      <c r="C724" s="3">
        <v>1</v>
      </c>
      <c r="D724" s="3" t="str">
        <f>VLOOKUP(B724,'Element wise-detail Summary'!$A:$D,2,0)</f>
        <v>PV29</v>
      </c>
      <c r="E724" s="3" t="str">
        <f>IFERROR(VLOOKUP(B724,'Element wise-detail Summary'!$A:$D,3,0),0)</f>
        <v>Zone-6</v>
      </c>
      <c r="F724" s="143" t="str">
        <f>VLOOKUP(B724,'AFC Data details'!$B:$B,1,0)</f>
        <v>AZ6-PV29-T1C6-003</v>
      </c>
      <c r="H724" s="3">
        <f>_xlfn.XLOOKUP(B724,'AFC Data details'!B:B,'AFC Data details'!P:P)</f>
        <v>2.0779999999999998</v>
      </c>
    </row>
    <row r="725" spans="1:8" x14ac:dyDescent="0.25">
      <c r="A725" s="154">
        <v>46052</v>
      </c>
      <c r="B725" s="3" t="s">
        <v>2135</v>
      </c>
      <c r="C725" s="3">
        <v>1</v>
      </c>
      <c r="D725" s="3" t="str">
        <f>VLOOKUP(B725,'Element wise-detail Summary'!$A:$D,2,0)</f>
        <v>PV33</v>
      </c>
      <c r="E725" s="3" t="str">
        <f>IFERROR(VLOOKUP(B725,'Element wise-detail Summary'!$A:$D,3,0),0)</f>
        <v>Zone-6</v>
      </c>
      <c r="F725" s="143" t="str">
        <f>VLOOKUP(B725,'AFC Data details'!$B:$B,1,0)</f>
        <v>AZ6-PV33-T1C6-002</v>
      </c>
      <c r="H725" s="3">
        <f>_xlfn.XLOOKUP(B725,'AFC Data details'!B:B,'AFC Data details'!P:P)</f>
        <v>2.0840000000000001</v>
      </c>
    </row>
    <row r="726" spans="1:8" x14ac:dyDescent="0.25">
      <c r="A726" s="154">
        <v>46052</v>
      </c>
      <c r="B726" s="3" t="s">
        <v>1937</v>
      </c>
      <c r="C726" s="3">
        <v>1</v>
      </c>
      <c r="D726" s="3" t="str">
        <f>VLOOKUP(B726,'Element wise-detail Summary'!$A:$D,2,0)</f>
        <v>PV36</v>
      </c>
      <c r="E726" s="3" t="str">
        <f>IFERROR(VLOOKUP(B726,'Element wise-detail Summary'!$A:$D,3,0),0)</f>
        <v>Zone-6</v>
      </c>
      <c r="F726" s="143" t="str">
        <f>VLOOKUP(B726,'AFC Data details'!$B:$B,1,0)</f>
        <v>AZ6-PV36-T1C14-001</v>
      </c>
      <c r="H726" s="3">
        <f>_xlfn.XLOOKUP(B726,'AFC Data details'!B:B,'AFC Data details'!P:P)</f>
        <v>2.246</v>
      </c>
    </row>
    <row r="727" spans="1:8" x14ac:dyDescent="0.25">
      <c r="A727" s="154">
        <v>46052</v>
      </c>
      <c r="B727" s="3" t="s">
        <v>2107</v>
      </c>
      <c r="C727" s="3">
        <v>1</v>
      </c>
      <c r="D727" s="3" t="str">
        <f>VLOOKUP(B727,'Element wise-detail Summary'!$A:$D,2,0)</f>
        <v>PV23</v>
      </c>
      <c r="E727" s="3" t="str">
        <f>IFERROR(VLOOKUP(B727,'Element wise-detail Summary'!$A:$D,3,0),0)</f>
        <v>Zone-6</v>
      </c>
      <c r="F727" s="143" t="str">
        <f>VLOOKUP(B727,'AFC Data details'!$B:$B,1,0)</f>
        <v>AZ6-PV23-T1C6-004</v>
      </c>
      <c r="H727" s="3">
        <f>_xlfn.XLOOKUP(B727,'AFC Data details'!B:B,'AFC Data details'!P:P)</f>
        <v>2.1280000000000001</v>
      </c>
    </row>
    <row r="728" spans="1:8" x14ac:dyDescent="0.25">
      <c r="A728" s="154">
        <v>46053</v>
      </c>
      <c r="B728" s="3" t="s">
        <v>1933</v>
      </c>
      <c r="C728" s="3">
        <v>1</v>
      </c>
      <c r="D728" s="3" t="str">
        <f>VLOOKUP(B728,'Element wise-detail Summary'!$A:$D,2,0)</f>
        <v>PV35</v>
      </c>
      <c r="E728" s="3" t="str">
        <f>IFERROR(VLOOKUP(B728,'Element wise-detail Summary'!$A:$D,3,0),0)</f>
        <v>Zone-6</v>
      </c>
      <c r="F728" s="143" t="str">
        <f>VLOOKUP(B728,'AFC Data details'!$B:$B,1,0)</f>
        <v>AZ6-PV35-T1C6-001</v>
      </c>
      <c r="H728" s="3">
        <f>_xlfn.XLOOKUP(B728,'AFC Data details'!B:B,'AFC Data details'!P:P)</f>
        <v>2.0590000000000002</v>
      </c>
    </row>
    <row r="729" spans="1:8" x14ac:dyDescent="0.25">
      <c r="A729" s="154">
        <v>46053</v>
      </c>
      <c r="B729" s="3" t="s">
        <v>2157</v>
      </c>
      <c r="C729" s="3">
        <v>1</v>
      </c>
      <c r="D729" s="3" t="str">
        <f>VLOOKUP(B729,'Element wise-detail Summary'!$A:$D,2,0)</f>
        <v>PV35</v>
      </c>
      <c r="E729" s="3" t="str">
        <f>IFERROR(VLOOKUP(B729,'Element wise-detail Summary'!$A:$D,3,0),0)</f>
        <v>Zone-6</v>
      </c>
      <c r="F729" s="143" t="str">
        <f>VLOOKUP(B729,'AFC Data details'!$B:$B,1,0)</f>
        <v>AZ6-PV35-T1C6-003</v>
      </c>
      <c r="H729" s="3">
        <f>_xlfn.XLOOKUP(B729,'AFC Data details'!B:B,'AFC Data details'!P:P)</f>
        <v>2.0590000000000002</v>
      </c>
    </row>
    <row r="730" spans="1:8" x14ac:dyDescent="0.25">
      <c r="A730" s="154">
        <v>46053</v>
      </c>
      <c r="B730" s="3" t="s">
        <v>2201</v>
      </c>
      <c r="C730" s="3">
        <v>1</v>
      </c>
      <c r="D730" s="3" t="str">
        <f>VLOOKUP(B730,'Element wise-detail Summary'!$A:$D,2,0)</f>
        <v>PV05</v>
      </c>
      <c r="E730" s="3" t="str">
        <f>IFERROR(VLOOKUP(B730,'Element wise-detail Summary'!$A:$D,3,0),0)</f>
        <v>Zone-7</v>
      </c>
      <c r="F730" s="143" t="str">
        <f>VLOOKUP(B730,'AFC Data details'!$B:$B,1,0)</f>
        <v>AZ7-PV05-T2C1-001</v>
      </c>
      <c r="H730" s="3">
        <f>_xlfn.XLOOKUP(B730,'AFC Data details'!B:B,'AFC Data details'!P:P)</f>
        <v>1.413</v>
      </c>
    </row>
    <row r="731" spans="1:8" x14ac:dyDescent="0.25">
      <c r="A731" s="154">
        <v>46053</v>
      </c>
      <c r="B731" s="3" t="s">
        <v>2131</v>
      </c>
      <c r="C731" s="3">
        <v>1</v>
      </c>
      <c r="D731" s="3" t="str">
        <f>VLOOKUP(B731,'Element wise-detail Summary'!$A:$D,2,0)</f>
        <v>PV31</v>
      </c>
      <c r="E731" s="3" t="str">
        <f>IFERROR(VLOOKUP(B731,'Element wise-detail Summary'!$A:$D,3,0),0)</f>
        <v>Zone-6</v>
      </c>
      <c r="F731" s="143" t="str">
        <f>VLOOKUP(B731,'AFC Data details'!$B:$B,1,0)</f>
        <v>AZ6-PV31-T1C6-006</v>
      </c>
      <c r="H731" s="3">
        <f>_xlfn.XLOOKUP(B731,'AFC Data details'!B:B,'AFC Data details'!P:P)</f>
        <v>2.0840000000000001</v>
      </c>
    </row>
    <row r="732" spans="1:8" x14ac:dyDescent="0.25">
      <c r="A732" s="154">
        <v>46053</v>
      </c>
      <c r="B732" s="3" t="s">
        <v>1647</v>
      </c>
      <c r="C732" s="3">
        <v>1</v>
      </c>
      <c r="D732" s="3" t="str">
        <f>VLOOKUP(B732,'Element wise-detail Summary'!$A:$D,2,0)</f>
        <v>V56</v>
      </c>
      <c r="E732" s="3" t="str">
        <f>IFERROR(VLOOKUP(B732,'Element wise-detail Summary'!$A:$D,3,0),0)</f>
        <v>Zone-5</v>
      </c>
      <c r="F732" s="143" t="str">
        <f>VLOOKUP(B732,'AFC Data details'!$B:$B,1,0)</f>
        <v>AZ5-V56-T3C5-002</v>
      </c>
      <c r="H732" s="3">
        <f>_xlfn.XLOOKUP(B732,'AFC Data details'!B:B,'AFC Data details'!P:P)</f>
        <v>1.417</v>
      </c>
    </row>
    <row r="733" spans="1:8" x14ac:dyDescent="0.25">
      <c r="A733" s="154">
        <v>46053</v>
      </c>
      <c r="B733" s="3" t="s">
        <v>2122</v>
      </c>
      <c r="C733" s="3">
        <v>1</v>
      </c>
      <c r="D733" s="3" t="str">
        <f>VLOOKUP(B733,'Element wise-detail Summary'!$A:$D,2,0)</f>
        <v>PV29</v>
      </c>
      <c r="E733" s="3" t="str">
        <f>IFERROR(VLOOKUP(B733,'Element wise-detail Summary'!$A:$D,3,0),0)</f>
        <v>Zone-6</v>
      </c>
      <c r="F733" s="143" t="str">
        <f>VLOOKUP(B733,'AFC Data details'!$B:$B,1,0)</f>
        <v>AZ6-PV29-T1C6-004</v>
      </c>
      <c r="H733" s="3">
        <f>_xlfn.XLOOKUP(B733,'AFC Data details'!B:B,'AFC Data details'!P:P)</f>
        <v>2.0779999999999998</v>
      </c>
    </row>
    <row r="734" spans="1:8" x14ac:dyDescent="0.25">
      <c r="A734" s="154">
        <v>46053</v>
      </c>
      <c r="B734" s="3" t="s">
        <v>1900</v>
      </c>
      <c r="C734" s="3">
        <v>1</v>
      </c>
      <c r="D734" s="3" t="str">
        <f>VLOOKUP(B734,'Element wise-detail Summary'!$A:$D,2,0)</f>
        <v>PV26</v>
      </c>
      <c r="E734" s="3" t="str">
        <f>IFERROR(VLOOKUP(B734,'Element wise-detail Summary'!$A:$D,3,0),0)</f>
        <v>Zone-6</v>
      </c>
      <c r="F734" s="143" t="str">
        <f>VLOOKUP(B734,'AFC Data details'!$B:$B,1,0)</f>
        <v>AZ6-PV26-T1C6-002</v>
      </c>
      <c r="H734" s="3">
        <f>_xlfn.XLOOKUP(B734,'AFC Data details'!B:B,'AFC Data details'!P:P)</f>
        <v>2.1280000000000001</v>
      </c>
    </row>
    <row r="735" spans="1:8" x14ac:dyDescent="0.25">
      <c r="A735" s="154">
        <v>46053</v>
      </c>
      <c r="B735" s="3" t="s">
        <v>2108</v>
      </c>
      <c r="C735" s="3">
        <v>1</v>
      </c>
      <c r="D735" s="3" t="str">
        <f>VLOOKUP(B735,'Element wise-detail Summary'!$A:$D,2,0)</f>
        <v>PV23</v>
      </c>
      <c r="E735" s="3" t="str">
        <f>IFERROR(VLOOKUP(B735,'Element wise-detail Summary'!$A:$D,3,0),0)</f>
        <v>Zone-6</v>
      </c>
      <c r="F735" s="143" t="str">
        <f>VLOOKUP(B735,'AFC Data details'!$B:$B,1,0)</f>
        <v>AZ6-PV23-T1C6-005</v>
      </c>
      <c r="H735" s="3">
        <f>_xlfn.XLOOKUP(B735,'AFC Data details'!B:B,'AFC Data details'!P:P)</f>
        <v>2.1280000000000001</v>
      </c>
    </row>
    <row r="736" spans="1:8" x14ac:dyDescent="0.25">
      <c r="A736" s="154">
        <v>46053</v>
      </c>
      <c r="B736" s="3" t="s">
        <v>2132</v>
      </c>
      <c r="C736" s="3">
        <v>1</v>
      </c>
      <c r="D736" s="3" t="str">
        <f>VLOOKUP(B736,'Element wise-detail Summary'!$A:$D,2,0)</f>
        <v>PV32</v>
      </c>
      <c r="E736" s="3" t="str">
        <f>IFERROR(VLOOKUP(B736,'Element wise-detail Summary'!$A:$D,3,0),0)</f>
        <v>Zone-6</v>
      </c>
      <c r="F736" s="143" t="str">
        <f>VLOOKUP(B736,'AFC Data details'!$B:$B,1,0)</f>
        <v>AZ6-PV32-T1C6-003</v>
      </c>
      <c r="H736" s="3">
        <f>_xlfn.XLOOKUP(B736,'AFC Data details'!B:B,'AFC Data details'!P:P)</f>
        <v>2.0840000000000001</v>
      </c>
    </row>
    <row r="737" spans="1:8" x14ac:dyDescent="0.25">
      <c r="A737" s="154">
        <v>46053</v>
      </c>
      <c r="B737" s="3" t="s">
        <v>2136</v>
      </c>
      <c r="C737" s="3">
        <v>0</v>
      </c>
      <c r="D737" s="3" t="str">
        <f>VLOOKUP(B737,'Element wise-detail Summary'!$A:$D,2,0)</f>
        <v>PV33</v>
      </c>
      <c r="E737" s="3" t="str">
        <f>IFERROR(VLOOKUP(B737,'Element wise-detail Summary'!$A:$D,3,0),0)</f>
        <v>Zone-6</v>
      </c>
      <c r="F737" s="143" t="str">
        <f>VLOOKUP(B737,'AFC Data details'!$B:$B,1,0)</f>
        <v>AZ6-PV33-T1C6-003</v>
      </c>
      <c r="H737" s="3">
        <f>_xlfn.XLOOKUP(B737,'AFC Data details'!B:B,'AFC Data details'!P:P)</f>
        <v>2.0840000000000001</v>
      </c>
    </row>
    <row r="738" spans="1:8" x14ac:dyDescent="0.25">
      <c r="A738" s="154">
        <v>46053</v>
      </c>
      <c r="B738" s="3" t="s">
        <v>1938</v>
      </c>
      <c r="C738" s="3">
        <v>1</v>
      </c>
      <c r="D738" s="3" t="str">
        <f>VLOOKUP(B738,'Element wise-detail Summary'!$A:$D,2,0)</f>
        <v>PV36</v>
      </c>
      <c r="E738" s="3" t="str">
        <f>IFERROR(VLOOKUP(B738,'Element wise-detail Summary'!$A:$D,3,0),0)</f>
        <v>Zone-6</v>
      </c>
      <c r="F738" s="143" t="str">
        <f>VLOOKUP(B738,'AFC Data details'!$B:$B,1,0)</f>
        <v>AZ6-PV36-T1C14-002</v>
      </c>
      <c r="H738" s="3">
        <f>_xlfn.XLOOKUP(B738,'AFC Data details'!B:B,'AFC Data details'!P:P)</f>
        <v>2.246</v>
      </c>
    </row>
    <row r="739" spans="1:8" x14ac:dyDescent="0.25">
      <c r="A739" s="154">
        <v>46053</v>
      </c>
      <c r="B739" s="3" t="s">
        <v>2145</v>
      </c>
      <c r="C739" s="3">
        <v>1</v>
      </c>
      <c r="D739" s="3" t="str">
        <f>VLOOKUP(B739,'Element wise-detail Summary'!$A:$D,2,0)</f>
        <v>PV31</v>
      </c>
      <c r="E739" s="3" t="str">
        <f>IFERROR(VLOOKUP(B739,'Element wise-detail Summary'!$A:$D,3,0),0)</f>
        <v>Zone-6</v>
      </c>
      <c r="F739" s="143" t="str">
        <f>VLOOKUP(B739,'AFC Data details'!$B:$B,1,0)</f>
        <v>AZ6-PV31-T1C6-004</v>
      </c>
      <c r="H739" s="3">
        <f>_xlfn.XLOOKUP(B739,'AFC Data details'!B:B,'AFC Data details'!P:P)</f>
        <v>2.0840000000000001</v>
      </c>
    </row>
    <row r="740" spans="1:8" x14ac:dyDescent="0.25">
      <c r="A740" s="154">
        <v>46053</v>
      </c>
      <c r="B740" s="3" t="s">
        <v>1936</v>
      </c>
      <c r="C740" s="3">
        <v>1</v>
      </c>
      <c r="D740" s="3" t="str">
        <f>VLOOKUP(B740,'Element wise-detail Summary'!$A:$D,2,0)</f>
        <v>PV36</v>
      </c>
      <c r="E740" s="3" t="str">
        <f>IFERROR(VLOOKUP(B740,'Element wise-detail Summary'!$A:$D,3,0),0)</f>
        <v>Zone-6</v>
      </c>
      <c r="F740" s="143" t="str">
        <f>VLOOKUP(B740,'AFC Data details'!$B:$B,1,0)</f>
        <v>AZ6-PV36-T1C13-001</v>
      </c>
      <c r="H740" s="3">
        <f>_xlfn.XLOOKUP(B740,'AFC Data details'!B:B,'AFC Data details'!P:P)</f>
        <v>1.944</v>
      </c>
    </row>
    <row r="741" spans="1:8" x14ac:dyDescent="0.25">
      <c r="A741" s="154">
        <v>46055</v>
      </c>
      <c r="B741" s="3" t="s">
        <v>2160</v>
      </c>
      <c r="C741" s="3">
        <v>1</v>
      </c>
      <c r="D741" s="3" t="str">
        <f>VLOOKUP(B741,'Element wise-detail Summary'!$A:$D,2,0)</f>
        <v>PV34</v>
      </c>
      <c r="E741" s="3" t="str">
        <f>IFERROR(VLOOKUP(B741,'Element wise-detail Summary'!$A:$D,3,0),0)</f>
        <v>Zone-6</v>
      </c>
      <c r="F741" s="143" t="str">
        <f>VLOOKUP(B741,'AFC Data details'!$B:$B,1,0)</f>
        <v>AZ6-PV34-T1C6-006</v>
      </c>
      <c r="H741" s="3">
        <f>_xlfn.XLOOKUP(B741,'AFC Data details'!B:B,'AFC Data details'!P:P)</f>
        <v>2.0590000000000002</v>
      </c>
    </row>
    <row r="742" spans="1:8" x14ac:dyDescent="0.25">
      <c r="A742" s="154">
        <v>46055</v>
      </c>
      <c r="B742" s="3" t="s">
        <v>1927</v>
      </c>
      <c r="C742" s="3">
        <v>1</v>
      </c>
      <c r="D742" s="3" t="str">
        <f>VLOOKUP(B742,'Element wise-detail Summary'!$A:$D,2,0)</f>
        <v>PV34</v>
      </c>
      <c r="E742" s="3" t="str">
        <f>IFERROR(VLOOKUP(B742,'Element wise-detail Summary'!$A:$D,3,0),0)</f>
        <v>Zone-6</v>
      </c>
      <c r="F742" s="143" t="str">
        <f>VLOOKUP(B742,'AFC Data details'!$B:$B,1,0)</f>
        <v>AZ6-PV34-T1C1-001</v>
      </c>
      <c r="H742" s="3">
        <f>_xlfn.XLOOKUP(B742,'AFC Data details'!B:B,'AFC Data details'!P:P)</f>
        <v>1.0149999999999999</v>
      </c>
    </row>
    <row r="743" spans="1:8" x14ac:dyDescent="0.25">
      <c r="A743" s="154">
        <v>46055</v>
      </c>
      <c r="B743" s="3" t="s">
        <v>2158</v>
      </c>
      <c r="C743" s="3">
        <v>1</v>
      </c>
      <c r="D743" s="3" t="str">
        <f>VLOOKUP(B743,'Element wise-detail Summary'!$A:$D,2,0)</f>
        <v>PV35</v>
      </c>
      <c r="E743" s="3" t="str">
        <f>IFERROR(VLOOKUP(B743,'Element wise-detail Summary'!$A:$D,3,0),0)</f>
        <v>Zone-6</v>
      </c>
      <c r="F743" s="143" t="str">
        <f>VLOOKUP(B743,'AFC Data details'!$B:$B,1,0)</f>
        <v>AZ6-PV35-T1C6-004</v>
      </c>
      <c r="H743" s="3">
        <f>_xlfn.XLOOKUP(B743,'AFC Data details'!B:B,'AFC Data details'!P:P)</f>
        <v>2.0590000000000002</v>
      </c>
    </row>
    <row r="744" spans="1:8" x14ac:dyDescent="0.25">
      <c r="A744" s="154">
        <v>46055</v>
      </c>
      <c r="B744" s="3" t="s">
        <v>2202</v>
      </c>
      <c r="C744" s="3">
        <v>1</v>
      </c>
      <c r="D744" s="3" t="str">
        <f>VLOOKUP(B744,'Element wise-detail Summary'!$A:$D,2,0)</f>
        <v>PV07</v>
      </c>
      <c r="E744" s="3" t="str">
        <f>IFERROR(VLOOKUP(B744,'Element wise-detail Summary'!$A:$D,3,0),0)</f>
        <v>Zone-7</v>
      </c>
      <c r="F744" s="143" t="str">
        <f>VLOOKUP(B744,'AFC Data details'!$B:$B,1,0)</f>
        <v>AZ7-PV07-T2C1-001</v>
      </c>
      <c r="H744" s="3">
        <f>_xlfn.XLOOKUP(B744,'AFC Data details'!B:B,'AFC Data details'!P:P)</f>
        <v>1.413</v>
      </c>
    </row>
    <row r="745" spans="1:8" x14ac:dyDescent="0.25">
      <c r="A745" s="154">
        <v>46055</v>
      </c>
      <c r="B745" s="3" t="s">
        <v>1921</v>
      </c>
      <c r="C745" s="3">
        <v>1</v>
      </c>
      <c r="D745" s="3" t="str">
        <f>VLOOKUP(B745,'Element wise-detail Summary'!$A:$D,2,0)</f>
        <v>PV32</v>
      </c>
      <c r="E745" s="3" t="str">
        <f>IFERROR(VLOOKUP(B745,'Element wise-detail Summary'!$A:$D,3,0),0)</f>
        <v>Zone-6</v>
      </c>
      <c r="F745" s="143" t="str">
        <f>VLOOKUP(B745,'AFC Data details'!$B:$B,1,0)</f>
        <v>AZ6-PV32-T1C6-002</v>
      </c>
      <c r="H745" s="3">
        <f>_xlfn.XLOOKUP(B745,'AFC Data details'!B:B,'AFC Data details'!P:P)</f>
        <v>2.0840000000000001</v>
      </c>
    </row>
    <row r="746" spans="1:8" x14ac:dyDescent="0.25">
      <c r="A746" s="154">
        <v>46055</v>
      </c>
      <c r="B746" s="3" t="s">
        <v>1658</v>
      </c>
      <c r="C746" s="3">
        <v>1</v>
      </c>
      <c r="D746" s="3" t="str">
        <f>VLOOKUP(B746,'Element wise-detail Summary'!$A:$D,2,0)</f>
        <v>V60</v>
      </c>
      <c r="E746" s="3" t="str">
        <f>IFERROR(VLOOKUP(B746,'Element wise-detail Summary'!$A:$D,3,0),0)</f>
        <v>Zone-5</v>
      </c>
      <c r="F746" s="143" t="str">
        <f>VLOOKUP(B746,'AFC Data details'!$B:$B,1,0)</f>
        <v>AZ5-V60-T3C5-001</v>
      </c>
      <c r="H746" s="3">
        <f>_xlfn.XLOOKUP(B746,'AFC Data details'!B:B,'AFC Data details'!P:P)</f>
        <v>1.5620000000000001</v>
      </c>
    </row>
    <row r="747" spans="1:8" x14ac:dyDescent="0.25">
      <c r="A747" s="154">
        <v>46055</v>
      </c>
      <c r="B747" s="3" t="s">
        <v>2123</v>
      </c>
      <c r="C747" s="3">
        <v>1</v>
      </c>
      <c r="D747" s="3" t="str">
        <f>VLOOKUP(B747,'Element wise-detail Summary'!$A:$D,2,0)</f>
        <v>PV29</v>
      </c>
      <c r="E747" s="3" t="str">
        <f>IFERROR(VLOOKUP(B747,'Element wise-detail Summary'!$A:$D,3,0),0)</f>
        <v>Zone-6</v>
      </c>
      <c r="F747" s="143" t="str">
        <f>VLOOKUP(B747,'AFC Data details'!$B:$B,1,0)</f>
        <v>AZ6-PV29-T1C6-005</v>
      </c>
      <c r="H747" s="3">
        <f>_xlfn.XLOOKUP(B747,'AFC Data details'!B:B,'AFC Data details'!P:P)</f>
        <v>2.0779999999999998</v>
      </c>
    </row>
    <row r="748" spans="1:8" x14ac:dyDescent="0.25">
      <c r="A748" s="154">
        <v>46055</v>
      </c>
      <c r="B748" s="3" t="s">
        <v>2093</v>
      </c>
      <c r="C748" s="3">
        <v>1</v>
      </c>
      <c r="D748" s="3" t="str">
        <f>VLOOKUP(B748,'Element wise-detail Summary'!$A:$D,2,0)</f>
        <v>PV26</v>
      </c>
      <c r="E748" s="3" t="str">
        <f>IFERROR(VLOOKUP(B748,'Element wise-detail Summary'!$A:$D,3,0),0)</f>
        <v>Zone-6</v>
      </c>
      <c r="F748" s="143" t="str">
        <f>VLOOKUP(B748,'AFC Data details'!$B:$B,1,0)</f>
        <v>AZ6-PV26-T1C6-003</v>
      </c>
      <c r="H748" s="3">
        <f>_xlfn.XLOOKUP(B748,'AFC Data details'!B:B,'AFC Data details'!P:P)</f>
        <v>2.1280000000000001</v>
      </c>
    </row>
    <row r="749" spans="1:8" x14ac:dyDescent="0.25">
      <c r="A749" s="154">
        <v>46055</v>
      </c>
      <c r="B749" s="3" t="s">
        <v>2134</v>
      </c>
      <c r="C749" s="3">
        <v>1</v>
      </c>
      <c r="D749" s="3" t="str">
        <f>VLOOKUP(B749,'Element wise-detail Summary'!$A:$D,2,0)</f>
        <v>PV32</v>
      </c>
      <c r="E749" s="3" t="str">
        <f>IFERROR(VLOOKUP(B749,'Element wise-detail Summary'!$A:$D,3,0),0)</f>
        <v>Zone-6</v>
      </c>
      <c r="F749" s="143" t="str">
        <f>VLOOKUP(B749,'AFC Data details'!$B:$B,1,0)</f>
        <v>AZ6-PV32-T1C6-005</v>
      </c>
      <c r="H749" s="3">
        <f>_xlfn.XLOOKUP(B749,'AFC Data details'!B:B,'AFC Data details'!P:P)</f>
        <v>2.0840000000000001</v>
      </c>
    </row>
    <row r="750" spans="1:8" x14ac:dyDescent="0.25">
      <c r="A750" s="154">
        <v>46055</v>
      </c>
      <c r="B750" s="3" t="s">
        <v>2133</v>
      </c>
      <c r="C750" s="3">
        <v>1</v>
      </c>
      <c r="D750" s="3" t="str">
        <f>VLOOKUP(B750,'Element wise-detail Summary'!$A:$D,2,0)</f>
        <v>PV32</v>
      </c>
      <c r="E750" s="3" t="str">
        <f>IFERROR(VLOOKUP(B750,'Element wise-detail Summary'!$A:$D,3,0),0)</f>
        <v>Zone-6</v>
      </c>
      <c r="F750" s="143" t="str">
        <f>VLOOKUP(B750,'AFC Data details'!$B:$B,1,0)</f>
        <v>AZ6-PV32-T1C6-004</v>
      </c>
      <c r="H750" s="3">
        <f>_xlfn.XLOOKUP(B750,'AFC Data details'!B:B,'AFC Data details'!P:P)</f>
        <v>2.0840000000000001</v>
      </c>
    </row>
    <row r="751" spans="1:8" x14ac:dyDescent="0.25">
      <c r="A751" s="154">
        <v>46055</v>
      </c>
      <c r="B751" s="3" t="s">
        <v>2138</v>
      </c>
      <c r="C751" s="3">
        <v>1</v>
      </c>
      <c r="D751" s="3" t="str">
        <f>VLOOKUP(B751,'Element wise-detail Summary'!$A:$D,2,0)</f>
        <v>PV33</v>
      </c>
      <c r="E751" s="3" t="str">
        <f>IFERROR(VLOOKUP(B751,'Element wise-detail Summary'!$A:$D,3,0),0)</f>
        <v>Zone-6</v>
      </c>
      <c r="F751" s="143" t="str">
        <f>VLOOKUP(B751,'AFC Data details'!$B:$B,1,0)</f>
        <v>AZ6-PV33-T1C6-005</v>
      </c>
      <c r="H751" s="3">
        <f>_xlfn.XLOOKUP(B751,'AFC Data details'!B:B,'AFC Data details'!P:P)</f>
        <v>2.0840000000000001</v>
      </c>
    </row>
    <row r="752" spans="1:8" x14ac:dyDescent="0.25">
      <c r="A752" s="154">
        <v>46055</v>
      </c>
      <c r="B752" s="3" t="s">
        <v>2162</v>
      </c>
      <c r="C752" s="3">
        <v>1</v>
      </c>
      <c r="D752" s="3" t="str">
        <f>VLOOKUP(B752,'Element wise-detail Summary'!$A:$D,2,0)</f>
        <v>PV36</v>
      </c>
      <c r="E752" s="3" t="str">
        <f>IFERROR(VLOOKUP(B752,'Element wise-detail Summary'!$A:$D,3,0),0)</f>
        <v>Zone-6</v>
      </c>
      <c r="F752" s="143" t="str">
        <f>VLOOKUP(B752,'AFC Data details'!$B:$B,1,0)</f>
        <v>AZ6-PV36-T1C14-003</v>
      </c>
      <c r="H752" s="3">
        <f>_xlfn.XLOOKUP(B752,'AFC Data details'!B:B,'AFC Data details'!P:P)</f>
        <v>2.246</v>
      </c>
    </row>
    <row r="753" spans="1:8" x14ac:dyDescent="0.25">
      <c r="A753" s="154">
        <v>46055</v>
      </c>
      <c r="B753" s="3" t="s">
        <v>2146</v>
      </c>
      <c r="C753" s="3">
        <v>1</v>
      </c>
      <c r="D753" s="3" t="str">
        <f>VLOOKUP(B753,'Element wise-detail Summary'!$A:$D,2,0)</f>
        <v>PV31</v>
      </c>
      <c r="E753" s="3" t="str">
        <f>IFERROR(VLOOKUP(B753,'Element wise-detail Summary'!$A:$D,3,0),0)</f>
        <v>Zone-6</v>
      </c>
      <c r="F753" s="143" t="str">
        <f>VLOOKUP(B753,'AFC Data details'!$B:$B,1,0)</f>
        <v>AZ6-PV31-T1C6-005</v>
      </c>
      <c r="H753" s="3">
        <f>_xlfn.XLOOKUP(B753,'AFC Data details'!B:B,'AFC Data details'!P:P)</f>
        <v>2.0840000000000001</v>
      </c>
    </row>
    <row r="754" spans="1:8" x14ac:dyDescent="0.25">
      <c r="A754" s="154">
        <v>46056</v>
      </c>
      <c r="B754" s="3" t="s">
        <v>1941</v>
      </c>
      <c r="C754" s="3">
        <v>1</v>
      </c>
      <c r="D754" s="3" t="str">
        <f>VLOOKUP(B754,'Element wise-detail Summary'!$A:$D,2,0)</f>
        <v>PV36</v>
      </c>
      <c r="E754" s="3" t="str">
        <f>IFERROR(VLOOKUP(B754,'Element wise-detail Summary'!$A:$D,3,0),0)</f>
        <v>Zone-6</v>
      </c>
      <c r="F754" s="143" t="str">
        <f>VLOOKUP(B754,'AFC Data details'!$B:$B,1,0)</f>
        <v>AZ6-PV36-T3C2-001</v>
      </c>
      <c r="H754" s="3">
        <f>_xlfn.XLOOKUP(B754,'AFC Data details'!B:B,'AFC Data details'!P:P)</f>
        <v>1.0589999999999999</v>
      </c>
    </row>
    <row r="755" spans="1:8" x14ac:dyDescent="0.25">
      <c r="A755" s="154">
        <v>46056</v>
      </c>
      <c r="B755" s="3" t="s">
        <v>2226</v>
      </c>
      <c r="C755" s="3">
        <v>1</v>
      </c>
      <c r="D755" s="3" t="str">
        <f>VLOOKUP(B755,'Element wise-detail Summary'!$A:$D,2,0)</f>
        <v>PV04</v>
      </c>
      <c r="E755" s="3" t="str">
        <f>IFERROR(VLOOKUP(B755,'Element wise-detail Summary'!$A:$D,3,0),0)</f>
        <v>Zone-7</v>
      </c>
      <c r="F755" s="143" t="str">
        <f>VLOOKUP(B755,'AFC Data details'!$B:$B,1,0)</f>
        <v>AZ7-PV04-T1C6-001</v>
      </c>
      <c r="H755" s="3">
        <f>_xlfn.XLOOKUP(B755,'AFC Data details'!B:B,'AFC Data details'!P:P)</f>
        <v>2.0840000000000001</v>
      </c>
    </row>
    <row r="756" spans="1:8" x14ac:dyDescent="0.25">
      <c r="A756" s="154">
        <v>46056</v>
      </c>
      <c r="B756" s="3" t="s">
        <v>1932</v>
      </c>
      <c r="C756" s="3">
        <v>1</v>
      </c>
      <c r="D756" s="3" t="str">
        <f>VLOOKUP(B756,'Element wise-detail Summary'!$A:$D,2,0)</f>
        <v>PV35</v>
      </c>
      <c r="E756" s="3" t="str">
        <f>IFERROR(VLOOKUP(B756,'Element wise-detail Summary'!$A:$D,3,0),0)</f>
        <v>Zone-6</v>
      </c>
      <c r="F756" s="143" t="str">
        <f>VLOOKUP(B756,'AFC Data details'!$B:$B,1,0)</f>
        <v>AZ6-PV35-T1C2-001</v>
      </c>
      <c r="H756" s="3">
        <f>_xlfn.XLOOKUP(B756,'AFC Data details'!B:B,'AFC Data details'!P:P)</f>
        <v>1.0529999999999999</v>
      </c>
    </row>
    <row r="757" spans="1:8" x14ac:dyDescent="0.25">
      <c r="A757" s="154">
        <v>46056</v>
      </c>
      <c r="B757" s="3" t="s">
        <v>2159</v>
      </c>
      <c r="C757" s="3">
        <v>1</v>
      </c>
      <c r="D757" s="3" t="str">
        <f>VLOOKUP(B757,'Element wise-detail Summary'!$A:$D,2,0)</f>
        <v>PV35</v>
      </c>
      <c r="E757" s="3" t="str">
        <f>IFERROR(VLOOKUP(B757,'Element wise-detail Summary'!$A:$D,3,0),0)</f>
        <v>Zone-6</v>
      </c>
      <c r="F757" s="143" t="str">
        <f>VLOOKUP(B757,'AFC Data details'!$B:$B,1,0)</f>
        <v>AZ6-PV35-T1C6-005</v>
      </c>
      <c r="H757" s="3">
        <f>_xlfn.XLOOKUP(B757,'AFC Data details'!B:B,'AFC Data details'!P:P)</f>
        <v>2.0590000000000002</v>
      </c>
    </row>
    <row r="758" spans="1:8" x14ac:dyDescent="0.25">
      <c r="A758" s="154">
        <v>46056</v>
      </c>
      <c r="B758" s="3" t="s">
        <v>2203</v>
      </c>
      <c r="C758" s="3">
        <v>1</v>
      </c>
      <c r="D758" s="3" t="str">
        <f>VLOOKUP(B758,'Element wise-detail Summary'!$A:$D,2,0)</f>
        <v>PV09</v>
      </c>
      <c r="E758" s="3" t="str">
        <f>IFERROR(VLOOKUP(B758,'Element wise-detail Summary'!$A:$D,3,0),0)</f>
        <v>Zone-7</v>
      </c>
      <c r="F758" s="143" t="str">
        <f>VLOOKUP(B758,'AFC Data details'!$B:$B,1,0)</f>
        <v>AZ7-PV09-T2C1-001</v>
      </c>
      <c r="H758" s="3">
        <f>_xlfn.XLOOKUP(B758,'AFC Data details'!B:B,'AFC Data details'!P:P)</f>
        <v>1.413</v>
      </c>
    </row>
    <row r="759" spans="1:8" x14ac:dyDescent="0.25">
      <c r="A759" s="154">
        <v>46056</v>
      </c>
      <c r="B759" s="3" t="s">
        <v>2335</v>
      </c>
      <c r="C759" s="3">
        <v>1</v>
      </c>
      <c r="D759" s="3" t="str">
        <f>VLOOKUP(B759,'Element wise-detail Summary'!$A:$D,2,0)</f>
        <v>PV16</v>
      </c>
      <c r="E759" s="3" t="str">
        <f>IFERROR(VLOOKUP(B759,'Element wise-detail Summary'!$A:$D,3,0),0)</f>
        <v>Zone-7</v>
      </c>
      <c r="F759" s="143" t="str">
        <f>VLOOKUP(B759,'AFC Data details'!$B:$B,1,0)</f>
        <v>AZ7-PV16-T1C13-004</v>
      </c>
      <c r="H759" s="3">
        <f>_xlfn.XLOOKUP(B759,'AFC Data details'!B:B,'AFC Data details'!P:P)</f>
        <v>1.9390000000000001</v>
      </c>
    </row>
    <row r="760" spans="1:8" x14ac:dyDescent="0.25">
      <c r="A760" s="154">
        <v>46056</v>
      </c>
      <c r="B760" s="3" t="s">
        <v>1667</v>
      </c>
      <c r="C760" s="3">
        <v>1</v>
      </c>
      <c r="D760" s="3" t="str">
        <f>VLOOKUP(B760,'Element wise-detail Summary'!$A:$D,2,0)</f>
        <v>V61</v>
      </c>
      <c r="E760" s="3" t="str">
        <f>IFERROR(VLOOKUP(B760,'Element wise-detail Summary'!$A:$D,3,0),0)</f>
        <v>Zone-5</v>
      </c>
      <c r="F760" s="143" t="str">
        <f>VLOOKUP(B760,'AFC Data details'!$B:$B,1,0)</f>
        <v>AZ5-V61-T3C5-002</v>
      </c>
      <c r="H760" s="3">
        <f>_xlfn.XLOOKUP(B760,'AFC Data details'!B:B,'AFC Data details'!P:P)</f>
        <v>1.2749999999999999</v>
      </c>
    </row>
    <row r="761" spans="1:8" x14ac:dyDescent="0.25">
      <c r="A761" s="154">
        <v>46056</v>
      </c>
      <c r="B761" s="3" t="s">
        <v>1659</v>
      </c>
      <c r="C761" s="3">
        <v>1</v>
      </c>
      <c r="D761" s="3" t="str">
        <f>VLOOKUP(B761,'Element wise-detail Summary'!$A:$D,2,0)</f>
        <v>V60</v>
      </c>
      <c r="E761" s="3" t="str">
        <f>IFERROR(VLOOKUP(B761,'Element wise-detail Summary'!$A:$D,3,0),0)</f>
        <v>Zone-5</v>
      </c>
      <c r="F761" s="143" t="str">
        <f>VLOOKUP(B761,'AFC Data details'!$B:$B,1,0)</f>
        <v>AZ5-V60-T3C5-002</v>
      </c>
      <c r="H761" s="3">
        <f>_xlfn.XLOOKUP(B761,'AFC Data details'!B:B,'AFC Data details'!P:P)</f>
        <v>1.3360000000000001</v>
      </c>
    </row>
    <row r="762" spans="1:8" x14ac:dyDescent="0.25">
      <c r="A762" s="154">
        <v>46056</v>
      </c>
      <c r="B762" s="3" t="s">
        <v>1911</v>
      </c>
      <c r="C762" s="3">
        <v>1</v>
      </c>
      <c r="D762" s="3" t="str">
        <f>VLOOKUP(B762,'Element wise-detail Summary'!$A:$D,2,0)</f>
        <v>PV29</v>
      </c>
      <c r="E762" s="3" t="str">
        <f>IFERROR(VLOOKUP(B762,'Element wise-detail Summary'!$A:$D,3,0),0)</f>
        <v>Zone-6</v>
      </c>
      <c r="F762" s="143" t="str">
        <f>VLOOKUP(B762,'AFC Data details'!$B:$B,1,0)</f>
        <v>AZ6-PV29-T1C6-001</v>
      </c>
      <c r="H762" s="3">
        <f>_xlfn.XLOOKUP(B762,'AFC Data details'!B:B,'AFC Data details'!P:P)</f>
        <v>2.0779999999999998</v>
      </c>
    </row>
    <row r="763" spans="1:8" x14ac:dyDescent="0.25">
      <c r="A763" s="154">
        <v>46056</v>
      </c>
      <c r="B763" s="3" t="s">
        <v>2209</v>
      </c>
      <c r="C763" s="3">
        <v>1</v>
      </c>
      <c r="D763" s="3" t="str">
        <f>VLOOKUP(B763,'Element wise-detail Summary'!$A:$D,2,0)</f>
        <v>PV02</v>
      </c>
      <c r="E763" s="3" t="str">
        <f>IFERROR(VLOOKUP(B763,'Element wise-detail Summary'!$A:$D,3,0),0)</f>
        <v>Zone-7</v>
      </c>
      <c r="F763" s="143" t="str">
        <f>VLOOKUP(B763,'AFC Data details'!$B:$B,1,0)</f>
        <v>AZ7-PV02-T1C6-001</v>
      </c>
      <c r="H763" s="3">
        <f>_xlfn.XLOOKUP(B763,'AFC Data details'!B:B,'AFC Data details'!P:P)</f>
        <v>2.0649999999999999</v>
      </c>
    </row>
    <row r="764" spans="1:8" x14ac:dyDescent="0.25">
      <c r="A764" s="154">
        <v>46056</v>
      </c>
      <c r="B764" s="3" t="s">
        <v>2214</v>
      </c>
      <c r="C764" s="3">
        <v>1</v>
      </c>
      <c r="D764" s="3" t="str">
        <f>VLOOKUP(B764,'Element wise-detail Summary'!$A:$D,2,0)</f>
        <v>PV02</v>
      </c>
      <c r="E764" s="3" t="str">
        <f>IFERROR(VLOOKUP(B764,'Element wise-detail Summary'!$A:$D,3,0),0)</f>
        <v>Zone-7</v>
      </c>
      <c r="F764" s="143" t="str">
        <f>VLOOKUP(B764,'AFC Data details'!$B:$B,1,0)</f>
        <v>AZ7-PV02-T1C6-005</v>
      </c>
      <c r="H764" s="3">
        <f>_xlfn.XLOOKUP(B764,'AFC Data details'!B:B,'AFC Data details'!P:P)</f>
        <v>2.0649999999999999</v>
      </c>
    </row>
    <row r="765" spans="1:8" x14ac:dyDescent="0.25">
      <c r="A765" s="154">
        <v>46056</v>
      </c>
      <c r="B765" s="3" t="s">
        <v>2137</v>
      </c>
      <c r="C765" s="3">
        <v>1</v>
      </c>
      <c r="D765" s="3" t="str">
        <f>VLOOKUP(B765,'Element wise-detail Summary'!$A:$D,2,0)</f>
        <v>PV33</v>
      </c>
      <c r="E765" s="3" t="str">
        <f>IFERROR(VLOOKUP(B765,'Element wise-detail Summary'!$A:$D,3,0),0)</f>
        <v>Zone-6</v>
      </c>
      <c r="F765" s="143" t="str">
        <f>VLOOKUP(B765,'AFC Data details'!$B:$B,1,0)</f>
        <v>AZ6-PV33-T1C6-004</v>
      </c>
      <c r="H765" s="3">
        <f>_xlfn.XLOOKUP(B765,'AFC Data details'!B:B,'AFC Data details'!P:P)</f>
        <v>2.0840000000000001</v>
      </c>
    </row>
    <row r="766" spans="1:8" x14ac:dyDescent="0.25">
      <c r="A766" s="154">
        <v>46056</v>
      </c>
      <c r="B766" s="3" t="s">
        <v>2139</v>
      </c>
      <c r="C766" s="3">
        <v>1</v>
      </c>
      <c r="D766" s="3" t="str">
        <f>VLOOKUP(B766,'Element wise-detail Summary'!$A:$D,2,0)</f>
        <v>PV30</v>
      </c>
      <c r="E766" s="3" t="str">
        <f>IFERROR(VLOOKUP(B766,'Element wise-detail Summary'!$A:$D,3,0),0)</f>
        <v>Zone-6</v>
      </c>
      <c r="F766" s="143" t="str">
        <f>VLOOKUP(B766,'AFC Data details'!$B:$B,1,0)</f>
        <v>AZ6-PV30-T1C6-002</v>
      </c>
      <c r="H766" s="3">
        <f>_xlfn.XLOOKUP(B766,'AFC Data details'!B:B,'AFC Data details'!P:P)</f>
        <v>2.0840000000000001</v>
      </c>
    </row>
    <row r="767" spans="1:8" x14ac:dyDescent="0.25">
      <c r="A767" s="154">
        <v>46056</v>
      </c>
      <c r="B767" s="3" t="s">
        <v>2163</v>
      </c>
      <c r="C767" s="3">
        <v>1</v>
      </c>
      <c r="D767" s="3" t="str">
        <f>VLOOKUP(B767,'Element wise-detail Summary'!$A:$D,2,0)</f>
        <v>PV36</v>
      </c>
      <c r="E767" s="3" t="str">
        <f>IFERROR(VLOOKUP(B767,'Element wise-detail Summary'!$A:$D,3,0),0)</f>
        <v>Zone-6</v>
      </c>
      <c r="F767" s="143" t="str">
        <f>VLOOKUP(B767,'AFC Data details'!$B:$B,1,0)</f>
        <v>AZ6-PV36-T1C14-004</v>
      </c>
      <c r="H767" s="3">
        <f>_xlfn.XLOOKUP(B767,'AFC Data details'!B:B,'AFC Data details'!P:P)</f>
        <v>2.246</v>
      </c>
    </row>
    <row r="768" spans="1:8" x14ac:dyDescent="0.25">
      <c r="A768" s="154">
        <v>46056</v>
      </c>
      <c r="B768" s="3" t="s">
        <v>2142</v>
      </c>
      <c r="C768" s="3">
        <v>1</v>
      </c>
      <c r="D768" s="3" t="str">
        <f>VLOOKUP(B768,'Element wise-detail Summary'!$A:$D,2,0)</f>
        <v>PV30</v>
      </c>
      <c r="E768" s="3" t="str">
        <f>IFERROR(VLOOKUP(B768,'Element wise-detail Summary'!$A:$D,3,0),0)</f>
        <v>Zone-6</v>
      </c>
      <c r="F768" s="143" t="str">
        <f>VLOOKUP(B768,'AFC Data details'!$B:$B,1,0)</f>
        <v>AZ6-PV30-T1C6-005</v>
      </c>
      <c r="H768" s="3">
        <f>_xlfn.XLOOKUP(B768,'AFC Data details'!B:B,'AFC Data details'!P:P)</f>
        <v>2.0840000000000001</v>
      </c>
    </row>
    <row r="769" spans="1:8" x14ac:dyDescent="0.25">
      <c r="A769" s="154">
        <v>46057</v>
      </c>
      <c r="B769" s="3" t="s">
        <v>2227</v>
      </c>
      <c r="C769" s="3">
        <v>1</v>
      </c>
      <c r="D769" s="3" t="str">
        <f>VLOOKUP(B769,'Element wise-detail Summary'!$A:$D,2,0)</f>
        <v>PV05</v>
      </c>
      <c r="E769" s="3" t="str">
        <f>IFERROR(VLOOKUP(B769,'Element wise-detail Summary'!$A:$D,3,0),0)</f>
        <v>Zone-7</v>
      </c>
      <c r="F769" s="143" t="str">
        <f>VLOOKUP(B769,'AFC Data details'!$B:$B,1,0)</f>
        <v>AZ7-PV05-T1C6-006</v>
      </c>
      <c r="H769" s="3">
        <f>_xlfn.XLOOKUP(B769,'AFC Data details'!B:B,'AFC Data details'!P:P)</f>
        <v>2.0840000000000001</v>
      </c>
    </row>
    <row r="770" spans="1:8" x14ac:dyDescent="0.25">
      <c r="A770" s="154">
        <v>46057</v>
      </c>
      <c r="B770" s="3" t="s">
        <v>1876</v>
      </c>
      <c r="C770" s="3">
        <v>1</v>
      </c>
      <c r="D770" s="3" t="str">
        <f>VLOOKUP(B770,'Element wise-detail Summary'!$A:$D,2,0)</f>
        <v>PV19</v>
      </c>
      <c r="E770" s="3" t="str">
        <f>IFERROR(VLOOKUP(B770,'Element wise-detail Summary'!$A:$D,3,0),0)</f>
        <v>Zone-6</v>
      </c>
      <c r="F770" s="143" t="str">
        <f>VLOOKUP(B770,'AFC Data details'!$B:$B,1,0)</f>
        <v>AZ6-PV19-T1C1-001</v>
      </c>
      <c r="H770" s="3">
        <f>_xlfn.XLOOKUP(B770,'AFC Data details'!B:B,'AFC Data details'!P:P)</f>
        <v>0.95199999999999996</v>
      </c>
    </row>
    <row r="771" spans="1:8" x14ac:dyDescent="0.25">
      <c r="A771" s="154">
        <v>46057</v>
      </c>
      <c r="B771" s="3" t="s">
        <v>2192</v>
      </c>
      <c r="C771" s="3">
        <v>1</v>
      </c>
      <c r="D771" s="3" t="str">
        <f>VLOOKUP(B771,'Element wise-detail Summary'!$A:$D,2,0)</f>
        <v>PV01</v>
      </c>
      <c r="E771" s="3" t="str">
        <f>IFERROR(VLOOKUP(B771,'Element wise-detail Summary'!$A:$D,3,0),0)</f>
        <v>Zone-7</v>
      </c>
      <c r="F771" s="143" t="str">
        <f>VLOOKUP(B771,'AFC Data details'!$B:$B,1,0)</f>
        <v>AZ7-PV01-T1C13-001</v>
      </c>
      <c r="H771" s="3">
        <f>_xlfn.XLOOKUP(B771,'AFC Data details'!B:B,'AFC Data details'!P:P)</f>
        <v>2.0830000000000002</v>
      </c>
    </row>
    <row r="772" spans="1:8" x14ac:dyDescent="0.25">
      <c r="A772" s="154">
        <v>46057</v>
      </c>
      <c r="B772" s="3" t="s">
        <v>2204</v>
      </c>
      <c r="C772" s="3">
        <v>1</v>
      </c>
      <c r="D772" s="3" t="str">
        <f>VLOOKUP(B772,'Element wise-detail Summary'!$A:$D,2,0)</f>
        <v>PV011</v>
      </c>
      <c r="E772" s="3" t="str">
        <f>IFERROR(VLOOKUP(B772,'Element wise-detail Summary'!$A:$D,3,0),0)</f>
        <v>Zone-7</v>
      </c>
      <c r="F772" s="143" t="str">
        <f>VLOOKUP(B772,'AFC Data details'!$B:$B,1,0)</f>
        <v>AZ7-PV011-T2C1-001</v>
      </c>
      <c r="H772" s="3">
        <f>_xlfn.XLOOKUP(B772,'AFC Data details'!B:B,'AFC Data details'!P:P)</f>
        <v>1.413</v>
      </c>
    </row>
    <row r="773" spans="1:8" x14ac:dyDescent="0.25">
      <c r="A773" s="154">
        <v>46057</v>
      </c>
      <c r="B773" s="3" t="s">
        <v>2336</v>
      </c>
      <c r="C773" s="3">
        <v>1</v>
      </c>
      <c r="D773" s="3" t="str">
        <f>VLOOKUP(B773,'Element wise-detail Summary'!$A:$D,2,0)</f>
        <v>PV16</v>
      </c>
      <c r="E773" s="3" t="str">
        <f>IFERROR(VLOOKUP(B773,'Element wise-detail Summary'!$A:$D,3,0),0)</f>
        <v>Zone-7</v>
      </c>
      <c r="F773" s="143" t="str">
        <f>VLOOKUP(B773,'AFC Data details'!$B:$B,1,0)</f>
        <v>AZ7-PV16-T1C13-005</v>
      </c>
      <c r="H773" s="3">
        <f>_xlfn.XLOOKUP(B773,'AFC Data details'!B:B,'AFC Data details'!P:P)</f>
        <v>1.9390000000000001</v>
      </c>
    </row>
    <row r="774" spans="1:8" x14ac:dyDescent="0.25">
      <c r="A774" s="154">
        <v>46057</v>
      </c>
      <c r="B774" s="3" t="s">
        <v>1650</v>
      </c>
      <c r="C774" s="3">
        <v>1</v>
      </c>
      <c r="D774" s="3" t="str">
        <f>VLOOKUP(B774,'Element wise-detail Summary'!$A:$D,2,0)</f>
        <v>V57</v>
      </c>
      <c r="E774" s="3" t="str">
        <f>IFERROR(VLOOKUP(B774,'Element wise-detail Summary'!$A:$D,3,0),0)</f>
        <v>Zone-5</v>
      </c>
      <c r="F774" s="143" t="str">
        <f>VLOOKUP(B774,'AFC Data details'!$B:$B,1,0)</f>
        <v>AZ5-V57-T3C5-001</v>
      </c>
      <c r="H774" s="3">
        <f>_xlfn.XLOOKUP(B774,'AFC Data details'!B:B,'AFC Data details'!P:P)</f>
        <v>1.4</v>
      </c>
    </row>
    <row r="775" spans="1:8" x14ac:dyDescent="0.25">
      <c r="A775" s="154">
        <v>46057</v>
      </c>
      <c r="B775" s="3" t="s">
        <v>1666</v>
      </c>
      <c r="C775" s="3">
        <v>1</v>
      </c>
      <c r="D775" s="3" t="str">
        <f>VLOOKUP(B775,'Element wise-detail Summary'!$A:$D,2,0)</f>
        <v>V61</v>
      </c>
      <c r="E775" s="3" t="str">
        <f>IFERROR(VLOOKUP(B775,'Element wise-detail Summary'!$A:$D,3,0),0)</f>
        <v>Zone-5</v>
      </c>
      <c r="F775" s="143" t="str">
        <f>VLOOKUP(B775,'AFC Data details'!$B:$B,1,0)</f>
        <v>AZ5-V61-T3C5-001</v>
      </c>
      <c r="H775" s="3">
        <f>_xlfn.XLOOKUP(B775,'AFC Data details'!B:B,'AFC Data details'!P:P)</f>
        <v>1.48</v>
      </c>
    </row>
    <row r="776" spans="1:8" x14ac:dyDescent="0.25">
      <c r="A776" s="154">
        <v>46057</v>
      </c>
      <c r="B776" s="3" t="s">
        <v>2124</v>
      </c>
      <c r="C776" s="3">
        <v>1</v>
      </c>
      <c r="D776" s="3" t="str">
        <f>VLOOKUP(B776,'Element wise-detail Summary'!$A:$D,2,0)</f>
        <v>PV28</v>
      </c>
      <c r="E776" s="3" t="str">
        <f>IFERROR(VLOOKUP(B776,'Element wise-detail Summary'!$A:$D,3,0),0)</f>
        <v>Zone-6</v>
      </c>
      <c r="F776" s="143" t="str">
        <f>VLOOKUP(B776,'AFC Data details'!$B:$B,1,0)</f>
        <v>AZ6-PV28-T1C6-006</v>
      </c>
      <c r="H776" s="3">
        <f>_xlfn.XLOOKUP(B776,'AFC Data details'!B:B,'AFC Data details'!P:P)</f>
        <v>2.0779999999999998</v>
      </c>
    </row>
    <row r="777" spans="1:8" x14ac:dyDescent="0.25">
      <c r="A777" s="154">
        <v>46057</v>
      </c>
      <c r="B777" s="3" t="s">
        <v>2210</v>
      </c>
      <c r="C777" s="3">
        <v>1</v>
      </c>
      <c r="D777" s="3" t="str">
        <f>VLOOKUP(B777,'Element wise-detail Summary'!$A:$D,2,0)</f>
        <v>PV03</v>
      </c>
      <c r="E777" s="3" t="str">
        <f>IFERROR(VLOOKUP(B777,'Element wise-detail Summary'!$A:$D,3,0),0)</f>
        <v>Zone-7</v>
      </c>
      <c r="F777" s="143" t="str">
        <f>VLOOKUP(B777,'AFC Data details'!$B:$B,1,0)</f>
        <v>AZ7-PV03-T1C6-006</v>
      </c>
      <c r="H777" s="3">
        <f>_xlfn.XLOOKUP(B777,'AFC Data details'!B:B,'AFC Data details'!P:P)</f>
        <v>2.0649999999999999</v>
      </c>
    </row>
    <row r="778" spans="1:8" x14ac:dyDescent="0.25">
      <c r="A778" s="154">
        <v>46057</v>
      </c>
      <c r="B778" s="3" t="s">
        <v>2213</v>
      </c>
      <c r="C778" s="3">
        <v>1</v>
      </c>
      <c r="D778" s="3" t="str">
        <f>VLOOKUP(B778,'Element wise-detail Summary'!$A:$D,2,0)</f>
        <v>PV02</v>
      </c>
      <c r="E778" s="3" t="str">
        <f>IFERROR(VLOOKUP(B778,'Element wise-detail Summary'!$A:$D,3,0),0)</f>
        <v>Zone-7</v>
      </c>
      <c r="F778" s="143" t="str">
        <f>VLOOKUP(B778,'AFC Data details'!$B:$B,1,0)</f>
        <v>AZ7-PV02-T1C6-004</v>
      </c>
      <c r="H778" s="3">
        <f>_xlfn.XLOOKUP(B778,'AFC Data details'!B:B,'AFC Data details'!P:P)</f>
        <v>2.0649999999999999</v>
      </c>
    </row>
    <row r="779" spans="1:8" x14ac:dyDescent="0.25">
      <c r="A779" s="154">
        <v>46057</v>
      </c>
      <c r="B779" s="3" t="s">
        <v>2215</v>
      </c>
      <c r="C779" s="3">
        <v>1</v>
      </c>
      <c r="D779" s="3" t="str">
        <f>VLOOKUP(B779,'Element wise-detail Summary'!$A:$D,2,0)</f>
        <v>PV03</v>
      </c>
      <c r="E779" s="3" t="str">
        <f>IFERROR(VLOOKUP(B779,'Element wise-detail Summary'!$A:$D,3,0),0)</f>
        <v>Zone-7</v>
      </c>
      <c r="F779" s="143" t="str">
        <f>VLOOKUP(B779,'AFC Data details'!$B:$B,1,0)</f>
        <v>AZ7-PV03-T1C6-002</v>
      </c>
      <c r="H779" s="3">
        <f>_xlfn.XLOOKUP(B779,'AFC Data details'!B:B,'AFC Data details'!P:P)</f>
        <v>2.0649999999999999</v>
      </c>
    </row>
    <row r="780" spans="1:8" x14ac:dyDescent="0.25">
      <c r="A780" s="154">
        <v>46057</v>
      </c>
      <c r="B780" s="3" t="s">
        <v>2140</v>
      </c>
      <c r="C780" s="3">
        <v>1</v>
      </c>
      <c r="D780" s="3" t="str">
        <f>VLOOKUP(B780,'Element wise-detail Summary'!$A:$D,2,0)</f>
        <v>PV30</v>
      </c>
      <c r="E780" s="3" t="str">
        <f>IFERROR(VLOOKUP(B780,'Element wise-detail Summary'!$A:$D,3,0),0)</f>
        <v>Zone-6</v>
      </c>
      <c r="F780" s="143" t="str">
        <f>VLOOKUP(B780,'AFC Data details'!$B:$B,1,0)</f>
        <v>AZ6-PV30-T1C6-003</v>
      </c>
      <c r="H780" s="3">
        <f>_xlfn.XLOOKUP(B780,'AFC Data details'!B:B,'AFC Data details'!P:P)</f>
        <v>2.0840000000000001</v>
      </c>
    </row>
    <row r="781" spans="1:8" x14ac:dyDescent="0.25">
      <c r="A781" s="154">
        <v>46057</v>
      </c>
      <c r="B781" s="3" t="s">
        <v>2143</v>
      </c>
      <c r="C781" s="3">
        <v>1</v>
      </c>
      <c r="D781" s="3" t="str">
        <f>VLOOKUP(B781,'Element wise-detail Summary'!$A:$D,2,0)</f>
        <v>PV31</v>
      </c>
      <c r="E781" s="3" t="str">
        <f>IFERROR(VLOOKUP(B781,'Element wise-detail Summary'!$A:$D,3,0),0)</f>
        <v>Zone-6</v>
      </c>
      <c r="F781" s="143" t="str">
        <f>VLOOKUP(B781,'AFC Data details'!$B:$B,1,0)</f>
        <v>AZ6-PV31-T1C6-002</v>
      </c>
      <c r="H781" s="3">
        <f>_xlfn.XLOOKUP(B781,'AFC Data details'!B:B,'AFC Data details'!P:P)</f>
        <v>2.0840000000000001</v>
      </c>
    </row>
    <row r="782" spans="1:8" x14ac:dyDescent="0.25">
      <c r="A782" s="154">
        <v>46058</v>
      </c>
      <c r="B782" s="3" t="s">
        <v>2228</v>
      </c>
      <c r="C782" s="3">
        <v>1</v>
      </c>
      <c r="D782" s="3" t="str">
        <f>VLOOKUP(B782,'Element wise-detail Summary'!$A:$D,2,0)</f>
        <v>PV04</v>
      </c>
      <c r="E782" s="3" t="str">
        <f>IFERROR(VLOOKUP(B782,'Element wise-detail Summary'!$A:$D,3,0),0)</f>
        <v>Zone-7</v>
      </c>
      <c r="F782" s="143" t="str">
        <f>VLOOKUP(B782,'AFC Data details'!$B:$B,1,0)</f>
        <v>AZ7-PV04-T1C6-002</v>
      </c>
      <c r="H782" s="3">
        <f>_xlfn.XLOOKUP(B782,'AFC Data details'!B:B,'AFC Data details'!P:P)</f>
        <v>2.0840000000000001</v>
      </c>
    </row>
    <row r="783" spans="1:8" x14ac:dyDescent="0.25">
      <c r="A783" s="154">
        <v>46058</v>
      </c>
      <c r="B783" s="3" t="s">
        <v>2245</v>
      </c>
      <c r="C783" s="3">
        <v>1</v>
      </c>
      <c r="D783" s="3" t="str">
        <f>VLOOKUP(B783,'Element wise-detail Summary'!$A:$D,2,0)</f>
        <v>PV06</v>
      </c>
      <c r="E783" s="3" t="str">
        <f>IFERROR(VLOOKUP(B783,'Element wise-detail Summary'!$A:$D,3,0),0)</f>
        <v>Zone-7</v>
      </c>
      <c r="F783" s="143" t="str">
        <f>VLOOKUP(B783,'AFC Data details'!$B:$B,1,0)</f>
        <v>AZ7-PV06-T1C6-002</v>
      </c>
      <c r="H783" s="3">
        <f>_xlfn.XLOOKUP(B783,'AFC Data details'!B:B,'AFC Data details'!P:P)</f>
        <v>2.0840000000000001</v>
      </c>
    </row>
    <row r="784" spans="1:8" x14ac:dyDescent="0.25">
      <c r="A784" s="154">
        <v>46058</v>
      </c>
      <c r="B784" s="3" t="s">
        <v>2194</v>
      </c>
      <c r="C784" s="3">
        <v>1</v>
      </c>
      <c r="D784" s="3" t="str">
        <f>VLOOKUP(B784,'Element wise-detail Summary'!$A:$D,2,0)</f>
        <v>PV01</v>
      </c>
      <c r="E784" s="3" t="str">
        <f>IFERROR(VLOOKUP(B784,'Element wise-detail Summary'!$A:$D,3,0),0)</f>
        <v>Zone-7</v>
      </c>
      <c r="F784" s="143" t="str">
        <f>VLOOKUP(B784,'AFC Data details'!$B:$B,1,0)</f>
        <v>AZ7-PV01-T1C13-002</v>
      </c>
      <c r="H784" s="3">
        <f>_xlfn.XLOOKUP(B784,'AFC Data details'!B:B,'AFC Data details'!P:P)</f>
        <v>2.0830000000000002</v>
      </c>
    </row>
    <row r="785" spans="1:8" x14ac:dyDescent="0.25">
      <c r="A785" s="154">
        <v>46058</v>
      </c>
      <c r="B785" s="3" t="s">
        <v>2205</v>
      </c>
      <c r="C785" s="3">
        <v>1</v>
      </c>
      <c r="D785" s="3" t="str">
        <f>VLOOKUP(B785,'Element wise-detail Summary'!$A:$D,2,0)</f>
        <v>PV013</v>
      </c>
      <c r="E785" s="3" t="str">
        <f>IFERROR(VLOOKUP(B785,'Element wise-detail Summary'!$A:$D,3,0),0)</f>
        <v>Zone-7</v>
      </c>
      <c r="F785" s="143" t="str">
        <f>VLOOKUP(B785,'AFC Data details'!$B:$B,1,0)</f>
        <v>AZ7-PV013-T2C1-001</v>
      </c>
      <c r="H785" s="3">
        <f>_xlfn.XLOOKUP(B785,'AFC Data details'!B:B,'AFC Data details'!P:P)</f>
        <v>1.413</v>
      </c>
    </row>
    <row r="786" spans="1:8" x14ac:dyDescent="0.25">
      <c r="A786" s="154">
        <v>46058</v>
      </c>
      <c r="B786" s="3" t="s">
        <v>2300</v>
      </c>
      <c r="C786" s="3">
        <v>1</v>
      </c>
      <c r="D786" s="3" t="str">
        <f>VLOOKUP(B786,'Element wise-detail Summary'!$A:$D,2,0)</f>
        <v>PV12</v>
      </c>
      <c r="E786" s="3" t="str">
        <f>IFERROR(VLOOKUP(B786,'Element wise-detail Summary'!$A:$D,3,0),0)</f>
        <v>Zone-7</v>
      </c>
      <c r="F786" s="143" t="str">
        <f>VLOOKUP(B786,'AFC Data details'!$B:$B,1,0)</f>
        <v>AZ7-PV12-T1C6-002</v>
      </c>
      <c r="H786" s="3">
        <f>_xlfn.XLOOKUP(B786,'AFC Data details'!B:B,'AFC Data details'!P:P)</f>
        <v>2.09</v>
      </c>
    </row>
    <row r="787" spans="1:8" x14ac:dyDescent="0.25">
      <c r="A787" s="154">
        <v>46058</v>
      </c>
      <c r="B787" s="3" t="s">
        <v>2308</v>
      </c>
      <c r="C787" s="3">
        <v>1</v>
      </c>
      <c r="D787" s="3" t="str">
        <f>VLOOKUP(B787,'Element wise-detail Summary'!$A:$D,2,0)</f>
        <v>PV12</v>
      </c>
      <c r="E787" s="3" t="str">
        <f>IFERROR(VLOOKUP(B787,'Element wise-detail Summary'!$A:$D,3,0),0)</f>
        <v>Zone-7</v>
      </c>
      <c r="F787" s="143" t="str">
        <f>VLOOKUP(B787,'AFC Data details'!$B:$B,1,0)</f>
        <v>AZ7-PV12-T1C6-006</v>
      </c>
      <c r="H787" s="3">
        <f>_xlfn.XLOOKUP(B787,'AFC Data details'!B:B,'AFC Data details'!P:P)</f>
        <v>2.09</v>
      </c>
    </row>
    <row r="788" spans="1:8" x14ac:dyDescent="0.25">
      <c r="A788" s="154">
        <v>46058</v>
      </c>
      <c r="B788" s="3" t="s">
        <v>2216</v>
      </c>
      <c r="C788" s="3">
        <v>1</v>
      </c>
      <c r="D788" s="3" t="str">
        <f>VLOOKUP(B788,'Element wise-detail Summary'!$A:$D,2,0)</f>
        <v>PV03</v>
      </c>
      <c r="E788" s="3" t="str">
        <f>IFERROR(VLOOKUP(B788,'Element wise-detail Summary'!$A:$D,3,0),0)</f>
        <v>Zone-7</v>
      </c>
      <c r="F788" s="143" t="str">
        <f>VLOOKUP(B788,'AFC Data details'!$B:$B,1,0)</f>
        <v>AZ7-PV03-T1C6-003</v>
      </c>
      <c r="H788" s="3">
        <f>_xlfn.XLOOKUP(B788,'AFC Data details'!B:B,'AFC Data details'!P:P)</f>
        <v>2.0649999999999999</v>
      </c>
    </row>
    <row r="789" spans="1:8" x14ac:dyDescent="0.25">
      <c r="A789" s="154">
        <v>46058</v>
      </c>
      <c r="B789" s="3" t="s">
        <v>2141</v>
      </c>
      <c r="C789" s="3">
        <v>1</v>
      </c>
      <c r="D789" s="3" t="str">
        <f>VLOOKUP(B789,'Element wise-detail Summary'!$A:$D,2,0)</f>
        <v>PV30</v>
      </c>
      <c r="E789" s="3" t="str">
        <f>IFERROR(VLOOKUP(B789,'Element wise-detail Summary'!$A:$D,3,0),0)</f>
        <v>Zone-6</v>
      </c>
      <c r="F789" s="143" t="str">
        <f>VLOOKUP(B789,'AFC Data details'!$B:$B,1,0)</f>
        <v>AZ6-PV30-T1C6-004</v>
      </c>
      <c r="H789" s="3">
        <f>_xlfn.XLOOKUP(B789,'AFC Data details'!B:B,'AFC Data details'!P:P)</f>
        <v>2.0840000000000001</v>
      </c>
    </row>
    <row r="790" spans="1:8" x14ac:dyDescent="0.25">
      <c r="A790" s="154">
        <v>46058</v>
      </c>
      <c r="B790" s="3" t="s">
        <v>1939</v>
      </c>
      <c r="C790" s="3">
        <v>1</v>
      </c>
      <c r="D790" s="3" t="str">
        <f>VLOOKUP(B790,'Element wise-detail Summary'!$A:$D,2,0)</f>
        <v>PV36</v>
      </c>
      <c r="E790" s="3" t="str">
        <f>IFERROR(VLOOKUP(B790,'Element wise-detail Summary'!$A:$D,3,0),0)</f>
        <v>Zone-6</v>
      </c>
      <c r="F790" s="143" t="str">
        <f>VLOOKUP(B790,'AFC Data details'!$B:$B,1,0)</f>
        <v>AZ6-PV36-T1C14-005</v>
      </c>
      <c r="H790" s="3">
        <f>_xlfn.XLOOKUP(B790,'AFC Data details'!B:B,'AFC Data details'!P:P)</f>
        <v>2.16</v>
      </c>
    </row>
    <row r="791" spans="1:8" x14ac:dyDescent="0.25">
      <c r="A791" s="154">
        <v>46058</v>
      </c>
      <c r="B791" s="3" t="s">
        <v>2144</v>
      </c>
      <c r="C791" s="3">
        <v>1</v>
      </c>
      <c r="D791" s="3" t="str">
        <f>VLOOKUP(B791,'Element wise-detail Summary'!$A:$D,2,0)</f>
        <v>PV31</v>
      </c>
      <c r="E791" s="3" t="str">
        <f>IFERROR(VLOOKUP(B791,'Element wise-detail Summary'!$A:$D,3,0),0)</f>
        <v>Zone-6</v>
      </c>
      <c r="F791" s="143" t="str">
        <f>VLOOKUP(B791,'AFC Data details'!$B:$B,1,0)</f>
        <v>AZ6-PV31-T1C6-003</v>
      </c>
      <c r="H791" s="3">
        <f>_xlfn.XLOOKUP(B791,'AFC Data details'!B:B,'AFC Data details'!P:P)</f>
        <v>2.0840000000000001</v>
      </c>
    </row>
    <row r="792" spans="1:8" x14ac:dyDescent="0.25">
      <c r="A792" s="154">
        <v>46058</v>
      </c>
      <c r="B792" s="3" t="s">
        <v>2243</v>
      </c>
      <c r="C792" s="3">
        <v>1</v>
      </c>
      <c r="D792" s="3" t="str">
        <f>VLOOKUP(B792,'Element wise-detail Summary'!$A:$D,2,0)</f>
        <v>PV06</v>
      </c>
      <c r="E792" s="3" t="str">
        <f>IFERROR(VLOOKUP(B792,'Element wise-detail Summary'!$A:$D,3,0),0)</f>
        <v>Zone-7</v>
      </c>
      <c r="F792" s="143" t="str">
        <f>VLOOKUP(B792,'AFC Data details'!$B:$B,1,0)</f>
        <v>AZ7-PV06-T1C6-001</v>
      </c>
      <c r="H792" s="3">
        <f>_xlfn.XLOOKUP(B792,'AFC Data details'!B:B,'AFC Data details'!P:P)</f>
        <v>2.0840000000000001</v>
      </c>
    </row>
    <row r="793" spans="1:8" x14ac:dyDescent="0.25">
      <c r="A793" s="154">
        <v>46059</v>
      </c>
      <c r="B793" s="3" t="s">
        <v>2231</v>
      </c>
      <c r="C793" s="3">
        <v>1</v>
      </c>
      <c r="D793" s="3" t="str">
        <f>VLOOKUP(B793,'Element wise-detail Summary'!$A:$D,2,0)</f>
        <v>PV04</v>
      </c>
      <c r="E793" s="3" t="str">
        <f>IFERROR(VLOOKUP(B793,'Element wise-detail Summary'!$A:$D,3,0),0)</f>
        <v>Zone-7</v>
      </c>
      <c r="F793" s="143" t="str">
        <f>VLOOKUP(B793,'AFC Data details'!$B:$B,1,0)</f>
        <v>AZ7-PV04-T1C6-005</v>
      </c>
      <c r="H793" s="3">
        <f>_xlfn.XLOOKUP(B793,'AFC Data details'!B:B,'AFC Data details'!P:P)</f>
        <v>2.0840000000000001</v>
      </c>
    </row>
    <row r="794" spans="1:8" x14ac:dyDescent="0.25">
      <c r="A794" s="154">
        <v>46059</v>
      </c>
      <c r="B794" s="3" t="s">
        <v>2246</v>
      </c>
      <c r="C794" s="3">
        <v>1</v>
      </c>
      <c r="D794" s="3" t="str">
        <f>VLOOKUP(B794,'Element wise-detail Summary'!$A:$D,2,0)</f>
        <v>PV06</v>
      </c>
      <c r="E794" s="3" t="str">
        <f>IFERROR(VLOOKUP(B794,'Element wise-detail Summary'!$A:$D,3,0),0)</f>
        <v>Zone-7</v>
      </c>
      <c r="F794" s="143" t="str">
        <f>VLOOKUP(B794,'AFC Data details'!$B:$B,1,0)</f>
        <v>AZ7-PV06-T1C6-003</v>
      </c>
      <c r="H794" s="3">
        <f>_xlfn.XLOOKUP(B794,'AFC Data details'!B:B,'AFC Data details'!P:P)</f>
        <v>2.0840000000000001</v>
      </c>
    </row>
    <row r="795" spans="1:8" x14ac:dyDescent="0.25">
      <c r="A795" s="154">
        <v>46059</v>
      </c>
      <c r="B795" s="3" t="s">
        <v>2195</v>
      </c>
      <c r="C795" s="3">
        <v>1</v>
      </c>
      <c r="D795" s="3" t="str">
        <f>VLOOKUP(B795,'Element wise-detail Summary'!$A:$D,2,0)</f>
        <v>PV01</v>
      </c>
      <c r="E795" s="3" t="str">
        <f>IFERROR(VLOOKUP(B795,'Element wise-detail Summary'!$A:$D,3,0),0)</f>
        <v>Zone-7</v>
      </c>
      <c r="F795" s="143" t="str">
        <f>VLOOKUP(B795,'AFC Data details'!$B:$B,1,0)</f>
        <v>AZ7-PV01-T1C14-001</v>
      </c>
      <c r="H795" s="3">
        <f>_xlfn.XLOOKUP(B795,'AFC Data details'!B:B,'AFC Data details'!P:P)</f>
        <v>2.2730000000000001</v>
      </c>
    </row>
    <row r="796" spans="1:8" x14ac:dyDescent="0.25">
      <c r="A796" s="154">
        <v>46059</v>
      </c>
      <c r="B796" s="3" t="s">
        <v>2206</v>
      </c>
      <c r="C796" s="3">
        <v>1</v>
      </c>
      <c r="D796" s="3" t="str">
        <f>VLOOKUP(B796,'Element wise-detail Summary'!$A:$D,2,0)</f>
        <v>PV015</v>
      </c>
      <c r="E796" s="3" t="str">
        <f>IFERROR(VLOOKUP(B796,'Element wise-detail Summary'!$A:$D,3,0),0)</f>
        <v>Zone-7</v>
      </c>
      <c r="F796" s="143" t="str">
        <f>VLOOKUP(B796,'AFC Data details'!$B:$B,1,0)</f>
        <v>AZ7-PV015-T2C1-001</v>
      </c>
      <c r="H796" s="3">
        <f>_xlfn.XLOOKUP(B796,'AFC Data details'!B:B,'AFC Data details'!P:P)</f>
        <v>1.413</v>
      </c>
    </row>
    <row r="797" spans="1:8" x14ac:dyDescent="0.25">
      <c r="A797" s="154">
        <v>46059</v>
      </c>
      <c r="B797" s="3" t="s">
        <v>2337</v>
      </c>
      <c r="C797" s="3">
        <v>1</v>
      </c>
      <c r="D797" s="3" t="str">
        <f>VLOOKUP(B797,'Element wise-detail Summary'!$A:$D,2,0)</f>
        <v>PV16</v>
      </c>
      <c r="E797" s="3" t="str">
        <f>IFERROR(VLOOKUP(B797,'Element wise-detail Summary'!$A:$D,3,0),0)</f>
        <v>Zone-7</v>
      </c>
      <c r="F797" s="143" t="str">
        <f>VLOOKUP(B797,'AFC Data details'!$B:$B,1,0)</f>
        <v>AZ7-PV16-T1C13-006</v>
      </c>
      <c r="H797" s="3">
        <f>_xlfn.XLOOKUP(B797,'AFC Data details'!B:B,'AFC Data details'!P:P)</f>
        <v>1.9390000000000001</v>
      </c>
    </row>
    <row r="798" spans="1:8" x14ac:dyDescent="0.25">
      <c r="A798" s="154">
        <v>46059</v>
      </c>
      <c r="B798" s="3" t="s">
        <v>2211</v>
      </c>
      <c r="C798" s="3">
        <v>1</v>
      </c>
      <c r="D798" s="3" t="str">
        <f>VLOOKUP(B798,'Element wise-detail Summary'!$A:$D,2,0)</f>
        <v>PV02</v>
      </c>
      <c r="E798" s="3" t="str">
        <f>IFERROR(VLOOKUP(B798,'Element wise-detail Summary'!$A:$D,3,0),0)</f>
        <v>Zone-7</v>
      </c>
      <c r="F798" s="143" t="str">
        <f>VLOOKUP(B798,'AFC Data details'!$B:$B,1,0)</f>
        <v>AZ7-PV02-T1C6-002</v>
      </c>
      <c r="H798" s="3">
        <f>_xlfn.XLOOKUP(B798,'AFC Data details'!B:B,'AFC Data details'!P:P)</f>
        <v>2.0649999999999999</v>
      </c>
    </row>
    <row r="799" spans="1:8" x14ac:dyDescent="0.25">
      <c r="A799" s="154">
        <v>46059</v>
      </c>
      <c r="B799" s="3" t="s">
        <v>2301</v>
      </c>
      <c r="C799" s="3">
        <v>1</v>
      </c>
      <c r="D799" s="3" t="str">
        <f>VLOOKUP(B799,'Element wise-detail Summary'!$A:$D,2,0)</f>
        <v>PV12</v>
      </c>
      <c r="E799" s="3" t="str">
        <f>IFERROR(VLOOKUP(B799,'Element wise-detail Summary'!$A:$D,3,0),0)</f>
        <v>Zone-7</v>
      </c>
      <c r="F799" s="143" t="str">
        <f>VLOOKUP(B799,'AFC Data details'!$B:$B,1,0)</f>
        <v>AZ7-PV12-T1C6-003</v>
      </c>
      <c r="H799" s="3">
        <f>_xlfn.XLOOKUP(B799,'AFC Data details'!B:B,'AFC Data details'!P:P)</f>
        <v>2.09</v>
      </c>
    </row>
    <row r="800" spans="1:8" x14ac:dyDescent="0.25">
      <c r="A800" s="154">
        <v>46059</v>
      </c>
      <c r="B800" s="3" t="s">
        <v>2309</v>
      </c>
      <c r="C800" s="3">
        <v>1</v>
      </c>
      <c r="D800" s="3" t="str">
        <f>VLOOKUP(B800,'Element wise-detail Summary'!$A:$D,2,0)</f>
        <v>PV13</v>
      </c>
      <c r="E800" s="3" t="str">
        <f>IFERROR(VLOOKUP(B800,'Element wise-detail Summary'!$A:$D,3,0),0)</f>
        <v>Zone-7</v>
      </c>
      <c r="F800" s="143" t="str">
        <f>VLOOKUP(B800,'AFC Data details'!$B:$B,1,0)</f>
        <v>AZ7-PV13-T1C6-001</v>
      </c>
      <c r="H800" s="3">
        <f>_xlfn.XLOOKUP(B800,'AFC Data details'!B:B,'AFC Data details'!P:P)</f>
        <v>2.09</v>
      </c>
    </row>
    <row r="801" spans="1:8" x14ac:dyDescent="0.25">
      <c r="A801" s="154">
        <v>46059</v>
      </c>
      <c r="B801" s="3" t="s">
        <v>2217</v>
      </c>
      <c r="C801" s="3">
        <v>1</v>
      </c>
      <c r="D801" s="3" t="str">
        <f>VLOOKUP(B801,'Element wise-detail Summary'!$A:$D,2,0)</f>
        <v>PV03</v>
      </c>
      <c r="E801" s="3" t="str">
        <f>IFERROR(VLOOKUP(B801,'Element wise-detail Summary'!$A:$D,3,0),0)</f>
        <v>Zone-7</v>
      </c>
      <c r="F801" s="143" t="str">
        <f>VLOOKUP(B801,'AFC Data details'!$B:$B,1,0)</f>
        <v>AZ7-PV03-T1C6-004</v>
      </c>
      <c r="H801" s="3">
        <f>_xlfn.XLOOKUP(B801,'AFC Data details'!B:B,'AFC Data details'!P:P)</f>
        <v>2.0649999999999999</v>
      </c>
    </row>
    <row r="802" spans="1:8" x14ac:dyDescent="0.25">
      <c r="A802" s="154">
        <v>46059</v>
      </c>
      <c r="B802" s="3" t="s">
        <v>2260</v>
      </c>
      <c r="C802" s="3">
        <v>1</v>
      </c>
      <c r="D802" s="3" t="str">
        <f>VLOOKUP(B802,'Element wise-detail Summary'!$A:$D,2,0)</f>
        <v>PV08</v>
      </c>
      <c r="E802" s="3" t="str">
        <f>IFERROR(VLOOKUP(B802,'Element wise-detail Summary'!$A:$D,3,0),0)</f>
        <v>Zone-7</v>
      </c>
      <c r="F802" s="143" t="str">
        <f>VLOOKUP(B802,'AFC Data details'!$B:$B,1,0)</f>
        <v>AZ7-PV08-T1C6-001</v>
      </c>
      <c r="H802" s="3">
        <f>_xlfn.XLOOKUP(B802,'AFC Data details'!B:B,'AFC Data details'!P:P)</f>
        <v>2.09</v>
      </c>
    </row>
    <row r="803" spans="1:8" x14ac:dyDescent="0.25">
      <c r="A803" s="154">
        <v>46059</v>
      </c>
      <c r="B803" s="3" t="s">
        <v>2266</v>
      </c>
      <c r="C803" s="3">
        <v>1</v>
      </c>
      <c r="D803" s="3" t="str">
        <f>VLOOKUP(B803,'Element wise-detail Summary'!$A:$D,2,0)</f>
        <v>PV09</v>
      </c>
      <c r="E803" s="3" t="str">
        <f>IFERROR(VLOOKUP(B803,'Element wise-detail Summary'!$A:$D,3,0),0)</f>
        <v>Zone-7</v>
      </c>
      <c r="F803" s="143" t="str">
        <f>VLOOKUP(B803,'AFC Data details'!$B:$B,1,0)</f>
        <v>AZ7-PV09-T1C6-002</v>
      </c>
      <c r="H803" s="3">
        <f>_xlfn.XLOOKUP(B803,'AFC Data details'!B:B,'AFC Data details'!P:P)</f>
        <v>2.09</v>
      </c>
    </row>
    <row r="804" spans="1:8" x14ac:dyDescent="0.25">
      <c r="A804" s="154">
        <v>46059</v>
      </c>
      <c r="B804" s="3" t="s">
        <v>2437</v>
      </c>
      <c r="C804" s="3">
        <v>1</v>
      </c>
      <c r="D804" s="3" t="str">
        <f>VLOOKUP(B804,'Element wise-detail Summary'!$A:$D,2,0)</f>
        <v>V01</v>
      </c>
      <c r="E804" s="3" t="str">
        <f>IFERROR(VLOOKUP(B804,'Element wise-detail Summary'!$A:$D,3,0),0)</f>
        <v>Zone-4</v>
      </c>
      <c r="F804" s="143" t="str">
        <f>VLOOKUP(B804,'AFC Data details'!$B:$B,1,0)</f>
        <v>AZ4-V01-T1C19-001</v>
      </c>
      <c r="H804" s="3">
        <f>_xlfn.XLOOKUP(B804,'AFC Data details'!B:B,'AFC Data details'!P:P)</f>
        <v>4.2320000000000002</v>
      </c>
    </row>
    <row r="805" spans="1:8" x14ac:dyDescent="0.25">
      <c r="A805" s="154">
        <v>46059</v>
      </c>
      <c r="B805" s="3" t="s">
        <v>2244</v>
      </c>
      <c r="C805" s="3">
        <v>1</v>
      </c>
      <c r="D805" s="3" t="str">
        <f>VLOOKUP(B805,'Element wise-detail Summary'!$A:$D,2,0)</f>
        <v>PV07</v>
      </c>
      <c r="E805" s="3" t="str">
        <f>IFERROR(VLOOKUP(B805,'Element wise-detail Summary'!$A:$D,3,0),0)</f>
        <v>Zone-7</v>
      </c>
      <c r="F805" s="143" t="str">
        <f>VLOOKUP(B805,'AFC Data details'!$B:$B,1,0)</f>
        <v>AZ7-PV07-T1C6-006</v>
      </c>
      <c r="H805" s="3">
        <f>_xlfn.XLOOKUP(B805,'AFC Data details'!B:B,'AFC Data details'!P:P)</f>
        <v>2.0840000000000001</v>
      </c>
    </row>
    <row r="806" spans="1:8" x14ac:dyDescent="0.25">
      <c r="A806" s="154">
        <v>46060</v>
      </c>
      <c r="B806" s="3" t="s">
        <v>2232</v>
      </c>
      <c r="C806" s="3">
        <v>1</v>
      </c>
      <c r="D806" s="3" t="str">
        <f>VLOOKUP(B806,'Element wise-detail Summary'!$A:$D,2,0)</f>
        <v>PV05</v>
      </c>
      <c r="E806" s="3" t="str">
        <f>IFERROR(VLOOKUP(B806,'Element wise-detail Summary'!$A:$D,3,0),0)</f>
        <v>Zone-7</v>
      </c>
      <c r="F806" s="143" t="str">
        <f>VLOOKUP(B806,'AFC Data details'!$B:$B,1,0)</f>
        <v>AZ7-PV05-T1C6-002</v>
      </c>
      <c r="H806" s="3">
        <f>_xlfn.XLOOKUP(B806,'AFC Data details'!B:B,'AFC Data details'!P:P)</f>
        <v>2.0840000000000001</v>
      </c>
    </row>
    <row r="807" spans="1:8" x14ac:dyDescent="0.25">
      <c r="A807" s="154">
        <v>46060</v>
      </c>
      <c r="B807" s="3" t="s">
        <v>2247</v>
      </c>
      <c r="C807" s="3">
        <v>1</v>
      </c>
      <c r="D807" s="3" t="str">
        <f>VLOOKUP(B807,'Element wise-detail Summary'!$A:$D,2,0)</f>
        <v>PV06</v>
      </c>
      <c r="E807" s="3" t="str">
        <f>IFERROR(VLOOKUP(B807,'Element wise-detail Summary'!$A:$D,3,0),0)</f>
        <v>Zone-7</v>
      </c>
      <c r="F807" s="143" t="str">
        <f>VLOOKUP(B807,'AFC Data details'!$B:$B,1,0)</f>
        <v>AZ7-PV06-T1C6-004</v>
      </c>
      <c r="H807" s="3">
        <f>_xlfn.XLOOKUP(B807,'AFC Data details'!B:B,'AFC Data details'!P:P)</f>
        <v>2.0840000000000001</v>
      </c>
    </row>
    <row r="808" spans="1:8" x14ac:dyDescent="0.25">
      <c r="A808" s="154">
        <v>46060</v>
      </c>
      <c r="B808" s="3" t="s">
        <v>2196</v>
      </c>
      <c r="C808" s="3">
        <v>1</v>
      </c>
      <c r="D808" s="3" t="str">
        <f>VLOOKUP(B808,'Element wise-detail Summary'!$A:$D,2,0)</f>
        <v>PV01</v>
      </c>
      <c r="E808" s="3" t="str">
        <f>IFERROR(VLOOKUP(B808,'Element wise-detail Summary'!$A:$D,3,0),0)</f>
        <v>Zone-7</v>
      </c>
      <c r="F808" s="143" t="str">
        <f>VLOOKUP(B808,'AFC Data details'!$B:$B,1,0)</f>
        <v>AZ7-PV01-T1C14-002</v>
      </c>
      <c r="H808" s="3">
        <f>_xlfn.XLOOKUP(B808,'AFC Data details'!B:B,'AFC Data details'!P:P)</f>
        <v>2.2730000000000001</v>
      </c>
    </row>
    <row r="809" spans="1:8" x14ac:dyDescent="0.25">
      <c r="A809" s="154">
        <v>46060</v>
      </c>
      <c r="B809" s="3" t="s">
        <v>2347</v>
      </c>
      <c r="C809" s="3">
        <v>1</v>
      </c>
      <c r="D809" s="3" t="str">
        <f>VLOOKUP(B809,'Element wise-detail Summary'!$A:$D,2,0)</f>
        <v>PV37</v>
      </c>
      <c r="E809" s="3" t="str">
        <f>IFERROR(VLOOKUP(B809,'Element wise-detail Summary'!$A:$D,3,0),0)</f>
        <v>Zone-8</v>
      </c>
      <c r="F809" s="143" t="str">
        <f>VLOOKUP(B809,'AFC Data details'!$B:$B,1,0)</f>
        <v>AZ8-PV37-T2C1-001</v>
      </c>
      <c r="H809" s="3">
        <f>_xlfn.XLOOKUP(B809,'AFC Data details'!B:B,'AFC Data details'!P:P)</f>
        <v>1.413</v>
      </c>
    </row>
    <row r="810" spans="1:8" x14ac:dyDescent="0.25">
      <c r="A810" s="154">
        <v>46060</v>
      </c>
      <c r="B810" s="3" t="s">
        <v>2333</v>
      </c>
      <c r="C810" s="3">
        <v>1</v>
      </c>
      <c r="D810" s="3" t="str">
        <f>VLOOKUP(B810,'Element wise-detail Summary'!$A:$D,2,0)</f>
        <v>PV16</v>
      </c>
      <c r="E810" s="3" t="str">
        <f>IFERROR(VLOOKUP(B810,'Element wise-detail Summary'!$A:$D,3,0),0)</f>
        <v>Zone-7</v>
      </c>
      <c r="F810" s="143" t="str">
        <f>VLOOKUP(B810,'AFC Data details'!$B:$B,1,0)</f>
        <v>AZ7-PV16-T1C13-002</v>
      </c>
      <c r="H810" s="3">
        <f>_xlfn.XLOOKUP(B810,'AFC Data details'!B:B,'AFC Data details'!P:P)</f>
        <v>2.008</v>
      </c>
    </row>
    <row r="811" spans="1:8" x14ac:dyDescent="0.25">
      <c r="A811" s="154">
        <v>46060</v>
      </c>
      <c r="B811" s="3" t="s">
        <v>1669</v>
      </c>
      <c r="C811" s="3">
        <v>1</v>
      </c>
      <c r="D811" s="3" t="str">
        <f>VLOOKUP(B811,'Element wise-detail Summary'!$A:$D,2,0)</f>
        <v>V62</v>
      </c>
      <c r="E811" s="3" t="str">
        <f>IFERROR(VLOOKUP(B811,'Element wise-detail Summary'!$A:$D,3,0),0)</f>
        <v>Zone-5</v>
      </c>
      <c r="F811" s="143" t="str">
        <f>VLOOKUP(B811,'AFC Data details'!$B:$B,1,0)</f>
        <v>AZ5-V62-T3C5-001</v>
      </c>
      <c r="H811" s="3">
        <f>_xlfn.XLOOKUP(B811,'AFC Data details'!B:B,'AFC Data details'!P:P)</f>
        <v>1.3069999999999999</v>
      </c>
    </row>
    <row r="812" spans="1:8" x14ac:dyDescent="0.25">
      <c r="A812" s="154">
        <v>46060</v>
      </c>
      <c r="B812" s="3" t="s">
        <v>1671</v>
      </c>
      <c r="C812" s="3">
        <v>1</v>
      </c>
      <c r="D812" s="3" t="str">
        <f>VLOOKUP(B812,'Element wise-detail Summary'!$A:$D,2,0)</f>
        <v>V63</v>
      </c>
      <c r="E812" s="3" t="str">
        <f>IFERROR(VLOOKUP(B812,'Element wise-detail Summary'!$A:$D,3,0),0)</f>
        <v>Zone-5</v>
      </c>
      <c r="F812" s="143" t="str">
        <f>VLOOKUP(B812,'AFC Data details'!$B:$B,1,0)</f>
        <v>AZ5-V63-T3C5-001</v>
      </c>
      <c r="H812" s="3">
        <f>_xlfn.XLOOKUP(B812,'AFC Data details'!B:B,'AFC Data details'!P:P)</f>
        <v>1.52</v>
      </c>
    </row>
    <row r="813" spans="1:8" x14ac:dyDescent="0.25">
      <c r="A813" s="154">
        <v>46060</v>
      </c>
      <c r="B813" s="3" t="s">
        <v>2212</v>
      </c>
      <c r="C813" s="3">
        <v>1</v>
      </c>
      <c r="D813" s="3" t="str">
        <f>VLOOKUP(B813,'Element wise-detail Summary'!$A:$D,2,0)</f>
        <v>PV02</v>
      </c>
      <c r="E813" s="3" t="str">
        <f>IFERROR(VLOOKUP(B813,'Element wise-detail Summary'!$A:$D,3,0),0)</f>
        <v>Zone-7</v>
      </c>
      <c r="F813" s="143" t="str">
        <f>VLOOKUP(B813,'AFC Data details'!$B:$B,1,0)</f>
        <v>AZ7-PV02-T1C6-003</v>
      </c>
      <c r="H813" s="3">
        <f>_xlfn.XLOOKUP(B813,'AFC Data details'!B:B,'AFC Data details'!P:P)</f>
        <v>2.0649999999999999</v>
      </c>
    </row>
    <row r="814" spans="1:8" x14ac:dyDescent="0.25">
      <c r="A814" s="154">
        <v>46060</v>
      </c>
      <c r="B814" s="3" t="s">
        <v>2302</v>
      </c>
      <c r="C814" s="3">
        <v>1</v>
      </c>
      <c r="D814" s="3" t="str">
        <f>VLOOKUP(B814,'Element wise-detail Summary'!$A:$D,2,0)</f>
        <v>PV12</v>
      </c>
      <c r="E814" s="3" t="str">
        <f>IFERROR(VLOOKUP(B814,'Element wise-detail Summary'!$A:$D,3,0),0)</f>
        <v>Zone-7</v>
      </c>
      <c r="F814" s="143" t="str">
        <f>VLOOKUP(B814,'AFC Data details'!$B:$B,1,0)</f>
        <v>AZ7-PV12-T1C6-004</v>
      </c>
      <c r="H814" s="3">
        <f>_xlfn.XLOOKUP(B814,'AFC Data details'!B:B,'AFC Data details'!P:P)</f>
        <v>2.09</v>
      </c>
    </row>
    <row r="815" spans="1:8" x14ac:dyDescent="0.25">
      <c r="A815" s="154">
        <v>46060</v>
      </c>
      <c r="B815" s="3" t="s">
        <v>2315</v>
      </c>
      <c r="C815" s="3">
        <v>1</v>
      </c>
      <c r="D815" s="3" t="str">
        <f>VLOOKUP(B815,'Element wise-detail Summary'!$A:$D,2,0)</f>
        <v>PV14</v>
      </c>
      <c r="E815" s="3" t="str">
        <f>IFERROR(VLOOKUP(B815,'Element wise-detail Summary'!$A:$D,3,0),0)</f>
        <v>Zone-7</v>
      </c>
      <c r="F815" s="143" t="str">
        <f>VLOOKUP(B815,'AFC Data details'!$B:$B,1,0)</f>
        <v>AZ7-PV14-T1C6-001</v>
      </c>
      <c r="H815" s="3">
        <f>_xlfn.XLOOKUP(B815,'AFC Data details'!B:B,'AFC Data details'!P:P)</f>
        <v>2.0840000000000001</v>
      </c>
    </row>
    <row r="816" spans="1:8" x14ac:dyDescent="0.25">
      <c r="A816" s="154">
        <v>46060</v>
      </c>
      <c r="B816" s="3" t="s">
        <v>2218</v>
      </c>
      <c r="C816" s="3">
        <v>1</v>
      </c>
      <c r="D816" s="3" t="str">
        <f>VLOOKUP(B816,'Element wise-detail Summary'!$A:$D,2,0)</f>
        <v>PV03</v>
      </c>
      <c r="E816" s="3" t="str">
        <f>IFERROR(VLOOKUP(B816,'Element wise-detail Summary'!$A:$D,3,0),0)</f>
        <v>Zone-7</v>
      </c>
      <c r="F816" s="143" t="str">
        <f>VLOOKUP(B816,'AFC Data details'!$B:$B,1,0)</f>
        <v>AZ7-PV03-T1C6-005</v>
      </c>
      <c r="H816" s="3">
        <f>_xlfn.XLOOKUP(B816,'AFC Data details'!B:B,'AFC Data details'!P:P)</f>
        <v>2.0649999999999999</v>
      </c>
    </row>
    <row r="817" spans="1:8" x14ac:dyDescent="0.25">
      <c r="A817" s="154">
        <v>46060</v>
      </c>
      <c r="B817" s="3" t="s">
        <v>2261</v>
      </c>
      <c r="C817" s="3">
        <v>1</v>
      </c>
      <c r="D817" s="3" t="str">
        <f>VLOOKUP(B817,'Element wise-detail Summary'!$A:$D,2,0)</f>
        <v>PV09</v>
      </c>
      <c r="E817" s="3" t="str">
        <f>IFERROR(VLOOKUP(B817,'Element wise-detail Summary'!$A:$D,3,0),0)</f>
        <v>Zone-7</v>
      </c>
      <c r="F817" s="143" t="str">
        <f>VLOOKUP(B817,'AFC Data details'!$B:$B,1,0)</f>
        <v>AZ7-PV09-T1C6-006</v>
      </c>
      <c r="H817" s="3">
        <f>_xlfn.XLOOKUP(B817,'AFC Data details'!B:B,'AFC Data details'!P:P)</f>
        <v>2.09</v>
      </c>
    </row>
    <row r="818" spans="1:8" x14ac:dyDescent="0.25">
      <c r="A818" s="154">
        <v>46060</v>
      </c>
      <c r="B818" s="3" t="s">
        <v>2267</v>
      </c>
      <c r="C818" s="3">
        <v>1</v>
      </c>
      <c r="D818" s="3" t="str">
        <f>VLOOKUP(B818,'Element wise-detail Summary'!$A:$D,2,0)</f>
        <v>PV09</v>
      </c>
      <c r="E818" s="3" t="str">
        <f>IFERROR(VLOOKUP(B818,'Element wise-detail Summary'!$A:$D,3,0),0)</f>
        <v>Zone-7</v>
      </c>
      <c r="F818" s="143" t="str">
        <f>VLOOKUP(B818,'AFC Data details'!$B:$B,1,0)</f>
        <v>AZ7-PV09-T1C6-003</v>
      </c>
      <c r="H818" s="3">
        <f>_xlfn.XLOOKUP(B818,'AFC Data details'!B:B,'AFC Data details'!P:P)</f>
        <v>2.09</v>
      </c>
    </row>
    <row r="819" spans="1:8" x14ac:dyDescent="0.25">
      <c r="A819" s="154">
        <v>46060</v>
      </c>
      <c r="B819" s="3" t="s">
        <v>1942</v>
      </c>
      <c r="C819" s="3">
        <v>1</v>
      </c>
      <c r="D819" s="3" t="str">
        <f>VLOOKUP(B819,'Element wise-detail Summary'!$A:$D,2,0)</f>
        <v>PV36</v>
      </c>
      <c r="E819" s="3" t="str">
        <f>IFERROR(VLOOKUP(B819,'Element wise-detail Summary'!$A:$D,3,0),0)</f>
        <v>Zone-6</v>
      </c>
      <c r="F819" s="143" t="str">
        <f>VLOOKUP(B819,'AFC Data details'!$B:$B,1,0)</f>
        <v>AZ6-PV36-T3C2-002</v>
      </c>
      <c r="H819" s="3">
        <f>_xlfn.XLOOKUP(B819,'AFC Data details'!B:B,'AFC Data details'!P:P)</f>
        <v>1.232</v>
      </c>
    </row>
    <row r="820" spans="1:8" x14ac:dyDescent="0.25">
      <c r="A820" s="154">
        <v>46060</v>
      </c>
      <c r="B820" s="3" t="s">
        <v>2442</v>
      </c>
      <c r="C820" s="3">
        <v>1</v>
      </c>
      <c r="D820" s="3" t="str">
        <f>VLOOKUP(B820,'Element wise-detail Summary'!$A:$D,2,0)</f>
        <v>V01</v>
      </c>
      <c r="E820" s="3" t="str">
        <f>IFERROR(VLOOKUP(B820,'Element wise-detail Summary'!$A:$D,3,0),0)</f>
        <v>Zone-4</v>
      </c>
      <c r="F820" s="143" t="str">
        <f>VLOOKUP(B820,'AFC Data details'!$B:$B,1,0)</f>
        <v>AZ4-V01-T1C19-002</v>
      </c>
      <c r="H820" s="3">
        <f>_xlfn.XLOOKUP(B820,'AFC Data details'!B:B,'AFC Data details'!P:P)</f>
        <v>4.2859999999999996</v>
      </c>
    </row>
    <row r="821" spans="1:8" x14ac:dyDescent="0.25">
      <c r="A821" s="154">
        <v>46060</v>
      </c>
      <c r="B821" s="3" t="s">
        <v>2322</v>
      </c>
      <c r="C821" s="3">
        <v>1</v>
      </c>
      <c r="D821" s="3" t="str">
        <f>VLOOKUP(B821,'Element wise-detail Summary'!$A:$D,2,0)</f>
        <v>PV15</v>
      </c>
      <c r="E821" s="3" t="str">
        <f>IFERROR(VLOOKUP(B821,'Element wise-detail Summary'!$A:$D,3,0),0)</f>
        <v>Zone-7</v>
      </c>
      <c r="F821" s="143" t="str">
        <f>VLOOKUP(B821,'AFC Data details'!$B:$B,1,0)</f>
        <v>AZ7-PV15-T1C6-003</v>
      </c>
      <c r="H821" s="3">
        <f>_xlfn.XLOOKUP(B821,'AFC Data details'!B:B,'AFC Data details'!P:P)</f>
        <v>2.0840000000000001</v>
      </c>
    </row>
    <row r="822" spans="1:8" x14ac:dyDescent="0.25">
      <c r="A822" s="154">
        <v>46062</v>
      </c>
      <c r="B822" s="3" t="s">
        <v>2323</v>
      </c>
      <c r="C822" s="3">
        <v>1</v>
      </c>
      <c r="D822" s="3" t="str">
        <f>VLOOKUP(B822,'Element wise-detail Summary'!$A:$D,2,0)</f>
        <v>PV15</v>
      </c>
      <c r="E822" s="3" t="str">
        <f>IFERROR(VLOOKUP(B822,'Element wise-detail Summary'!$A:$D,3,0),0)</f>
        <v>Zone-7</v>
      </c>
      <c r="F822" s="143" t="str">
        <f>VLOOKUP(B822,'AFC Data details'!$B:$B,1,0)</f>
        <v>AZ7-PV15-T1C6-004</v>
      </c>
      <c r="H822" s="3">
        <f>_xlfn.XLOOKUP(B822,'AFC Data details'!B:B,'AFC Data details'!P:P)</f>
        <v>2.0840000000000001</v>
      </c>
    </row>
    <row r="823" spans="1:8" x14ac:dyDescent="0.25">
      <c r="A823" s="154">
        <v>46062</v>
      </c>
      <c r="B823" s="3" t="s">
        <v>2275</v>
      </c>
      <c r="C823" s="3">
        <v>1</v>
      </c>
      <c r="D823" s="3" t="str">
        <f>VLOOKUP(B823,'Element wise-detail Summary'!$A:$D,2,0)</f>
        <v>PV09</v>
      </c>
      <c r="E823" s="3" t="str">
        <f>IFERROR(VLOOKUP(B823,'Element wise-detail Summary'!$A:$D,3,0),0)</f>
        <v>Zone-7</v>
      </c>
      <c r="F823" s="143" t="str">
        <f>VLOOKUP(B823,'AFC Data details'!$B:$B,1,0)</f>
        <v>AZ7-PV09-T3C1-001</v>
      </c>
      <c r="H823" s="3">
        <f>_xlfn.XLOOKUP(B823,'AFC Data details'!B:B,'AFC Data details'!P:P)</f>
        <v>1.03</v>
      </c>
    </row>
    <row r="824" spans="1:8" x14ac:dyDescent="0.25">
      <c r="A824" s="154">
        <v>46062</v>
      </c>
      <c r="B824" s="3" t="s">
        <v>2303</v>
      </c>
      <c r="C824" s="3">
        <v>1</v>
      </c>
      <c r="D824" s="3" t="str">
        <f>VLOOKUP(B824,'Element wise-detail Summary'!$A:$D,2,0)</f>
        <v>PV12</v>
      </c>
      <c r="E824" s="3" t="str">
        <f>IFERROR(VLOOKUP(B824,'Element wise-detail Summary'!$A:$D,3,0),0)</f>
        <v>Zone-7</v>
      </c>
      <c r="F824" s="143" t="str">
        <f>VLOOKUP(B824,'AFC Data details'!$B:$B,1,0)</f>
        <v>AZ7-PV12-T1C6-005</v>
      </c>
      <c r="H824" s="3">
        <f>_xlfn.XLOOKUP(B824,'AFC Data details'!B:B,'AFC Data details'!P:P)</f>
        <v>2.09</v>
      </c>
    </row>
    <row r="825" spans="1:8" x14ac:dyDescent="0.25">
      <c r="A825" s="154">
        <v>46062</v>
      </c>
      <c r="B825" s="3" t="s">
        <v>2316</v>
      </c>
      <c r="C825" s="3">
        <v>1</v>
      </c>
      <c r="D825" s="3" t="str">
        <f>VLOOKUP(B825,'Element wise-detail Summary'!$A:$D,2,0)</f>
        <v>PV15</v>
      </c>
      <c r="E825" s="3" t="str">
        <f>IFERROR(VLOOKUP(B825,'Element wise-detail Summary'!$A:$D,3,0),0)</f>
        <v>Zone-7</v>
      </c>
      <c r="F825" s="143" t="str">
        <f>VLOOKUP(B825,'AFC Data details'!$B:$B,1,0)</f>
        <v>AZ7-PV15-T1C6-006</v>
      </c>
      <c r="H825" s="3">
        <f>_xlfn.XLOOKUP(B825,'AFC Data details'!B:B,'AFC Data details'!P:P)</f>
        <v>2.0840000000000001</v>
      </c>
    </row>
    <row r="826" spans="1:8" x14ac:dyDescent="0.25">
      <c r="A826" s="154">
        <v>46062</v>
      </c>
      <c r="B826" s="3" t="s">
        <v>2219</v>
      </c>
      <c r="C826" s="3">
        <v>1</v>
      </c>
      <c r="D826" s="3" t="str">
        <f>VLOOKUP(B826,'Element wise-detail Summary'!$A:$D,2,0)</f>
        <v>PV02</v>
      </c>
      <c r="E826" s="3" t="str">
        <f>IFERROR(VLOOKUP(B826,'Element wise-detail Summary'!$A:$D,3,0),0)</f>
        <v>Zone-7</v>
      </c>
      <c r="F826" s="143" t="str">
        <f>VLOOKUP(B826,'AFC Data details'!$B:$B,1,0)</f>
        <v>AZ7-PV02-T1C6-006</v>
      </c>
      <c r="H826" s="3">
        <f>_xlfn.XLOOKUP(B826,'AFC Data details'!B:B,'AFC Data details'!P:P)</f>
        <v>2.0649999999999999</v>
      </c>
    </row>
    <row r="827" spans="1:8" x14ac:dyDescent="0.25">
      <c r="A827" s="154">
        <v>46062</v>
      </c>
      <c r="B827" s="3" t="s">
        <v>2262</v>
      </c>
      <c r="C827" s="3">
        <v>1</v>
      </c>
      <c r="D827" s="3" t="str">
        <f>VLOOKUP(B827,'Element wise-detail Summary'!$A:$D,2,0)</f>
        <v>PV08</v>
      </c>
      <c r="E827" s="3" t="str">
        <f>IFERROR(VLOOKUP(B827,'Element wise-detail Summary'!$A:$D,3,0),0)</f>
        <v>Zone-7</v>
      </c>
      <c r="F827" s="143" t="str">
        <f>VLOOKUP(B827,'AFC Data details'!$B:$B,1,0)</f>
        <v>AZ7-PV08-T1C6-002</v>
      </c>
      <c r="H827" s="3">
        <f>_xlfn.XLOOKUP(B827,'AFC Data details'!B:B,'AFC Data details'!P:P)</f>
        <v>2.09</v>
      </c>
    </row>
    <row r="828" spans="1:8" x14ac:dyDescent="0.25">
      <c r="A828" s="154">
        <v>46062</v>
      </c>
      <c r="B828" s="3" t="s">
        <v>2268</v>
      </c>
      <c r="C828" s="3">
        <v>1</v>
      </c>
      <c r="D828" s="3" t="str">
        <f>VLOOKUP(B828,'Element wise-detail Summary'!$A:$D,2,0)</f>
        <v>PV09</v>
      </c>
      <c r="E828" s="3" t="str">
        <f>IFERROR(VLOOKUP(B828,'Element wise-detail Summary'!$A:$D,3,0),0)</f>
        <v>Zone-7</v>
      </c>
      <c r="F828" s="143" t="str">
        <f>VLOOKUP(B828,'AFC Data details'!$B:$B,1,0)</f>
        <v>AZ7-PV09-T1C6-004</v>
      </c>
      <c r="H828" s="3">
        <f>_xlfn.XLOOKUP(B828,'AFC Data details'!B:B,'AFC Data details'!P:P)</f>
        <v>2.09</v>
      </c>
    </row>
    <row r="829" spans="1:8" x14ac:dyDescent="0.25">
      <c r="A829" s="154">
        <v>46062</v>
      </c>
      <c r="B829" s="3" t="s">
        <v>2229</v>
      </c>
      <c r="C829" s="3">
        <v>1</v>
      </c>
      <c r="D829" s="3" t="str">
        <f>VLOOKUP(B829,'Element wise-detail Summary'!$A:$D,2,0)</f>
        <v>PV04</v>
      </c>
      <c r="E829" s="3" t="str">
        <f>IFERROR(VLOOKUP(B829,'Element wise-detail Summary'!$A:$D,3,0),0)</f>
        <v>Zone-7</v>
      </c>
      <c r="F829" s="143" t="str">
        <f>VLOOKUP(B829,'AFC Data details'!$B:$B,1,0)</f>
        <v>AZ7-PV04-T1C6-003</v>
      </c>
      <c r="H829" s="3">
        <f>_xlfn.XLOOKUP(B829,'AFC Data details'!B:B,'AFC Data details'!P:P)</f>
        <v>2.0840000000000001</v>
      </c>
    </row>
    <row r="830" spans="1:8" x14ac:dyDescent="0.25">
      <c r="A830" s="154">
        <v>46062</v>
      </c>
      <c r="B830" s="3" t="s">
        <v>2233</v>
      </c>
      <c r="C830" s="3">
        <v>1</v>
      </c>
      <c r="D830" s="3" t="str">
        <f>VLOOKUP(B830,'Element wise-detail Summary'!$A:$D,2,0)</f>
        <v>PV05</v>
      </c>
      <c r="E830" s="3" t="str">
        <f>IFERROR(VLOOKUP(B830,'Element wise-detail Summary'!$A:$D,3,0),0)</f>
        <v>Zone-7</v>
      </c>
      <c r="F830" s="143" t="str">
        <f>VLOOKUP(B830,'AFC Data details'!$B:$B,1,0)</f>
        <v>AZ7-PV05-T1C6-003</v>
      </c>
      <c r="H830" s="3">
        <f>_xlfn.XLOOKUP(B830,'AFC Data details'!B:B,'AFC Data details'!P:P)</f>
        <v>2.0840000000000001</v>
      </c>
    </row>
    <row r="831" spans="1:8" x14ac:dyDescent="0.25">
      <c r="A831" s="154">
        <v>46062</v>
      </c>
      <c r="B831" s="3" t="s">
        <v>2248</v>
      </c>
      <c r="C831" s="3">
        <v>1</v>
      </c>
      <c r="D831" s="3" t="str">
        <f>VLOOKUP(B831,'Element wise-detail Summary'!$A:$D,2,0)</f>
        <v>PV06</v>
      </c>
      <c r="E831" s="3" t="str">
        <f>IFERROR(VLOOKUP(B831,'Element wise-detail Summary'!$A:$D,3,0),0)</f>
        <v>Zone-7</v>
      </c>
      <c r="F831" s="143" t="str">
        <f>VLOOKUP(B831,'AFC Data details'!$B:$B,1,0)</f>
        <v>AZ7-PV06-T1C6-005</v>
      </c>
      <c r="H831" s="3">
        <f>_xlfn.XLOOKUP(B831,'AFC Data details'!B:B,'AFC Data details'!P:P)</f>
        <v>2.0840000000000001</v>
      </c>
    </row>
    <row r="832" spans="1:8" x14ac:dyDescent="0.25">
      <c r="A832" s="154">
        <v>46062</v>
      </c>
      <c r="B832" s="3" t="s">
        <v>2288</v>
      </c>
      <c r="C832" s="3">
        <v>1</v>
      </c>
      <c r="D832" s="3" t="str">
        <f>VLOOKUP(B832,'Element wise-detail Summary'!$A:$D,2,0)</f>
        <v>PV11</v>
      </c>
      <c r="E832" s="3" t="str">
        <f>IFERROR(VLOOKUP(B832,'Element wise-detail Summary'!$A:$D,3,0),0)</f>
        <v>Zone-7</v>
      </c>
      <c r="F832" s="143" t="str">
        <f>VLOOKUP(B832,'AFC Data details'!$B:$B,1,0)</f>
        <v>AZ7-PV11-T1C13-001</v>
      </c>
      <c r="H832" s="3">
        <f>_xlfn.XLOOKUP(B832,'AFC Data details'!B:B,'AFC Data details'!P:P)</f>
        <v>1.8420000000000001</v>
      </c>
    </row>
    <row r="833" spans="1:8" x14ac:dyDescent="0.25">
      <c r="A833" s="154">
        <v>46062</v>
      </c>
      <c r="B833" s="3" t="s">
        <v>2348</v>
      </c>
      <c r="C833" s="3">
        <v>1</v>
      </c>
      <c r="D833" s="3" t="str">
        <f>VLOOKUP(B833,'Element wise-detail Summary'!$A:$D,2,0)</f>
        <v>PV39</v>
      </c>
      <c r="E833" s="3" t="str">
        <f>IFERROR(VLOOKUP(B833,'Element wise-detail Summary'!$A:$D,3,0),0)</f>
        <v>Zone-8</v>
      </c>
      <c r="F833" s="143" t="str">
        <f>VLOOKUP(B833,'AFC Data details'!$B:$B,1,0)</f>
        <v>AZ8-PV39-T2C1-001</v>
      </c>
      <c r="H833" s="3">
        <f>_xlfn.XLOOKUP(B833,'AFC Data details'!B:B,'AFC Data details'!P:P)</f>
        <v>1.413</v>
      </c>
    </row>
    <row r="834" spans="1:8" x14ac:dyDescent="0.25">
      <c r="A834" s="154">
        <v>46062</v>
      </c>
      <c r="B834" s="3" t="s">
        <v>2334</v>
      </c>
      <c r="C834" s="3">
        <v>1</v>
      </c>
      <c r="D834" s="3" t="str">
        <f>VLOOKUP(B834,'Element wise-detail Summary'!$A:$D,2,0)</f>
        <v>PV16</v>
      </c>
      <c r="E834" s="3" t="str">
        <f>IFERROR(VLOOKUP(B834,'Element wise-detail Summary'!$A:$D,3,0),0)</f>
        <v>Zone-7</v>
      </c>
      <c r="F834" s="143" t="str">
        <f>VLOOKUP(B834,'AFC Data details'!$B:$B,1,0)</f>
        <v>AZ7-PV16-T1C13-003</v>
      </c>
      <c r="H834" s="3">
        <f>_xlfn.XLOOKUP(B834,'AFC Data details'!B:B,'AFC Data details'!P:P)</f>
        <v>2.008</v>
      </c>
    </row>
    <row r="835" spans="1:8" x14ac:dyDescent="0.25">
      <c r="A835" s="154">
        <v>46062</v>
      </c>
      <c r="B835" s="3" t="s">
        <v>1670</v>
      </c>
      <c r="C835" s="3">
        <v>1</v>
      </c>
      <c r="D835" s="3" t="str">
        <f>VLOOKUP(B835,'Element wise-detail Summary'!$A:$D,2,0)</f>
        <v>V62</v>
      </c>
      <c r="E835" s="3" t="str">
        <f>IFERROR(VLOOKUP(B835,'Element wise-detail Summary'!$A:$D,3,0),0)</f>
        <v>Zone-5</v>
      </c>
      <c r="F835" s="143" t="str">
        <f>VLOOKUP(B835,'AFC Data details'!$B:$B,1,0)</f>
        <v>AZ5-V62-T3C5-002</v>
      </c>
      <c r="H835" s="3">
        <f>_xlfn.XLOOKUP(B835,'AFC Data details'!B:B,'AFC Data details'!P:P)</f>
        <v>1.4890000000000001</v>
      </c>
    </row>
    <row r="836" spans="1:8" x14ac:dyDescent="0.25">
      <c r="A836" s="154">
        <v>46062</v>
      </c>
      <c r="B836" s="3" t="s">
        <v>1672</v>
      </c>
      <c r="C836" s="3">
        <v>1</v>
      </c>
      <c r="D836" s="3" t="str">
        <f>VLOOKUP(B836,'Element wise-detail Summary'!$A:$D,2,0)</f>
        <v>V63</v>
      </c>
      <c r="E836" s="3" t="str">
        <f>IFERROR(VLOOKUP(B836,'Element wise-detail Summary'!$A:$D,3,0),0)</f>
        <v>Zone-5</v>
      </c>
      <c r="F836" s="143" t="str">
        <f>VLOOKUP(B836,'AFC Data details'!$B:$B,1,0)</f>
        <v>AZ5-V63-T3C5-002</v>
      </c>
      <c r="H836" s="3">
        <f>_xlfn.XLOOKUP(B836,'AFC Data details'!B:B,'AFC Data details'!P:P)</f>
        <v>1.347</v>
      </c>
    </row>
    <row r="837" spans="1:8" x14ac:dyDescent="0.25">
      <c r="A837" s="154">
        <v>46062</v>
      </c>
      <c r="B837" s="3" t="s">
        <v>2443</v>
      </c>
      <c r="C837" s="3">
        <v>1</v>
      </c>
      <c r="D837" s="3" t="str">
        <f>VLOOKUP(B837,'Element wise-detail Summary'!$A:$D,2,0)</f>
        <v>V01</v>
      </c>
      <c r="E837" s="3" t="str">
        <f>IFERROR(VLOOKUP(B837,'Element wise-detail Summary'!$A:$D,3,0),0)</f>
        <v>Zone-4</v>
      </c>
      <c r="F837" s="143" t="str">
        <f>VLOOKUP(B837,'AFC Data details'!$B:$B,1,0)</f>
        <v>AZ4-V01-T1C19-003</v>
      </c>
      <c r="H837" s="3">
        <f>_xlfn.XLOOKUP(B837,'AFC Data details'!B:B,'AFC Data details'!P:P)</f>
        <v>4.2859999999999996</v>
      </c>
    </row>
    <row r="838" spans="1:8" x14ac:dyDescent="0.25">
      <c r="A838" s="154">
        <v>46063</v>
      </c>
      <c r="B838" s="3" t="s">
        <v>2324</v>
      </c>
      <c r="C838" s="3">
        <v>1</v>
      </c>
      <c r="D838" s="3" t="str">
        <f>VLOOKUP(B838,'Element wise-detail Summary'!$A:$D,2,0)</f>
        <v>PV15</v>
      </c>
      <c r="E838" s="3" t="str">
        <f>IFERROR(VLOOKUP(B838,'Element wise-detail Summary'!$A:$D,3,0),0)</f>
        <v>Zone-7</v>
      </c>
      <c r="F838" s="143" t="str">
        <f>VLOOKUP(B838,'AFC Data details'!$B:$B,1,0)</f>
        <v>AZ7-PV15-T1C6-005</v>
      </c>
      <c r="H838" s="3">
        <f>_xlfn.XLOOKUP(B838,'AFC Data details'!B:B,'AFC Data details'!P:P)</f>
        <v>2.0840000000000001</v>
      </c>
    </row>
    <row r="839" spans="1:8" x14ac:dyDescent="0.25">
      <c r="A839" s="154">
        <v>46063</v>
      </c>
      <c r="B839" s="3" t="s">
        <v>2304</v>
      </c>
      <c r="C839" s="3">
        <v>1</v>
      </c>
      <c r="D839" s="3" t="str">
        <f>VLOOKUP(B839,'Element wise-detail Summary'!$A:$D,2,0)</f>
        <v>PV13</v>
      </c>
      <c r="E839" s="3" t="str">
        <f>IFERROR(VLOOKUP(B839,'Element wise-detail Summary'!$A:$D,3,0),0)</f>
        <v>Zone-7</v>
      </c>
      <c r="F839" s="143" t="str">
        <f>VLOOKUP(B839,'AFC Data details'!$B:$B,1,0)</f>
        <v>AZ7-PV13-T1C6-002</v>
      </c>
      <c r="H839" s="3">
        <f>_xlfn.XLOOKUP(B839,'AFC Data details'!B:B,'AFC Data details'!P:P)</f>
        <v>2.09</v>
      </c>
    </row>
    <row r="840" spans="1:8" x14ac:dyDescent="0.25">
      <c r="A840" s="154">
        <v>46063</v>
      </c>
      <c r="B840" s="3" t="s">
        <v>2317</v>
      </c>
      <c r="C840" s="3">
        <v>1</v>
      </c>
      <c r="D840" s="3" t="str">
        <f>VLOOKUP(B840,'Element wise-detail Summary'!$A:$D,2,0)</f>
        <v>PV14</v>
      </c>
      <c r="E840" s="3" t="str">
        <f>IFERROR(VLOOKUP(B840,'Element wise-detail Summary'!$A:$D,3,0),0)</f>
        <v>Zone-7</v>
      </c>
      <c r="F840" s="143" t="str">
        <f>VLOOKUP(B840,'AFC Data details'!$B:$B,1,0)</f>
        <v>AZ7-PV14-T1C6-002</v>
      </c>
      <c r="H840" s="3">
        <f>_xlfn.XLOOKUP(B840,'AFC Data details'!B:B,'AFC Data details'!P:P)</f>
        <v>2.0840000000000001</v>
      </c>
    </row>
    <row r="841" spans="1:8" x14ac:dyDescent="0.25">
      <c r="A841" s="154">
        <v>46063</v>
      </c>
      <c r="B841" s="3" t="s">
        <v>2263</v>
      </c>
      <c r="C841" s="3">
        <v>1</v>
      </c>
      <c r="D841" s="3" t="str">
        <f>VLOOKUP(B841,'Element wise-detail Summary'!$A:$D,2,0)</f>
        <v>PV08</v>
      </c>
      <c r="E841" s="3" t="str">
        <f>IFERROR(VLOOKUP(B841,'Element wise-detail Summary'!$A:$D,3,0),0)</f>
        <v>Zone-7</v>
      </c>
      <c r="F841" s="143" t="str">
        <f>VLOOKUP(B841,'AFC Data details'!$B:$B,1,0)</f>
        <v>AZ7-PV08-T1C6-003</v>
      </c>
      <c r="H841" s="3">
        <f>_xlfn.XLOOKUP(B841,'AFC Data details'!B:B,'AFC Data details'!P:P)</f>
        <v>2.09</v>
      </c>
    </row>
    <row r="842" spans="1:8" x14ac:dyDescent="0.25">
      <c r="A842" s="154">
        <v>46063</v>
      </c>
      <c r="B842" s="3" t="s">
        <v>2269</v>
      </c>
      <c r="C842" s="3">
        <v>1</v>
      </c>
      <c r="D842" s="3" t="str">
        <f>VLOOKUP(B842,'Element wise-detail Summary'!$A:$D,2,0)</f>
        <v>PV09</v>
      </c>
      <c r="E842" s="3" t="str">
        <f>IFERROR(VLOOKUP(B842,'Element wise-detail Summary'!$A:$D,3,0),0)</f>
        <v>Zone-7</v>
      </c>
      <c r="F842" s="143" t="str">
        <f>VLOOKUP(B842,'AFC Data details'!$B:$B,1,0)</f>
        <v>AZ7-PV09-T1C6-005</v>
      </c>
      <c r="H842" s="3">
        <f>_xlfn.XLOOKUP(B842,'AFC Data details'!B:B,'AFC Data details'!P:P)</f>
        <v>2.09</v>
      </c>
    </row>
    <row r="843" spans="1:8" x14ac:dyDescent="0.25">
      <c r="A843" s="154">
        <v>46063</v>
      </c>
      <c r="B843" s="3" t="s">
        <v>2230</v>
      </c>
      <c r="C843" s="3">
        <v>1</v>
      </c>
      <c r="D843" s="3" t="str">
        <f>VLOOKUP(B843,'Element wise-detail Summary'!$A:$D,2,0)</f>
        <v>PV04</v>
      </c>
      <c r="E843" s="3" t="str">
        <f>IFERROR(VLOOKUP(B843,'Element wise-detail Summary'!$A:$D,3,0),0)</f>
        <v>Zone-7</v>
      </c>
      <c r="F843" s="143" t="str">
        <f>VLOOKUP(B843,'AFC Data details'!$B:$B,1,0)</f>
        <v>AZ7-PV04-T1C6-004</v>
      </c>
      <c r="H843" s="3">
        <f>_xlfn.XLOOKUP(B843,'AFC Data details'!B:B,'AFC Data details'!P:P)</f>
        <v>2.0840000000000001</v>
      </c>
    </row>
    <row r="844" spans="1:8" x14ac:dyDescent="0.25">
      <c r="A844" s="154">
        <v>46063</v>
      </c>
      <c r="B844" s="3" t="s">
        <v>2234</v>
      </c>
      <c r="C844" s="3">
        <v>1</v>
      </c>
      <c r="D844" s="3" t="str">
        <f>VLOOKUP(B844,'Element wise-detail Summary'!$A:$D,2,0)</f>
        <v>PV05</v>
      </c>
      <c r="E844" s="3" t="str">
        <f>IFERROR(VLOOKUP(B844,'Element wise-detail Summary'!$A:$D,3,0),0)</f>
        <v>Zone-7</v>
      </c>
      <c r="F844" s="143" t="str">
        <f>VLOOKUP(B844,'AFC Data details'!$B:$B,1,0)</f>
        <v>AZ7-PV05-T1C6-004</v>
      </c>
      <c r="H844" s="3">
        <f>_xlfn.XLOOKUP(B844,'AFC Data details'!B:B,'AFC Data details'!P:P)</f>
        <v>2.0840000000000001</v>
      </c>
    </row>
    <row r="845" spans="1:8" x14ac:dyDescent="0.25">
      <c r="A845" s="154">
        <v>46063</v>
      </c>
      <c r="B845" s="3" t="s">
        <v>2249</v>
      </c>
      <c r="C845" s="3">
        <v>1</v>
      </c>
      <c r="D845" s="3" t="str">
        <f>VLOOKUP(B845,'Element wise-detail Summary'!$A:$D,2,0)</f>
        <v>PV07</v>
      </c>
      <c r="E845" s="3" t="str">
        <f>IFERROR(VLOOKUP(B845,'Element wise-detail Summary'!$A:$D,3,0),0)</f>
        <v>Zone-7</v>
      </c>
      <c r="F845" s="143" t="str">
        <f>VLOOKUP(B845,'AFC Data details'!$B:$B,1,0)</f>
        <v>AZ7-PV07-T1C6-002</v>
      </c>
      <c r="H845" s="3">
        <f>_xlfn.XLOOKUP(B845,'AFC Data details'!B:B,'AFC Data details'!P:P)</f>
        <v>2.0840000000000001</v>
      </c>
    </row>
    <row r="846" spans="1:8" x14ac:dyDescent="0.25">
      <c r="A846" s="154">
        <v>46063</v>
      </c>
      <c r="B846" s="3" t="s">
        <v>2289</v>
      </c>
      <c r="C846" s="3">
        <v>1</v>
      </c>
      <c r="D846" s="3" t="str">
        <f>VLOOKUP(B846,'Element wise-detail Summary'!$A:$D,2,0)</f>
        <v>PV11</v>
      </c>
      <c r="E846" s="3" t="str">
        <f>IFERROR(VLOOKUP(B846,'Element wise-detail Summary'!$A:$D,3,0),0)</f>
        <v>Zone-7</v>
      </c>
      <c r="F846" s="143" t="str">
        <f>VLOOKUP(B846,'AFC Data details'!$B:$B,1,0)</f>
        <v>AZ7-PV11-T1C13-002</v>
      </c>
      <c r="H846" s="3">
        <f>_xlfn.XLOOKUP(B846,'AFC Data details'!B:B,'AFC Data details'!P:P)</f>
        <v>2.0459999999999998</v>
      </c>
    </row>
    <row r="847" spans="1:8" x14ac:dyDescent="0.25">
      <c r="A847" s="154">
        <v>46063</v>
      </c>
      <c r="B847" s="3" t="s">
        <v>2349</v>
      </c>
      <c r="C847" s="3">
        <v>1</v>
      </c>
      <c r="D847" s="3" t="str">
        <f>VLOOKUP(B847,'Element wise-detail Summary'!$A:$D,2,0)</f>
        <v>PV41</v>
      </c>
      <c r="E847" s="3" t="str">
        <f>IFERROR(VLOOKUP(B847,'Element wise-detail Summary'!$A:$D,3,0),0)</f>
        <v>Zone-8</v>
      </c>
      <c r="F847" s="143" t="str">
        <f>VLOOKUP(B847,'AFC Data details'!$B:$B,1,0)</f>
        <v>AZ8-PV41-T2C1-001</v>
      </c>
      <c r="H847" s="3">
        <f>_xlfn.XLOOKUP(B847,'AFC Data details'!B:B,'AFC Data details'!P:P)</f>
        <v>1.413</v>
      </c>
    </row>
    <row r="848" spans="1:8" x14ac:dyDescent="0.25">
      <c r="A848" s="154">
        <v>46063</v>
      </c>
      <c r="B848" s="3" t="s">
        <v>2278</v>
      </c>
      <c r="C848" s="3">
        <v>1</v>
      </c>
      <c r="D848" s="3" t="str">
        <f>VLOOKUP(B848,'Element wise-detail Summary'!$A:$D,2,0)</f>
        <v>PV10</v>
      </c>
      <c r="E848" s="3" t="str">
        <f>IFERROR(VLOOKUP(B848,'Element wise-detail Summary'!$A:$D,3,0),0)</f>
        <v>Zone-7</v>
      </c>
      <c r="F848" s="143" t="str">
        <f>VLOOKUP(B848,'AFC Data details'!$B:$B,1,0)</f>
        <v>AZ7-PV10-T1C13-001</v>
      </c>
      <c r="H848" s="3">
        <f>_xlfn.XLOOKUP(B848,'AFC Data details'!B:B,'AFC Data details'!P:P)</f>
        <v>1.958</v>
      </c>
    </row>
    <row r="849" spans="1:8" x14ac:dyDescent="0.25">
      <c r="A849" s="154">
        <v>46063</v>
      </c>
      <c r="B849" s="3" t="s">
        <v>1681</v>
      </c>
      <c r="C849" s="3">
        <v>1</v>
      </c>
      <c r="D849" s="3" t="str">
        <f>VLOOKUP(B849,'Element wise-detail Summary'!$A:$D,2,0)</f>
        <v>V67</v>
      </c>
      <c r="E849" s="3" t="str">
        <f>IFERROR(VLOOKUP(B849,'Element wise-detail Summary'!$A:$D,3,0),0)</f>
        <v>Zone-5</v>
      </c>
      <c r="F849" s="143" t="str">
        <f>VLOOKUP(B849,'AFC Data details'!$B:$B,1,0)</f>
        <v>AZ5-V67-T3C5-001</v>
      </c>
      <c r="H849" s="3">
        <f>_xlfn.XLOOKUP(B849,'AFC Data details'!B:B,'AFC Data details'!P:P)</f>
        <v>1.5960000000000001</v>
      </c>
    </row>
    <row r="850" spans="1:8" x14ac:dyDescent="0.25">
      <c r="A850" s="154">
        <v>46063</v>
      </c>
      <c r="B850" s="3" t="s">
        <v>1674</v>
      </c>
      <c r="C850" s="3">
        <v>1</v>
      </c>
      <c r="D850" s="3" t="str">
        <f>VLOOKUP(B850,'Element wise-detail Summary'!$A:$D,2,0)</f>
        <v>V64</v>
      </c>
      <c r="E850" s="3" t="str">
        <f>IFERROR(VLOOKUP(B850,'Element wise-detail Summary'!$A:$D,3,0),0)</f>
        <v>Zone-5</v>
      </c>
      <c r="F850" s="143" t="str">
        <f>VLOOKUP(B850,'AFC Data details'!$B:$B,1,0)</f>
        <v>AZ5-V64-T3C5-001</v>
      </c>
      <c r="H850" s="3">
        <f>_xlfn.XLOOKUP(B850,'AFC Data details'!B:B,'AFC Data details'!P:P)</f>
        <v>1.347</v>
      </c>
    </row>
    <row r="851" spans="1:8" x14ac:dyDescent="0.25">
      <c r="A851" s="154">
        <v>46063</v>
      </c>
      <c r="B851" s="3" t="s">
        <v>2444</v>
      </c>
      <c r="C851" s="3">
        <v>1</v>
      </c>
      <c r="D851" s="3" t="str">
        <f>VLOOKUP(B851,'Element wise-detail Summary'!$A:$D,2,0)</f>
        <v>V01</v>
      </c>
      <c r="E851" s="3" t="str">
        <f>IFERROR(VLOOKUP(B851,'Element wise-detail Summary'!$A:$D,3,0),0)</f>
        <v>Zone-4</v>
      </c>
      <c r="F851" s="143" t="str">
        <f>VLOOKUP(B851,'AFC Data details'!$B:$B,1,0)</f>
        <v>AZ4-V01-T1C19-004</v>
      </c>
      <c r="H851" s="3">
        <f>_xlfn.XLOOKUP(B851,'AFC Data details'!B:B,'AFC Data details'!P:P)</f>
        <v>4.2859999999999996</v>
      </c>
    </row>
    <row r="852" spans="1:8" x14ac:dyDescent="0.25">
      <c r="A852" s="154">
        <v>46064</v>
      </c>
      <c r="B852" s="3" t="s">
        <v>2276</v>
      </c>
      <c r="C852" s="3">
        <v>1</v>
      </c>
      <c r="D852" s="3" t="str">
        <f>VLOOKUP(B852,'Element wise-detail Summary'!$A:$D,2,0)</f>
        <v>PV09</v>
      </c>
      <c r="E852" s="3" t="str">
        <f>IFERROR(VLOOKUP(B852,'Element wise-detail Summary'!$A:$D,3,0),0)</f>
        <v>Zone-7</v>
      </c>
      <c r="F852" s="143" t="str">
        <f>VLOOKUP(B852,'AFC Data details'!$B:$B,1,0)</f>
        <v>AZ7-PV09-T3C1-002</v>
      </c>
      <c r="H852" s="3">
        <f>_xlfn.XLOOKUP(B852,'AFC Data details'!B:B,'AFC Data details'!P:P)</f>
        <v>0.84799999999999998</v>
      </c>
    </row>
    <row r="853" spans="1:8" x14ac:dyDescent="0.25">
      <c r="A853" s="154">
        <v>46064</v>
      </c>
      <c r="B853" s="3" t="s">
        <v>2305</v>
      </c>
      <c r="C853" s="3">
        <v>1</v>
      </c>
      <c r="D853" s="3" t="str">
        <f>VLOOKUP(B853,'Element wise-detail Summary'!$A:$D,2,0)</f>
        <v>PV13</v>
      </c>
      <c r="E853" s="3" t="str">
        <f>IFERROR(VLOOKUP(B853,'Element wise-detail Summary'!$A:$D,3,0),0)</f>
        <v>Zone-7</v>
      </c>
      <c r="F853" s="143" t="str">
        <f>VLOOKUP(B853,'AFC Data details'!$B:$B,1,0)</f>
        <v>AZ7-PV13-T1C6-003</v>
      </c>
      <c r="H853" s="3">
        <f>_xlfn.XLOOKUP(B853,'AFC Data details'!B:B,'AFC Data details'!P:P)</f>
        <v>2.09</v>
      </c>
    </row>
    <row r="854" spans="1:8" x14ac:dyDescent="0.25">
      <c r="A854" s="154">
        <v>46064</v>
      </c>
      <c r="B854" s="3" t="s">
        <v>2318</v>
      </c>
      <c r="C854" s="3">
        <v>1</v>
      </c>
      <c r="D854" s="3" t="str">
        <f>VLOOKUP(B854,'Element wise-detail Summary'!$A:$D,2,0)</f>
        <v>PV14</v>
      </c>
      <c r="E854" s="3" t="str">
        <f>IFERROR(VLOOKUP(B854,'Element wise-detail Summary'!$A:$D,3,0),0)</f>
        <v>Zone-7</v>
      </c>
      <c r="F854" s="143" t="str">
        <f>VLOOKUP(B854,'AFC Data details'!$B:$B,1,0)</f>
        <v>AZ7-PV14-T1C6-003</v>
      </c>
      <c r="H854" s="3">
        <f>_xlfn.XLOOKUP(B854,'AFC Data details'!B:B,'AFC Data details'!P:P)</f>
        <v>2.0840000000000001</v>
      </c>
    </row>
    <row r="855" spans="1:8" x14ac:dyDescent="0.25">
      <c r="A855" s="154">
        <v>46064</v>
      </c>
      <c r="B855" s="3" t="s">
        <v>2287</v>
      </c>
      <c r="C855" s="3">
        <v>1</v>
      </c>
      <c r="D855" s="3" t="str">
        <f>VLOOKUP(B855,'Element wise-detail Summary'!$A:$D,2,0)</f>
        <v>PV11</v>
      </c>
      <c r="E855" s="3" t="str">
        <f>IFERROR(VLOOKUP(B855,'Element wise-detail Summary'!$A:$D,3,0),0)</f>
        <v>Zone-7</v>
      </c>
      <c r="F855" s="143" t="str">
        <f>VLOOKUP(B855,'AFC Data details'!$B:$B,1,0)</f>
        <v>AZ7-PV11-T1C1-001</v>
      </c>
      <c r="H855" s="3">
        <f>_xlfn.XLOOKUP(B855,'AFC Data details'!B:B,'AFC Data details'!P:P)</f>
        <v>0.98599999999999999</v>
      </c>
    </row>
    <row r="856" spans="1:8" x14ac:dyDescent="0.25">
      <c r="A856" s="154">
        <v>46064</v>
      </c>
      <c r="B856" s="3" t="s">
        <v>2264</v>
      </c>
      <c r="C856" s="3">
        <v>1</v>
      </c>
      <c r="D856" s="3" t="str">
        <f>VLOOKUP(B856,'Element wise-detail Summary'!$A:$D,2,0)</f>
        <v>PV08</v>
      </c>
      <c r="E856" s="3" t="str">
        <f>IFERROR(VLOOKUP(B856,'Element wise-detail Summary'!$A:$D,3,0),0)</f>
        <v>Zone-7</v>
      </c>
      <c r="F856" s="143" t="str">
        <f>VLOOKUP(B856,'AFC Data details'!$B:$B,1,0)</f>
        <v>AZ7-PV08-T1C6-004</v>
      </c>
      <c r="H856" s="3">
        <f>_xlfn.XLOOKUP(B856,'AFC Data details'!B:B,'AFC Data details'!P:P)</f>
        <v>2.09</v>
      </c>
    </row>
    <row r="857" spans="1:8" x14ac:dyDescent="0.25">
      <c r="A857" s="154">
        <v>46064</v>
      </c>
      <c r="B857" s="3" t="s">
        <v>2270</v>
      </c>
      <c r="C857" s="3">
        <v>1</v>
      </c>
      <c r="D857" s="3" t="str">
        <f>VLOOKUP(B857,'Element wise-detail Summary'!$A:$D,2,0)</f>
        <v>PV08</v>
      </c>
      <c r="E857" s="3" t="str">
        <f>IFERROR(VLOOKUP(B857,'Element wise-detail Summary'!$A:$D,3,0),0)</f>
        <v>Zone-7</v>
      </c>
      <c r="F857" s="143" t="str">
        <f>VLOOKUP(B857,'AFC Data details'!$B:$B,1,0)</f>
        <v>AZ7-PV08-T1C6-006</v>
      </c>
      <c r="H857" s="3">
        <f>_xlfn.XLOOKUP(B857,'AFC Data details'!B:B,'AFC Data details'!P:P)</f>
        <v>2.09</v>
      </c>
    </row>
    <row r="858" spans="1:8" x14ac:dyDescent="0.25">
      <c r="A858" s="154">
        <v>46064</v>
      </c>
      <c r="B858" s="3" t="s">
        <v>2220</v>
      </c>
      <c r="C858" s="3">
        <v>1</v>
      </c>
      <c r="D858" s="3" t="str">
        <f>VLOOKUP(B858,'Element wise-detail Summary'!$A:$D,2,0)</f>
        <v>PV03</v>
      </c>
      <c r="E858" s="3" t="str">
        <f>IFERROR(VLOOKUP(B858,'Element wise-detail Summary'!$A:$D,3,0),0)</f>
        <v>Zone-7</v>
      </c>
      <c r="F858" s="143" t="str">
        <f>VLOOKUP(B858,'AFC Data details'!$B:$B,1,0)</f>
        <v>AZ7-PV03-T1C6-001</v>
      </c>
      <c r="H858" s="3">
        <f>_xlfn.XLOOKUP(B858,'AFC Data details'!B:B,'AFC Data details'!P:P)</f>
        <v>2.0649999999999999</v>
      </c>
    </row>
    <row r="859" spans="1:8" x14ac:dyDescent="0.25">
      <c r="A859" s="154">
        <v>46064</v>
      </c>
      <c r="B859" s="3" t="s">
        <v>2235</v>
      </c>
      <c r="C859" s="3">
        <v>1</v>
      </c>
      <c r="D859" s="3" t="str">
        <f>VLOOKUP(B859,'Element wise-detail Summary'!$A:$D,2,0)</f>
        <v>PV05</v>
      </c>
      <c r="E859" s="3" t="str">
        <f>IFERROR(VLOOKUP(B859,'Element wise-detail Summary'!$A:$D,3,0),0)</f>
        <v>Zone-7</v>
      </c>
      <c r="F859" s="143" t="str">
        <f>VLOOKUP(B859,'AFC Data details'!$B:$B,1,0)</f>
        <v>AZ7-PV05-T1C6-005</v>
      </c>
      <c r="H859" s="3">
        <f>_xlfn.XLOOKUP(B859,'AFC Data details'!B:B,'AFC Data details'!P:P)</f>
        <v>2.0840000000000001</v>
      </c>
    </row>
    <row r="860" spans="1:8" x14ac:dyDescent="0.25">
      <c r="A860" s="154">
        <v>46064</v>
      </c>
      <c r="B860" s="3" t="s">
        <v>2250</v>
      </c>
      <c r="C860" s="3">
        <v>1</v>
      </c>
      <c r="D860" s="3" t="str">
        <f>VLOOKUP(B860,'Element wise-detail Summary'!$A:$D,2,0)</f>
        <v>PV07</v>
      </c>
      <c r="E860" s="3" t="str">
        <f>IFERROR(VLOOKUP(B860,'Element wise-detail Summary'!$A:$D,3,0),0)</f>
        <v>Zone-7</v>
      </c>
      <c r="F860" s="143" t="str">
        <f>VLOOKUP(B860,'AFC Data details'!$B:$B,1,0)</f>
        <v>AZ7-PV07-T1C6-003</v>
      </c>
      <c r="H860" s="3">
        <f>_xlfn.XLOOKUP(B860,'AFC Data details'!B:B,'AFC Data details'!P:P)</f>
        <v>2.0840000000000001</v>
      </c>
    </row>
    <row r="861" spans="1:8" x14ac:dyDescent="0.25">
      <c r="A861" s="154">
        <v>46064</v>
      </c>
      <c r="B861" s="3" t="s">
        <v>2290</v>
      </c>
      <c r="C861" s="3">
        <v>1</v>
      </c>
      <c r="D861" s="3" t="str">
        <f>VLOOKUP(B861,'Element wise-detail Summary'!$A:$D,2,0)</f>
        <v>PV11</v>
      </c>
      <c r="E861" s="3" t="str">
        <f>IFERROR(VLOOKUP(B861,'Element wise-detail Summary'!$A:$D,3,0),0)</f>
        <v>Zone-7</v>
      </c>
      <c r="F861" s="143" t="str">
        <f>VLOOKUP(B861,'AFC Data details'!$B:$B,1,0)</f>
        <v>AZ7-PV11-T1C13-003</v>
      </c>
      <c r="H861" s="3">
        <f>_xlfn.XLOOKUP(B861,'AFC Data details'!B:B,'AFC Data details'!P:P)</f>
        <v>2.0449999999999999</v>
      </c>
    </row>
    <row r="862" spans="1:8" x14ac:dyDescent="0.25">
      <c r="A862" s="154">
        <v>46064</v>
      </c>
      <c r="B862" s="3" t="s">
        <v>2401</v>
      </c>
      <c r="C862" s="3">
        <v>1</v>
      </c>
      <c r="D862" s="3" t="str">
        <f>VLOOKUP(B862,'Element wise-detail Summary'!$A:$D,2,0)</f>
        <v>PV43</v>
      </c>
      <c r="E862" s="3" t="str">
        <f>IFERROR(VLOOKUP(B862,'Element wise-detail Summary'!$A:$D,3,0),0)</f>
        <v>Zone-8</v>
      </c>
      <c r="F862" s="143" t="str">
        <f>VLOOKUP(B862,'AFC Data details'!$B:$B,1,0)</f>
        <v>AZ8-PV43-T2C3-001</v>
      </c>
      <c r="H862" s="3">
        <f>_xlfn.XLOOKUP(B862,'AFC Data details'!B:B,'AFC Data details'!P:P)</f>
        <v>1.8220000000000001</v>
      </c>
    </row>
    <row r="863" spans="1:8" x14ac:dyDescent="0.25">
      <c r="A863" s="154">
        <v>46064</v>
      </c>
      <c r="B863" s="3" t="s">
        <v>2279</v>
      </c>
      <c r="C863" s="3">
        <v>1</v>
      </c>
      <c r="D863" s="3" t="str">
        <f>VLOOKUP(B863,'Element wise-detail Summary'!$A:$D,2,0)</f>
        <v>PV10</v>
      </c>
      <c r="E863" s="3" t="str">
        <f>IFERROR(VLOOKUP(B863,'Element wise-detail Summary'!$A:$D,3,0),0)</f>
        <v>Zone-7</v>
      </c>
      <c r="F863" s="143" t="str">
        <f>VLOOKUP(B863,'AFC Data details'!$B:$B,1,0)</f>
        <v>AZ7-PV10-T1C13-002</v>
      </c>
      <c r="H863" s="3">
        <f>_xlfn.XLOOKUP(B863,'AFC Data details'!B:B,'AFC Data details'!P:P)</f>
        <v>1.958</v>
      </c>
    </row>
    <row r="864" spans="1:8" x14ac:dyDescent="0.25">
      <c r="A864" s="154">
        <v>46064</v>
      </c>
      <c r="B864" s="3" t="s">
        <v>1675</v>
      </c>
      <c r="C864" s="3">
        <v>1</v>
      </c>
      <c r="D864" s="3" t="str">
        <f>VLOOKUP(B864,'Element wise-detail Summary'!$A:$D,2,0)</f>
        <v>V64</v>
      </c>
      <c r="E864" s="3" t="str">
        <f>IFERROR(VLOOKUP(B864,'Element wise-detail Summary'!$A:$D,3,0),0)</f>
        <v>Zone-5</v>
      </c>
      <c r="F864" s="143" t="str">
        <f>VLOOKUP(B864,'AFC Data details'!$B:$B,1,0)</f>
        <v>AZ5-V64-T3C5-002</v>
      </c>
      <c r="H864" s="3">
        <f>_xlfn.XLOOKUP(B864,'AFC Data details'!B:B,'AFC Data details'!P:P)</f>
        <v>1.5289999999999999</v>
      </c>
    </row>
    <row r="865" spans="1:8" x14ac:dyDescent="0.25">
      <c r="A865" s="154">
        <v>46064</v>
      </c>
      <c r="B865" s="3" t="s">
        <v>2325</v>
      </c>
      <c r="C865" s="3">
        <v>1</v>
      </c>
      <c r="D865" s="3" t="str">
        <f>VLOOKUP(B865,'Element wise-detail Summary'!$A:$D,2,0)</f>
        <v>PV14</v>
      </c>
      <c r="E865" s="3" t="str">
        <f>IFERROR(VLOOKUP(B865,'Element wise-detail Summary'!$A:$D,3,0),0)</f>
        <v>Zone-7</v>
      </c>
      <c r="F865" s="143" t="str">
        <f>VLOOKUP(B865,'AFC Data details'!$B:$B,1,0)</f>
        <v>AZ7-PV14-T1C6-006</v>
      </c>
      <c r="H865" s="3">
        <f>_xlfn.XLOOKUP(B865,'AFC Data details'!B:B,'AFC Data details'!P:P)</f>
        <v>2.0840000000000001</v>
      </c>
    </row>
    <row r="866" spans="1:8" x14ac:dyDescent="0.25">
      <c r="A866" s="154">
        <v>46064</v>
      </c>
      <c r="B866" s="3" t="s">
        <v>2445</v>
      </c>
      <c r="C866" s="3">
        <v>1</v>
      </c>
      <c r="D866" s="3" t="str">
        <f>VLOOKUP(B866,'Element wise-detail Summary'!$A:$D,2,0)</f>
        <v>V01</v>
      </c>
      <c r="E866" s="3" t="str">
        <f>IFERROR(VLOOKUP(B866,'Element wise-detail Summary'!$A:$D,3,0),0)</f>
        <v>Zone-4</v>
      </c>
      <c r="F866" s="143" t="str">
        <f>VLOOKUP(B866,'AFC Data details'!$B:$B,1,0)</f>
        <v>AZ4-V01-T1C19-005</v>
      </c>
      <c r="H866" s="3">
        <f>_xlfn.XLOOKUP(B866,'AFC Data details'!B:B,'AFC Data details'!P:P)</f>
        <v>4.2859999999999996</v>
      </c>
    </row>
    <row r="867" spans="1:8" x14ac:dyDescent="0.25">
      <c r="A867" s="154">
        <v>46065</v>
      </c>
      <c r="B867" s="3" t="s">
        <v>2326</v>
      </c>
      <c r="C867" s="3">
        <v>1</v>
      </c>
      <c r="D867" s="3" t="str">
        <f>VLOOKUP(B867,'Element wise-detail Summary'!$A:$D,2,0)</f>
        <v>PV15</v>
      </c>
      <c r="E867" s="3" t="str">
        <f>IFERROR(VLOOKUP(B867,'Element wise-detail Summary'!$A:$D,3,0),0)</f>
        <v>Zone-7</v>
      </c>
      <c r="F867" s="143" t="str">
        <f>VLOOKUP(B867,'AFC Data details'!$B:$B,1,0)</f>
        <v>AZ7-PV15-T1C6-001</v>
      </c>
      <c r="H867" s="3">
        <f>_xlfn.XLOOKUP(B867,'AFC Data details'!B:B,'AFC Data details'!P:P)</f>
        <v>2.0840000000000001</v>
      </c>
    </row>
    <row r="868" spans="1:8" x14ac:dyDescent="0.25">
      <c r="A868" s="154">
        <v>46065</v>
      </c>
      <c r="B868" s="3" t="s">
        <v>2277</v>
      </c>
      <c r="C868" s="3">
        <v>1</v>
      </c>
      <c r="D868" s="3" t="str">
        <f>VLOOKUP(B868,'Element wise-detail Summary'!$A:$D,2,0)</f>
        <v>PV09</v>
      </c>
      <c r="E868" s="3" t="str">
        <f>IFERROR(VLOOKUP(B868,'Element wise-detail Summary'!$A:$D,3,0),0)</f>
        <v>Zone-7</v>
      </c>
      <c r="F868" s="143" t="str">
        <f>VLOOKUP(B868,'AFC Data details'!$B:$B,1,0)</f>
        <v>AZ7-PV09-T3C1-003</v>
      </c>
      <c r="H868" s="3">
        <f>_xlfn.XLOOKUP(B868,'AFC Data details'!B:B,'AFC Data details'!P:P)</f>
        <v>0.79200000000000004</v>
      </c>
    </row>
    <row r="869" spans="1:8" x14ac:dyDescent="0.25">
      <c r="A869" s="154">
        <v>46065</v>
      </c>
      <c r="B869" s="3" t="s">
        <v>2306</v>
      </c>
      <c r="C869" s="3">
        <v>1</v>
      </c>
      <c r="D869" s="3" t="str">
        <f>VLOOKUP(B869,'Element wise-detail Summary'!$A:$D,2,0)</f>
        <v>PV13</v>
      </c>
      <c r="E869" s="3" t="str">
        <f>IFERROR(VLOOKUP(B869,'Element wise-detail Summary'!$A:$D,3,0),0)</f>
        <v>Zone-7</v>
      </c>
      <c r="F869" s="143" t="str">
        <f>VLOOKUP(B869,'AFC Data details'!$B:$B,1,0)</f>
        <v>AZ7-PV13-T1C6-004</v>
      </c>
      <c r="H869" s="3">
        <f>_xlfn.XLOOKUP(B869,'AFC Data details'!B:B,'AFC Data details'!P:P)</f>
        <v>2.09</v>
      </c>
    </row>
    <row r="870" spans="1:8" x14ac:dyDescent="0.25">
      <c r="A870" s="154">
        <v>46065</v>
      </c>
      <c r="B870" s="3" t="s">
        <v>2319</v>
      </c>
      <c r="C870" s="3">
        <v>1</v>
      </c>
      <c r="D870" s="3" t="str">
        <f>VLOOKUP(B870,'Element wise-detail Summary'!$A:$D,2,0)</f>
        <v>PV14</v>
      </c>
      <c r="E870" s="3" t="str">
        <f>IFERROR(VLOOKUP(B870,'Element wise-detail Summary'!$A:$D,3,0),0)</f>
        <v>Zone-7</v>
      </c>
      <c r="F870" s="143" t="str">
        <f>VLOOKUP(B870,'AFC Data details'!$B:$B,1,0)</f>
        <v>AZ7-PV14-T1C6-004</v>
      </c>
      <c r="H870" s="3">
        <f>_xlfn.XLOOKUP(B870,'AFC Data details'!B:B,'AFC Data details'!P:P)</f>
        <v>2.0840000000000001</v>
      </c>
    </row>
    <row r="871" spans="1:8" x14ac:dyDescent="0.25">
      <c r="A871" s="154">
        <v>46065</v>
      </c>
      <c r="B871" s="3" t="s">
        <v>2257</v>
      </c>
      <c r="C871" s="3">
        <v>1</v>
      </c>
      <c r="D871" s="3" t="str">
        <f>VLOOKUP(B871,'Element wise-detail Summary'!$A:$D,2,0)</f>
        <v>PV07</v>
      </c>
      <c r="E871" s="3" t="str">
        <f>IFERROR(VLOOKUP(B871,'Element wise-detail Summary'!$A:$D,3,0),0)</f>
        <v>Zone-7</v>
      </c>
      <c r="F871" s="143" t="str">
        <f>VLOOKUP(B871,'AFC Data details'!$B:$B,1,0)</f>
        <v>AZ7-PV07-T1C1-001</v>
      </c>
      <c r="H871" s="3">
        <f>_xlfn.XLOOKUP(B871,'AFC Data details'!B:B,'AFC Data details'!P:P)</f>
        <v>0.95499999999999996</v>
      </c>
    </row>
    <row r="872" spans="1:8" x14ac:dyDescent="0.25">
      <c r="A872" s="154">
        <v>46065</v>
      </c>
      <c r="B872" s="3" t="s">
        <v>2265</v>
      </c>
      <c r="C872" s="3">
        <v>1</v>
      </c>
      <c r="D872" s="3" t="str">
        <f>VLOOKUP(B872,'Element wise-detail Summary'!$A:$D,2,0)</f>
        <v>PV08</v>
      </c>
      <c r="E872" s="3" t="str">
        <f>IFERROR(VLOOKUP(B872,'Element wise-detail Summary'!$A:$D,3,0),0)</f>
        <v>Zone-7</v>
      </c>
      <c r="F872" s="143" t="str">
        <f>VLOOKUP(B872,'AFC Data details'!$B:$B,1,0)</f>
        <v>AZ7-PV08-T1C6-005</v>
      </c>
      <c r="H872" s="3">
        <f>_xlfn.XLOOKUP(B872,'AFC Data details'!B:B,'AFC Data details'!P:P)</f>
        <v>2.09</v>
      </c>
    </row>
    <row r="873" spans="1:8" x14ac:dyDescent="0.25">
      <c r="A873" s="154">
        <v>46065</v>
      </c>
      <c r="B873" s="3" t="s">
        <v>2271</v>
      </c>
      <c r="C873" s="3">
        <v>1</v>
      </c>
      <c r="D873" s="3" t="str">
        <f>VLOOKUP(B873,'Element wise-detail Summary'!$A:$D,2,0)</f>
        <v>PV09</v>
      </c>
      <c r="E873" s="3" t="str">
        <f>IFERROR(VLOOKUP(B873,'Element wise-detail Summary'!$A:$D,3,0),0)</f>
        <v>Zone-7</v>
      </c>
      <c r="F873" s="143" t="str">
        <f>VLOOKUP(B873,'AFC Data details'!$B:$B,1,0)</f>
        <v>AZ7-PV09-T1C6-001</v>
      </c>
      <c r="H873" s="3">
        <f>_xlfn.XLOOKUP(B873,'AFC Data details'!B:B,'AFC Data details'!P:P)</f>
        <v>2.09</v>
      </c>
    </row>
    <row r="874" spans="1:8" x14ac:dyDescent="0.25">
      <c r="A874" s="154">
        <v>46065</v>
      </c>
      <c r="B874" s="3" t="s">
        <v>2237</v>
      </c>
      <c r="C874" s="3">
        <v>1</v>
      </c>
      <c r="D874" s="3" t="str">
        <f>VLOOKUP(B874,'Element wise-detail Summary'!$A:$D,2,0)</f>
        <v>PV05</v>
      </c>
      <c r="E874" s="3" t="str">
        <f>IFERROR(VLOOKUP(B874,'Element wise-detail Summary'!$A:$D,3,0),0)</f>
        <v>Zone-7</v>
      </c>
      <c r="F874" s="143" t="str">
        <f>VLOOKUP(B874,'AFC Data details'!$B:$B,1,0)</f>
        <v>AZ7-PV05-T1C6-001</v>
      </c>
      <c r="H874" s="3">
        <f>_xlfn.XLOOKUP(B874,'AFC Data details'!B:B,'AFC Data details'!P:P)</f>
        <v>2.0840000000000001</v>
      </c>
    </row>
    <row r="875" spans="1:8" x14ac:dyDescent="0.25">
      <c r="A875" s="154">
        <v>46065</v>
      </c>
      <c r="B875" s="3" t="s">
        <v>2236</v>
      </c>
      <c r="C875" s="3">
        <v>1</v>
      </c>
      <c r="D875" s="3" t="str">
        <f>VLOOKUP(B875,'Element wise-detail Summary'!$A:$D,2,0)</f>
        <v>PV04</v>
      </c>
      <c r="E875" s="3" t="str">
        <f>IFERROR(VLOOKUP(B875,'Element wise-detail Summary'!$A:$D,3,0),0)</f>
        <v>Zone-7</v>
      </c>
      <c r="F875" s="143" t="str">
        <f>VLOOKUP(B875,'AFC Data details'!$B:$B,1,0)</f>
        <v>AZ7-PV04-T1C6-006</v>
      </c>
      <c r="H875" s="3">
        <f>_xlfn.XLOOKUP(B875,'AFC Data details'!B:B,'AFC Data details'!P:P)</f>
        <v>2.0840000000000001</v>
      </c>
    </row>
    <row r="876" spans="1:8" x14ac:dyDescent="0.25">
      <c r="A876" s="154">
        <v>46065</v>
      </c>
      <c r="B876" s="3" t="s">
        <v>2251</v>
      </c>
      <c r="C876" s="3">
        <v>1</v>
      </c>
      <c r="D876" s="3" t="str">
        <f>VLOOKUP(B876,'Element wise-detail Summary'!$A:$D,2,0)</f>
        <v>PV07</v>
      </c>
      <c r="E876" s="3" t="str">
        <f>IFERROR(VLOOKUP(B876,'Element wise-detail Summary'!$A:$D,3,0),0)</f>
        <v>Zone-7</v>
      </c>
      <c r="F876" s="143" t="str">
        <f>VLOOKUP(B876,'AFC Data details'!$B:$B,1,0)</f>
        <v>AZ7-PV07-T1C6-004</v>
      </c>
      <c r="H876" s="3">
        <f>_xlfn.XLOOKUP(B876,'AFC Data details'!B:B,'AFC Data details'!P:P)</f>
        <v>2.0840000000000001</v>
      </c>
    </row>
    <row r="877" spans="1:8" x14ac:dyDescent="0.25">
      <c r="A877" s="154">
        <v>46065</v>
      </c>
      <c r="B877" s="3" t="s">
        <v>2291</v>
      </c>
      <c r="C877" s="3">
        <v>1</v>
      </c>
      <c r="D877" s="3" t="str">
        <f>VLOOKUP(B877,'Element wise-detail Summary'!$A:$D,2,0)</f>
        <v>PV11</v>
      </c>
      <c r="E877" s="3" t="str">
        <f>IFERROR(VLOOKUP(B877,'Element wise-detail Summary'!$A:$D,3,0),0)</f>
        <v>Zone-7</v>
      </c>
      <c r="F877" s="143" t="str">
        <f>VLOOKUP(B877,'AFC Data details'!$B:$B,1,0)</f>
        <v>AZ7-PV11-T1C13-004</v>
      </c>
      <c r="H877" s="3">
        <f>_xlfn.XLOOKUP(B877,'AFC Data details'!B:B,'AFC Data details'!P:P)</f>
        <v>2.0449999999999999</v>
      </c>
    </row>
    <row r="878" spans="1:8" x14ac:dyDescent="0.25">
      <c r="A878" s="154">
        <v>46065</v>
      </c>
      <c r="B878" s="3" t="s">
        <v>2280</v>
      </c>
      <c r="C878" s="3">
        <v>1</v>
      </c>
      <c r="D878" s="3" t="str">
        <f>VLOOKUP(B878,'Element wise-detail Summary'!$A:$D,2,0)</f>
        <v>PV10</v>
      </c>
      <c r="E878" s="3" t="str">
        <f>IFERROR(VLOOKUP(B878,'Element wise-detail Summary'!$A:$D,3,0),0)</f>
        <v>Zone-7</v>
      </c>
      <c r="F878" s="143" t="str">
        <f>VLOOKUP(B878,'AFC Data details'!$B:$B,1,0)</f>
        <v>AZ7-PV10-T1C13-003</v>
      </c>
      <c r="H878" s="3">
        <f>_xlfn.XLOOKUP(B878,'AFC Data details'!B:B,'AFC Data details'!P:P)</f>
        <v>1.958</v>
      </c>
    </row>
    <row r="879" spans="1:8" x14ac:dyDescent="0.25">
      <c r="A879" s="154">
        <v>46065</v>
      </c>
      <c r="B879" s="3" t="s">
        <v>1682</v>
      </c>
      <c r="C879" s="3">
        <v>1</v>
      </c>
      <c r="D879" s="3" t="str">
        <f>VLOOKUP(B879,'Element wise-detail Summary'!$A:$D,2,0)</f>
        <v>V67</v>
      </c>
      <c r="E879" s="3" t="str">
        <f>IFERROR(VLOOKUP(B879,'Element wise-detail Summary'!$A:$D,3,0),0)</f>
        <v>Zone-5</v>
      </c>
      <c r="F879" s="143" t="str">
        <f>VLOOKUP(B879,'AFC Data details'!$B:$B,1,0)</f>
        <v>AZ5-V67-T3C5-002</v>
      </c>
      <c r="H879" s="3">
        <f>_xlfn.XLOOKUP(B879,'AFC Data details'!B:B,'AFC Data details'!P:P)</f>
        <v>1.423</v>
      </c>
    </row>
    <row r="880" spans="1:8" x14ac:dyDescent="0.25">
      <c r="A880" s="154">
        <v>46065</v>
      </c>
      <c r="B880" s="3" t="s">
        <v>1676</v>
      </c>
      <c r="C880" s="3">
        <v>1</v>
      </c>
      <c r="D880" s="3" t="str">
        <f>VLOOKUP(B880,'Element wise-detail Summary'!$A:$D,2,0)</f>
        <v>V65</v>
      </c>
      <c r="E880" s="3" t="str">
        <f>IFERROR(VLOOKUP(B880,'Element wise-detail Summary'!$A:$D,3,0),0)</f>
        <v>Zone-5</v>
      </c>
      <c r="F880" s="143" t="str">
        <f>VLOOKUP(B880,'AFC Data details'!$B:$B,1,0)</f>
        <v>AZ5-V65-T3C5-001</v>
      </c>
      <c r="H880" s="3">
        <f>_xlfn.XLOOKUP(B880,'AFC Data details'!B:B,'AFC Data details'!P:P)</f>
        <v>1.5549999999999999</v>
      </c>
    </row>
    <row r="881" spans="1:8" x14ac:dyDescent="0.25">
      <c r="A881" s="154">
        <v>46066</v>
      </c>
      <c r="B881" s="3" t="s">
        <v>2386</v>
      </c>
      <c r="C881" s="3">
        <v>1</v>
      </c>
      <c r="D881" s="3" t="str">
        <f>VLOOKUP(B881,'Element wise-detail Summary'!$A:$D,2,0)</f>
        <v>PV42</v>
      </c>
      <c r="E881" s="3" t="str">
        <f>IFERROR(VLOOKUP(B881,'Element wise-detail Summary'!$A:$D,3,0),0)</f>
        <v>Zone-8</v>
      </c>
      <c r="F881" s="143" t="str">
        <f>VLOOKUP(B881,'AFC Data details'!$B:$B,1,0)</f>
        <v>AZ8-PV42-T1C2-001</v>
      </c>
      <c r="H881" s="3">
        <f>_xlfn.XLOOKUP(B881,'AFC Data details'!B:B,'AFC Data details'!P:P)</f>
        <v>1.0840000000000001</v>
      </c>
    </row>
    <row r="882" spans="1:8" x14ac:dyDescent="0.25">
      <c r="A882" s="154">
        <v>46066</v>
      </c>
      <c r="B882" s="3" t="s">
        <v>2252</v>
      </c>
      <c r="C882" s="3">
        <v>1</v>
      </c>
      <c r="D882" s="3" t="str">
        <f>VLOOKUP(B882,'Element wise-detail Summary'!$A:$D,2,0)</f>
        <v>PV07</v>
      </c>
      <c r="E882" s="3" t="str">
        <f>IFERROR(VLOOKUP(B882,'Element wise-detail Summary'!$A:$D,3,0),0)</f>
        <v>Zone-7</v>
      </c>
      <c r="F882" s="143" t="str">
        <f>VLOOKUP(B882,'AFC Data details'!$B:$B,1,0)</f>
        <v>AZ7-PV07-T1C6-005</v>
      </c>
      <c r="H882" s="3">
        <f>_xlfn.XLOOKUP(B882,'AFC Data details'!B:B,'AFC Data details'!P:P)</f>
        <v>2.0840000000000001</v>
      </c>
    </row>
    <row r="883" spans="1:8" x14ac:dyDescent="0.25">
      <c r="A883" s="154">
        <v>46066</v>
      </c>
      <c r="B883" s="3" t="s">
        <v>2292</v>
      </c>
      <c r="C883" s="3">
        <v>1</v>
      </c>
      <c r="D883" s="3" t="str">
        <f>VLOOKUP(B883,'Element wise-detail Summary'!$A:$D,2,0)</f>
        <v>PV11</v>
      </c>
      <c r="E883" s="3" t="str">
        <f>IFERROR(VLOOKUP(B883,'Element wise-detail Summary'!$A:$D,3,0),0)</f>
        <v>Zone-7</v>
      </c>
      <c r="F883" s="143" t="str">
        <f>VLOOKUP(B883,'AFC Data details'!$B:$B,1,0)</f>
        <v>AZ7-PV11-T1C13-005</v>
      </c>
      <c r="H883" s="3">
        <f>_xlfn.XLOOKUP(B883,'AFC Data details'!B:B,'AFC Data details'!P:P)</f>
        <v>2.0449999999999999</v>
      </c>
    </row>
    <row r="884" spans="1:8" x14ac:dyDescent="0.25">
      <c r="A884" s="154">
        <v>46066</v>
      </c>
      <c r="B884" s="3" t="s">
        <v>2454</v>
      </c>
      <c r="C884" s="3">
        <v>1</v>
      </c>
      <c r="D884" s="3" t="str">
        <f>VLOOKUP(B884,'Element wise-detail Summary'!$A:$D,2,0)</f>
        <v>PV45</v>
      </c>
      <c r="E884" s="3" t="str">
        <f>IFERROR(VLOOKUP(B884,'Element wise-detail Summary'!$A:$D,3,0),0)</f>
        <v>Zone-8</v>
      </c>
      <c r="F884" s="143" t="str">
        <f>VLOOKUP(B884,'AFC Data details'!$B:$B,1,0)</f>
        <v>AZ8-PV45-T2C3-001</v>
      </c>
      <c r="H884" s="3">
        <f>_xlfn.XLOOKUP(B884,'AFC Data details'!B:B,'AFC Data details'!P:P)</f>
        <v>1.6519999999999999</v>
      </c>
    </row>
    <row r="885" spans="1:8" x14ac:dyDescent="0.25">
      <c r="A885" s="154">
        <v>46066</v>
      </c>
      <c r="B885" s="3" t="s">
        <v>2281</v>
      </c>
      <c r="C885" s="3">
        <v>1</v>
      </c>
      <c r="D885" s="3" t="str">
        <f>VLOOKUP(B885,'Element wise-detail Summary'!$A:$D,2,0)</f>
        <v>PV10</v>
      </c>
      <c r="E885" s="3" t="str">
        <f>IFERROR(VLOOKUP(B885,'Element wise-detail Summary'!$A:$D,3,0),0)</f>
        <v>Zone-7</v>
      </c>
      <c r="F885" s="143" t="str">
        <f>VLOOKUP(B885,'AFC Data details'!$B:$B,1,0)</f>
        <v>AZ7-PV10-T1C13-004</v>
      </c>
      <c r="H885" s="3">
        <f>_xlfn.XLOOKUP(B885,'AFC Data details'!B:B,'AFC Data details'!P:P)</f>
        <v>1.958</v>
      </c>
    </row>
    <row r="886" spans="1:8" x14ac:dyDescent="0.25">
      <c r="A886" s="154">
        <v>46066</v>
      </c>
      <c r="B886" s="3" t="s">
        <v>1684</v>
      </c>
      <c r="C886" s="3">
        <v>1</v>
      </c>
      <c r="D886" s="3" t="str">
        <f>VLOOKUP(B886,'Element wise-detail Summary'!$A:$D,2,0)</f>
        <v>V68</v>
      </c>
      <c r="E886" s="3" t="str">
        <f>IFERROR(VLOOKUP(B886,'Element wise-detail Summary'!$A:$D,3,0),0)</f>
        <v>Zone-5</v>
      </c>
      <c r="F886" s="143" t="str">
        <f>VLOOKUP(B886,'AFC Data details'!$B:$B,1,0)</f>
        <v>AZ5-V68-T3C5-001</v>
      </c>
      <c r="H886" s="3">
        <f>_xlfn.XLOOKUP(B886,'AFC Data details'!B:B,'AFC Data details'!P:P)</f>
        <v>1.423</v>
      </c>
    </row>
    <row r="887" spans="1:8" x14ac:dyDescent="0.25">
      <c r="A887" s="154">
        <v>46066</v>
      </c>
      <c r="B887" s="3" t="s">
        <v>1677</v>
      </c>
      <c r="C887" s="3">
        <v>1</v>
      </c>
      <c r="D887" s="3" t="str">
        <f>VLOOKUP(B887,'Element wise-detail Summary'!$A:$D,2,0)</f>
        <v>V65</v>
      </c>
      <c r="E887" s="3" t="str">
        <f>IFERROR(VLOOKUP(B887,'Element wise-detail Summary'!$A:$D,3,0),0)</f>
        <v>Zone-5</v>
      </c>
      <c r="F887" s="143" t="str">
        <f>VLOOKUP(B887,'AFC Data details'!$B:$B,1,0)</f>
        <v>AZ5-V65-T3C5-002</v>
      </c>
      <c r="H887" s="3">
        <f>_xlfn.XLOOKUP(B887,'AFC Data details'!B:B,'AFC Data details'!P:P)</f>
        <v>1.3819999999999999</v>
      </c>
    </row>
    <row r="888" spans="1:8" x14ac:dyDescent="0.25">
      <c r="A888" s="154">
        <v>46066</v>
      </c>
      <c r="B888" s="3" t="s">
        <v>2455</v>
      </c>
      <c r="C888" s="3">
        <v>1</v>
      </c>
      <c r="D888" s="3" t="str">
        <f>VLOOKUP(B888,'Element wise-detail Summary'!$A:$D,2,0)</f>
        <v>PV45</v>
      </c>
      <c r="E888" s="3" t="str">
        <f>IFERROR(VLOOKUP(B888,'Element wise-detail Summary'!$A:$D,3,0),0)</f>
        <v>Zone-8</v>
      </c>
      <c r="F888" s="143" t="str">
        <f>VLOOKUP(B888,'AFC Data details'!$B:$B,1,0)</f>
        <v>AZ8-PV45-T1C19-001</v>
      </c>
      <c r="H888" s="3">
        <f>_xlfn.XLOOKUP(B888,'AFC Data details'!B:B,'AFC Data details'!P:P)</f>
        <v>2.8330000000000002</v>
      </c>
    </row>
    <row r="889" spans="1:8" x14ac:dyDescent="0.25">
      <c r="A889" s="154">
        <v>46066</v>
      </c>
      <c r="B889" s="3" t="s">
        <v>2284</v>
      </c>
      <c r="C889" s="3">
        <v>1</v>
      </c>
      <c r="D889" s="3" t="str">
        <f>VLOOKUP(B889,'Element wise-detail Summary'!$A:$D,2,0)</f>
        <v>PV10</v>
      </c>
      <c r="E889" s="3" t="str">
        <f>IFERROR(VLOOKUP(B889,'Element wise-detail Summary'!$A:$D,3,0),0)</f>
        <v>Zone-7</v>
      </c>
      <c r="F889" s="143" t="str">
        <f>VLOOKUP(B889,'AFC Data details'!$B:$B,1,0)</f>
        <v>AZ7-PV10-T3C1-001</v>
      </c>
      <c r="H889" s="3">
        <f>_xlfn.XLOOKUP(B889,'AFC Data details'!B:B,'AFC Data details'!P:P)</f>
        <v>0.79500000000000004</v>
      </c>
    </row>
    <row r="890" spans="1:8" x14ac:dyDescent="0.25">
      <c r="A890" s="154">
        <v>46066</v>
      </c>
      <c r="B890" s="3" t="s">
        <v>2307</v>
      </c>
      <c r="C890" s="3">
        <v>1</v>
      </c>
      <c r="D890" s="3" t="str">
        <f>VLOOKUP(B890,'Element wise-detail Summary'!$A:$D,2,0)</f>
        <v>PV13</v>
      </c>
      <c r="E890" s="3" t="str">
        <f>IFERROR(VLOOKUP(B890,'Element wise-detail Summary'!$A:$D,3,0),0)</f>
        <v>Zone-7</v>
      </c>
      <c r="F890" s="143" t="str">
        <f>VLOOKUP(B890,'AFC Data details'!$B:$B,1,0)</f>
        <v>AZ7-PV13-T1C6-005</v>
      </c>
      <c r="H890" s="3">
        <f>_xlfn.XLOOKUP(B890,'AFC Data details'!B:B,'AFC Data details'!P:P)</f>
        <v>2.09</v>
      </c>
    </row>
    <row r="891" spans="1:8" x14ac:dyDescent="0.25">
      <c r="A891" s="154">
        <v>46066</v>
      </c>
      <c r="B891" s="3" t="s">
        <v>2320</v>
      </c>
      <c r="C891" s="3">
        <v>1</v>
      </c>
      <c r="D891" s="3" t="str">
        <f>VLOOKUP(B891,'Element wise-detail Summary'!$A:$D,2,0)</f>
        <v>PV14</v>
      </c>
      <c r="E891" s="3" t="str">
        <f>IFERROR(VLOOKUP(B891,'Element wise-detail Summary'!$A:$D,3,0),0)</f>
        <v>Zone-7</v>
      </c>
      <c r="F891" s="143" t="str">
        <f>VLOOKUP(B891,'AFC Data details'!$B:$B,1,0)</f>
        <v>AZ7-PV14-T1C6-005</v>
      </c>
      <c r="H891" s="3">
        <f>_xlfn.XLOOKUP(B891,'AFC Data details'!B:B,'AFC Data details'!P:P)</f>
        <v>2.0840000000000001</v>
      </c>
    </row>
    <row r="892" spans="1:8" x14ac:dyDescent="0.25">
      <c r="A892" s="154">
        <v>46066</v>
      </c>
      <c r="B892" s="3" t="s">
        <v>2274</v>
      </c>
      <c r="C892" s="3">
        <v>1</v>
      </c>
      <c r="D892" s="3" t="str">
        <f>VLOOKUP(B892,'Element wise-detail Summary'!$A:$D,2,0)</f>
        <v>PV09</v>
      </c>
      <c r="E892" s="3" t="str">
        <f>IFERROR(VLOOKUP(B892,'Element wise-detail Summary'!$A:$D,3,0),0)</f>
        <v>Zone-7</v>
      </c>
      <c r="F892" s="143" t="str">
        <f>VLOOKUP(B892,'AFC Data details'!$B:$B,1,0)</f>
        <v>AZ7-PV09-T1C1-001</v>
      </c>
      <c r="H892" s="3">
        <f>_xlfn.XLOOKUP(B892,'AFC Data details'!B:B,'AFC Data details'!P:P)</f>
        <v>0.97499999999999998</v>
      </c>
    </row>
    <row r="893" spans="1:8" x14ac:dyDescent="0.25">
      <c r="A893" s="154">
        <v>46066</v>
      </c>
      <c r="B893" s="3" t="s">
        <v>2340</v>
      </c>
      <c r="C893" s="3">
        <v>1</v>
      </c>
      <c r="D893" s="3" t="str">
        <f>VLOOKUP(B893,'Element wise-detail Summary'!$A:$D,2,0)</f>
        <v>PV37</v>
      </c>
      <c r="E893" s="3" t="str">
        <f>IFERROR(VLOOKUP(B893,'Element wise-detail Summary'!$A:$D,3,0),0)</f>
        <v>Zone-8</v>
      </c>
      <c r="F893" s="143" t="str">
        <f>VLOOKUP(B893,'AFC Data details'!$B:$B,1,0)</f>
        <v>AZ8-PV37-T1C13-001</v>
      </c>
      <c r="H893" s="3">
        <f>_xlfn.XLOOKUP(B893,'AFC Data details'!B:B,'AFC Data details'!P:P)</f>
        <v>1.9870000000000001</v>
      </c>
    </row>
    <row r="894" spans="1:8" x14ac:dyDescent="0.25">
      <c r="A894" s="154">
        <v>46066</v>
      </c>
      <c r="B894" s="3" t="s">
        <v>2298</v>
      </c>
      <c r="C894" s="3">
        <v>1</v>
      </c>
      <c r="D894" s="3" t="str">
        <f>VLOOKUP(B894,'Element wise-detail Summary'!$A:$D,2,0)</f>
        <v>PV12</v>
      </c>
      <c r="E894" s="3" t="str">
        <f>IFERROR(VLOOKUP(B894,'Element wise-detail Summary'!$A:$D,3,0),0)</f>
        <v>Zone-7</v>
      </c>
      <c r="F894" s="143" t="str">
        <f>VLOOKUP(B894,'AFC Data details'!$B:$B,1,0)</f>
        <v>AZ7-PV12-T1C6-001</v>
      </c>
      <c r="H894" s="3">
        <f>_xlfn.XLOOKUP(B894,'AFC Data details'!B:B,'AFC Data details'!P:P)</f>
        <v>2.09</v>
      </c>
    </row>
    <row r="895" spans="1:8" x14ac:dyDescent="0.25">
      <c r="A895" s="154">
        <v>46066</v>
      </c>
      <c r="B895" s="3" t="s">
        <v>2199</v>
      </c>
      <c r="C895" s="3">
        <v>1</v>
      </c>
      <c r="D895" s="3" t="str">
        <f>VLOOKUP(B895,'Element wise-detail Summary'!$A:$D,2,0)</f>
        <v>PV01</v>
      </c>
      <c r="E895" s="3" t="str">
        <f>IFERROR(VLOOKUP(B895,'Element wise-detail Summary'!$A:$D,3,0),0)</f>
        <v>Zone-7</v>
      </c>
      <c r="F895" s="143" t="str">
        <f>VLOOKUP(B895,'AFC Data details'!$B:$B,1,0)</f>
        <v>AZ7-PV01-T1C3-001</v>
      </c>
      <c r="H895" s="3">
        <f>_xlfn.XLOOKUP(B895,'AFC Data details'!B:B,'AFC Data details'!P:P)</f>
        <v>1.2290000000000001</v>
      </c>
    </row>
    <row r="896" spans="1:8" x14ac:dyDescent="0.25">
      <c r="A896" s="154">
        <v>46066</v>
      </c>
      <c r="B896" s="3" t="s">
        <v>2355</v>
      </c>
      <c r="C896" s="3">
        <v>1</v>
      </c>
      <c r="D896" s="3" t="str">
        <f>VLOOKUP(B896,'Element wise-detail Summary'!$A:$D,2,0)</f>
        <v>PV38</v>
      </c>
      <c r="E896" s="3" t="str">
        <f>IFERROR(VLOOKUP(B896,'Element wise-detail Summary'!$A:$D,3,0),0)</f>
        <v>Zone-8</v>
      </c>
      <c r="F896" s="143" t="str">
        <f>VLOOKUP(B896,'AFC Data details'!$B:$B,1,0)</f>
        <v>AZ8-PV38-T1C6-002</v>
      </c>
      <c r="H896" s="3">
        <f>_xlfn.XLOOKUP(B896,'AFC Data details'!B:B,'AFC Data details'!P:P)</f>
        <v>2.1280000000000001</v>
      </c>
    </row>
    <row r="897" spans="1:8" x14ac:dyDescent="0.25">
      <c r="A897" s="154">
        <v>46067</v>
      </c>
      <c r="B897" s="3" t="s">
        <v>2456</v>
      </c>
      <c r="C897" s="3">
        <v>1</v>
      </c>
      <c r="D897" s="3" t="str">
        <f>VLOOKUP(B897,'Element wise-detail Summary'!$A:$D,2,0)</f>
        <v>PV45</v>
      </c>
      <c r="E897" s="3" t="str">
        <f>IFERROR(VLOOKUP(B897,'Element wise-detail Summary'!$A:$D,3,0),0)</f>
        <v>Zone-8</v>
      </c>
      <c r="F897" s="143" t="str">
        <f>VLOOKUP(B897,'AFC Data details'!$B:$B,1,0)</f>
        <v>AZ8-PV45-T1C2-001</v>
      </c>
      <c r="H897" s="3">
        <f>_xlfn.XLOOKUP(B897,'AFC Data details'!B:B,'AFC Data details'!P:P)</f>
        <v>1.214</v>
      </c>
    </row>
    <row r="898" spans="1:8" x14ac:dyDescent="0.25">
      <c r="A898" s="154">
        <v>46067</v>
      </c>
      <c r="B898" s="3" t="s">
        <v>2253</v>
      </c>
      <c r="C898" s="3">
        <v>1</v>
      </c>
      <c r="D898" s="3" t="str">
        <f>VLOOKUP(B898,'Element wise-detail Summary'!$A:$D,2,0)</f>
        <v>PV06</v>
      </c>
      <c r="E898" s="3" t="str">
        <f>IFERROR(VLOOKUP(B898,'Element wise-detail Summary'!$A:$D,3,0),0)</f>
        <v>Zone-7</v>
      </c>
      <c r="F898" s="143" t="str">
        <f>VLOOKUP(B898,'AFC Data details'!$B:$B,1,0)</f>
        <v>AZ7-PV06-T1C6-006</v>
      </c>
      <c r="H898" s="3">
        <f>_xlfn.XLOOKUP(B898,'AFC Data details'!B:B,'AFC Data details'!P:P)</f>
        <v>2.0840000000000001</v>
      </c>
    </row>
    <row r="899" spans="1:8" x14ac:dyDescent="0.25">
      <c r="A899" s="154">
        <v>46067</v>
      </c>
      <c r="B899" s="3" t="s">
        <v>2293</v>
      </c>
      <c r="C899" s="3">
        <v>1</v>
      </c>
      <c r="D899" s="3" t="str">
        <f>VLOOKUP(B899,'Element wise-detail Summary'!$A:$D,2,0)</f>
        <v>PV11</v>
      </c>
      <c r="E899" s="3" t="str">
        <f>IFERROR(VLOOKUP(B899,'Element wise-detail Summary'!$A:$D,3,0),0)</f>
        <v>Zone-7</v>
      </c>
      <c r="F899" s="143" t="str">
        <f>VLOOKUP(B899,'AFC Data details'!$B:$B,1,0)</f>
        <v>AZ7-PV11-T1C13-006</v>
      </c>
      <c r="H899" s="3">
        <f>_xlfn.XLOOKUP(B899,'AFC Data details'!B:B,'AFC Data details'!P:P)</f>
        <v>2.0449999999999999</v>
      </c>
    </row>
    <row r="900" spans="1:8" x14ac:dyDescent="0.25">
      <c r="A900" s="154">
        <v>46067</v>
      </c>
      <c r="B900" s="3" t="s">
        <v>2282</v>
      </c>
      <c r="C900" s="3">
        <v>1</v>
      </c>
      <c r="D900" s="3" t="str">
        <f>VLOOKUP(B900,'Element wise-detail Summary'!$A:$D,2,0)</f>
        <v>PV10</v>
      </c>
      <c r="E900" s="3" t="str">
        <f>IFERROR(VLOOKUP(B900,'Element wise-detail Summary'!$A:$D,3,0),0)</f>
        <v>Zone-7</v>
      </c>
      <c r="F900" s="143" t="str">
        <f>VLOOKUP(B900,'AFC Data details'!$B:$B,1,0)</f>
        <v>AZ7-PV10-T1C13-005</v>
      </c>
      <c r="H900" s="3">
        <f>_xlfn.XLOOKUP(B900,'AFC Data details'!B:B,'AFC Data details'!P:P)</f>
        <v>1.958</v>
      </c>
    </row>
    <row r="901" spans="1:8" x14ac:dyDescent="0.25">
      <c r="A901" s="154">
        <v>46067</v>
      </c>
      <c r="B901" s="3" t="s">
        <v>1679</v>
      </c>
      <c r="C901" s="3">
        <v>1</v>
      </c>
      <c r="D901" s="3" t="str">
        <f>VLOOKUP(B901,'Element wise-detail Summary'!$A:$D,2,0)</f>
        <v>V66</v>
      </c>
      <c r="E901" s="3" t="str">
        <f>IFERROR(VLOOKUP(B901,'Element wise-detail Summary'!$A:$D,3,0),0)</f>
        <v>Zone-5</v>
      </c>
      <c r="F901" s="143" t="str">
        <f>VLOOKUP(B901,'AFC Data details'!$B:$B,1,0)</f>
        <v>AZ5-V66-T3C5-001</v>
      </c>
      <c r="H901" s="3">
        <f>_xlfn.XLOOKUP(B901,'AFC Data details'!B:B,'AFC Data details'!P:P)</f>
        <v>1.3819999999999999</v>
      </c>
    </row>
    <row r="902" spans="1:8" x14ac:dyDescent="0.25">
      <c r="A902" s="154">
        <v>46067</v>
      </c>
      <c r="B902" s="3" t="s">
        <v>2285</v>
      </c>
      <c r="C902" s="3">
        <v>1</v>
      </c>
      <c r="D902" s="3" t="str">
        <f>VLOOKUP(B902,'Element wise-detail Summary'!$A:$D,2,0)</f>
        <v>PV10</v>
      </c>
      <c r="E902" s="3" t="str">
        <f>IFERROR(VLOOKUP(B902,'Element wise-detail Summary'!$A:$D,3,0),0)</f>
        <v>Zone-7</v>
      </c>
      <c r="F902" s="143" t="str">
        <f>VLOOKUP(B902,'AFC Data details'!$B:$B,1,0)</f>
        <v>AZ7-PV10-T3C1-002</v>
      </c>
      <c r="H902" s="3">
        <f>_xlfn.XLOOKUP(B902,'AFC Data details'!B:B,'AFC Data details'!P:P)</f>
        <v>0.85099999999999998</v>
      </c>
    </row>
    <row r="903" spans="1:8" x14ac:dyDescent="0.25">
      <c r="A903" s="154">
        <v>46067</v>
      </c>
      <c r="B903" s="3" t="s">
        <v>2353</v>
      </c>
      <c r="C903" s="3">
        <v>1</v>
      </c>
      <c r="D903" s="3" t="str">
        <f>VLOOKUP(B903,'Element wise-detail Summary'!$A:$D,2,0)</f>
        <v>PV38</v>
      </c>
      <c r="E903" s="3" t="str">
        <f>IFERROR(VLOOKUP(B903,'Element wise-detail Summary'!$A:$D,3,0),0)</f>
        <v>Zone-8</v>
      </c>
      <c r="F903" s="143" t="str">
        <f>VLOOKUP(B903,'AFC Data details'!$B:$B,1,0)</f>
        <v>AZ8-PV38-T1C6-001</v>
      </c>
      <c r="H903" s="3">
        <f>_xlfn.XLOOKUP(B903,'AFC Data details'!B:B,'AFC Data details'!P:P)</f>
        <v>2.1280000000000001</v>
      </c>
    </row>
    <row r="904" spans="1:8" x14ac:dyDescent="0.25">
      <c r="A904" s="154">
        <v>46067</v>
      </c>
      <c r="B904" s="3" t="s">
        <v>2321</v>
      </c>
      <c r="C904" s="3">
        <v>1</v>
      </c>
      <c r="D904" s="3" t="str">
        <f>VLOOKUP(B904,'Element wise-detail Summary'!$A:$D,2,0)</f>
        <v>PV15</v>
      </c>
      <c r="E904" s="3" t="str">
        <f>IFERROR(VLOOKUP(B904,'Element wise-detail Summary'!$A:$D,3,0),0)</f>
        <v>Zone-7</v>
      </c>
      <c r="F904" s="143" t="str">
        <f>VLOOKUP(B904,'AFC Data details'!$B:$B,1,0)</f>
        <v>AZ7-PV15-T1C6-002</v>
      </c>
      <c r="H904" s="3">
        <f>_xlfn.XLOOKUP(B904,'AFC Data details'!B:B,'AFC Data details'!P:P)</f>
        <v>2.0840000000000001</v>
      </c>
    </row>
    <row r="905" spans="1:8" x14ac:dyDescent="0.25">
      <c r="A905" s="154">
        <v>46067</v>
      </c>
      <c r="B905" s="3" t="s">
        <v>2242</v>
      </c>
      <c r="C905" s="3">
        <v>1</v>
      </c>
      <c r="D905" s="3" t="str">
        <f>VLOOKUP(B905,'Element wise-detail Summary'!$A:$D,2,0)</f>
        <v>PV06</v>
      </c>
      <c r="E905" s="3" t="str">
        <f>IFERROR(VLOOKUP(B905,'Element wise-detail Summary'!$A:$D,3,0),0)</f>
        <v>Zone-7</v>
      </c>
      <c r="F905" s="143" t="str">
        <f>VLOOKUP(B905,'AFC Data details'!$B:$B,1,0)</f>
        <v>AZ7-PV06-T1C1-001</v>
      </c>
      <c r="H905" s="3">
        <f>_xlfn.XLOOKUP(B905,'AFC Data details'!B:B,'AFC Data details'!P:P)</f>
        <v>0.97899999999999998</v>
      </c>
    </row>
    <row r="906" spans="1:8" x14ac:dyDescent="0.25">
      <c r="A906" s="154">
        <v>46067</v>
      </c>
      <c r="B906" s="3" t="s">
        <v>2342</v>
      </c>
      <c r="C906" s="3">
        <v>1</v>
      </c>
      <c r="D906" s="3" t="str">
        <f>VLOOKUP(B906,'Element wise-detail Summary'!$A:$D,2,0)</f>
        <v>PV37</v>
      </c>
      <c r="E906" s="3" t="str">
        <f>IFERROR(VLOOKUP(B906,'Element wise-detail Summary'!$A:$D,3,0),0)</f>
        <v>Zone-8</v>
      </c>
      <c r="F906" s="143" t="str">
        <f>VLOOKUP(B906,'AFC Data details'!$B:$B,1,0)</f>
        <v>AZ8-PV37-T1C13-002</v>
      </c>
      <c r="H906" s="3">
        <f>_xlfn.XLOOKUP(B906,'AFC Data details'!B:B,'AFC Data details'!P:P)</f>
        <v>1.9870000000000001</v>
      </c>
    </row>
    <row r="907" spans="1:8" x14ac:dyDescent="0.25">
      <c r="A907" s="154">
        <v>46067</v>
      </c>
      <c r="B907" s="3" t="s">
        <v>2299</v>
      </c>
      <c r="C907" s="3">
        <v>1</v>
      </c>
      <c r="D907" s="3" t="str">
        <f>VLOOKUP(B907,'Element wise-detail Summary'!$A:$D,2,0)</f>
        <v>PV13</v>
      </c>
      <c r="E907" s="3" t="str">
        <f>IFERROR(VLOOKUP(B907,'Element wise-detail Summary'!$A:$D,3,0),0)</f>
        <v>Zone-7</v>
      </c>
      <c r="F907" s="143" t="str">
        <f>VLOOKUP(B907,'AFC Data details'!$B:$B,1,0)</f>
        <v>AZ7-PV13-T1C6-006</v>
      </c>
      <c r="H907" s="3">
        <f>_xlfn.XLOOKUP(B907,'AFC Data details'!B:B,'AFC Data details'!P:P)</f>
        <v>2.09</v>
      </c>
    </row>
    <row r="908" spans="1:8" x14ac:dyDescent="0.25">
      <c r="A908" s="154">
        <v>46067</v>
      </c>
      <c r="B908" s="3" t="s">
        <v>2223</v>
      </c>
      <c r="C908" s="3">
        <v>1</v>
      </c>
      <c r="D908" s="3" t="str">
        <f>VLOOKUP(B908,'Element wise-detail Summary'!$A:$D,2,0)</f>
        <v>PV03</v>
      </c>
      <c r="E908" s="3" t="str">
        <f>IFERROR(VLOOKUP(B908,'Element wise-detail Summary'!$A:$D,3,0),0)</f>
        <v>Zone-7</v>
      </c>
      <c r="F908" s="143" t="str">
        <f>VLOOKUP(B908,'AFC Data details'!$B:$B,1,0)</f>
        <v>AZ7-PV03-T1C2-001</v>
      </c>
      <c r="H908" s="3">
        <f>_xlfn.XLOOKUP(B908,'AFC Data details'!B:B,'AFC Data details'!P:P)</f>
        <v>1.095</v>
      </c>
    </row>
    <row r="909" spans="1:8" x14ac:dyDescent="0.25">
      <c r="A909" s="154">
        <v>46067</v>
      </c>
      <c r="B909" s="3" t="s">
        <v>2207</v>
      </c>
      <c r="C909" s="3">
        <v>1</v>
      </c>
      <c r="D909" s="3" t="str">
        <f>VLOOKUP(B909,'Element wise-detail Summary'!$A:$D,2,0)</f>
        <v>PV01</v>
      </c>
      <c r="E909" s="3" t="str">
        <f>IFERROR(VLOOKUP(B909,'Element wise-detail Summary'!$A:$D,3,0),0)</f>
        <v>Zone-7</v>
      </c>
      <c r="F909" s="143" t="str">
        <f>VLOOKUP(B909,'AFC Data details'!$B:$B,1,0)</f>
        <v>AZ7-PV01-T3C6-001</v>
      </c>
      <c r="H909" s="3">
        <f>_xlfn.XLOOKUP(B909,'AFC Data details'!B:B,'AFC Data details'!P:P)</f>
        <v>1.657</v>
      </c>
    </row>
    <row r="910" spans="1:8" x14ac:dyDescent="0.25">
      <c r="A910" s="154">
        <v>46067</v>
      </c>
      <c r="B910" s="3" t="s">
        <v>2356</v>
      </c>
      <c r="C910" s="3">
        <v>1</v>
      </c>
      <c r="D910" s="3" t="str">
        <f>VLOOKUP(B910,'Element wise-detail Summary'!$A:$D,2,0)</f>
        <v>PV38</v>
      </c>
      <c r="E910" s="3" t="str">
        <f>IFERROR(VLOOKUP(B910,'Element wise-detail Summary'!$A:$D,3,0),0)</f>
        <v>Zone-8</v>
      </c>
      <c r="F910" s="143" t="str">
        <f>VLOOKUP(B910,'AFC Data details'!$B:$B,1,0)</f>
        <v>AZ8-PV38-T1C6-003</v>
      </c>
      <c r="H910" s="3">
        <f>_xlfn.XLOOKUP(B910,'AFC Data details'!B:B,'AFC Data details'!P:P)</f>
        <v>2.1280000000000001</v>
      </c>
    </row>
    <row r="911" spans="1:8" x14ac:dyDescent="0.25">
      <c r="A911" s="154">
        <v>46069</v>
      </c>
      <c r="B911" s="3" t="s">
        <v>2457</v>
      </c>
      <c r="C911" s="3">
        <v>1</v>
      </c>
      <c r="D911" s="3" t="str">
        <f>VLOOKUP(B911,'Element wise-detail Summary'!$A:$D,2,0)</f>
        <v>PV45</v>
      </c>
      <c r="E911" s="3" t="str">
        <f>IFERROR(VLOOKUP(B911,'Element wise-detail Summary'!$A:$D,3,0),0)</f>
        <v>Zone-8</v>
      </c>
      <c r="F911" s="143" t="str">
        <f>VLOOKUP(B911,'AFC Data details'!$B:$B,1,0)</f>
        <v>AZ8-PV45-T1C2-002</v>
      </c>
      <c r="H911" s="3">
        <f>_xlfn.XLOOKUP(B911,'AFC Data details'!B:B,'AFC Data details'!P:P)</f>
        <v>1.1890000000000001</v>
      </c>
    </row>
    <row r="912" spans="1:8" x14ac:dyDescent="0.25">
      <c r="A912" s="154">
        <v>46069</v>
      </c>
      <c r="B912" s="3" t="s">
        <v>2254</v>
      </c>
      <c r="C912" s="3">
        <v>1</v>
      </c>
      <c r="D912" s="3" t="str">
        <f>VLOOKUP(B912,'Element wise-detail Summary'!$A:$D,2,0)</f>
        <v>PV07</v>
      </c>
      <c r="E912" s="3" t="str">
        <f>IFERROR(VLOOKUP(B912,'Element wise-detail Summary'!$A:$D,3,0),0)</f>
        <v>Zone-7</v>
      </c>
      <c r="F912" s="143" t="str">
        <f>VLOOKUP(B912,'AFC Data details'!$B:$B,1,0)</f>
        <v>AZ7-PV07-T1C6-001</v>
      </c>
      <c r="H912" s="3">
        <f>_xlfn.XLOOKUP(B912,'AFC Data details'!B:B,'AFC Data details'!P:P)</f>
        <v>2.0840000000000001</v>
      </c>
    </row>
    <row r="913" spans="1:8" x14ac:dyDescent="0.25">
      <c r="A913" s="154">
        <v>46069</v>
      </c>
      <c r="B913" s="3" t="s">
        <v>2332</v>
      </c>
      <c r="C913" s="3">
        <v>1</v>
      </c>
      <c r="D913" s="3" t="str">
        <f>VLOOKUP(B913,'Element wise-detail Summary'!$A:$D,2,0)</f>
        <v>PV16</v>
      </c>
      <c r="E913" s="3" t="str">
        <f>IFERROR(VLOOKUP(B913,'Element wise-detail Summary'!$A:$D,3,0),0)</f>
        <v>Zone-7</v>
      </c>
      <c r="F913" s="143" t="str">
        <f>VLOOKUP(B913,'AFC Data details'!$B:$B,1,0)</f>
        <v>AZ7-PV16-T1C13-001</v>
      </c>
      <c r="H913" s="3">
        <f>_xlfn.XLOOKUP(B913,'AFC Data details'!B:B,'AFC Data details'!P:P)</f>
        <v>2.008</v>
      </c>
    </row>
    <row r="914" spans="1:8" x14ac:dyDescent="0.25">
      <c r="A914" s="154">
        <v>46069</v>
      </c>
      <c r="B914" s="3" t="s">
        <v>2283</v>
      </c>
      <c r="C914" s="3">
        <v>1</v>
      </c>
      <c r="D914" s="3" t="str">
        <f>VLOOKUP(B914,'Element wise-detail Summary'!$A:$D,2,0)</f>
        <v>PV10</v>
      </c>
      <c r="E914" s="3" t="str">
        <f>IFERROR(VLOOKUP(B914,'Element wise-detail Summary'!$A:$D,3,0),0)</f>
        <v>Zone-7</v>
      </c>
      <c r="F914" s="143" t="str">
        <f>VLOOKUP(B914,'AFC Data details'!$B:$B,1,0)</f>
        <v>AZ7-PV10-T1C13-006</v>
      </c>
      <c r="H914" s="3">
        <f>_xlfn.XLOOKUP(B914,'AFC Data details'!B:B,'AFC Data details'!P:P)</f>
        <v>1.958</v>
      </c>
    </row>
    <row r="915" spans="1:8" x14ac:dyDescent="0.25">
      <c r="A915" s="154">
        <v>46069</v>
      </c>
      <c r="B915" s="3" t="s">
        <v>1685</v>
      </c>
      <c r="C915" s="3">
        <v>1</v>
      </c>
      <c r="D915" s="3" t="str">
        <f>VLOOKUP(B915,'Element wise-detail Summary'!$A:$D,2,0)</f>
        <v>V68</v>
      </c>
      <c r="E915" s="3" t="str">
        <f>IFERROR(VLOOKUP(B915,'Element wise-detail Summary'!$A:$D,3,0),0)</f>
        <v>Zone-5</v>
      </c>
      <c r="F915" s="143" t="str">
        <f>VLOOKUP(B915,'AFC Data details'!$B:$B,1,0)</f>
        <v>AZ5-V68-T3C5-002</v>
      </c>
      <c r="H915" s="3">
        <f>_xlfn.XLOOKUP(B915,'AFC Data details'!B:B,'AFC Data details'!P:P)</f>
        <v>1.5960000000000001</v>
      </c>
    </row>
    <row r="916" spans="1:8" x14ac:dyDescent="0.25">
      <c r="A916" s="154">
        <v>46069</v>
      </c>
      <c r="B916" s="3" t="s">
        <v>2458</v>
      </c>
      <c r="C916" s="3">
        <v>1</v>
      </c>
      <c r="D916" s="3" t="str">
        <f>VLOOKUP(B916,'Element wise-detail Summary'!$A:$D,2,0)</f>
        <v>PV45</v>
      </c>
      <c r="E916" s="3" t="str">
        <f>IFERROR(VLOOKUP(B916,'Element wise-detail Summary'!$A:$D,3,0),0)</f>
        <v>Zone-8</v>
      </c>
      <c r="F916" s="143" t="str">
        <f>VLOOKUP(B916,'AFC Data details'!$B:$B,1,0)</f>
        <v>AZ8-PV45-T1C19-002</v>
      </c>
      <c r="H916" s="3">
        <f>_xlfn.XLOOKUP(B916,'AFC Data details'!B:B,'AFC Data details'!P:P)</f>
        <v>2.8330000000000002</v>
      </c>
    </row>
    <row r="917" spans="1:8" x14ac:dyDescent="0.25">
      <c r="A917" s="154">
        <v>46069</v>
      </c>
      <c r="B917" s="3" t="s">
        <v>2354</v>
      </c>
      <c r="C917" s="3">
        <v>1</v>
      </c>
      <c r="D917" s="3" t="str">
        <f>VLOOKUP(B917,'Element wise-detail Summary'!$A:$D,2,0)</f>
        <v>PV39</v>
      </c>
      <c r="E917" s="3" t="str">
        <f>IFERROR(VLOOKUP(B917,'Element wise-detail Summary'!$A:$D,3,0),0)</f>
        <v>Zone-8</v>
      </c>
      <c r="F917" s="143" t="str">
        <f>VLOOKUP(B917,'AFC Data details'!$B:$B,1,0)</f>
        <v>AZ8-PV39-T1C6-006</v>
      </c>
      <c r="H917" s="3">
        <f>_xlfn.XLOOKUP(B917,'AFC Data details'!B:B,'AFC Data details'!P:P)</f>
        <v>2.1280000000000001</v>
      </c>
    </row>
    <row r="918" spans="1:8" x14ac:dyDescent="0.25">
      <c r="A918" s="154">
        <v>46069</v>
      </c>
      <c r="B918" s="3" t="s">
        <v>2375</v>
      </c>
      <c r="C918" s="3">
        <v>1</v>
      </c>
      <c r="D918" s="3" t="str">
        <f>VLOOKUP(B918,'Element wise-detail Summary'!$A:$D,2,0)</f>
        <v>PV40</v>
      </c>
      <c r="E918" s="3" t="str">
        <f>IFERROR(VLOOKUP(B918,'Element wise-detail Summary'!$A:$D,3,0),0)</f>
        <v>Zone-8</v>
      </c>
      <c r="F918" s="143" t="str">
        <f>VLOOKUP(B918,'AFC Data details'!$B:$B,1,0)</f>
        <v>AZ8-PV40-T1C6-005</v>
      </c>
      <c r="H918" s="3">
        <f>_xlfn.XLOOKUP(B918,'AFC Data details'!B:B,'AFC Data details'!P:P)</f>
        <v>2.1850000000000001</v>
      </c>
    </row>
    <row r="919" spans="1:8" x14ac:dyDescent="0.25">
      <c r="A919" s="154">
        <v>46069</v>
      </c>
      <c r="B919" s="3" t="s">
        <v>2312</v>
      </c>
      <c r="C919" s="3">
        <v>1</v>
      </c>
      <c r="D919" s="3" t="str">
        <f>VLOOKUP(B919,'Element wise-detail Summary'!$A:$D,2,0)</f>
        <v>PV13</v>
      </c>
      <c r="E919" s="3" t="str">
        <f>IFERROR(VLOOKUP(B919,'Element wise-detail Summary'!$A:$D,3,0),0)</f>
        <v>Zone-7</v>
      </c>
      <c r="F919" s="143" t="str">
        <f>VLOOKUP(B919,'AFC Data details'!$B:$B,1,0)</f>
        <v>AZ7-PV13-T1C1-001</v>
      </c>
      <c r="H919" s="3">
        <f>_xlfn.XLOOKUP(B919,'AFC Data details'!B:B,'AFC Data details'!P:P)</f>
        <v>1.006</v>
      </c>
    </row>
    <row r="920" spans="1:8" x14ac:dyDescent="0.25">
      <c r="A920" s="154">
        <v>46069</v>
      </c>
      <c r="B920" s="3" t="s">
        <v>2343</v>
      </c>
      <c r="C920" s="3">
        <v>1</v>
      </c>
      <c r="D920" s="3" t="str">
        <f>VLOOKUP(B920,'Element wise-detail Summary'!$A:$D,2,0)</f>
        <v>PV37</v>
      </c>
      <c r="E920" s="3" t="str">
        <f>IFERROR(VLOOKUP(B920,'Element wise-detail Summary'!$A:$D,3,0),0)</f>
        <v>Zone-8</v>
      </c>
      <c r="F920" s="143" t="str">
        <f>VLOOKUP(B920,'AFC Data details'!$B:$B,1,0)</f>
        <v>AZ8-PV37-T1C13-003</v>
      </c>
      <c r="H920" s="3">
        <f>_xlfn.XLOOKUP(B920,'AFC Data details'!B:B,'AFC Data details'!P:P)</f>
        <v>1.9870000000000001</v>
      </c>
    </row>
    <row r="921" spans="1:8" x14ac:dyDescent="0.25">
      <c r="A921" s="154">
        <v>46069</v>
      </c>
      <c r="B921" s="3" t="s">
        <v>2364</v>
      </c>
      <c r="C921" s="3">
        <v>1</v>
      </c>
      <c r="D921" s="3" t="str">
        <f>VLOOKUP(B921,'Element wise-detail Summary'!$A:$D,2,0)</f>
        <v>PV39</v>
      </c>
      <c r="E921" s="3" t="str">
        <f>IFERROR(VLOOKUP(B921,'Element wise-detail Summary'!$A:$D,3,0),0)</f>
        <v>Zone-8</v>
      </c>
      <c r="F921" s="143" t="str">
        <f>VLOOKUP(B921,'AFC Data details'!$B:$B,1,0)</f>
        <v>AZ8-PV39-T1C6-001</v>
      </c>
      <c r="H921" s="3">
        <f>_xlfn.XLOOKUP(B921,'AFC Data details'!B:B,'AFC Data details'!P:P)</f>
        <v>2.1280000000000001</v>
      </c>
    </row>
    <row r="922" spans="1:8" x14ac:dyDescent="0.25">
      <c r="A922" s="154">
        <v>46069</v>
      </c>
      <c r="B922" s="3" t="s">
        <v>2357</v>
      </c>
      <c r="C922" s="3">
        <v>1</v>
      </c>
      <c r="D922" s="3" t="str">
        <f>VLOOKUP(B922,'Element wise-detail Summary'!$A:$D,2,0)</f>
        <v>PV38</v>
      </c>
      <c r="E922" s="3" t="str">
        <f>IFERROR(VLOOKUP(B922,'Element wise-detail Summary'!$A:$D,3,0),0)</f>
        <v>Zone-8</v>
      </c>
      <c r="F922" s="143" t="str">
        <f>VLOOKUP(B922,'AFC Data details'!$B:$B,1,0)</f>
        <v>AZ8-PV38-T1C6-004</v>
      </c>
      <c r="H922" s="3">
        <f>_xlfn.XLOOKUP(B922,'AFC Data details'!B:B,'AFC Data details'!P:P)</f>
        <v>2.1280000000000001</v>
      </c>
    </row>
    <row r="923" spans="1:8" x14ac:dyDescent="0.25">
      <c r="A923" s="154">
        <v>46069</v>
      </c>
      <c r="B923" s="3" t="s">
        <v>2224</v>
      </c>
      <c r="C923" s="3">
        <v>1</v>
      </c>
      <c r="D923" s="3" t="str">
        <f>VLOOKUP(B923,'Element wise-detail Summary'!$A:$D,2,0)</f>
        <v>PV03</v>
      </c>
      <c r="E923" s="3" t="str">
        <f>IFERROR(VLOOKUP(B923,'Element wise-detail Summary'!$A:$D,3,0),0)</f>
        <v>Zone-7</v>
      </c>
      <c r="F923" s="143" t="str">
        <f>VLOOKUP(B923,'AFC Data details'!$B:$B,1,0)</f>
        <v>AZ7-PV03-T3C5-001</v>
      </c>
      <c r="H923" s="3">
        <f>_xlfn.XLOOKUP(B923,'AFC Data details'!B:B,'AFC Data details'!P:P)</f>
        <v>1.611</v>
      </c>
    </row>
    <row r="924" spans="1:8" x14ac:dyDescent="0.25">
      <c r="A924" s="154">
        <v>46070</v>
      </c>
      <c r="B924" s="3" t="s">
        <v>2387</v>
      </c>
      <c r="C924" s="3">
        <v>1</v>
      </c>
      <c r="D924" s="3" t="str">
        <f>VLOOKUP(B924,'Element wise-detail Summary'!$A:$D,2,0)</f>
        <v>PV42</v>
      </c>
      <c r="E924" s="3" t="str">
        <f>IFERROR(VLOOKUP(B924,'Element wise-detail Summary'!$A:$D,3,0),0)</f>
        <v>Zone-8</v>
      </c>
      <c r="F924" s="143" t="str">
        <f>VLOOKUP(B924,'AFC Data details'!$B:$B,1,0)</f>
        <v>AZ8-PV42-T1C6-001</v>
      </c>
      <c r="H924" s="3">
        <f>_xlfn.XLOOKUP(B924,'AFC Data details'!B:B,'AFC Data details'!P:P)</f>
        <v>2.1909999999999998</v>
      </c>
    </row>
    <row r="925" spans="1:8" x14ac:dyDescent="0.25">
      <c r="A925" s="154">
        <v>46070</v>
      </c>
      <c r="B925" s="3" t="s">
        <v>2392</v>
      </c>
      <c r="C925" s="3">
        <v>1</v>
      </c>
      <c r="D925" s="3" t="str">
        <f>VLOOKUP(B925,'Element wise-detail Summary'!$A:$D,2,0)</f>
        <v>PV42</v>
      </c>
      <c r="E925" s="3" t="str">
        <f>IFERROR(VLOOKUP(B925,'Element wise-detail Summary'!$A:$D,3,0),0)</f>
        <v>Zone-8</v>
      </c>
      <c r="F925" s="143" t="str">
        <f>VLOOKUP(B925,'AFC Data details'!$B:$B,1,0)</f>
        <v>AZ8-PV42-T1C6-005</v>
      </c>
      <c r="H925" s="3">
        <f>_xlfn.XLOOKUP(B925,'AFC Data details'!B:B,'AFC Data details'!P:P)</f>
        <v>2.1909999999999998</v>
      </c>
    </row>
    <row r="926" spans="1:8" x14ac:dyDescent="0.25">
      <c r="A926" s="154">
        <v>46070</v>
      </c>
      <c r="B926" s="3" t="s">
        <v>2197</v>
      </c>
      <c r="C926" s="3">
        <v>1</v>
      </c>
      <c r="D926" s="3" t="str">
        <f>VLOOKUP(B926,'Element wise-detail Summary'!$A:$D,2,0)</f>
        <v>PV01</v>
      </c>
      <c r="E926" s="3" t="str">
        <f>IFERROR(VLOOKUP(B926,'Element wise-detail Summary'!$A:$D,3,0),0)</f>
        <v>Zone-7</v>
      </c>
      <c r="F926" s="143" t="str">
        <f>VLOOKUP(B926,'AFC Data details'!$B:$B,1,0)</f>
        <v>AZ7-PV01-T1C14-003</v>
      </c>
      <c r="H926" s="3">
        <f>_xlfn.XLOOKUP(B926,'AFC Data details'!B:B,'AFC Data details'!P:P)</f>
        <v>2.383</v>
      </c>
    </row>
    <row r="927" spans="1:8" x14ac:dyDescent="0.25">
      <c r="A927" s="154">
        <v>46070</v>
      </c>
      <c r="B927" s="3" t="s">
        <v>1680</v>
      </c>
      <c r="C927" s="3">
        <v>1</v>
      </c>
      <c r="D927" s="3" t="str">
        <f>VLOOKUP(B927,'Element wise-detail Summary'!$A:$D,2,0)</f>
        <v>V66</v>
      </c>
      <c r="E927" s="3" t="str">
        <f>IFERROR(VLOOKUP(B927,'Element wise-detail Summary'!$A:$D,3,0),0)</f>
        <v>Zone-5</v>
      </c>
      <c r="F927" s="143" t="str">
        <f>VLOOKUP(B927,'AFC Data details'!$B:$B,1,0)</f>
        <v>AZ5-V66-T3C5-002</v>
      </c>
      <c r="H927" s="3">
        <f>_xlfn.XLOOKUP(B927,'AFC Data details'!B:B,'AFC Data details'!P:P)</f>
        <v>1.5649999999999999</v>
      </c>
    </row>
    <row r="928" spans="1:8" x14ac:dyDescent="0.25">
      <c r="A928" s="154">
        <v>46070</v>
      </c>
      <c r="B928" s="3" t="s">
        <v>2459</v>
      </c>
      <c r="C928" s="3">
        <v>1</v>
      </c>
      <c r="D928" s="3" t="str">
        <f>VLOOKUP(B928,'Element wise-detail Summary'!$A:$D,2,0)</f>
        <v>PV45</v>
      </c>
      <c r="E928" s="3" t="str">
        <f>IFERROR(VLOOKUP(B928,'Element wise-detail Summary'!$A:$D,3,0),0)</f>
        <v>Zone-8</v>
      </c>
      <c r="F928" s="143" t="str">
        <f>VLOOKUP(B928,'AFC Data details'!$B:$B,1,0)</f>
        <v>AZ8-PV45-T1C19-003</v>
      </c>
      <c r="H928" s="3">
        <f>_xlfn.XLOOKUP(B928,'AFC Data details'!B:B,'AFC Data details'!P:P)</f>
        <v>2.8330000000000002</v>
      </c>
    </row>
    <row r="929" spans="1:8" x14ac:dyDescent="0.25">
      <c r="A929" s="154">
        <v>46070</v>
      </c>
      <c r="B929" s="3" t="s">
        <v>2286</v>
      </c>
      <c r="C929" s="3">
        <v>1</v>
      </c>
      <c r="D929" s="3" t="str">
        <f>VLOOKUP(B929,'Element wise-detail Summary'!$A:$D,2,0)</f>
        <v>PV10</v>
      </c>
      <c r="E929" s="3" t="str">
        <f>IFERROR(VLOOKUP(B929,'Element wise-detail Summary'!$A:$D,3,0),0)</f>
        <v>Zone-7</v>
      </c>
      <c r="F929" s="143" t="str">
        <f>VLOOKUP(B929,'AFC Data details'!$B:$B,1,0)</f>
        <v>AZ7-PV10-T3C1-003</v>
      </c>
      <c r="H929" s="3">
        <f>_xlfn.XLOOKUP(B929,'AFC Data details'!B:B,'AFC Data details'!P:P)</f>
        <v>1.0229999999999999</v>
      </c>
    </row>
    <row r="930" spans="1:8" x14ac:dyDescent="0.25">
      <c r="A930" s="154">
        <v>46070</v>
      </c>
      <c r="B930" s="3" t="s">
        <v>2361</v>
      </c>
      <c r="C930" s="3">
        <v>1</v>
      </c>
      <c r="D930" s="3" t="str">
        <f>VLOOKUP(B930,'Element wise-detail Summary'!$A:$D,2,0)</f>
        <v>PV39</v>
      </c>
      <c r="E930" s="3" t="str">
        <f>IFERROR(VLOOKUP(B930,'Element wise-detail Summary'!$A:$D,3,0),0)</f>
        <v>Zone-8</v>
      </c>
      <c r="F930" s="143" t="str">
        <f>VLOOKUP(B930,'AFC Data details'!$B:$B,1,0)</f>
        <v>AZ8-PV39-T1C6-004</v>
      </c>
      <c r="H930" s="3">
        <f>_xlfn.XLOOKUP(B930,'AFC Data details'!B:B,'AFC Data details'!P:P)</f>
        <v>2.1280000000000001</v>
      </c>
    </row>
    <row r="931" spans="1:8" x14ac:dyDescent="0.25">
      <c r="A931" s="154">
        <v>46070</v>
      </c>
      <c r="B931" s="3" t="s">
        <v>2376</v>
      </c>
      <c r="C931" s="3">
        <v>1</v>
      </c>
      <c r="D931" s="3" t="str">
        <f>VLOOKUP(B931,'Element wise-detail Summary'!$A:$D,2,0)</f>
        <v>PV41</v>
      </c>
      <c r="E931" s="3" t="str">
        <f>IFERROR(VLOOKUP(B931,'Element wise-detail Summary'!$A:$D,3,0),0)</f>
        <v>Zone-8</v>
      </c>
      <c r="F931" s="143" t="str">
        <f>VLOOKUP(B931,'AFC Data details'!$B:$B,1,0)</f>
        <v>AZ8-PV41-T1C6-002</v>
      </c>
      <c r="H931" s="3">
        <f>_xlfn.XLOOKUP(B931,'AFC Data details'!B:B,'AFC Data details'!P:P)</f>
        <v>2.1850000000000001</v>
      </c>
    </row>
    <row r="932" spans="1:8" x14ac:dyDescent="0.25">
      <c r="A932" s="154">
        <v>46070</v>
      </c>
      <c r="B932" s="3" t="s">
        <v>2344</v>
      </c>
      <c r="C932" s="3">
        <v>1</v>
      </c>
      <c r="D932" s="3" t="str">
        <f>VLOOKUP(B932,'Element wise-detail Summary'!$A:$D,2,0)</f>
        <v>PV37</v>
      </c>
      <c r="E932" s="3" t="str">
        <f>IFERROR(VLOOKUP(B932,'Element wise-detail Summary'!$A:$D,3,0),0)</f>
        <v>Zone-8</v>
      </c>
      <c r="F932" s="143" t="str">
        <f>VLOOKUP(B932,'AFC Data details'!$B:$B,1,0)</f>
        <v>AZ8-PV37-T1C13-004</v>
      </c>
      <c r="H932" s="3">
        <f>_xlfn.XLOOKUP(B932,'AFC Data details'!B:B,'AFC Data details'!P:P)</f>
        <v>1.9870000000000001</v>
      </c>
    </row>
    <row r="933" spans="1:8" x14ac:dyDescent="0.25">
      <c r="A933" s="154">
        <v>46070</v>
      </c>
      <c r="B933" s="3" t="s">
        <v>2370</v>
      </c>
      <c r="C933" s="3">
        <v>1</v>
      </c>
      <c r="D933" s="3" t="str">
        <f>VLOOKUP(B933,'Element wise-detail Summary'!$A:$D,2,0)</f>
        <v>PV40</v>
      </c>
      <c r="E933" s="3" t="str">
        <f>IFERROR(VLOOKUP(B933,'Element wise-detail Summary'!$A:$D,3,0),0)</f>
        <v>Zone-8</v>
      </c>
      <c r="F933" s="143" t="str">
        <f>VLOOKUP(B933,'AFC Data details'!$B:$B,1,0)</f>
        <v>AZ8-PV40-T1C6-001</v>
      </c>
      <c r="H933" s="3">
        <f>_xlfn.XLOOKUP(B933,'AFC Data details'!B:B,'AFC Data details'!P:P)</f>
        <v>2.1850000000000001</v>
      </c>
    </row>
    <row r="934" spans="1:8" x14ac:dyDescent="0.25">
      <c r="A934" s="154">
        <v>46070</v>
      </c>
      <c r="B934" s="3" t="s">
        <v>2352</v>
      </c>
      <c r="C934" s="3">
        <v>1</v>
      </c>
      <c r="D934" s="3" t="str">
        <f>VLOOKUP(B934,'Element wise-detail Summary'!$A:$D,2,0)</f>
        <v>PV38</v>
      </c>
      <c r="E934" s="3" t="str">
        <f>IFERROR(VLOOKUP(B934,'Element wise-detail Summary'!$A:$D,3,0),0)</f>
        <v>Zone-8</v>
      </c>
      <c r="F934" s="143" t="str">
        <f>VLOOKUP(B934,'AFC Data details'!$B:$B,1,0)</f>
        <v>AZ8-PV38-T1C1-001</v>
      </c>
      <c r="H934" s="3">
        <f>_xlfn.XLOOKUP(B934,'AFC Data details'!B:B,'AFC Data details'!P:P)</f>
        <v>0.95499999999999996</v>
      </c>
    </row>
    <row r="935" spans="1:8" x14ac:dyDescent="0.25">
      <c r="A935" s="154">
        <v>46070</v>
      </c>
      <c r="B935" s="3" t="s">
        <v>2358</v>
      </c>
      <c r="C935" s="3">
        <v>1</v>
      </c>
      <c r="D935" s="3" t="str">
        <f>VLOOKUP(B935,'Element wise-detail Summary'!$A:$D,2,0)</f>
        <v>PV38</v>
      </c>
      <c r="E935" s="3" t="str">
        <f>IFERROR(VLOOKUP(B935,'Element wise-detail Summary'!$A:$D,3,0),0)</f>
        <v>Zone-8</v>
      </c>
      <c r="F935" s="143" t="str">
        <f>VLOOKUP(B935,'AFC Data details'!$B:$B,1,0)</f>
        <v>AZ8-PV38-T1C6-005</v>
      </c>
      <c r="H935" s="3">
        <f>_xlfn.XLOOKUP(B935,'AFC Data details'!B:B,'AFC Data details'!P:P)</f>
        <v>2.1280000000000001</v>
      </c>
    </row>
    <row r="936" spans="1:8" x14ac:dyDescent="0.25">
      <c r="A936" s="154">
        <v>46070</v>
      </c>
      <c r="B936" s="3" t="s">
        <v>2225</v>
      </c>
      <c r="C936" s="3">
        <v>1</v>
      </c>
      <c r="D936" s="3" t="str">
        <f>VLOOKUP(B936,'Element wise-detail Summary'!$A:$D,2,0)</f>
        <v>PV03</v>
      </c>
      <c r="E936" s="3" t="str">
        <f>IFERROR(VLOOKUP(B936,'Element wise-detail Summary'!$A:$D,3,0),0)</f>
        <v>Zone-7</v>
      </c>
      <c r="F936" s="143" t="str">
        <f>VLOOKUP(B936,'AFC Data details'!$B:$B,1,0)</f>
        <v>AZ7-PV03-T3C5-002</v>
      </c>
      <c r="H936" s="3">
        <f>_xlfn.XLOOKUP(B936,'AFC Data details'!B:B,'AFC Data details'!P:P)</f>
        <v>1.3540000000000001</v>
      </c>
    </row>
    <row r="937" spans="1:8" x14ac:dyDescent="0.25">
      <c r="A937" s="154">
        <v>46071</v>
      </c>
      <c r="B937" s="3" t="s">
        <v>2460</v>
      </c>
      <c r="C937" s="3">
        <v>1</v>
      </c>
      <c r="D937" s="3" t="str">
        <f>VLOOKUP(B937,'Element wise-detail Summary'!$A:$D,2,0)</f>
        <v>PV45</v>
      </c>
      <c r="E937" s="3" t="str">
        <f>IFERROR(VLOOKUP(B937,'Element wise-detail Summary'!$A:$D,3,0),0)</f>
        <v>Zone-8</v>
      </c>
      <c r="F937" s="143" t="str">
        <f>VLOOKUP(B937,'AFC Data details'!$B:$B,1,0)</f>
        <v>AZ8-PV45-T1C2-003</v>
      </c>
      <c r="H937" s="3">
        <f>_xlfn.XLOOKUP(B937,'AFC Data details'!B:B,'AFC Data details'!P:P)</f>
        <v>1.1890000000000001</v>
      </c>
    </row>
    <row r="938" spans="1:8" x14ac:dyDescent="0.25">
      <c r="A938" s="154">
        <v>46071</v>
      </c>
      <c r="B938" s="3" t="s">
        <v>2388</v>
      </c>
      <c r="C938" s="3">
        <v>1</v>
      </c>
      <c r="D938" s="3" t="str">
        <f>VLOOKUP(B938,'Element wise-detail Summary'!$A:$D,2,0)</f>
        <v>PV43</v>
      </c>
      <c r="E938" s="3" t="str">
        <f>IFERROR(VLOOKUP(B938,'Element wise-detail Summary'!$A:$D,3,0),0)</f>
        <v>Zone-8</v>
      </c>
      <c r="F938" s="143" t="str">
        <f>VLOOKUP(B938,'AFC Data details'!$B:$B,1,0)</f>
        <v>AZ8-PV43-T1C6-006</v>
      </c>
      <c r="H938" s="3">
        <f>_xlfn.XLOOKUP(B938,'AFC Data details'!B:B,'AFC Data details'!P:P)</f>
        <v>2.1909999999999998</v>
      </c>
    </row>
    <row r="939" spans="1:8" x14ac:dyDescent="0.25">
      <c r="A939" s="154">
        <v>46071</v>
      </c>
      <c r="B939" s="3" t="s">
        <v>2393</v>
      </c>
      <c r="C939" s="3">
        <v>1</v>
      </c>
      <c r="D939" s="3" t="str">
        <f>VLOOKUP(B939,'Element wise-detail Summary'!$A:$D,2,0)</f>
        <v>PV43</v>
      </c>
      <c r="E939" s="3" t="str">
        <f>IFERROR(VLOOKUP(B939,'Element wise-detail Summary'!$A:$D,3,0),0)</f>
        <v>Zone-8</v>
      </c>
      <c r="F939" s="143" t="str">
        <f>VLOOKUP(B939,'AFC Data details'!$B:$B,1,0)</f>
        <v>AZ8-PV43-T1C6-002</v>
      </c>
      <c r="H939" s="3">
        <f>_xlfn.XLOOKUP(B939,'AFC Data details'!B:B,'AFC Data details'!P:P)</f>
        <v>2.1909999999999998</v>
      </c>
    </row>
    <row r="940" spans="1:8" x14ac:dyDescent="0.25">
      <c r="A940" s="154">
        <v>46071</v>
      </c>
      <c r="B940" s="3" t="s">
        <v>2198</v>
      </c>
      <c r="C940" s="3">
        <v>1</v>
      </c>
      <c r="D940" s="3" t="str">
        <f>VLOOKUP(B940,'Element wise-detail Summary'!$A:$D,2,0)</f>
        <v>PV01</v>
      </c>
      <c r="E940" s="3" t="str">
        <f>IFERROR(VLOOKUP(B940,'Element wise-detail Summary'!$A:$D,3,0),0)</f>
        <v>Zone-7</v>
      </c>
      <c r="F940" s="143" t="str">
        <f>VLOOKUP(B940,'AFC Data details'!$B:$B,1,0)</f>
        <v>AZ7-PV01-T1C15-001</v>
      </c>
      <c r="H940" s="3">
        <f>_xlfn.XLOOKUP(B940,'AFC Data details'!B:B,'AFC Data details'!P:P)</f>
        <v>2.5779999999999998</v>
      </c>
    </row>
    <row r="941" spans="1:8" x14ac:dyDescent="0.25">
      <c r="A941" s="154">
        <v>46071</v>
      </c>
      <c r="B941" s="3" t="s">
        <v>1686</v>
      </c>
      <c r="C941" s="3">
        <v>1</v>
      </c>
      <c r="D941" s="3" t="str">
        <f>VLOOKUP(B941,'Element wise-detail Summary'!$A:$D,2,0)</f>
        <v>V69</v>
      </c>
      <c r="E941" s="3" t="str">
        <f>IFERROR(VLOOKUP(B941,'Element wise-detail Summary'!$A:$D,3,0),0)</f>
        <v>Zone-5</v>
      </c>
      <c r="F941" s="143" t="str">
        <f>VLOOKUP(B941,'AFC Data details'!$B:$B,1,0)</f>
        <v>AZ5-V69-T3C5-001</v>
      </c>
      <c r="H941" s="3">
        <f>_xlfn.XLOOKUP(B941,'AFC Data details'!B:B,'AFC Data details'!P:P)</f>
        <v>1.613</v>
      </c>
    </row>
    <row r="942" spans="1:8" x14ac:dyDescent="0.25">
      <c r="A942" s="154">
        <v>46071</v>
      </c>
      <c r="B942" s="3" t="s">
        <v>2461</v>
      </c>
      <c r="C942" s="3">
        <v>1</v>
      </c>
      <c r="D942" s="3" t="str">
        <f>VLOOKUP(B942,'Element wise-detail Summary'!$A:$D,2,0)</f>
        <v>PV45</v>
      </c>
      <c r="E942" s="3" t="str">
        <f>IFERROR(VLOOKUP(B942,'Element wise-detail Summary'!$A:$D,3,0),0)</f>
        <v>Zone-8</v>
      </c>
      <c r="F942" s="143" t="str">
        <f>VLOOKUP(B942,'AFC Data details'!$B:$B,1,0)</f>
        <v>AZ8-PV45-T1C19-004</v>
      </c>
      <c r="H942" s="3">
        <f>_xlfn.XLOOKUP(B942,'AFC Data details'!B:B,'AFC Data details'!P:P)</f>
        <v>2.8330000000000002</v>
      </c>
    </row>
    <row r="943" spans="1:8" x14ac:dyDescent="0.25">
      <c r="A943" s="154">
        <v>46071</v>
      </c>
      <c r="B943" s="3" t="s">
        <v>2362</v>
      </c>
      <c r="C943" s="3">
        <v>1</v>
      </c>
      <c r="D943" s="3" t="str">
        <f>VLOOKUP(B943,'Element wise-detail Summary'!$A:$D,2,0)</f>
        <v>PV39</v>
      </c>
      <c r="E943" s="3" t="str">
        <f>IFERROR(VLOOKUP(B943,'Element wise-detail Summary'!$A:$D,3,0),0)</f>
        <v>Zone-8</v>
      </c>
      <c r="F943" s="143" t="str">
        <f>VLOOKUP(B943,'AFC Data details'!$B:$B,1,0)</f>
        <v>AZ8-PV39-T1C6-005</v>
      </c>
      <c r="H943" s="3">
        <f>_xlfn.XLOOKUP(B943,'AFC Data details'!B:B,'AFC Data details'!P:P)</f>
        <v>2.1280000000000001</v>
      </c>
    </row>
    <row r="944" spans="1:8" x14ac:dyDescent="0.25">
      <c r="A944" s="154">
        <v>46071</v>
      </c>
      <c r="B944" s="3" t="s">
        <v>2377</v>
      </c>
      <c r="C944" s="3">
        <v>1</v>
      </c>
      <c r="D944" s="3" t="str">
        <f>VLOOKUP(B944,'Element wise-detail Summary'!$A:$D,2,0)</f>
        <v>PV41</v>
      </c>
      <c r="E944" s="3" t="str">
        <f>IFERROR(VLOOKUP(B944,'Element wise-detail Summary'!$A:$D,3,0),0)</f>
        <v>Zone-8</v>
      </c>
      <c r="F944" s="143" t="str">
        <f>VLOOKUP(B944,'AFC Data details'!$B:$B,1,0)</f>
        <v>AZ8-PV41-T1C6-003</v>
      </c>
      <c r="H944" s="3">
        <f>_xlfn.XLOOKUP(B944,'AFC Data details'!B:B,'AFC Data details'!P:P)</f>
        <v>2.1850000000000001</v>
      </c>
    </row>
    <row r="945" spans="1:8" x14ac:dyDescent="0.25">
      <c r="A945" s="154">
        <v>46071</v>
      </c>
      <c r="B945" s="3" t="s">
        <v>2329</v>
      </c>
      <c r="C945" s="3">
        <v>1</v>
      </c>
      <c r="D945" s="3" t="str">
        <f>VLOOKUP(B945,'Element wise-detail Summary'!$A:$D,2,0)</f>
        <v>PV15</v>
      </c>
      <c r="E945" s="3" t="str">
        <f>IFERROR(VLOOKUP(B945,'Element wise-detail Summary'!$A:$D,3,0),0)</f>
        <v>Zone-7</v>
      </c>
      <c r="F945" s="143" t="str">
        <f>VLOOKUP(B945,'AFC Data details'!$B:$B,1,0)</f>
        <v>AZ7-PV15-T1C1-001</v>
      </c>
      <c r="H945" s="3">
        <f>_xlfn.XLOOKUP(B945,'AFC Data details'!B:B,'AFC Data details'!P:P)</f>
        <v>0.97099999999999997</v>
      </c>
    </row>
    <row r="946" spans="1:8" x14ac:dyDescent="0.25">
      <c r="A946" s="154">
        <v>46071</v>
      </c>
      <c r="B946" s="3" t="s">
        <v>2345</v>
      </c>
      <c r="C946" s="3">
        <v>1</v>
      </c>
      <c r="D946" s="3" t="str">
        <f>VLOOKUP(B946,'Element wise-detail Summary'!$A:$D,2,0)</f>
        <v>PV37</v>
      </c>
      <c r="E946" s="3" t="str">
        <f>IFERROR(VLOOKUP(B946,'Element wise-detail Summary'!$A:$D,3,0),0)</f>
        <v>Zone-8</v>
      </c>
      <c r="F946" s="143" t="str">
        <f>VLOOKUP(B946,'AFC Data details'!$B:$B,1,0)</f>
        <v>AZ8-PV37-T1C13-005</v>
      </c>
      <c r="H946" s="3">
        <f>_xlfn.XLOOKUP(B946,'AFC Data details'!B:B,'AFC Data details'!P:P)</f>
        <v>1.921</v>
      </c>
    </row>
    <row r="947" spans="1:8" x14ac:dyDescent="0.25">
      <c r="A947" s="154">
        <v>46071</v>
      </c>
      <c r="B947" s="3" t="s">
        <v>2371</v>
      </c>
      <c r="C947" s="3">
        <v>1</v>
      </c>
      <c r="D947" s="3" t="str">
        <f>VLOOKUP(B947,'Element wise-detail Summary'!$A:$D,2,0)</f>
        <v>PV41</v>
      </c>
      <c r="E947" s="3" t="str">
        <f>IFERROR(VLOOKUP(B947,'Element wise-detail Summary'!$A:$D,3,0),0)</f>
        <v>Zone-8</v>
      </c>
      <c r="F947" s="143" t="str">
        <f>VLOOKUP(B947,'AFC Data details'!$B:$B,1,0)</f>
        <v>AZ8-PV41-T1C6-006</v>
      </c>
      <c r="H947" s="3">
        <f>_xlfn.XLOOKUP(B947,'AFC Data details'!B:B,'AFC Data details'!P:P)</f>
        <v>2.1850000000000001</v>
      </c>
    </row>
    <row r="948" spans="1:8" x14ac:dyDescent="0.25">
      <c r="A948" s="154">
        <v>46071</v>
      </c>
      <c r="B948" s="3" t="s">
        <v>2411</v>
      </c>
      <c r="C948" s="3">
        <v>1</v>
      </c>
      <c r="D948" s="3" t="str">
        <f>VLOOKUP(B948,'Element wise-detail Summary'!$A:$D,2,0)</f>
        <v>PV44</v>
      </c>
      <c r="E948" s="3" t="str">
        <f>IFERROR(VLOOKUP(B948,'Element wise-detail Summary'!$A:$D,3,0),0)</f>
        <v>Zone-8</v>
      </c>
      <c r="F948" s="143" t="str">
        <f>VLOOKUP(B948,'AFC Data details'!$B:$B,1,0)</f>
        <v>AZ8-PV44-T1C1-008</v>
      </c>
      <c r="H948" s="3">
        <f>_xlfn.XLOOKUP(B948,'AFC Data details'!B:B,'AFC Data details'!P:P)</f>
        <v>0.92800000000000005</v>
      </c>
    </row>
    <row r="949" spans="1:8" x14ac:dyDescent="0.25">
      <c r="A949" s="154">
        <v>46071</v>
      </c>
      <c r="B949" s="3" t="s">
        <v>2359</v>
      </c>
      <c r="C949" s="3">
        <v>1</v>
      </c>
      <c r="D949" s="3" t="str">
        <f>VLOOKUP(B949,'Element wise-detail Summary'!$A:$D,2,0)</f>
        <v>PV39</v>
      </c>
      <c r="E949" s="3" t="str">
        <f>IFERROR(VLOOKUP(B949,'Element wise-detail Summary'!$A:$D,3,0),0)</f>
        <v>Zone-8</v>
      </c>
      <c r="F949" s="143" t="str">
        <f>VLOOKUP(B949,'AFC Data details'!$B:$B,1,0)</f>
        <v>AZ8-PV39-T1C6-002</v>
      </c>
      <c r="H949" s="3">
        <f>_xlfn.XLOOKUP(B949,'AFC Data details'!B:B,'AFC Data details'!P:P)</f>
        <v>2.1280000000000001</v>
      </c>
    </row>
    <row r="950" spans="1:8" x14ac:dyDescent="0.25">
      <c r="A950" s="154">
        <v>46072</v>
      </c>
      <c r="B950" s="3" t="s">
        <v>2462</v>
      </c>
      <c r="C950" s="3">
        <v>1</v>
      </c>
      <c r="D950" s="3" t="str">
        <f>VLOOKUP(B950,'Element wise-detail Summary'!$A:$D,2,0)</f>
        <v>PV46</v>
      </c>
      <c r="E950" s="3" t="str">
        <f>IFERROR(VLOOKUP(B950,'Element wise-detail Summary'!$A:$D,3,0),0)</f>
        <v>Zone-8</v>
      </c>
      <c r="F950" s="143" t="str">
        <f>VLOOKUP(B950,'AFC Data details'!$B:$B,1,0)</f>
        <v>AZ8-PV46-T1C2-001</v>
      </c>
      <c r="H950" s="3">
        <f>_xlfn.XLOOKUP(B950,'AFC Data details'!B:B,'AFC Data details'!P:P)</f>
        <v>1.101</v>
      </c>
    </row>
    <row r="951" spans="1:8" x14ac:dyDescent="0.25">
      <c r="A951" s="154">
        <v>46072</v>
      </c>
      <c r="B951" s="3" t="s">
        <v>2389</v>
      </c>
      <c r="C951" s="3">
        <v>1</v>
      </c>
      <c r="D951" s="3" t="str">
        <f>VLOOKUP(B951,'Element wise-detail Summary'!$A:$D,2,0)</f>
        <v>PV42</v>
      </c>
      <c r="E951" s="3" t="str">
        <f>IFERROR(VLOOKUP(B951,'Element wise-detail Summary'!$A:$D,3,0),0)</f>
        <v>Zone-8</v>
      </c>
      <c r="F951" s="143" t="str">
        <f>VLOOKUP(B951,'AFC Data details'!$B:$B,1,0)</f>
        <v>AZ8-PV42-T1C6-002</v>
      </c>
      <c r="H951" s="3">
        <f>_xlfn.XLOOKUP(B951,'AFC Data details'!B:B,'AFC Data details'!P:P)</f>
        <v>2.1909999999999998</v>
      </c>
    </row>
    <row r="952" spans="1:8" x14ac:dyDescent="0.25">
      <c r="A952" s="154">
        <v>46072</v>
      </c>
      <c r="B952" s="3" t="s">
        <v>1687</v>
      </c>
      <c r="C952" s="3">
        <v>1</v>
      </c>
      <c r="D952" s="3" t="str">
        <f>VLOOKUP(B952,'Element wise-detail Summary'!$A:$D,2,0)</f>
        <v>V69</v>
      </c>
      <c r="E952" s="3" t="str">
        <f>IFERROR(VLOOKUP(B952,'Element wise-detail Summary'!$A:$D,3,0),0)</f>
        <v>Zone-5</v>
      </c>
      <c r="F952" s="143" t="str">
        <f>VLOOKUP(B952,'AFC Data details'!$B:$B,1,0)</f>
        <v>AZ5-V69-T3C5-002</v>
      </c>
      <c r="H952" s="3">
        <f>_xlfn.XLOOKUP(B952,'AFC Data details'!B:B,'AFC Data details'!P:P)</f>
        <v>1.4350000000000001</v>
      </c>
    </row>
    <row r="953" spans="1:8" x14ac:dyDescent="0.25">
      <c r="A953" s="154">
        <v>46072</v>
      </c>
      <c r="B953" s="3" t="s">
        <v>2363</v>
      </c>
      <c r="C953" s="3">
        <v>1</v>
      </c>
      <c r="D953" s="3" t="str">
        <f>VLOOKUP(B953,'Element wise-detail Summary'!$A:$D,2,0)</f>
        <v>PV38</v>
      </c>
      <c r="E953" s="3" t="str">
        <f>IFERROR(VLOOKUP(B953,'Element wise-detail Summary'!$A:$D,3,0),0)</f>
        <v>Zone-8</v>
      </c>
      <c r="F953" s="143" t="str">
        <f>VLOOKUP(B953,'AFC Data details'!$B:$B,1,0)</f>
        <v>AZ8-PV38-T1C6-006</v>
      </c>
      <c r="H953" s="3">
        <f>_xlfn.XLOOKUP(B953,'AFC Data details'!B:B,'AFC Data details'!P:P)</f>
        <v>2.1280000000000001</v>
      </c>
    </row>
    <row r="954" spans="1:8" x14ac:dyDescent="0.25">
      <c r="A954" s="154">
        <v>46072</v>
      </c>
      <c r="B954" s="3" t="s">
        <v>2378</v>
      </c>
      <c r="C954" s="3">
        <v>1</v>
      </c>
      <c r="D954" s="3" t="str">
        <f>VLOOKUP(B954,'Element wise-detail Summary'!$A:$D,2,0)</f>
        <v>PV41</v>
      </c>
      <c r="E954" s="3" t="str">
        <f>IFERROR(VLOOKUP(B954,'Element wise-detail Summary'!$A:$D,3,0),0)</f>
        <v>Zone-8</v>
      </c>
      <c r="F954" s="143" t="str">
        <f>VLOOKUP(B954,'AFC Data details'!$B:$B,1,0)</f>
        <v>AZ8-PV41-T1C6-004</v>
      </c>
      <c r="H954" s="3">
        <f>_xlfn.XLOOKUP(B954,'AFC Data details'!B:B,'AFC Data details'!P:P)</f>
        <v>2.1850000000000001</v>
      </c>
    </row>
    <row r="955" spans="1:8" x14ac:dyDescent="0.25">
      <c r="A955" s="154">
        <v>46072</v>
      </c>
      <c r="B955" s="3" t="s">
        <v>2346</v>
      </c>
      <c r="C955" s="3">
        <v>1</v>
      </c>
      <c r="D955" s="3" t="str">
        <f>VLOOKUP(B955,'Element wise-detail Summary'!$A:$D,2,0)</f>
        <v>PV37</v>
      </c>
      <c r="E955" s="3" t="str">
        <f>IFERROR(VLOOKUP(B955,'Element wise-detail Summary'!$A:$D,3,0),0)</f>
        <v>Zone-8</v>
      </c>
      <c r="F955" s="143" t="str">
        <f>VLOOKUP(B955,'AFC Data details'!$B:$B,1,0)</f>
        <v>AZ8-PV37-T1C13-006</v>
      </c>
      <c r="H955" s="3">
        <f>_xlfn.XLOOKUP(B955,'AFC Data details'!B:B,'AFC Data details'!P:P)</f>
        <v>1.921</v>
      </c>
    </row>
    <row r="956" spans="1:8" x14ac:dyDescent="0.25">
      <c r="A956" s="154">
        <v>46072</v>
      </c>
      <c r="B956" s="3" t="s">
        <v>2372</v>
      </c>
      <c r="C956" s="3">
        <v>1</v>
      </c>
      <c r="D956" s="3" t="str">
        <f>VLOOKUP(B956,'Element wise-detail Summary'!$A:$D,2,0)</f>
        <v>PV40</v>
      </c>
      <c r="E956" s="3" t="str">
        <f>IFERROR(VLOOKUP(B956,'Element wise-detail Summary'!$A:$D,3,0),0)</f>
        <v>Zone-8</v>
      </c>
      <c r="F956" s="143" t="str">
        <f>VLOOKUP(B956,'AFC Data details'!$B:$B,1,0)</f>
        <v>AZ8-PV40-T1C6-002</v>
      </c>
      <c r="H956" s="3">
        <f>_xlfn.XLOOKUP(B956,'AFC Data details'!B:B,'AFC Data details'!P:P)</f>
        <v>2.1850000000000001</v>
      </c>
    </row>
    <row r="957" spans="1:8" x14ac:dyDescent="0.25">
      <c r="A957" s="154">
        <v>46072</v>
      </c>
      <c r="B957" s="3" t="s">
        <v>2369</v>
      </c>
      <c r="C957" s="3">
        <v>1</v>
      </c>
      <c r="D957" s="3" t="str">
        <f>VLOOKUP(B957,'Element wise-detail Summary'!$A:$D,2,0)</f>
        <v>PV40</v>
      </c>
      <c r="E957" s="3" t="str">
        <f>IFERROR(VLOOKUP(B957,'Element wise-detail Summary'!$A:$D,3,0),0)</f>
        <v>Zone-8</v>
      </c>
      <c r="F957" s="143" t="str">
        <f>VLOOKUP(B957,'AFC Data details'!$B:$B,1,0)</f>
        <v>AZ8-PV40-T1C1-001</v>
      </c>
      <c r="H957" s="3">
        <f>_xlfn.XLOOKUP(B957,'AFC Data details'!B:B,'AFC Data details'!P:P)</f>
        <v>0.95499999999999996</v>
      </c>
    </row>
    <row r="958" spans="1:8" x14ac:dyDescent="0.25">
      <c r="A958" s="154">
        <v>46072</v>
      </c>
      <c r="B958" s="3" t="s">
        <v>2360</v>
      </c>
      <c r="C958" s="3">
        <v>1</v>
      </c>
      <c r="D958" s="3" t="str">
        <f>VLOOKUP(B958,'Element wise-detail Summary'!$A:$D,2,0)</f>
        <v>PV39</v>
      </c>
      <c r="E958" s="3" t="str">
        <f>IFERROR(VLOOKUP(B958,'Element wise-detail Summary'!$A:$D,3,0),0)</f>
        <v>Zone-8</v>
      </c>
      <c r="F958" s="143" t="str">
        <f>VLOOKUP(B958,'AFC Data details'!$B:$B,1,0)</f>
        <v>AZ8-PV39-T1C6-003</v>
      </c>
      <c r="H958" s="3">
        <f>_xlfn.XLOOKUP(B958,'AFC Data details'!B:B,'AFC Data details'!P:P)</f>
        <v>2.1280000000000001</v>
      </c>
    </row>
    <row r="959" spans="1:8" x14ac:dyDescent="0.25">
      <c r="A959" s="154">
        <v>46072</v>
      </c>
      <c r="B959" s="3" t="s">
        <v>2238</v>
      </c>
      <c r="C959" s="3">
        <v>1</v>
      </c>
      <c r="D959" s="3" t="str">
        <f>VLOOKUP(B959,'Element wise-detail Summary'!$A:$D,2,0)</f>
        <v>PV04</v>
      </c>
      <c r="E959" s="3" t="str">
        <f>IFERROR(VLOOKUP(B959,'Element wise-detail Summary'!$A:$D,3,0),0)</f>
        <v>Zone-7</v>
      </c>
      <c r="F959" s="143" t="str">
        <f>VLOOKUP(B959,'AFC Data details'!$B:$B,1,0)</f>
        <v>AZ7-PV04-T3C5-001</v>
      </c>
      <c r="H959" s="3">
        <f>_xlfn.XLOOKUP(B959,'AFC Data details'!B:B,'AFC Data details'!P:P)</f>
        <v>1.331</v>
      </c>
    </row>
    <row r="960" spans="1:8" x14ac:dyDescent="0.25">
      <c r="A960" s="154">
        <v>46073</v>
      </c>
      <c r="B960" s="3" t="s">
        <v>2481</v>
      </c>
      <c r="C960" s="3">
        <v>1</v>
      </c>
      <c r="D960" s="3" t="str">
        <f>VLOOKUP(B960,'Element wise-detail Summary'!$A:$D,2,0)</f>
        <v>PV45</v>
      </c>
      <c r="E960" s="3" t="str">
        <f>IFERROR(VLOOKUP(B960,'Element wise-detail Summary'!$A:$D,3,0),0)</f>
        <v>Zone-8</v>
      </c>
      <c r="F960" s="143" t="str">
        <f>VLOOKUP(B960,'AFC Data details'!$B:$B,1,0)</f>
        <v>AZ8-PV45-T1C7-006</v>
      </c>
      <c r="H960" s="3">
        <f>_xlfn.XLOOKUP(B960,'AFC Data details'!B:B,'AFC Data details'!P:P)</f>
        <v>2.5649999999999999</v>
      </c>
    </row>
    <row r="961" spans="1:8" x14ac:dyDescent="0.25">
      <c r="A961" s="154">
        <v>46073</v>
      </c>
      <c r="B961" s="3" t="s">
        <v>2412</v>
      </c>
      <c r="C961" s="3">
        <v>1</v>
      </c>
      <c r="D961" s="3" t="str">
        <f>VLOOKUP(B961,'Element wise-detail Summary'!$A:$D,2,0)</f>
        <v>PV44</v>
      </c>
      <c r="E961" s="3" t="str">
        <f>IFERROR(VLOOKUP(B961,'Element wise-detail Summary'!$A:$D,3,0),0)</f>
        <v>Zone-8</v>
      </c>
      <c r="F961" s="143" t="str">
        <f>VLOOKUP(B961,'AFC Data details'!$B:$B,1,0)</f>
        <v>AZ8-PV44-T1C10-001</v>
      </c>
      <c r="H961" s="3">
        <f>_xlfn.XLOOKUP(B961,'AFC Data details'!B:B,'AFC Data details'!P:P)</f>
        <v>1.3759999999999999</v>
      </c>
    </row>
    <row r="962" spans="1:8" x14ac:dyDescent="0.25">
      <c r="A962" s="154">
        <v>46073</v>
      </c>
      <c r="B962" s="3" t="s">
        <v>2469</v>
      </c>
      <c r="C962" s="3">
        <v>1</v>
      </c>
      <c r="D962" s="3" t="str">
        <f>VLOOKUP(B962,'Element wise-detail Summary'!$A:$D,2,0)</f>
        <v>PV44</v>
      </c>
      <c r="E962" s="3" t="str">
        <f>IFERROR(VLOOKUP(B962,'Element wise-detail Summary'!$A:$D,3,0),0)</f>
        <v>Zone-8</v>
      </c>
      <c r="F962" s="143" t="str">
        <f>VLOOKUP(B962,'AFC Data details'!$B:$B,1,0)</f>
        <v>AZ8-PV44-T1C7-005</v>
      </c>
      <c r="H962" s="3">
        <f>_xlfn.XLOOKUP(B962,'AFC Data details'!B:B,'AFC Data details'!P:P)</f>
        <v>2.5649999999999999</v>
      </c>
    </row>
    <row r="963" spans="1:8" x14ac:dyDescent="0.25">
      <c r="A963" s="154">
        <v>46073</v>
      </c>
      <c r="B963" s="3" t="s">
        <v>2373</v>
      </c>
      <c r="C963" s="3">
        <v>1</v>
      </c>
      <c r="D963" s="3" t="str">
        <f>VLOOKUP(B963,'Element wise-detail Summary'!$A:$D,2,0)</f>
        <v>PV40</v>
      </c>
      <c r="E963" s="3" t="str">
        <f>IFERROR(VLOOKUP(B963,'Element wise-detail Summary'!$A:$D,3,0),0)</f>
        <v>Zone-8</v>
      </c>
      <c r="F963" s="143" t="str">
        <f>VLOOKUP(B963,'AFC Data details'!$B:$B,1,0)</f>
        <v>AZ8-PV40-T1C6-003</v>
      </c>
      <c r="H963" s="3">
        <f>_xlfn.XLOOKUP(B963,'AFC Data details'!B:B,'AFC Data details'!P:P)</f>
        <v>2.1850000000000001</v>
      </c>
    </row>
    <row r="964" spans="1:8" x14ac:dyDescent="0.25">
      <c r="A964" s="154">
        <v>46073</v>
      </c>
      <c r="B964" s="3" t="s">
        <v>2397</v>
      </c>
      <c r="C964" s="3">
        <v>1</v>
      </c>
      <c r="D964" s="3" t="str">
        <f>VLOOKUP(B964,'Element wise-detail Summary'!$A:$D,2,0)</f>
        <v>PV42</v>
      </c>
      <c r="E964" s="3" t="str">
        <f>IFERROR(VLOOKUP(B964,'Element wise-detail Summary'!$A:$D,3,0),0)</f>
        <v>Zone-8</v>
      </c>
      <c r="F964" s="143" t="str">
        <f>VLOOKUP(B964,'AFC Data details'!$B:$B,1,0)</f>
        <v>AZ8-PV42-T1C6-006</v>
      </c>
      <c r="H964" s="3">
        <f>_xlfn.XLOOKUP(B964,'AFC Data details'!B:B,'AFC Data details'!P:P)</f>
        <v>2.1909999999999998</v>
      </c>
    </row>
    <row r="965" spans="1:8" x14ac:dyDescent="0.25">
      <c r="A965" s="154">
        <v>46073</v>
      </c>
      <c r="B965" s="3" t="s">
        <v>2390</v>
      </c>
      <c r="C965" s="3">
        <v>1</v>
      </c>
      <c r="D965" s="3" t="str">
        <f>VLOOKUP(B965,'Element wise-detail Summary'!$A:$D,2,0)</f>
        <v>PV42</v>
      </c>
      <c r="E965" s="3" t="str">
        <f>IFERROR(VLOOKUP(B965,'Element wise-detail Summary'!$A:$D,3,0),0)</f>
        <v>Zone-8</v>
      </c>
      <c r="F965" s="143" t="str">
        <f>VLOOKUP(B965,'AFC Data details'!$B:$B,1,0)</f>
        <v>AZ8-PV42-T1C6-003</v>
      </c>
      <c r="H965" s="3">
        <f>_xlfn.XLOOKUP(B965,'AFC Data details'!B:B,'AFC Data details'!P:P)</f>
        <v>2.1909999999999998</v>
      </c>
    </row>
    <row r="966" spans="1:8" x14ac:dyDescent="0.25">
      <c r="A966" s="154">
        <v>46073</v>
      </c>
      <c r="B966" s="3" t="s">
        <v>2394</v>
      </c>
      <c r="C966" s="3">
        <v>1</v>
      </c>
      <c r="D966" s="3" t="str">
        <f>VLOOKUP(B966,'Element wise-detail Summary'!$A:$D,2,0)</f>
        <v>PV43</v>
      </c>
      <c r="E966" s="3" t="str">
        <f>IFERROR(VLOOKUP(B966,'Element wise-detail Summary'!$A:$D,3,0),0)</f>
        <v>Zone-8</v>
      </c>
      <c r="F966" s="143" t="str">
        <f>VLOOKUP(B966,'AFC Data details'!$B:$B,1,0)</f>
        <v>AZ8-PV43-T1C6-003</v>
      </c>
      <c r="H966" s="3">
        <f>_xlfn.XLOOKUP(B966,'AFC Data details'!B:B,'AFC Data details'!P:P)</f>
        <v>2.1909999999999998</v>
      </c>
    </row>
    <row r="967" spans="1:8" x14ac:dyDescent="0.25">
      <c r="A967" s="154">
        <v>46073</v>
      </c>
      <c r="B967" s="3" t="s">
        <v>2112</v>
      </c>
      <c r="C967" s="3">
        <v>1</v>
      </c>
      <c r="D967" s="3" t="str">
        <f>VLOOKUP(B967,'Element wise-detail Summary'!$A:$D,2,0)</f>
        <v>PV23</v>
      </c>
      <c r="E967" s="3" t="str">
        <f>IFERROR(VLOOKUP(B967,'Element wise-detail Summary'!$A:$D,3,0),0)</f>
        <v>Zone-6</v>
      </c>
      <c r="F967" s="143" t="str">
        <f>VLOOKUP(B967,'AFC Data details'!$B:$B,1,0)</f>
        <v>AZ6-PV23-T3C4-002</v>
      </c>
      <c r="H967" s="3">
        <f>_xlfn.XLOOKUP(B967,'AFC Data details'!B:B,'AFC Data details'!P:P)</f>
        <v>1.163</v>
      </c>
    </row>
    <row r="968" spans="1:8" x14ac:dyDescent="0.25">
      <c r="A968" s="154">
        <v>46073</v>
      </c>
      <c r="B968" s="3" t="s">
        <v>2485</v>
      </c>
      <c r="C968" s="3">
        <v>1</v>
      </c>
      <c r="D968" s="3" t="str">
        <f>VLOOKUP(B968,'Element wise-detail Summary'!$A:$D,2,0)</f>
        <v>PV45</v>
      </c>
      <c r="E968" s="3" t="str">
        <f>IFERROR(VLOOKUP(B968,'Element wise-detail Summary'!$A:$D,3,0),0)</f>
        <v>Zone-8</v>
      </c>
      <c r="F968" s="143" t="str">
        <f>VLOOKUP(B968,'AFC Data details'!$B:$B,1,0)</f>
        <v>AZ8-PV45-T1C19-005</v>
      </c>
      <c r="H968" s="3">
        <f>_xlfn.XLOOKUP(B968,'AFC Data details'!B:B,'AFC Data details'!P:P)</f>
        <v>2.8330000000000002</v>
      </c>
    </row>
    <row r="969" spans="1:8" x14ac:dyDescent="0.25">
      <c r="A969" s="154">
        <v>46074</v>
      </c>
      <c r="B969" s="3" t="s">
        <v>2479</v>
      </c>
      <c r="C969" s="3">
        <v>1</v>
      </c>
      <c r="D969" s="3" t="str">
        <f>VLOOKUP(B969,'Element wise-detail Summary'!$A:$D,2,0)</f>
        <v>PV45</v>
      </c>
      <c r="E969" s="3" t="str">
        <f>IFERROR(VLOOKUP(B969,'Element wise-detail Summary'!$A:$D,3,0),0)</f>
        <v>Zone-8</v>
      </c>
      <c r="F969" s="143" t="str">
        <f>VLOOKUP(B969,'AFC Data details'!$B:$B,1,0)</f>
        <v>AZ8-PV45-T1C7-004</v>
      </c>
      <c r="H969" s="3">
        <f>_xlfn.XLOOKUP(B969,'AFC Data details'!B:B,'AFC Data details'!P:P)</f>
        <v>2.5649999999999999</v>
      </c>
    </row>
    <row r="970" spans="1:8" x14ac:dyDescent="0.25">
      <c r="A970" s="154">
        <v>46074</v>
      </c>
      <c r="B970" s="3" t="s">
        <v>2379</v>
      </c>
      <c r="C970" s="3">
        <v>1</v>
      </c>
      <c r="D970" s="3" t="str">
        <f>VLOOKUP(B970,'Element wise-detail Summary'!$A:$D,2,0)</f>
        <v>PV41</v>
      </c>
      <c r="E970" s="3" t="str">
        <f>IFERROR(VLOOKUP(B970,'Element wise-detail Summary'!$A:$D,3,0),0)</f>
        <v>Zone-8</v>
      </c>
      <c r="F970" s="143" t="str">
        <f>VLOOKUP(B970,'AFC Data details'!$B:$B,1,0)</f>
        <v>AZ8-PV41-T1C6-005</v>
      </c>
      <c r="H970" s="3">
        <f>_xlfn.XLOOKUP(B970,'AFC Data details'!B:B,'AFC Data details'!P:P)</f>
        <v>2.1850000000000001</v>
      </c>
    </row>
    <row r="971" spans="1:8" x14ac:dyDescent="0.25">
      <c r="A971" s="154">
        <v>46074</v>
      </c>
      <c r="B971" s="3" t="s">
        <v>2410</v>
      </c>
      <c r="C971" s="3">
        <v>1</v>
      </c>
      <c r="D971" s="3" t="str">
        <f>VLOOKUP(B971,'Element wise-detail Summary'!$A:$D,2,0)</f>
        <v>PV44</v>
      </c>
      <c r="E971" s="3" t="str">
        <f>IFERROR(VLOOKUP(B971,'Element wise-detail Summary'!$A:$D,3,0),0)</f>
        <v>Zone-8</v>
      </c>
      <c r="F971" s="143" t="str">
        <f>VLOOKUP(B971,'AFC Data details'!$B:$B,1,0)</f>
        <v>AZ8-PV44-T1C1-007</v>
      </c>
      <c r="H971" s="3">
        <f>_xlfn.XLOOKUP(B971,'AFC Data details'!B:B,'AFC Data details'!P:P)</f>
        <v>0.96</v>
      </c>
    </row>
    <row r="972" spans="1:8" x14ac:dyDescent="0.25">
      <c r="A972" s="154">
        <v>46074</v>
      </c>
      <c r="B972" s="3" t="s">
        <v>2374</v>
      </c>
      <c r="C972" s="3">
        <v>1</v>
      </c>
      <c r="D972" s="3" t="str">
        <f>VLOOKUP(B972,'Element wise-detail Summary'!$A:$D,2,0)</f>
        <v>PV40</v>
      </c>
      <c r="E972" s="3" t="str">
        <f>IFERROR(VLOOKUP(B972,'Element wise-detail Summary'!$A:$D,3,0),0)</f>
        <v>Zone-8</v>
      </c>
      <c r="F972" s="143" t="str">
        <f>VLOOKUP(B972,'AFC Data details'!$B:$B,1,0)</f>
        <v>AZ8-PV40-T1C6-004</v>
      </c>
      <c r="H972" s="3">
        <f>_xlfn.XLOOKUP(B972,'AFC Data details'!B:B,'AFC Data details'!P:P)</f>
        <v>2.1850000000000001</v>
      </c>
    </row>
    <row r="973" spans="1:8" x14ac:dyDescent="0.25">
      <c r="A973" s="154">
        <v>46074</v>
      </c>
      <c r="B973" s="3" t="s">
        <v>2398</v>
      </c>
      <c r="C973" s="3">
        <v>1</v>
      </c>
      <c r="D973" s="3" t="str">
        <f>VLOOKUP(B973,'Element wise-detail Summary'!$A:$D,2,0)</f>
        <v>PV43</v>
      </c>
      <c r="E973" s="3" t="str">
        <f>IFERROR(VLOOKUP(B973,'Element wise-detail Summary'!$A:$D,3,0),0)</f>
        <v>Zone-8</v>
      </c>
      <c r="F973" s="143" t="str">
        <f>VLOOKUP(B973,'AFC Data details'!$B:$B,1,0)</f>
        <v>AZ8-PV43-T1C6-001</v>
      </c>
      <c r="H973" s="3">
        <f>_xlfn.XLOOKUP(B973,'AFC Data details'!B:B,'AFC Data details'!P:P)</f>
        <v>2.1909999999999998</v>
      </c>
    </row>
    <row r="974" spans="1:8" x14ac:dyDescent="0.25">
      <c r="A974" s="154">
        <v>46074</v>
      </c>
      <c r="B974" s="3" t="s">
        <v>2391</v>
      </c>
      <c r="C974" s="3">
        <v>1</v>
      </c>
      <c r="D974" s="3" t="str">
        <f>VLOOKUP(B974,'Element wise-detail Summary'!$A:$D,2,0)</f>
        <v>PV42</v>
      </c>
      <c r="E974" s="3" t="str">
        <f>IFERROR(VLOOKUP(B974,'Element wise-detail Summary'!$A:$D,3,0),0)</f>
        <v>Zone-8</v>
      </c>
      <c r="F974" s="143" t="str">
        <f>VLOOKUP(B974,'AFC Data details'!$B:$B,1,0)</f>
        <v>AZ8-PV42-T1C6-004</v>
      </c>
      <c r="H974" s="3">
        <f>_xlfn.XLOOKUP(B974,'AFC Data details'!B:B,'AFC Data details'!P:P)</f>
        <v>2.1909999999999998</v>
      </c>
    </row>
    <row r="975" spans="1:8" x14ac:dyDescent="0.25">
      <c r="A975" s="154">
        <v>46074</v>
      </c>
      <c r="B975" s="3" t="s">
        <v>2463</v>
      </c>
      <c r="C975" s="3">
        <v>1</v>
      </c>
      <c r="D975" s="3" t="str">
        <f>VLOOKUP(B975,'Element wise-detail Summary'!$A:$D,2,0)</f>
        <v>PV44</v>
      </c>
      <c r="E975" s="3" t="str">
        <f>IFERROR(VLOOKUP(B975,'Element wise-detail Summary'!$A:$D,3,0),0)</f>
        <v>Zone-8</v>
      </c>
      <c r="F975" s="143" t="str">
        <f>VLOOKUP(B975,'AFC Data details'!$B:$B,1,0)</f>
        <v>AZ8-PV44-T1C7-001</v>
      </c>
      <c r="H975" s="3">
        <f>_xlfn.XLOOKUP(B975,'AFC Data details'!B:B,'AFC Data details'!P:P)</f>
        <v>2.5649999999999999</v>
      </c>
    </row>
    <row r="976" spans="1:8" x14ac:dyDescent="0.25">
      <c r="A976" s="154">
        <v>46074</v>
      </c>
      <c r="B976" s="3" t="s">
        <v>2486</v>
      </c>
      <c r="C976" s="3">
        <v>1</v>
      </c>
      <c r="D976" s="3" t="str">
        <f>VLOOKUP(B976,'Element wise-detail Summary'!$A:$D,2,0)</f>
        <v>PV45</v>
      </c>
      <c r="E976" s="3" t="str">
        <f>IFERROR(VLOOKUP(B976,'Element wise-detail Summary'!$A:$D,3,0),0)</f>
        <v>Zone-8</v>
      </c>
      <c r="F976" s="143" t="str">
        <f>VLOOKUP(B976,'AFC Data details'!$B:$B,1,0)</f>
        <v>AZ8-PV45-T1C19-006</v>
      </c>
      <c r="H976" s="3">
        <f>_xlfn.XLOOKUP(B976,'AFC Data details'!B:B,'AFC Data details'!P:P)</f>
        <v>2.8330000000000002</v>
      </c>
    </row>
    <row r="977" spans="1:8" x14ac:dyDescent="0.25">
      <c r="A977" s="154">
        <v>46074</v>
      </c>
      <c r="B977" s="3" t="s">
        <v>2240</v>
      </c>
      <c r="C977" s="3">
        <v>1</v>
      </c>
      <c r="D977" s="3" t="str">
        <f>VLOOKUP(B977,'Element wise-detail Summary'!$A:$D,2,0)</f>
        <v>PV05</v>
      </c>
      <c r="E977" s="3" t="str">
        <f>IFERROR(VLOOKUP(B977,'Element wise-detail Summary'!$A:$D,3,0),0)</f>
        <v>Zone-7</v>
      </c>
      <c r="F977" s="143" t="str">
        <f>VLOOKUP(B977,'AFC Data details'!$B:$B,1,0)</f>
        <v>AZ7-PV05-T3C4-001</v>
      </c>
      <c r="H977" s="3">
        <f>_xlfn.XLOOKUP(B977,'AFC Data details'!B:B,'AFC Data details'!P:P)</f>
        <v>1.4590000000000001</v>
      </c>
    </row>
    <row r="978" spans="1:8" x14ac:dyDescent="0.25">
      <c r="A978" s="154">
        <v>46075</v>
      </c>
      <c r="B978" s="3" t="s">
        <v>2480</v>
      </c>
      <c r="C978" s="3">
        <v>1</v>
      </c>
      <c r="D978" s="3" t="str">
        <f>VLOOKUP(B978,'Element wise-detail Summary'!$A:$D,2,0)</f>
        <v>PV45</v>
      </c>
      <c r="E978" s="3" t="str">
        <f>IFERROR(VLOOKUP(B978,'Element wise-detail Summary'!$A:$D,3,0),0)</f>
        <v>Zone-8</v>
      </c>
      <c r="F978" s="143" t="str">
        <f>VLOOKUP(B978,'AFC Data details'!$B:$B,1,0)</f>
        <v>AZ8-PV45-T1C7-005</v>
      </c>
      <c r="H978" s="3">
        <f>_xlfn.XLOOKUP(B978,'AFC Data details'!B:B,'AFC Data details'!P:P)</f>
        <v>2.5649999999999999</v>
      </c>
    </row>
    <row r="979" spans="1:8" x14ac:dyDescent="0.25">
      <c r="A979" s="154">
        <v>46075</v>
      </c>
      <c r="B979" s="3" t="s">
        <v>2239</v>
      </c>
      <c r="C979" s="3">
        <v>1</v>
      </c>
      <c r="D979" s="3" t="str">
        <f>VLOOKUP(B979,'Element wise-detail Summary'!$A:$D,2,0)</f>
        <v>PV04</v>
      </c>
      <c r="E979" s="3" t="str">
        <f>IFERROR(VLOOKUP(B979,'Element wise-detail Summary'!$A:$D,3,0),0)</f>
        <v>Zone-7</v>
      </c>
      <c r="F979" s="143" t="str">
        <f>VLOOKUP(B979,'AFC Data details'!$B:$B,1,0)</f>
        <v>AZ7-PV04-T3C5-002</v>
      </c>
      <c r="H979" s="3">
        <f>_xlfn.XLOOKUP(B979,'AFC Data details'!B:B,'AFC Data details'!P:P)</f>
        <v>1.585</v>
      </c>
    </row>
    <row r="980" spans="1:8" x14ac:dyDescent="0.25">
      <c r="A980" s="154">
        <v>46075</v>
      </c>
      <c r="B980" s="3" t="s">
        <v>2413</v>
      </c>
      <c r="C980" s="3">
        <v>1</v>
      </c>
      <c r="D980" s="3" t="str">
        <f>VLOOKUP(B980,'Element wise-detail Summary'!$A:$D,2,0)</f>
        <v>PV44</v>
      </c>
      <c r="E980" s="3" t="str">
        <f>IFERROR(VLOOKUP(B980,'Element wise-detail Summary'!$A:$D,3,0),0)</f>
        <v>Zone-8</v>
      </c>
      <c r="F980" s="143" t="str">
        <f>VLOOKUP(B980,'AFC Data details'!$B:$B,1,0)</f>
        <v>AZ8-PV44-T1C10-002</v>
      </c>
      <c r="H980" s="3">
        <f>_xlfn.XLOOKUP(B980,'AFC Data details'!B:B,'AFC Data details'!P:P)</f>
        <v>1.3759999999999999</v>
      </c>
    </row>
    <row r="981" spans="1:8" x14ac:dyDescent="0.25">
      <c r="A981" s="154">
        <v>46075</v>
      </c>
      <c r="B981" s="3" t="s">
        <v>2478</v>
      </c>
      <c r="C981" s="3">
        <v>1</v>
      </c>
      <c r="D981" s="3" t="str">
        <f>VLOOKUP(B981,'Element wise-detail Summary'!$A:$D,2,0)</f>
        <v>PV45</v>
      </c>
      <c r="E981" s="3" t="str">
        <f>IFERROR(VLOOKUP(B981,'Element wise-detail Summary'!$A:$D,3,0),0)</f>
        <v>Zone-8</v>
      </c>
      <c r="F981" s="143" t="str">
        <f>VLOOKUP(B981,'AFC Data details'!$B:$B,1,0)</f>
        <v>AZ8-PV45-T1C7-003</v>
      </c>
      <c r="H981" s="3">
        <f>_xlfn.XLOOKUP(B981,'AFC Data details'!B:B,'AFC Data details'!P:P)</f>
        <v>2.5649999999999999</v>
      </c>
    </row>
    <row r="982" spans="1:8" x14ac:dyDescent="0.25">
      <c r="A982" s="154">
        <v>46075</v>
      </c>
      <c r="B982" s="3" t="s">
        <v>2380</v>
      </c>
      <c r="C982" s="3">
        <v>1</v>
      </c>
      <c r="D982" s="3" t="str">
        <f>VLOOKUP(B982,'Element wise-detail Summary'!$A:$D,2,0)</f>
        <v>PV40</v>
      </c>
      <c r="E982" s="3" t="str">
        <f>IFERROR(VLOOKUP(B982,'Element wise-detail Summary'!$A:$D,3,0),0)</f>
        <v>Zone-8</v>
      </c>
      <c r="F982" s="143" t="str">
        <f>VLOOKUP(B982,'AFC Data details'!$B:$B,1,0)</f>
        <v>AZ8-PV40-T1C6-006</v>
      </c>
      <c r="H982" s="3">
        <f>_xlfn.XLOOKUP(B982,'AFC Data details'!B:B,'AFC Data details'!P:P)</f>
        <v>2.1850000000000001</v>
      </c>
    </row>
    <row r="983" spans="1:8" x14ac:dyDescent="0.25">
      <c r="A983" s="154">
        <v>46075</v>
      </c>
      <c r="B983" s="3" t="s">
        <v>2477</v>
      </c>
      <c r="C983" s="3">
        <v>1</v>
      </c>
      <c r="D983" s="3" t="str">
        <f>VLOOKUP(B983,'Element wise-detail Summary'!$A:$D,2,0)</f>
        <v>PV45</v>
      </c>
      <c r="E983" s="3" t="str">
        <f>IFERROR(VLOOKUP(B983,'Element wise-detail Summary'!$A:$D,3,0),0)</f>
        <v>Zone-8</v>
      </c>
      <c r="F983" s="143" t="str">
        <f>VLOOKUP(B983,'AFC Data details'!$B:$B,1,0)</f>
        <v>AZ8-PV45-T1C7-002</v>
      </c>
      <c r="H983" s="3">
        <f>_xlfn.XLOOKUP(B983,'AFC Data details'!B:B,'AFC Data details'!P:P)</f>
        <v>2.5649999999999999</v>
      </c>
    </row>
    <row r="984" spans="1:8" x14ac:dyDescent="0.25">
      <c r="A984" s="154">
        <v>46075</v>
      </c>
      <c r="B984" s="3" t="s">
        <v>2404</v>
      </c>
      <c r="C984" s="3">
        <v>1</v>
      </c>
      <c r="D984" s="3" t="str">
        <f>VLOOKUP(B984,'Element wise-detail Summary'!$A:$D,2,0)</f>
        <v>PV44</v>
      </c>
      <c r="E984" s="3" t="str">
        <f>IFERROR(VLOOKUP(B984,'Element wise-detail Summary'!$A:$D,3,0),0)</f>
        <v>Zone-8</v>
      </c>
      <c r="F984" s="143" t="str">
        <f>VLOOKUP(B984,'AFC Data details'!$B:$B,1,0)</f>
        <v>AZ8-PV44-T1C1-001</v>
      </c>
      <c r="H984" s="3">
        <f>_xlfn.XLOOKUP(B984,'AFC Data details'!B:B,'AFC Data details'!P:P)</f>
        <v>0.96499999999999997</v>
      </c>
    </row>
    <row r="985" spans="1:8" x14ac:dyDescent="0.25">
      <c r="A985" s="154">
        <v>46075</v>
      </c>
      <c r="B985" s="3" t="s">
        <v>2395</v>
      </c>
      <c r="C985" s="3">
        <v>1</v>
      </c>
      <c r="D985" s="3" t="str">
        <f>VLOOKUP(B985,'Element wise-detail Summary'!$A:$D,2,0)</f>
        <v>PV43</v>
      </c>
      <c r="E985" s="3" t="str">
        <f>IFERROR(VLOOKUP(B985,'Element wise-detail Summary'!$A:$D,3,0),0)</f>
        <v>Zone-8</v>
      </c>
      <c r="F985" s="143" t="str">
        <f>VLOOKUP(B985,'AFC Data details'!$B:$B,1,0)</f>
        <v>AZ8-PV43-T1C6-004</v>
      </c>
      <c r="H985" s="3">
        <f>_xlfn.XLOOKUP(B985,'AFC Data details'!B:B,'AFC Data details'!P:P)</f>
        <v>2.1909999999999998</v>
      </c>
    </row>
    <row r="986" spans="1:8" x14ac:dyDescent="0.25">
      <c r="A986" s="154">
        <v>46075</v>
      </c>
      <c r="B986" s="3" t="s">
        <v>2466</v>
      </c>
      <c r="C986" s="3">
        <v>1</v>
      </c>
      <c r="D986" s="3" t="str">
        <f>VLOOKUP(B986,'Element wise-detail Summary'!$A:$D,2,0)</f>
        <v>PV44</v>
      </c>
      <c r="E986" s="3" t="str">
        <f>IFERROR(VLOOKUP(B986,'Element wise-detail Summary'!$A:$D,3,0),0)</f>
        <v>Zone-8</v>
      </c>
      <c r="F986" s="143" t="str">
        <f>VLOOKUP(B986,'AFC Data details'!$B:$B,1,0)</f>
        <v>AZ8-PV44-T1C7-002</v>
      </c>
      <c r="H986" s="3">
        <f>_xlfn.XLOOKUP(B986,'AFC Data details'!B:B,'AFC Data details'!P:P)</f>
        <v>2.5649999999999999</v>
      </c>
    </row>
    <row r="987" spans="1:8" x14ac:dyDescent="0.25">
      <c r="A987" s="154">
        <v>46075</v>
      </c>
      <c r="B987" s="3" t="s">
        <v>1689</v>
      </c>
      <c r="C987" s="3">
        <v>1</v>
      </c>
      <c r="D987" s="3" t="str">
        <f>VLOOKUP(B987,'Element wise-detail Summary'!$A:$D,2,0)</f>
        <v>V70</v>
      </c>
      <c r="E987" s="3" t="str">
        <f>IFERROR(VLOOKUP(B987,'Element wise-detail Summary'!$A:$D,3,0),0)</f>
        <v>Zone-5</v>
      </c>
      <c r="F987" s="143" t="str">
        <f>VLOOKUP(B987,'AFC Data details'!$B:$B,1,0)</f>
        <v>AZ5-V70-T3C5-001</v>
      </c>
      <c r="H987" s="3">
        <f>_xlfn.XLOOKUP(B987,'AFC Data details'!B:B,'AFC Data details'!P:P)</f>
        <v>1.4410000000000001</v>
      </c>
    </row>
    <row r="988" spans="1:8" x14ac:dyDescent="0.25">
      <c r="A988" s="154">
        <v>46075</v>
      </c>
      <c r="B988" s="3" t="s">
        <v>2113</v>
      </c>
      <c r="C988" s="3">
        <v>1</v>
      </c>
      <c r="D988" s="3" t="str">
        <f>VLOOKUP(B988,'Element wise-detail Summary'!$A:$D,2,0)</f>
        <v>PV21</v>
      </c>
      <c r="E988" s="3" t="str">
        <f>IFERROR(VLOOKUP(B988,'Element wise-detail Summary'!$A:$D,3,0),0)</f>
        <v>Zone-6</v>
      </c>
      <c r="F988" s="143" t="str">
        <f>VLOOKUP(B988,'AFC Data details'!$B:$B,1,0)</f>
        <v>AZ6-PV21-T3C4-002</v>
      </c>
      <c r="H988" s="3">
        <f>_xlfn.XLOOKUP(B988,'AFC Data details'!B:B,'AFC Data details'!P:P)</f>
        <v>1.163</v>
      </c>
    </row>
    <row r="989" spans="1:8" x14ac:dyDescent="0.25">
      <c r="A989" s="154">
        <v>46075</v>
      </c>
      <c r="B989" s="3" t="s">
        <v>2487</v>
      </c>
      <c r="C989" s="3">
        <v>1</v>
      </c>
      <c r="D989" s="3" t="str">
        <f>VLOOKUP(B989,'Element wise-detail Summary'!$A:$D,2,0)</f>
        <v>PV45</v>
      </c>
      <c r="E989" s="3" t="str">
        <f>IFERROR(VLOOKUP(B989,'Element wise-detail Summary'!$A:$D,3,0),0)</f>
        <v>Zone-8</v>
      </c>
      <c r="F989" s="143" t="str">
        <f>VLOOKUP(B989,'AFC Data details'!$B:$B,1,0)</f>
        <v>AZ8-PV45-T1C19-007</v>
      </c>
      <c r="H989" s="3">
        <f>_xlfn.XLOOKUP(B989,'AFC Data details'!B:B,'AFC Data details'!P:P)</f>
        <v>2.8330000000000002</v>
      </c>
    </row>
    <row r="990" spans="1:8" x14ac:dyDescent="0.25">
      <c r="A990" s="154">
        <v>46077</v>
      </c>
      <c r="B990" s="3" t="s">
        <v>2468</v>
      </c>
      <c r="C990" s="3">
        <v>1</v>
      </c>
      <c r="D990" s="3" t="str">
        <f>VLOOKUP(B990,'Element wise-detail Summary'!$A:$D,2,0)</f>
        <v>PV44</v>
      </c>
      <c r="E990" s="3" t="str">
        <f>IFERROR(VLOOKUP(B990,'Element wise-detail Summary'!$A:$D,3,0),0)</f>
        <v>Zone-8</v>
      </c>
      <c r="F990" s="143" t="str">
        <f>VLOOKUP(B990,'AFC Data details'!$B:$B,1,0)</f>
        <v>AZ8-PV44-T1C7-004</v>
      </c>
      <c r="H990" s="3">
        <f>_xlfn.XLOOKUP(B990,'AFC Data details'!B:B,'AFC Data details'!P:P)</f>
        <v>2.5649999999999999</v>
      </c>
    </row>
    <row r="991" spans="1:8" x14ac:dyDescent="0.25">
      <c r="A991" s="154">
        <v>46077</v>
      </c>
      <c r="B991" s="3" t="s">
        <v>2475</v>
      </c>
      <c r="C991" s="3">
        <v>1</v>
      </c>
      <c r="D991" s="3" t="str">
        <f>VLOOKUP(B991,'Element wise-detail Summary'!$A:$D,2,0)</f>
        <v>PV45</v>
      </c>
      <c r="E991" s="3" t="str">
        <f>IFERROR(VLOOKUP(B991,'Element wise-detail Summary'!$A:$D,3,0),0)</f>
        <v>Zone-8</v>
      </c>
      <c r="F991" s="143" t="str">
        <f>VLOOKUP(B991,'AFC Data details'!$B:$B,1,0)</f>
        <v>AZ8-PV45-T1C3-004</v>
      </c>
      <c r="H991" s="3">
        <f>_xlfn.XLOOKUP(B991,'AFC Data details'!B:B,'AFC Data details'!P:P)</f>
        <v>1.286</v>
      </c>
    </row>
    <row r="992" spans="1:8" x14ac:dyDescent="0.25">
      <c r="A992" s="154">
        <v>46077</v>
      </c>
      <c r="B992" s="3" t="s">
        <v>2476</v>
      </c>
      <c r="C992" s="3">
        <v>1</v>
      </c>
      <c r="D992" s="3" t="str">
        <f>VLOOKUP(B992,'Element wise-detail Summary'!$A:$D,2,0)</f>
        <v>PV45</v>
      </c>
      <c r="E992" s="3" t="str">
        <f>IFERROR(VLOOKUP(B992,'Element wise-detail Summary'!$A:$D,3,0),0)</f>
        <v>Zone-8</v>
      </c>
      <c r="F992" s="143" t="str">
        <f>VLOOKUP(B992,'AFC Data details'!$B:$B,1,0)</f>
        <v>AZ8-PV45-T1C7-001</v>
      </c>
      <c r="H992" s="3">
        <f>_xlfn.XLOOKUP(B992,'AFC Data details'!B:B,'AFC Data details'!P:P)</f>
        <v>2.5670000000000002</v>
      </c>
    </row>
    <row r="993" spans="1:8" x14ac:dyDescent="0.25">
      <c r="A993" s="154">
        <v>46077</v>
      </c>
      <c r="B993" s="3" t="s">
        <v>2381</v>
      </c>
      <c r="C993" s="3">
        <v>1</v>
      </c>
      <c r="D993" s="3" t="str">
        <f>VLOOKUP(B993,'Element wise-detail Summary'!$A:$D,2,0)</f>
        <v>PV41</v>
      </c>
      <c r="E993" s="3" t="str">
        <f>IFERROR(VLOOKUP(B993,'Element wise-detail Summary'!$A:$D,3,0),0)</f>
        <v>Zone-8</v>
      </c>
      <c r="F993" s="143" t="str">
        <f>VLOOKUP(B993,'AFC Data details'!$B:$B,1,0)</f>
        <v>AZ8-PV41-T1C6-001</v>
      </c>
      <c r="H993" s="3">
        <f>_xlfn.XLOOKUP(B993,'AFC Data details'!B:B,'AFC Data details'!P:P)</f>
        <v>2.1850000000000001</v>
      </c>
    </row>
    <row r="994" spans="1:8" x14ac:dyDescent="0.25">
      <c r="A994" s="154">
        <v>46077</v>
      </c>
      <c r="B994" s="3" t="s">
        <v>2405</v>
      </c>
      <c r="C994" s="3">
        <v>1</v>
      </c>
      <c r="D994" s="3" t="str">
        <f>VLOOKUP(B994,'Element wise-detail Summary'!$A:$D,2,0)</f>
        <v>PV44</v>
      </c>
      <c r="E994" s="3" t="str">
        <f>IFERROR(VLOOKUP(B994,'Element wise-detail Summary'!$A:$D,3,0),0)</f>
        <v>Zone-8</v>
      </c>
      <c r="F994" s="143" t="str">
        <f>VLOOKUP(B994,'AFC Data details'!$B:$B,1,0)</f>
        <v>AZ8-PV44-T1C1-002</v>
      </c>
      <c r="H994" s="3">
        <f>_xlfn.XLOOKUP(B994,'AFC Data details'!B:B,'AFC Data details'!P:P)</f>
        <v>0.96199999999999997</v>
      </c>
    </row>
    <row r="995" spans="1:8" x14ac:dyDescent="0.25">
      <c r="A995" s="154">
        <v>46077</v>
      </c>
      <c r="B995" s="3" t="s">
        <v>2396</v>
      </c>
      <c r="C995" s="3">
        <v>1</v>
      </c>
      <c r="D995" s="3" t="str">
        <f>VLOOKUP(B995,'Element wise-detail Summary'!$A:$D,2,0)</f>
        <v>PV43</v>
      </c>
      <c r="E995" s="3" t="str">
        <f>IFERROR(VLOOKUP(B995,'Element wise-detail Summary'!$A:$D,3,0),0)</f>
        <v>Zone-8</v>
      </c>
      <c r="F995" s="143" t="str">
        <f>VLOOKUP(B995,'AFC Data details'!$B:$B,1,0)</f>
        <v>AZ8-PV43-T1C6-005</v>
      </c>
      <c r="H995" s="3">
        <f>_xlfn.XLOOKUP(B995,'AFC Data details'!B:B,'AFC Data details'!P:P)</f>
        <v>2.1909999999999998</v>
      </c>
    </row>
    <row r="996" spans="1:8" x14ac:dyDescent="0.25">
      <c r="A996" s="154">
        <v>46077</v>
      </c>
      <c r="B996" s="3" t="s">
        <v>2467</v>
      </c>
      <c r="C996" s="3">
        <v>1</v>
      </c>
      <c r="D996" s="3" t="str">
        <f>VLOOKUP(B996,'Element wise-detail Summary'!$A:$D,2,0)</f>
        <v>PV44</v>
      </c>
      <c r="E996" s="3" t="str">
        <f>IFERROR(VLOOKUP(B996,'Element wise-detail Summary'!$A:$D,3,0),0)</f>
        <v>Zone-8</v>
      </c>
      <c r="F996" s="143" t="str">
        <f>VLOOKUP(B996,'AFC Data details'!$B:$B,1,0)</f>
        <v>AZ8-PV44-T1C7-003</v>
      </c>
      <c r="H996" s="3">
        <f>_xlfn.XLOOKUP(B996,'AFC Data details'!B:B,'AFC Data details'!P:P)</f>
        <v>2.5649999999999999</v>
      </c>
    </row>
    <row r="997" spans="1:8" x14ac:dyDescent="0.25">
      <c r="A997" s="154">
        <v>46077</v>
      </c>
      <c r="B997" s="3" t="s">
        <v>2488</v>
      </c>
      <c r="C997" s="3">
        <v>1</v>
      </c>
      <c r="D997" s="3" t="str">
        <f>VLOOKUP(B997,'Element wise-detail Summary'!$A:$D,2,0)</f>
        <v>PV45</v>
      </c>
      <c r="E997" s="3" t="str">
        <f>IFERROR(VLOOKUP(B997,'Element wise-detail Summary'!$A:$D,3,0),0)</f>
        <v>Zone-8</v>
      </c>
      <c r="F997" s="143" t="str">
        <f>VLOOKUP(B997,'AFC Data details'!$B:$B,1,0)</f>
        <v>AZ8-PV45-T1C19-008</v>
      </c>
      <c r="H997" s="3">
        <f>_xlfn.XLOOKUP(B997,'AFC Data details'!B:B,'AFC Data details'!P:P)</f>
        <v>2.8330000000000002</v>
      </c>
    </row>
    <row r="998" spans="1:8" x14ac:dyDescent="0.25">
      <c r="A998" s="154">
        <v>46078</v>
      </c>
      <c r="B998" s="3" t="s">
        <v>2241</v>
      </c>
      <c r="C998" s="3">
        <v>1</v>
      </c>
      <c r="D998" s="3" t="str">
        <f>VLOOKUP(B998,'Element wise-detail Summary'!$A:$D,2,0)</f>
        <v>PV05</v>
      </c>
      <c r="E998" s="3" t="str">
        <f>IFERROR(VLOOKUP(B998,'Element wise-detail Summary'!$A:$D,3,0),0)</f>
        <v>Zone-7</v>
      </c>
      <c r="F998" s="143" t="str">
        <f>VLOOKUP(B998,'AFC Data details'!$B:$B,1,0)</f>
        <v>AZ7-PV05-T3C4-002</v>
      </c>
      <c r="H998" s="3">
        <f>_xlfn.XLOOKUP(B998,'AFC Data details'!B:B,'AFC Data details'!P:P)</f>
        <v>1.1950000000000001</v>
      </c>
    </row>
    <row r="999" spans="1:8" x14ac:dyDescent="0.25">
      <c r="A999" s="154">
        <v>46078</v>
      </c>
      <c r="B999" s="3" t="s">
        <v>2482</v>
      </c>
      <c r="C999" s="3">
        <v>1</v>
      </c>
      <c r="D999" s="3" t="str">
        <f>VLOOKUP(B999,'Element wise-detail Summary'!$A:$D,2,0)</f>
        <v>PV45</v>
      </c>
      <c r="E999" s="3" t="str">
        <f>IFERROR(VLOOKUP(B999,'Element wise-detail Summary'!$A:$D,3,0),0)</f>
        <v>Zone-8</v>
      </c>
      <c r="F999" s="143" t="str">
        <f>VLOOKUP(B999,'AFC Data details'!$B:$B,1,0)</f>
        <v>AZ8-PV45-T1C11-001</v>
      </c>
      <c r="H999" s="3">
        <f>_xlfn.XLOOKUP(B999,'AFC Data details'!B:B,'AFC Data details'!P:P)</f>
        <v>1.556</v>
      </c>
    </row>
    <row r="1000" spans="1:8" x14ac:dyDescent="0.25">
      <c r="A1000" s="154">
        <v>46078</v>
      </c>
      <c r="B1000" s="3" t="s">
        <v>2470</v>
      </c>
      <c r="C1000" s="3">
        <v>1</v>
      </c>
      <c r="D1000" s="3" t="str">
        <f>VLOOKUP(B1000,'Element wise-detail Summary'!$A:$D,2,0)</f>
        <v>PV44</v>
      </c>
      <c r="E1000" s="3" t="str">
        <f>IFERROR(VLOOKUP(B1000,'Element wise-detail Summary'!$A:$D,3,0),0)</f>
        <v>Zone-8</v>
      </c>
      <c r="F1000" s="143" t="str">
        <f>VLOOKUP(B1000,'AFC Data details'!$B:$B,1,0)</f>
        <v>AZ8-PV44-T1C7-006</v>
      </c>
      <c r="H1000" s="3">
        <f>_xlfn.XLOOKUP(B1000,'AFC Data details'!B:B,'AFC Data details'!P:P)</f>
        <v>2.5649999999999999</v>
      </c>
    </row>
    <row r="1001" spans="1:8" x14ac:dyDescent="0.25">
      <c r="A1001" s="154">
        <v>46078</v>
      </c>
      <c r="B1001" s="3" t="s">
        <v>1871</v>
      </c>
      <c r="C1001" s="3">
        <v>1</v>
      </c>
      <c r="D1001" s="3" t="str">
        <f>VLOOKUP(B1001,'Element wise-detail Summary'!$A:$D,2,0)</f>
        <v>PV17</v>
      </c>
      <c r="E1001" s="3" t="str">
        <f>IFERROR(VLOOKUP(B1001,'Element wise-detail Summary'!$A:$D,3,0),0)</f>
        <v>Zone-6</v>
      </c>
      <c r="F1001" s="143" t="str">
        <f>VLOOKUP(B1001,'AFC Data details'!$B:$B,1,0)</f>
        <v>AZ6-PV17-T3C1-001</v>
      </c>
      <c r="H1001" s="3">
        <f>_xlfn.XLOOKUP(B1001,'AFC Data details'!B:B,'AFC Data details'!P:P)</f>
        <v>1.0129999999999999</v>
      </c>
    </row>
    <row r="1002" spans="1:8" x14ac:dyDescent="0.25">
      <c r="A1002" s="154">
        <v>46078</v>
      </c>
      <c r="B1002" s="3" t="s">
        <v>2406</v>
      </c>
      <c r="C1002" s="3">
        <v>1</v>
      </c>
      <c r="D1002" s="3" t="str">
        <f>VLOOKUP(B1002,'Element wise-detail Summary'!$A:$D,2,0)</f>
        <v>PV44</v>
      </c>
      <c r="E1002" s="3" t="str">
        <f>IFERROR(VLOOKUP(B1002,'Element wise-detail Summary'!$A:$D,3,0),0)</f>
        <v>Zone-8</v>
      </c>
      <c r="F1002" s="143" t="str">
        <f>VLOOKUP(B1002,'AFC Data details'!$B:$B,1,0)</f>
        <v>AZ8-PV44-T1C1-003</v>
      </c>
      <c r="H1002" s="3">
        <f>_xlfn.XLOOKUP(B1002,'AFC Data details'!B:B,'AFC Data details'!P:P)</f>
        <v>0.96199999999999997</v>
      </c>
    </row>
    <row r="1003" spans="1:8" x14ac:dyDescent="0.25">
      <c r="A1003" s="154">
        <v>46078</v>
      </c>
      <c r="B1003" s="3" t="s">
        <v>2491</v>
      </c>
      <c r="C1003" s="3">
        <v>1</v>
      </c>
      <c r="D1003" s="3" t="str">
        <f>VLOOKUP(B1003,'Element wise-detail Summary'!$A:$D,2,0)</f>
        <v>PV45</v>
      </c>
      <c r="E1003" s="3" t="str">
        <f>IFERROR(VLOOKUP(B1003,'Element wise-detail Summary'!$A:$D,3,0),0)</f>
        <v>Zone-8</v>
      </c>
      <c r="F1003" s="143" t="str">
        <f>VLOOKUP(B1003,'AFC Data details'!$B:$B,1,0)</f>
        <v>AZ8-PV45-T3C3-001</v>
      </c>
      <c r="H1003" s="3">
        <f>_xlfn.XLOOKUP(B1003,'AFC Data details'!B:B,'AFC Data details'!P:P)</f>
        <v>1.605</v>
      </c>
    </row>
    <row r="1004" spans="1:8" x14ac:dyDescent="0.25">
      <c r="A1004" s="154">
        <v>46078</v>
      </c>
      <c r="B1004" s="3" t="s">
        <v>1909</v>
      </c>
      <c r="C1004" s="3">
        <v>1</v>
      </c>
      <c r="D1004" s="3" t="str">
        <f>VLOOKUP(B1004,'Element wise-detail Summary'!$A:$D,2,0)</f>
        <v>PV28</v>
      </c>
      <c r="E1004" s="3" t="str">
        <f>IFERROR(VLOOKUP(B1004,'Element wise-detail Summary'!$A:$D,3,0),0)</f>
        <v>Zone-6</v>
      </c>
      <c r="F1004" s="143" t="str">
        <f>VLOOKUP(B1004,'AFC Data details'!$B:$B,1,0)</f>
        <v>AZ6-PV28-T3C4-001</v>
      </c>
      <c r="H1004" s="3">
        <f>_xlfn.XLOOKUP(B1004,'AFC Data details'!B:B,'AFC Data details'!P:P)</f>
        <v>1.1599999999999999</v>
      </c>
    </row>
    <row r="1005" spans="1:8" x14ac:dyDescent="0.25">
      <c r="A1005" s="154">
        <v>46078</v>
      </c>
      <c r="B1005" s="3" t="s">
        <v>2489</v>
      </c>
      <c r="C1005" s="3">
        <v>1</v>
      </c>
      <c r="D1005" s="3" t="str">
        <f>VLOOKUP(B1005,'Element wise-detail Summary'!$A:$D,2,0)</f>
        <v>PV45</v>
      </c>
      <c r="E1005" s="3" t="str">
        <f>IFERROR(VLOOKUP(B1005,'Element wise-detail Summary'!$A:$D,3,0),0)</f>
        <v>Zone-8</v>
      </c>
      <c r="F1005" s="143" t="str">
        <f>VLOOKUP(B1005,'AFC Data details'!$B:$B,1,0)</f>
        <v>AZ8-PV45-T1C19-009</v>
      </c>
      <c r="H1005" s="3">
        <f>_xlfn.XLOOKUP(B1005,'AFC Data details'!B:B,'AFC Data details'!P:P)</f>
        <v>2.8330000000000002</v>
      </c>
    </row>
    <row r="1006" spans="1:8" x14ac:dyDescent="0.25">
      <c r="A1006" s="154">
        <v>46079</v>
      </c>
      <c r="B1006" s="3" t="s">
        <v>2483</v>
      </c>
      <c r="C1006" s="3">
        <v>1</v>
      </c>
      <c r="D1006" s="3" t="str">
        <f>VLOOKUP(B1006,'Element wise-detail Summary'!$A:$D,2,0)</f>
        <v>PV45</v>
      </c>
      <c r="E1006" s="3" t="str">
        <f>IFERROR(VLOOKUP(B1006,'Element wise-detail Summary'!$A:$D,3,0),0)</f>
        <v>Zone-8</v>
      </c>
      <c r="F1006" s="143" t="str">
        <f>VLOOKUP(B1006,'AFC Data details'!$B:$B,1,0)</f>
        <v>AZ8-PV45-T1C11-002</v>
      </c>
      <c r="H1006" s="3">
        <f>_xlfn.XLOOKUP(B1006,'AFC Data details'!B:B,'AFC Data details'!P:P)</f>
        <v>1.556</v>
      </c>
    </row>
    <row r="1007" spans="1:8" x14ac:dyDescent="0.25">
      <c r="A1007" s="154">
        <v>46079</v>
      </c>
      <c r="B1007" s="3" t="s">
        <v>2490</v>
      </c>
      <c r="C1007" s="3">
        <v>1</v>
      </c>
      <c r="D1007" s="3" t="str">
        <f>VLOOKUP(B1007,'Element wise-detail Summary'!$A:$D,2,0)</f>
        <v>PV45</v>
      </c>
      <c r="E1007" s="3" t="str">
        <f>IFERROR(VLOOKUP(B1007,'Element wise-detail Summary'!$A:$D,3,0),0)</f>
        <v>Zone-8</v>
      </c>
      <c r="F1007" s="143" t="str">
        <f>VLOOKUP(B1007,'AFC Data details'!$B:$B,1,0)</f>
        <v>AZ8-PV45-T3C2-002</v>
      </c>
      <c r="H1007" s="3">
        <f>_xlfn.XLOOKUP(B1007,'AFC Data details'!B:B,'AFC Data details'!P:P)</f>
        <v>1.075</v>
      </c>
    </row>
    <row r="1008" spans="1:8" x14ac:dyDescent="0.25">
      <c r="A1008" s="154">
        <v>46079</v>
      </c>
      <c r="B1008" s="3" t="s">
        <v>1872</v>
      </c>
      <c r="C1008" s="3">
        <v>1</v>
      </c>
      <c r="D1008" s="3" t="str">
        <f>VLOOKUP(B1008,'Element wise-detail Summary'!$A:$D,2,0)</f>
        <v>PV17</v>
      </c>
      <c r="E1008" s="3" t="str">
        <f>IFERROR(VLOOKUP(B1008,'Element wise-detail Summary'!$A:$D,3,0),0)</f>
        <v>Zone-6</v>
      </c>
      <c r="F1008" s="143" t="str">
        <f>VLOOKUP(B1008,'AFC Data details'!$B:$B,1,0)</f>
        <v>AZ6-PV17-T3C1-002</v>
      </c>
      <c r="H1008" s="3">
        <f>_xlfn.XLOOKUP(B1008,'AFC Data details'!B:B,'AFC Data details'!P:P)</f>
        <v>0.84</v>
      </c>
    </row>
    <row r="1009" spans="1:8" x14ac:dyDescent="0.25">
      <c r="A1009" s="154">
        <v>46079</v>
      </c>
      <c r="B1009" s="3" t="s">
        <v>2473</v>
      </c>
      <c r="C1009" s="3">
        <v>1</v>
      </c>
      <c r="D1009" s="3" t="str">
        <f>VLOOKUP(B1009,'Element wise-detail Summary'!$A:$D,2,0)</f>
        <v>PV45</v>
      </c>
      <c r="E1009" s="3" t="str">
        <f>IFERROR(VLOOKUP(B1009,'Element wise-detail Summary'!$A:$D,3,0),0)</f>
        <v>Zone-8</v>
      </c>
      <c r="F1009" s="143" t="str">
        <f>VLOOKUP(B1009,'AFC Data details'!$B:$B,1,0)</f>
        <v>AZ8-PV45-T1C3-002</v>
      </c>
      <c r="H1009" s="3">
        <f>_xlfn.XLOOKUP(B1009,'AFC Data details'!B:B,'AFC Data details'!P:P)</f>
        <v>1.3180000000000001</v>
      </c>
    </row>
    <row r="1010" spans="1:8" x14ac:dyDescent="0.25">
      <c r="A1010" s="154">
        <v>46079</v>
      </c>
      <c r="B1010" s="3" t="s">
        <v>2494</v>
      </c>
      <c r="C1010" s="3">
        <v>1</v>
      </c>
      <c r="D1010" s="3" t="str">
        <f>VLOOKUP(B1010,'Element wise-detail Summary'!$A:$D,2,0)</f>
        <v>PV46</v>
      </c>
      <c r="E1010" s="3" t="str">
        <f>IFERROR(VLOOKUP(B1010,'Element wise-detail Summary'!$A:$D,3,0),0)</f>
        <v>Zone-8</v>
      </c>
      <c r="F1010" s="143" t="str">
        <f>VLOOKUP(B1010,'AFC Data details'!$B:$B,1,0)</f>
        <v>AZ8-PV46-T3C5-002</v>
      </c>
      <c r="H1010" s="3">
        <f>_xlfn.XLOOKUP(B1010,'AFC Data details'!B:B,'AFC Data details'!P:P)</f>
        <v>1.498</v>
      </c>
    </row>
    <row r="1011" spans="1:8" x14ac:dyDescent="0.25">
      <c r="A1011" s="154">
        <v>46079</v>
      </c>
      <c r="B1011" s="3" t="s">
        <v>2407</v>
      </c>
      <c r="C1011" s="3">
        <v>1</v>
      </c>
      <c r="D1011" s="3" t="str">
        <f>VLOOKUP(B1011,'Element wise-detail Summary'!$A:$D,2,0)</f>
        <v>PV44</v>
      </c>
      <c r="E1011" s="3" t="str">
        <f>IFERROR(VLOOKUP(B1011,'Element wise-detail Summary'!$A:$D,3,0),0)</f>
        <v>Zone-8</v>
      </c>
      <c r="F1011" s="143" t="str">
        <f>VLOOKUP(B1011,'AFC Data details'!$B:$B,1,0)</f>
        <v>AZ8-PV44-T1C1-004</v>
      </c>
      <c r="H1011" s="3">
        <f>_xlfn.XLOOKUP(B1011,'AFC Data details'!B:B,'AFC Data details'!P:P)</f>
        <v>0.96199999999999997</v>
      </c>
    </row>
    <row r="1012" spans="1:8" x14ac:dyDescent="0.25">
      <c r="A1012" s="154">
        <v>46079</v>
      </c>
      <c r="B1012" s="3" t="s">
        <v>1690</v>
      </c>
      <c r="C1012" s="3">
        <v>1</v>
      </c>
      <c r="D1012" s="3" t="str">
        <f>VLOOKUP(B1012,'Element wise-detail Summary'!$A:$D,2,0)</f>
        <v>V70</v>
      </c>
      <c r="E1012" s="3" t="str">
        <f>IFERROR(VLOOKUP(B1012,'Element wise-detail Summary'!$A:$D,3,0),0)</f>
        <v>Zone-5</v>
      </c>
      <c r="F1012" s="143" t="str">
        <f>VLOOKUP(B1012,'AFC Data details'!$B:$B,1,0)</f>
        <v>AZ5-V70-T3C5-002</v>
      </c>
      <c r="H1012" s="3">
        <f>_xlfn.XLOOKUP(B1012,'AFC Data details'!B:B,'AFC Data details'!P:P)</f>
        <v>1.5620000000000001</v>
      </c>
    </row>
    <row r="1013" spans="1:8" x14ac:dyDescent="0.25">
      <c r="A1013" s="154">
        <v>46080</v>
      </c>
      <c r="B1013" s="3" t="s">
        <v>2474</v>
      </c>
      <c r="C1013" s="3">
        <v>1</v>
      </c>
      <c r="D1013" s="3" t="str">
        <f>VLOOKUP(B1013,'Element wise-detail Summary'!$A:$D,2,0)</f>
        <v>PV45</v>
      </c>
      <c r="E1013" s="3" t="str">
        <f>IFERROR(VLOOKUP(B1013,'Element wise-detail Summary'!$A:$D,3,0),0)</f>
        <v>Zone-8</v>
      </c>
      <c r="F1013" s="143" t="str">
        <f>VLOOKUP(B1013,'AFC Data details'!$B:$B,1,0)</f>
        <v>AZ8-PV45-T1C3-003</v>
      </c>
      <c r="H1013" s="3">
        <f>_xlfn.XLOOKUP(B1013,'AFC Data details'!B:B,'AFC Data details'!P:P)</f>
        <v>1.3180000000000001</v>
      </c>
    </row>
    <row r="1014" spans="1:8" x14ac:dyDescent="0.25">
      <c r="A1014" s="154">
        <v>46080</v>
      </c>
      <c r="B1014" s="3" t="s">
        <v>1910</v>
      </c>
      <c r="C1014" s="3">
        <v>1</v>
      </c>
      <c r="D1014" s="3" t="str">
        <f>VLOOKUP(B1014,'Element wise-detail Summary'!$A:$D,2,0)</f>
        <v>PV28</v>
      </c>
      <c r="E1014" s="3" t="str">
        <f>IFERROR(VLOOKUP(B1014,'Element wise-detail Summary'!$A:$D,3,0),0)</f>
        <v>Zone-6</v>
      </c>
      <c r="F1014" s="143" t="str">
        <f>VLOOKUP(B1014,'AFC Data details'!$B:$B,1,0)</f>
        <v>AZ6-PV28-T3C4-002</v>
      </c>
      <c r="H1014" s="3">
        <f>_xlfn.XLOOKUP(B1014,'AFC Data details'!B:B,'AFC Data details'!P:P)</f>
        <v>1.2729999999999999</v>
      </c>
    </row>
    <row r="1015" spans="1:8" x14ac:dyDescent="0.25">
      <c r="A1015" s="154">
        <v>46080</v>
      </c>
      <c r="B1015" s="3" t="s">
        <v>2408</v>
      </c>
      <c r="C1015" s="3">
        <v>1</v>
      </c>
      <c r="D1015" s="3" t="str">
        <f>VLOOKUP(B1015,'Element wise-detail Summary'!$A:$D,2,0)</f>
        <v>PV44</v>
      </c>
      <c r="E1015" s="3" t="str">
        <f>IFERROR(VLOOKUP(B1015,'Element wise-detail Summary'!$A:$D,3,0),0)</f>
        <v>Zone-8</v>
      </c>
      <c r="F1015" s="143" t="str">
        <f>VLOOKUP(B1015,'AFC Data details'!$B:$B,1,0)</f>
        <v>AZ8-PV44-T1C1-005</v>
      </c>
      <c r="H1015" s="3">
        <f>_xlfn.XLOOKUP(B1015,'AFC Data details'!B:B,'AFC Data details'!P:P)</f>
        <v>0.96199999999999997</v>
      </c>
    </row>
    <row r="1016" spans="1:8" x14ac:dyDescent="0.25">
      <c r="A1016" s="154">
        <v>46080</v>
      </c>
      <c r="B1016" s="3" t="s">
        <v>2314</v>
      </c>
      <c r="C1016" s="3">
        <v>1</v>
      </c>
      <c r="D1016" s="3" t="str">
        <f>VLOOKUP(B1016,'Element wise-detail Summary'!$A:$D,2,0)</f>
        <v>PV13</v>
      </c>
      <c r="E1016" s="3" t="str">
        <f>IFERROR(VLOOKUP(B1016,'Element wise-detail Summary'!$A:$D,3,0),0)</f>
        <v>Zone-7</v>
      </c>
      <c r="F1016" s="143" t="str">
        <f>VLOOKUP(B1016,'AFC Data details'!$B:$B,1,0)</f>
        <v>AZ7-PV13-T3C4-002</v>
      </c>
      <c r="H1016" s="3">
        <f>_xlfn.XLOOKUP(B1016,'AFC Data details'!B:B,'AFC Data details'!P:P)</f>
        <v>1.163</v>
      </c>
    </row>
    <row r="1017" spans="1:8" x14ac:dyDescent="0.25">
      <c r="A1017" s="154">
        <v>46081</v>
      </c>
      <c r="B1017" s="3" t="s">
        <v>2509</v>
      </c>
      <c r="C1017" s="3">
        <v>1</v>
      </c>
      <c r="D1017" s="3" t="str">
        <f>VLOOKUP(B1017,'Element wise-detail Summary'!$A:$D,2,0)</f>
        <v>V02</v>
      </c>
      <c r="E1017" s="3" t="str">
        <f>IFERROR(VLOOKUP(B1017,'Element wise-detail Summary'!$A:$D,3,0),0)</f>
        <v>Zone-4</v>
      </c>
      <c r="F1017" s="143" t="str">
        <f>VLOOKUP(B1017,'AFC Data details'!$B:$B,1,0)</f>
        <v>AZ4-V02-T1C6-006</v>
      </c>
      <c r="H1017" s="3">
        <f>_xlfn.XLOOKUP(B1017,'AFC Data details'!B:B,'AFC Data details'!P:P)</f>
        <v>2.2160000000000002</v>
      </c>
    </row>
    <row r="1018" spans="1:8" x14ac:dyDescent="0.25">
      <c r="A1018" s="154">
        <v>46081</v>
      </c>
      <c r="B1018" s="3" t="s">
        <v>2505</v>
      </c>
      <c r="C1018" s="3">
        <v>1</v>
      </c>
      <c r="D1018" s="3" t="str">
        <f>VLOOKUP(B1018,'Element wise-detail Summary'!$A:$D,2,0)</f>
        <v>V02</v>
      </c>
      <c r="E1018" s="3" t="str">
        <f>IFERROR(VLOOKUP(B1018,'Element wise-detail Summary'!$A:$D,3,0),0)</f>
        <v>Zone-4</v>
      </c>
      <c r="F1018" s="143" t="str">
        <f>VLOOKUP(B1018,'AFC Data details'!$B:$B,1,0)</f>
        <v>AZ4-V02-T1C6-004</v>
      </c>
      <c r="H1018" s="3">
        <f>_xlfn.XLOOKUP(B1018,'AFC Data details'!B:B,'AFC Data details'!P:P)</f>
        <v>2.2160000000000002</v>
      </c>
    </row>
    <row r="1019" spans="1:8" x14ac:dyDescent="0.25">
      <c r="A1019" s="154">
        <v>46081</v>
      </c>
      <c r="B1019" s="3" t="s">
        <v>2506</v>
      </c>
      <c r="C1019" s="3">
        <v>1</v>
      </c>
      <c r="D1019" s="3" t="str">
        <f>VLOOKUP(B1019,'Element wise-detail Summary'!$A:$D,2,0)</f>
        <v>V03</v>
      </c>
      <c r="E1019" s="3" t="str">
        <f>IFERROR(VLOOKUP(B1019,'Element wise-detail Summary'!$A:$D,3,0),0)</f>
        <v>Zone-4</v>
      </c>
      <c r="F1019" s="143" t="str">
        <f>VLOOKUP(B1019,'AFC Data details'!$B:$B,1,0)</f>
        <v>AZ4-V03-T1C6-004</v>
      </c>
      <c r="H1019" s="3">
        <f>_xlfn.XLOOKUP(B1019,'AFC Data details'!B:B,'AFC Data details'!P:P)</f>
        <v>2.2160000000000002</v>
      </c>
    </row>
    <row r="1020" spans="1:8" x14ac:dyDescent="0.25">
      <c r="A1020" s="154">
        <v>46081</v>
      </c>
      <c r="B1020" s="3" t="s">
        <v>2507</v>
      </c>
      <c r="C1020" s="3">
        <v>1</v>
      </c>
      <c r="D1020" s="3" t="str">
        <f>VLOOKUP(B1020,'Element wise-detail Summary'!$A:$D,2,0)</f>
        <v>V02</v>
      </c>
      <c r="E1020" s="3" t="str">
        <f>IFERROR(VLOOKUP(B1020,'Element wise-detail Summary'!$A:$D,3,0),0)</f>
        <v>Zone-4</v>
      </c>
      <c r="F1020" s="143" t="str">
        <f>VLOOKUP(B1020,'AFC Data details'!$B:$B,1,0)</f>
        <v>AZ4-V02-T1C6-005</v>
      </c>
      <c r="H1020" s="3">
        <f>_xlfn.XLOOKUP(B1020,'AFC Data details'!B:B,'AFC Data details'!P:P)</f>
        <v>2.2160000000000002</v>
      </c>
    </row>
    <row r="1021" spans="1:8" x14ac:dyDescent="0.25">
      <c r="A1021" s="154">
        <v>46081</v>
      </c>
      <c r="B1021" s="3" t="s">
        <v>2508</v>
      </c>
      <c r="C1021" s="3">
        <v>1</v>
      </c>
      <c r="D1021" s="3" t="str">
        <f>VLOOKUP(B1021,'Element wise-detail Summary'!$A:$D,2,0)</f>
        <v>V03</v>
      </c>
      <c r="E1021" s="3" t="str">
        <f>IFERROR(VLOOKUP(B1021,'Element wise-detail Summary'!$A:$D,3,0),0)</f>
        <v>Zone-4</v>
      </c>
      <c r="F1021" s="143" t="str">
        <f>VLOOKUP(B1021,'AFC Data details'!$B:$B,1,0)</f>
        <v>AZ4-V03-T1C6-005</v>
      </c>
      <c r="H1021" s="3">
        <f>_xlfn.XLOOKUP(B1021,'AFC Data details'!B:B,'AFC Data details'!P:P)</f>
        <v>2.2160000000000002</v>
      </c>
    </row>
    <row r="1022" spans="1:8" x14ac:dyDescent="0.25">
      <c r="A1022" s="154">
        <v>46081</v>
      </c>
      <c r="B1022" s="3" t="s">
        <v>2516</v>
      </c>
      <c r="C1022" s="3">
        <v>1</v>
      </c>
      <c r="D1022" s="3" t="str">
        <f>VLOOKUP(B1022,'Element wise-detail Summary'!$A:$D,2,0)</f>
        <v>V03</v>
      </c>
      <c r="E1022" s="3" t="str">
        <f>IFERROR(VLOOKUP(B1022,'Element wise-detail Summary'!$A:$D,3,0),0)</f>
        <v>Zone-4</v>
      </c>
      <c r="F1022" s="143" t="str">
        <f>VLOOKUP(B1022,'AFC Data details'!$B:$B,1,0)</f>
        <v>AZ4-V03-T1C6-006</v>
      </c>
      <c r="H1022" s="3">
        <f>_xlfn.XLOOKUP(B1022,'AFC Data details'!B:B,'AFC Data details'!P:P)</f>
        <v>2.2160000000000002</v>
      </c>
    </row>
    <row r="1023" spans="1:8" x14ac:dyDescent="0.25">
      <c r="A1023" s="154">
        <v>46081</v>
      </c>
      <c r="B1023" s="3" t="s">
        <v>2502</v>
      </c>
      <c r="C1023" s="3">
        <v>1</v>
      </c>
      <c r="D1023" s="3" t="str">
        <f>VLOOKUP(B1023,'Element wise-detail Summary'!$A:$D,2,0)</f>
        <v>V03</v>
      </c>
      <c r="E1023" s="3" t="str">
        <f>IFERROR(VLOOKUP(B1023,'Element wise-detail Summary'!$A:$D,3,0),0)</f>
        <v>Zone-4</v>
      </c>
      <c r="F1023" s="143" t="str">
        <f>VLOOKUP(B1023,'AFC Data details'!$B:$B,1,0)</f>
        <v>AZ4-V03-T1C6-002</v>
      </c>
      <c r="H1023" s="3">
        <f>_xlfn.XLOOKUP(B1023,'AFC Data details'!B:B,'AFC Data details'!P:P)</f>
        <v>2.2530000000000001</v>
      </c>
    </row>
    <row r="1024" spans="1:8" x14ac:dyDescent="0.25">
      <c r="A1024" s="154">
        <v>46081</v>
      </c>
      <c r="B1024" s="3" t="s">
        <v>2500</v>
      </c>
      <c r="C1024" s="3">
        <v>1</v>
      </c>
      <c r="D1024" s="3" t="str">
        <f>VLOOKUP(B1024,'Element wise-detail Summary'!$A:$D,2,0)</f>
        <v>V02</v>
      </c>
      <c r="E1024" s="3" t="str">
        <f>IFERROR(VLOOKUP(B1024,'Element wise-detail Summary'!$A:$D,3,0),0)</f>
        <v>Zone-4</v>
      </c>
      <c r="F1024" s="143" t="str">
        <f>VLOOKUP(B1024,'AFC Data details'!$B:$B,1,0)</f>
        <v>AZ4-V02-T1C6-002</v>
      </c>
      <c r="H1024" s="3">
        <f>_xlfn.XLOOKUP(B1024,'AFC Data details'!B:B,'AFC Data details'!P:P)</f>
        <v>2.2530000000000001</v>
      </c>
    </row>
    <row r="1025" spans="1:8" x14ac:dyDescent="0.25">
      <c r="A1025" s="154">
        <v>46081</v>
      </c>
      <c r="B1025" s="3" t="s">
        <v>2517</v>
      </c>
      <c r="C1025" s="3">
        <v>1</v>
      </c>
      <c r="D1025" s="3" t="str">
        <f>VLOOKUP(B1025,'Element wise-detail Summary'!$A:$D,2,0)</f>
        <v>V03</v>
      </c>
      <c r="E1025" s="3" t="str">
        <f>IFERROR(VLOOKUP(B1025,'Element wise-detail Summary'!$A:$D,3,0),0)</f>
        <v>Zone-4</v>
      </c>
      <c r="F1025" s="143" t="str">
        <f>VLOOKUP(B1025,'AFC Data details'!$B:$B,1,0)</f>
        <v>AZ4-V03-T1C7-001</v>
      </c>
      <c r="H1025" s="3">
        <f>_xlfn.XLOOKUP(B1025,'AFC Data details'!B:B,'AFC Data details'!P:P)</f>
        <v>2.3279999999999998</v>
      </c>
    </row>
    <row r="1026" spans="1:8" x14ac:dyDescent="0.25">
      <c r="A1026" s="154">
        <v>46081</v>
      </c>
      <c r="B1026" s="3" t="s">
        <v>2510</v>
      </c>
      <c r="C1026" s="3">
        <v>1</v>
      </c>
      <c r="D1026" s="3" t="str">
        <f>VLOOKUP(B1026,'Element wise-detail Summary'!$A:$D,2,0)</f>
        <v>V02</v>
      </c>
      <c r="E1026" s="3" t="str">
        <f>IFERROR(VLOOKUP(B1026,'Element wise-detail Summary'!$A:$D,3,0),0)</f>
        <v>Zone-4</v>
      </c>
      <c r="F1026" s="143" t="str">
        <f>VLOOKUP(B1026,'AFC Data details'!$B:$B,1,0)</f>
        <v>AZ4-V02-T1C7-001</v>
      </c>
      <c r="H1026" s="3">
        <f>_xlfn.XLOOKUP(B1026,'AFC Data details'!B:B,'AFC Data details'!P:P)</f>
        <v>2.3279999999999998</v>
      </c>
    </row>
    <row r="1027" spans="1:8" x14ac:dyDescent="0.25">
      <c r="A1027" s="154">
        <v>46083</v>
      </c>
      <c r="B1027" s="3" t="s">
        <v>2409</v>
      </c>
      <c r="C1027" s="3">
        <v>1</v>
      </c>
      <c r="D1027" s="3" t="str">
        <f>VLOOKUP(B1027,'Element wise-detail Summary'!$A:$D,2,0)</f>
        <v>PV44</v>
      </c>
      <c r="E1027" s="3" t="str">
        <f>IFERROR(VLOOKUP(B1027,'Element wise-detail Summary'!$A:$D,3,0),0)</f>
        <v>Zone-8</v>
      </c>
      <c r="F1027" s="143" t="str">
        <f>VLOOKUP(B1027,'AFC Data details'!$B:$B,1,0)</f>
        <v>AZ8-PV44-T1C1-006</v>
      </c>
      <c r="H1027" s="3">
        <f>_xlfn.XLOOKUP(B1027,'AFC Data details'!B:B,'AFC Data details'!P:P)</f>
        <v>0.96199999999999997</v>
      </c>
    </row>
    <row r="1028" spans="1:8" x14ac:dyDescent="0.25">
      <c r="A1028" s="154">
        <v>46083</v>
      </c>
      <c r="B1028" s="3" t="s">
        <v>2504</v>
      </c>
      <c r="C1028" s="3">
        <v>1</v>
      </c>
      <c r="D1028" s="3" t="str">
        <f>VLOOKUP(B1028,'Element wise-detail Summary'!$A:$D,2,0)</f>
        <v>V03</v>
      </c>
      <c r="E1028" s="3" t="str">
        <f>IFERROR(VLOOKUP(B1028,'Element wise-detail Summary'!$A:$D,3,0),0)</f>
        <v>Zone-4</v>
      </c>
      <c r="F1028" s="143" t="str">
        <f>VLOOKUP(B1028,'AFC Data details'!$B:$B,1,0)</f>
        <v>AZ4-V03-T1C6-003</v>
      </c>
      <c r="H1028" s="3">
        <f>_xlfn.XLOOKUP(B1028,'AFC Data details'!B:B,'AFC Data details'!P:P)</f>
        <v>2.2530000000000001</v>
      </c>
    </row>
    <row r="1029" spans="1:8" x14ac:dyDescent="0.25">
      <c r="A1029" s="154">
        <v>46083</v>
      </c>
      <c r="B1029" s="3" t="s">
        <v>2503</v>
      </c>
      <c r="C1029" s="3">
        <v>1</v>
      </c>
      <c r="D1029" s="3" t="str">
        <f>VLOOKUP(B1029,'Element wise-detail Summary'!$A:$D,2,0)</f>
        <v>V02</v>
      </c>
      <c r="E1029" s="3" t="str">
        <f>IFERROR(VLOOKUP(B1029,'Element wise-detail Summary'!$A:$D,3,0),0)</f>
        <v>Zone-4</v>
      </c>
      <c r="F1029" s="143" t="str">
        <f>VLOOKUP(B1029,'AFC Data details'!$B:$B,1,0)</f>
        <v>AZ4-V02-T1C6-003</v>
      </c>
      <c r="H1029" s="3">
        <f>_xlfn.XLOOKUP(B1029,'AFC Data details'!B:B,'AFC Data details'!P:P)</f>
        <v>2.2530000000000001</v>
      </c>
    </row>
    <row r="1030" spans="1:8" x14ac:dyDescent="0.25">
      <c r="A1030" s="154">
        <v>46084</v>
      </c>
      <c r="B1030" s="3" t="s">
        <v>1873</v>
      </c>
      <c r="C1030" s="3">
        <v>1</v>
      </c>
      <c r="D1030" s="3" t="str">
        <f>VLOOKUP(B1030,'Element wise-detail Summary'!$A:$D,2,0)</f>
        <v>PV17</v>
      </c>
      <c r="E1030" s="3" t="str">
        <f>IFERROR(VLOOKUP(B1030,'Element wise-detail Summary'!$A:$D,3,0),0)</f>
        <v>Zone-6</v>
      </c>
      <c r="F1030" s="143" t="str">
        <f>VLOOKUP(B1030,'AFC Data details'!$B:$B,1,0)</f>
        <v>AZ6-PV17-T3C4-001</v>
      </c>
      <c r="H1030" s="3">
        <f>_xlfn.XLOOKUP(B1030,'AFC Data details'!B:B,'AFC Data details'!P:P)</f>
        <v>1.07</v>
      </c>
    </row>
    <row r="1031" spans="1:8" x14ac:dyDescent="0.25">
      <c r="A1031" s="154">
        <v>46084</v>
      </c>
      <c r="B1031" s="3" t="s">
        <v>1913</v>
      </c>
      <c r="C1031" s="3">
        <v>1</v>
      </c>
      <c r="D1031" s="3" t="str">
        <f>VLOOKUP(B1031,'Element wise-detail Summary'!$A:$D,2,0)</f>
        <v>PV29</v>
      </c>
      <c r="E1031" s="3" t="str">
        <f>IFERROR(VLOOKUP(B1031,'Element wise-detail Summary'!$A:$D,3,0),0)</f>
        <v>Zone-6</v>
      </c>
      <c r="F1031" s="143" t="str">
        <f>VLOOKUP(B1031,'AFC Data details'!$B:$B,1,0)</f>
        <v>AZ6-PV29-T3C4-002</v>
      </c>
      <c r="H1031" s="3">
        <f>_xlfn.XLOOKUP(B1031,'AFC Data details'!B:B,'AFC Data details'!P:P)</f>
        <v>1.149</v>
      </c>
    </row>
    <row r="1032" spans="1:8" x14ac:dyDescent="0.25">
      <c r="A1032" s="154">
        <v>46084</v>
      </c>
      <c r="B1032" s="3" t="s">
        <v>2327</v>
      </c>
      <c r="C1032" s="3">
        <v>1</v>
      </c>
      <c r="D1032" s="3" t="str">
        <f>VLOOKUP(B1032,'Element wise-detail Summary'!$A:$D,2,0)</f>
        <v>PV14</v>
      </c>
      <c r="E1032" s="3" t="str">
        <f>IFERROR(VLOOKUP(B1032,'Element wise-detail Summary'!$A:$D,3,0),0)</f>
        <v>Zone-7</v>
      </c>
      <c r="F1032" s="143" t="str">
        <f>VLOOKUP(B1032,'AFC Data details'!$B:$B,1,0)</f>
        <v>AZ7-PV14-T3C4-001</v>
      </c>
      <c r="H1032" s="3">
        <f>_xlfn.XLOOKUP(B1032,'AFC Data details'!B:B,'AFC Data details'!P:P)</f>
        <v>1.1539999999999999</v>
      </c>
    </row>
    <row r="1033" spans="1:8" x14ac:dyDescent="0.25">
      <c r="A1033" s="154">
        <v>46084</v>
      </c>
      <c r="B1033" s="3" t="s">
        <v>2511</v>
      </c>
      <c r="C1033" s="3">
        <v>1</v>
      </c>
      <c r="D1033" s="3" t="str">
        <f>VLOOKUP(B1033,'Element wise-detail Summary'!$A:$D,2,0)</f>
        <v>V02</v>
      </c>
      <c r="E1033" s="3" t="str">
        <f>IFERROR(VLOOKUP(B1033,'Element wise-detail Summary'!$A:$D,3,0),0)</f>
        <v>Zone-4</v>
      </c>
      <c r="F1033" s="143" t="str">
        <f>VLOOKUP(B1033,'AFC Data details'!$B:$B,1,0)</f>
        <v>AZ4-V02-T2C1-001</v>
      </c>
      <c r="H1033" s="3">
        <f>_xlfn.XLOOKUP(B1033,'AFC Data details'!B:B,'AFC Data details'!P:P)</f>
        <v>1.381</v>
      </c>
    </row>
    <row r="1034" spans="1:8" x14ac:dyDescent="0.25">
      <c r="A1034" s="154">
        <v>46085</v>
      </c>
      <c r="B1034" s="3" t="s">
        <v>2255</v>
      </c>
      <c r="C1034" s="3">
        <v>1</v>
      </c>
      <c r="D1034" s="3" t="str">
        <f>VLOOKUP(B1034,'Element wise-detail Summary'!$A:$D,2,0)</f>
        <v>PV06</v>
      </c>
      <c r="E1034" s="3" t="str">
        <f>IFERROR(VLOOKUP(B1034,'Element wise-detail Summary'!$A:$D,3,0),0)</f>
        <v>Zone-7</v>
      </c>
      <c r="F1034" s="143" t="str">
        <f>VLOOKUP(B1034,'AFC Data details'!$B:$B,1,0)</f>
        <v>AZ7-PV06-T3C4-001</v>
      </c>
      <c r="H1034" s="3">
        <f>_xlfn.XLOOKUP(B1034,'AFC Data details'!B:B,'AFC Data details'!P:P)</f>
        <v>1.51</v>
      </c>
    </row>
    <row r="1035" spans="1:8" x14ac:dyDescent="0.25">
      <c r="A1035" s="154">
        <v>46085</v>
      </c>
      <c r="B1035" s="3" t="s">
        <v>2513</v>
      </c>
      <c r="C1035" s="3">
        <v>1</v>
      </c>
      <c r="D1035" s="3" t="str">
        <f>VLOOKUP(B1035,'Element wise-detail Summary'!$A:$D,2,0)</f>
        <v>V02</v>
      </c>
      <c r="E1035" s="3" t="str">
        <f>IFERROR(VLOOKUP(B1035,'Element wise-detail Summary'!$A:$D,3,0),0)</f>
        <v>Zone-4</v>
      </c>
      <c r="F1035" s="143" t="str">
        <f>VLOOKUP(B1035,'AFC Data details'!$B:$B,1,0)</f>
        <v>AZ4-V02-T3C2-001</v>
      </c>
      <c r="H1035" s="3">
        <f>_xlfn.XLOOKUP(B1035,'AFC Data details'!B:B,'AFC Data details'!P:P)</f>
        <v>1.0549999999999999</v>
      </c>
    </row>
    <row r="1036" spans="1:8" x14ac:dyDescent="0.25">
      <c r="A1036" s="154">
        <v>46086</v>
      </c>
      <c r="B1036" s="3" t="s">
        <v>2496</v>
      </c>
      <c r="C1036" s="3">
        <v>1</v>
      </c>
      <c r="D1036" s="3" t="str">
        <f>VLOOKUP(B1036,'Element wise-detail Summary'!$A:$D,2,0)</f>
        <v>V01</v>
      </c>
      <c r="E1036" s="3" t="str">
        <f>IFERROR(VLOOKUP(B1036,'Element wise-detail Summary'!$A:$D,3,0),0)</f>
        <v>Zone-4</v>
      </c>
      <c r="F1036" s="143" t="str">
        <f>VLOOKUP(B1036,'AFC Data details'!$B:$B,1,0)</f>
        <v>AZ4-V01-T1C19-008</v>
      </c>
      <c r="H1036" s="3">
        <f>_xlfn.XLOOKUP(B1036,'AFC Data details'!B:B,'AFC Data details'!P:P)</f>
        <v>2.4820000000000002</v>
      </c>
    </row>
    <row r="1037" spans="1:8" x14ac:dyDescent="0.25">
      <c r="A1037" s="154">
        <v>46086</v>
      </c>
      <c r="B1037" s="3" t="s">
        <v>2515</v>
      </c>
      <c r="C1037" s="3">
        <v>1</v>
      </c>
      <c r="D1037" s="3" t="str">
        <f>VLOOKUP(B1037,'Element wise-detail Summary'!$A:$D,2,0)</f>
        <v>V02</v>
      </c>
      <c r="E1037" s="3" t="str">
        <f>IFERROR(VLOOKUP(B1037,'Element wise-detail Summary'!$A:$D,3,0),0)</f>
        <v>Zone-4</v>
      </c>
      <c r="F1037" s="143" t="str">
        <f>VLOOKUP(B1037,'AFC Data details'!$B:$B,1,0)</f>
        <v>AZ4-V02-T3C3-001</v>
      </c>
      <c r="H1037" s="3">
        <f>_xlfn.XLOOKUP(B1037,'AFC Data details'!B:B,'AFC Data details'!P:P)</f>
        <v>1.546</v>
      </c>
    </row>
    <row r="1038" spans="1:8" x14ac:dyDescent="0.25">
      <c r="A1038" s="154">
        <v>46087</v>
      </c>
      <c r="B1038" s="3" t="s">
        <v>2259</v>
      </c>
      <c r="C1038" s="3">
        <v>1</v>
      </c>
      <c r="D1038" s="3" t="str">
        <f>VLOOKUP(B1038,'Element wise-detail Summary'!$A:$D,2,0)</f>
        <v>PV07</v>
      </c>
      <c r="E1038" s="3" t="str">
        <f>IFERROR(VLOOKUP(B1038,'Element wise-detail Summary'!$A:$D,3,0),0)</f>
        <v>Zone-7</v>
      </c>
      <c r="F1038" s="143" t="str">
        <f>VLOOKUP(B1038,'AFC Data details'!$B:$B,1,0)</f>
        <v>AZ7-PV07-T3C4-002</v>
      </c>
      <c r="H1038" s="3">
        <f>_xlfn.XLOOKUP(B1038,'AFC Data details'!B:B,'AFC Data details'!P:P)</f>
        <v>1.143</v>
      </c>
    </row>
    <row r="1039" spans="1:8" x14ac:dyDescent="0.25">
      <c r="A1039" s="154">
        <v>46087</v>
      </c>
      <c r="B1039" s="3" t="s">
        <v>1915</v>
      </c>
      <c r="C1039" s="3">
        <v>1</v>
      </c>
      <c r="D1039" s="3" t="str">
        <f>VLOOKUP(B1039,'Element wise-detail Summary'!$A:$D,2,0)</f>
        <v>PV30</v>
      </c>
      <c r="E1039" s="3" t="str">
        <f>IFERROR(VLOOKUP(B1039,'Element wise-detail Summary'!$A:$D,3,0),0)</f>
        <v>Zone-6</v>
      </c>
      <c r="F1039" s="143" t="str">
        <f>VLOOKUP(B1039,'AFC Data details'!$B:$B,1,0)</f>
        <v>AZ6-PV30-T3C4-001</v>
      </c>
      <c r="H1039" s="3">
        <f>_xlfn.XLOOKUP(B1039,'AFC Data details'!B:B,'AFC Data details'!P:P)</f>
        <v>1.149</v>
      </c>
    </row>
    <row r="1040" spans="1:8" x14ac:dyDescent="0.25">
      <c r="A1040" s="154">
        <v>46087</v>
      </c>
      <c r="B1040" s="3" t="s">
        <v>2514</v>
      </c>
      <c r="C1040" s="3">
        <v>1</v>
      </c>
      <c r="D1040" s="3" t="str">
        <f>VLOOKUP(B1040,'Element wise-detail Summary'!$A:$D,2,0)</f>
        <v>V02</v>
      </c>
      <c r="E1040" s="3" t="str">
        <f>IFERROR(VLOOKUP(B1040,'Element wise-detail Summary'!$A:$D,3,0),0)</f>
        <v>Zone-4</v>
      </c>
      <c r="F1040" s="143" t="str">
        <f>VLOOKUP(B1040,'AFC Data details'!$B:$B,1,0)</f>
        <v>AZ4-V02-T3C2-002</v>
      </c>
      <c r="H1040" s="3">
        <f>_xlfn.XLOOKUP(B1040,'AFC Data details'!B:B,'AFC Data details'!P:P)</f>
        <v>1.151</v>
      </c>
    </row>
    <row r="1041" spans="1:8" x14ac:dyDescent="0.25">
      <c r="A1041" s="154">
        <v>46087</v>
      </c>
      <c r="B1041" s="3" t="s">
        <v>2498</v>
      </c>
      <c r="C1041" s="3">
        <v>1</v>
      </c>
      <c r="D1041" s="3" t="str">
        <f>VLOOKUP(B1041,'Element wise-detail Summary'!$A:$D,2,0)</f>
        <v>V01</v>
      </c>
      <c r="E1041" s="3" t="str">
        <f>IFERROR(VLOOKUP(B1041,'Element wise-detail Summary'!$A:$D,3,0),0)</f>
        <v>Zone-4</v>
      </c>
      <c r="F1041" s="143" t="str">
        <f>VLOOKUP(B1041,'AFC Data details'!$B:$B,1,0)</f>
        <v>AZ4-V01-T1C19-009</v>
      </c>
      <c r="H1041" s="3">
        <f>_xlfn.XLOOKUP(B1041,'AFC Data details'!B:B,'AFC Data details'!P:P)</f>
        <v>2.4809999999999999</v>
      </c>
    </row>
    <row r="1042" spans="1:8" x14ac:dyDescent="0.25">
      <c r="A1042" s="154">
        <v>46088</v>
      </c>
      <c r="B1042" s="3" t="s">
        <v>1875</v>
      </c>
      <c r="C1042" s="3">
        <v>1</v>
      </c>
      <c r="D1042" s="3" t="str">
        <f>VLOOKUP(B1042,'Element wise-detail Summary'!$A:$D,2,0)</f>
        <v>PV18</v>
      </c>
      <c r="E1042" s="3" t="str">
        <f>IFERROR(VLOOKUP(B1042,'Element wise-detail Summary'!$A:$D,3,0),0)</f>
        <v>Zone-6</v>
      </c>
      <c r="F1042" s="143" t="str">
        <f>VLOOKUP(B1042,'AFC Data details'!$B:$B,1,0)</f>
        <v>AZ6-PV18-T3C4-002</v>
      </c>
      <c r="H1042" s="3">
        <f>_xlfn.XLOOKUP(B1042,'AFC Data details'!B:B,'AFC Data details'!P:P)</f>
        <v>1.3280000000000001</v>
      </c>
    </row>
    <row r="1043" spans="1:8" x14ac:dyDescent="0.25">
      <c r="A1043" s="154">
        <v>46088</v>
      </c>
      <c r="B1043" s="3" t="s">
        <v>2446</v>
      </c>
      <c r="C1043" s="3">
        <v>1</v>
      </c>
      <c r="D1043" s="3" t="str">
        <f>VLOOKUP(B1043,'Element wise-detail Summary'!$A:$D,2,0)</f>
        <v>V01</v>
      </c>
      <c r="E1043" s="3" t="str">
        <f>IFERROR(VLOOKUP(B1043,'Element wise-detail Summary'!$A:$D,3,0),0)</f>
        <v>Zone-4</v>
      </c>
      <c r="F1043" s="143" t="str">
        <f>VLOOKUP(B1043,'AFC Data details'!$B:$B,1,0)</f>
        <v>AZ4-V01-T1C19-006</v>
      </c>
      <c r="H1043" s="3">
        <f>_xlfn.XLOOKUP(B1043,'AFC Data details'!B:B,'AFC Data details'!P:P)</f>
        <v>3.8220000000000001</v>
      </c>
    </row>
    <row r="1044" spans="1:8" x14ac:dyDescent="0.25">
      <c r="A1044" s="154">
        <v>46091</v>
      </c>
      <c r="B1044" s="3" t="s">
        <v>2272</v>
      </c>
      <c r="C1044" s="3">
        <v>1</v>
      </c>
      <c r="D1044" s="3" t="str">
        <f>VLOOKUP(B1044,'Element wise-detail Summary'!$A:$D,2,0)</f>
        <v>PV08</v>
      </c>
      <c r="E1044" s="3" t="str">
        <f>IFERROR(VLOOKUP(B1044,'Element wise-detail Summary'!$A:$D,3,0),0)</f>
        <v>Zone-7</v>
      </c>
      <c r="F1044" s="143" t="str">
        <f>VLOOKUP(B1044,'AFC Data details'!$B:$B,1,0)</f>
        <v>AZ7-PV08-T3C4-001</v>
      </c>
      <c r="H1044" s="3">
        <f>_xlfn.XLOOKUP(B1044,'AFC Data details'!B:B,'AFC Data details'!P:P)</f>
        <v>1.143</v>
      </c>
    </row>
    <row r="1045" spans="1:8" x14ac:dyDescent="0.25">
      <c r="A1045" s="154">
        <v>46091</v>
      </c>
      <c r="B1045" s="3" t="s">
        <v>1877</v>
      </c>
      <c r="C1045" s="3">
        <v>1</v>
      </c>
      <c r="D1045" s="3" t="str">
        <f>VLOOKUP(B1045,'Element wise-detail Summary'!$A:$D,2,0)</f>
        <v>PV19</v>
      </c>
      <c r="E1045" s="3" t="str">
        <f>IFERROR(VLOOKUP(B1045,'Element wise-detail Summary'!$A:$D,3,0),0)</f>
        <v>Zone-6</v>
      </c>
      <c r="F1045" s="143" t="str">
        <f>VLOOKUP(B1045,'AFC Data details'!$B:$B,1,0)</f>
        <v>AZ6-PV19-T3C4-001</v>
      </c>
      <c r="H1045" s="3">
        <f>_xlfn.XLOOKUP(B1045,'AFC Data details'!B:B,'AFC Data details'!P:P)</f>
        <v>1.3069999999999999</v>
      </c>
    </row>
    <row r="1046" spans="1:8" x14ac:dyDescent="0.25">
      <c r="A1046" s="154">
        <v>46091</v>
      </c>
      <c r="B1046" s="3" t="s">
        <v>1943</v>
      </c>
      <c r="C1046" s="3">
        <v>1</v>
      </c>
      <c r="D1046" s="3" t="str">
        <f>VLOOKUP(B1046,'Element wise-detail Summary'!$A:$D,2,0)</f>
        <v>PV36</v>
      </c>
      <c r="E1046" s="3" t="str">
        <f>IFERROR(VLOOKUP(B1046,'Element wise-detail Summary'!$A:$D,3,0),0)</f>
        <v>Zone-6</v>
      </c>
      <c r="F1046" s="143" t="str">
        <f>VLOOKUP(B1046,'AFC Data details'!$B:$B,1,0)</f>
        <v>AZ6-PV36-T3C5-001</v>
      </c>
      <c r="H1046" s="3">
        <f>_xlfn.XLOOKUP(B1046,'AFC Data details'!B:B,'AFC Data details'!P:P)</f>
        <v>1.282</v>
      </c>
    </row>
    <row r="1047" spans="1:8" x14ac:dyDescent="0.25">
      <c r="A1047" s="154">
        <v>46091</v>
      </c>
      <c r="B1047" s="3" t="s">
        <v>2448</v>
      </c>
      <c r="C1047" s="3">
        <v>1</v>
      </c>
      <c r="D1047" s="3" t="str">
        <f>VLOOKUP(B1047,'Element wise-detail Summary'!$A:$D,2,0)</f>
        <v>V01</v>
      </c>
      <c r="E1047" s="3" t="str">
        <f>IFERROR(VLOOKUP(B1047,'Element wise-detail Summary'!$A:$D,3,0),0)</f>
        <v>Zone-4</v>
      </c>
      <c r="F1047" s="143" t="str">
        <f>VLOOKUP(B1047,'AFC Data details'!$B:$B,1,0)</f>
        <v>AZ4-V01-T1C19-007</v>
      </c>
      <c r="H1047" s="3">
        <f>_xlfn.XLOOKUP(B1047,'AFC Data details'!B:B,'AFC Data details'!P:P)</f>
        <v>2.6720000000000002</v>
      </c>
    </row>
    <row r="1048" spans="1:8" x14ac:dyDescent="0.25">
      <c r="A1048" s="154">
        <v>46092</v>
      </c>
      <c r="B1048" s="3" t="s">
        <v>1882</v>
      </c>
      <c r="C1048" s="3">
        <v>1</v>
      </c>
      <c r="D1048" s="3" t="str">
        <f>VLOOKUP(B1048,'Element wise-detail Summary'!$A:$D,2,0)</f>
        <v>PV20</v>
      </c>
      <c r="E1048" s="3" t="str">
        <f>IFERROR(VLOOKUP(B1048,'Element wise-detail Summary'!$A:$D,3,0),0)</f>
        <v>Zone-6</v>
      </c>
      <c r="F1048" s="143" t="str">
        <f>VLOOKUP(B1048,'AFC Data details'!$B:$B,1,0)</f>
        <v>AZ6-PV20-T3C4-002</v>
      </c>
      <c r="H1048" s="3">
        <f>_xlfn.XLOOKUP(B1048,'AFC Data details'!B:B,'AFC Data details'!P:P)</f>
        <v>1.3129999999999999</v>
      </c>
    </row>
    <row r="1049" spans="1:8" x14ac:dyDescent="0.25">
      <c r="A1049" s="154">
        <v>46092</v>
      </c>
      <c r="B1049" s="3" t="s">
        <v>2331</v>
      </c>
      <c r="C1049" s="3">
        <v>1</v>
      </c>
      <c r="D1049" s="3" t="str">
        <f>VLOOKUP(B1049,'Element wise-detail Summary'!$A:$D,2,0)</f>
        <v>PV15</v>
      </c>
      <c r="E1049" s="3" t="str">
        <f>IFERROR(VLOOKUP(B1049,'Element wise-detail Summary'!$A:$D,3,0),0)</f>
        <v>Zone-7</v>
      </c>
      <c r="F1049" s="143" t="str">
        <f>VLOOKUP(B1049,'AFC Data details'!$B:$B,1,0)</f>
        <v>AZ7-PV15-T3C4-002</v>
      </c>
      <c r="H1049" s="3">
        <f>_xlfn.XLOOKUP(B1049,'AFC Data details'!B:B,'AFC Data details'!P:P)</f>
        <v>1.1359999999999999</v>
      </c>
    </row>
    <row r="1050" spans="1:8" x14ac:dyDescent="0.25">
      <c r="A1050" s="154">
        <v>46093</v>
      </c>
      <c r="B1050" s="3" t="s">
        <v>2338</v>
      </c>
      <c r="C1050" s="3">
        <v>1</v>
      </c>
      <c r="D1050" s="3" t="str">
        <f>VLOOKUP(B1050,'Element wise-detail Summary'!$A:$D,2,0)</f>
        <v>PV16</v>
      </c>
      <c r="E1050" s="3" t="str">
        <f>IFERROR(VLOOKUP(B1050,'Element wise-detail Summary'!$A:$D,3,0),0)</f>
        <v>Zone-7</v>
      </c>
      <c r="F1050" s="143" t="str">
        <f>VLOOKUP(B1050,'AFC Data details'!$B:$B,1,0)</f>
        <v>AZ7-PV16-T3C4-001</v>
      </c>
      <c r="H1050" s="3">
        <f>_xlfn.XLOOKUP(B1050,'AFC Data details'!B:B,'AFC Data details'!P:P)</f>
        <v>1.1359999999999999</v>
      </c>
    </row>
    <row r="1051" spans="1:8" x14ac:dyDescent="0.25">
      <c r="A1051" s="154">
        <v>46093</v>
      </c>
      <c r="B1051" s="3" t="s">
        <v>2258</v>
      </c>
      <c r="C1051" s="3">
        <v>1</v>
      </c>
      <c r="D1051" s="3" t="str">
        <f>VLOOKUP(B1051,'Element wise-detail Summary'!$A:$D,2,0)</f>
        <v>PV07</v>
      </c>
      <c r="E1051" s="3" t="str">
        <f>IFERROR(VLOOKUP(B1051,'Element wise-detail Summary'!$A:$D,3,0),0)</f>
        <v>Zone-7</v>
      </c>
      <c r="F1051" s="143" t="str">
        <f>VLOOKUP(B1051,'AFC Data details'!$B:$B,1,0)</f>
        <v>AZ7-PV07-T3C4-001</v>
      </c>
      <c r="H1051" s="3">
        <f>_xlfn.XLOOKUP(B1051,'AFC Data details'!B:B,'AFC Data details'!P:P)</f>
        <v>1.399</v>
      </c>
    </row>
    <row r="1052" spans="1:8" x14ac:dyDescent="0.25">
      <c r="A1052" s="154">
        <v>46094</v>
      </c>
      <c r="B1052" s="3" t="s">
        <v>1885</v>
      </c>
      <c r="C1052" s="3">
        <v>1</v>
      </c>
      <c r="D1052" s="3" t="str">
        <f>VLOOKUP(B1052,'Element wise-detail Summary'!$A:$D,2,0)</f>
        <v>PV21</v>
      </c>
      <c r="E1052" s="3" t="str">
        <f>IFERROR(VLOOKUP(B1052,'Element wise-detail Summary'!$A:$D,3,0),0)</f>
        <v>Zone-6</v>
      </c>
      <c r="F1052" s="143" t="str">
        <f>VLOOKUP(B1052,'AFC Data details'!$B:$B,1,0)</f>
        <v>AZ6-PV21-T3C4-001</v>
      </c>
      <c r="H1052" s="3">
        <f>_xlfn.XLOOKUP(B1052,'AFC Data details'!B:B,'AFC Data details'!P:P)</f>
        <v>1.296</v>
      </c>
    </row>
    <row r="1053" spans="1:8" x14ac:dyDescent="0.25">
      <c r="A1053" s="154">
        <v>46094</v>
      </c>
      <c r="B1053" s="3" t="s">
        <v>2450</v>
      </c>
      <c r="C1053" s="3">
        <v>1</v>
      </c>
      <c r="D1053" s="3" t="str">
        <f>VLOOKUP(B1053,'Element wise-detail Summary'!$A:$D,2,0)</f>
        <v>V02</v>
      </c>
      <c r="E1053" s="3" t="str">
        <f>IFERROR(VLOOKUP(B1053,'Element wise-detail Summary'!$A:$D,3,0),0)</f>
        <v>Zone-4</v>
      </c>
      <c r="F1053" s="143" t="str">
        <f>VLOOKUP(B1053,'AFC Data details'!$B:$B,1,0)</f>
        <v>AZ4-V02-T1C19-001</v>
      </c>
      <c r="H1053" s="3">
        <f>_xlfn.XLOOKUP(B1053,'AFC Data details'!B:B,'AFC Data details'!P:P)</f>
        <v>1.95</v>
      </c>
    </row>
    <row r="1054" spans="1:8" x14ac:dyDescent="0.25">
      <c r="A1054" s="154">
        <v>46094</v>
      </c>
      <c r="B1054" s="3" t="s">
        <v>2295</v>
      </c>
      <c r="C1054" s="3">
        <v>1</v>
      </c>
      <c r="D1054" s="3" t="str">
        <f>VLOOKUP(B1054,'Element wise-detail Summary'!$A:$D,2,0)</f>
        <v>PV11</v>
      </c>
      <c r="E1054" s="3" t="str">
        <f>IFERROR(VLOOKUP(B1054,'Element wise-detail Summary'!$A:$D,3,0),0)</f>
        <v>Zone-7</v>
      </c>
      <c r="F1054" s="143" t="str">
        <f>VLOOKUP(B1054,'AFC Data details'!$B:$B,1,0)</f>
        <v>AZ7-PV11-T3C4-002</v>
      </c>
      <c r="H1054" s="3">
        <f>_xlfn.XLOOKUP(B1054,'AFC Data details'!B:B,'AFC Data details'!P:P)</f>
        <v>1.1559999999999999</v>
      </c>
    </row>
    <row r="1055" spans="1:8" x14ac:dyDescent="0.25">
      <c r="A1055" s="154">
        <v>46095</v>
      </c>
      <c r="B1055" s="3" t="s">
        <v>2256</v>
      </c>
      <c r="C1055" s="3">
        <v>1</v>
      </c>
      <c r="D1055" s="3" t="str">
        <f>VLOOKUP(B1055,'Element wise-detail Summary'!$A:$D,2,0)</f>
        <v>PV06</v>
      </c>
      <c r="E1055" s="3" t="str">
        <f>IFERROR(VLOOKUP(B1055,'Element wise-detail Summary'!$A:$D,3,0),0)</f>
        <v>Zone-7</v>
      </c>
      <c r="F1055" s="143" t="str">
        <f>VLOOKUP(B1055,'AFC Data details'!$B:$B,1,0)</f>
        <v>AZ7-PV06-T3C4-002</v>
      </c>
      <c r="H1055" s="3">
        <f>_xlfn.XLOOKUP(B1055,'AFC Data details'!B:B,'AFC Data details'!P:P)</f>
        <v>1.399</v>
      </c>
    </row>
    <row r="1056" spans="1:8" x14ac:dyDescent="0.25">
      <c r="A1056" s="154">
        <v>46097</v>
      </c>
      <c r="B1056" s="3" t="s">
        <v>2296</v>
      </c>
      <c r="C1056" s="3">
        <v>1</v>
      </c>
      <c r="D1056" s="3" t="str">
        <f>VLOOKUP(B1056,'Element wise-detail Summary'!$A:$D,2,0)</f>
        <v>PV11</v>
      </c>
      <c r="E1056" s="3" t="str">
        <f>IFERROR(VLOOKUP(B1056,'Element wise-detail Summary'!$A:$D,3,0),0)</f>
        <v>Zone-7</v>
      </c>
      <c r="F1056" s="143" t="str">
        <f>VLOOKUP(B1056,'AFC Data details'!$B:$B,1,0)</f>
        <v>AZ7-PV11-T3C4-003</v>
      </c>
      <c r="H1056" s="3">
        <f>_xlfn.XLOOKUP(B1056,'AFC Data details'!B:B,'AFC Data details'!P:P)</f>
        <v>1.1559999999999999</v>
      </c>
    </row>
    <row r="1057" spans="1:9" x14ac:dyDescent="0.25">
      <c r="A1057" s="154">
        <v>46097</v>
      </c>
      <c r="B1057" s="3" t="s">
        <v>2518</v>
      </c>
      <c r="C1057" s="3">
        <v>1</v>
      </c>
      <c r="D1057" s="3" t="str">
        <f>VLOOKUP(B1057,'Element wise-detail Summary'!$A:$D,2,0)</f>
        <v>V03</v>
      </c>
      <c r="E1057" s="3" t="str">
        <f>IFERROR(VLOOKUP(B1057,'Element wise-detail Summary'!$A:$D,3,0),0)</f>
        <v>Zone-4</v>
      </c>
      <c r="F1057" s="143" t="str">
        <f>VLOOKUP(B1057,'AFC Data details'!$B:$B,1,0)</f>
        <v>AZ4-V03-T3C4-001</v>
      </c>
      <c r="H1057" s="3">
        <f>_xlfn.XLOOKUP(B1057,'AFC Data details'!B:B,'AFC Data details'!P:P)</f>
        <v>1.4690000000000001</v>
      </c>
    </row>
    <row r="1058" spans="1:9" x14ac:dyDescent="0.25">
      <c r="A1058" s="154">
        <v>46098</v>
      </c>
      <c r="B1058" s="3" t="s">
        <v>2273</v>
      </c>
      <c r="C1058" s="3">
        <v>1</v>
      </c>
      <c r="D1058" s="3" t="str">
        <f>VLOOKUP(B1058,'Element wise-detail Summary'!$A:$D,2,0)</f>
        <v>PV08</v>
      </c>
      <c r="E1058" s="3" t="str">
        <f>IFERROR(VLOOKUP(B1058,'Element wise-detail Summary'!$A:$D,3,0),0)</f>
        <v>Zone-7</v>
      </c>
      <c r="F1058" s="143" t="str">
        <f>VLOOKUP(B1058,'AFC Data details'!$B:$B,1,0)</f>
        <v>AZ7-PV08-T3C4-002</v>
      </c>
      <c r="H1058" s="3">
        <f>_xlfn.XLOOKUP(B1058,'AFC Data details'!B:B,'AFC Data details'!P:P)</f>
        <v>1.39</v>
      </c>
    </row>
    <row r="1059" spans="1:9" x14ac:dyDescent="0.25">
      <c r="A1059" s="154">
        <v>46098</v>
      </c>
      <c r="B1059" s="3" t="s">
        <v>1897</v>
      </c>
      <c r="C1059" s="3">
        <v>1</v>
      </c>
      <c r="D1059" s="3" t="str">
        <f>VLOOKUP(B1059,'Element wise-detail Summary'!$A:$D,2,0)</f>
        <v>PV25</v>
      </c>
      <c r="E1059" s="3" t="str">
        <f>IFERROR(VLOOKUP(B1059,'Element wise-detail Summary'!$A:$D,3,0),0)</f>
        <v>Zone-6</v>
      </c>
      <c r="F1059" s="143" t="str">
        <f>VLOOKUP(B1059,'AFC Data details'!$B:$B,1,0)</f>
        <v>AZ6-PV25-T3C4-001</v>
      </c>
      <c r="H1059" s="3">
        <f>_xlfn.XLOOKUP(B1059,'AFC Data details'!B:B,'AFC Data details'!P:P)</f>
        <v>1.2629999999999999</v>
      </c>
    </row>
    <row r="1060" spans="1:9" x14ac:dyDescent="0.25">
      <c r="A1060" s="154">
        <v>46098</v>
      </c>
      <c r="B1060" s="3" t="s">
        <v>2297</v>
      </c>
      <c r="C1060" s="3">
        <v>1</v>
      </c>
      <c r="D1060" s="3" t="str">
        <f>VLOOKUP(B1060,'Element wise-detail Summary'!$A:$D,2,0)</f>
        <v>PV11</v>
      </c>
      <c r="E1060" s="3" t="str">
        <f>IFERROR(VLOOKUP(B1060,'Element wise-detail Summary'!$A:$D,3,0),0)</f>
        <v>Zone-7</v>
      </c>
      <c r="F1060" s="143" t="str">
        <f>VLOOKUP(B1060,'AFC Data details'!$B:$B,1,0)</f>
        <v>AZ7-PV11-T3C4-004</v>
      </c>
      <c r="H1060" s="3">
        <f>_xlfn.XLOOKUP(B1060,'AFC Data details'!B:B,'AFC Data details'!P:P)</f>
        <v>1.0840000000000001</v>
      </c>
    </row>
    <row r="1061" spans="1:9" x14ac:dyDescent="0.25">
      <c r="A1061" s="154">
        <v>46099</v>
      </c>
      <c r="B1061" s="3" t="s">
        <v>1887</v>
      </c>
      <c r="C1061" s="3">
        <v>1</v>
      </c>
      <c r="D1061" s="3" t="str">
        <f>VLOOKUP(B1061,'Element wise-detail Summary'!$A:$D,2,0)</f>
        <v>PV22</v>
      </c>
      <c r="E1061" s="3" t="str">
        <f>IFERROR(VLOOKUP(B1061,'Element wise-detail Summary'!$A:$D,3,0),0)</f>
        <v>Zone-6</v>
      </c>
      <c r="F1061" s="143" t="str">
        <f>VLOOKUP(B1061,'AFC Data details'!$B:$B,1,0)</f>
        <v>AZ6-PV22-T3C4-002</v>
      </c>
      <c r="H1061" s="3">
        <f>_xlfn.XLOOKUP(B1061,'AFC Data details'!B:B,'AFC Data details'!P:P)</f>
        <v>1.31</v>
      </c>
    </row>
    <row r="1062" spans="1:9" x14ac:dyDescent="0.25">
      <c r="A1062" s="154">
        <v>46104</v>
      </c>
      <c r="B1062" s="3" t="s">
        <v>2310</v>
      </c>
      <c r="C1062" s="3">
        <v>1</v>
      </c>
      <c r="D1062" s="3" t="str">
        <f>VLOOKUP(B1062,'Element wise-detail Summary'!$A:$D,2,0)</f>
        <v>PV12</v>
      </c>
      <c r="E1062" s="3" t="str">
        <f>IFERROR(VLOOKUP(B1062,'Element wise-detail Summary'!$A:$D,3,0),0)</f>
        <v>Zone-7</v>
      </c>
      <c r="F1062" s="143" t="str">
        <f>VLOOKUP(B1062,'AFC Data details'!$B:$B,1,0)</f>
        <v>AZ7-PV12-T3C4-001</v>
      </c>
      <c r="H1062" s="3">
        <f>_xlfn.XLOOKUP(B1062,'AFC Data details'!B:B,'AFC Data details'!P:P)</f>
        <v>1.119</v>
      </c>
    </row>
    <row r="1063" spans="1:9" x14ac:dyDescent="0.25">
      <c r="A1063" s="154">
        <v>46105</v>
      </c>
      <c r="B1063" s="3" t="s">
        <v>1888</v>
      </c>
      <c r="C1063" s="3">
        <v>1</v>
      </c>
      <c r="D1063" s="3" t="str">
        <f>VLOOKUP(B1063,'Element wise-detail Summary'!$A:$D,2,0)</f>
        <v>PV23</v>
      </c>
      <c r="E1063" s="3" t="str">
        <f>IFERROR(VLOOKUP(B1063,'Element wise-detail Summary'!$A:$D,3,0),0)</f>
        <v>Zone-6</v>
      </c>
      <c r="F1063" s="143" t="str">
        <f>VLOOKUP(B1063,'AFC Data details'!$B:$B,1,0)</f>
        <v>AZ6-PV23-T3C4-001</v>
      </c>
      <c r="H1063" s="3">
        <f>_xlfn.XLOOKUP(B1063,'AFC Data details'!B:B,'AFC Data details'!P:P)</f>
        <v>1.298</v>
      </c>
    </row>
    <row r="1064" spans="1:9" x14ac:dyDescent="0.25">
      <c r="A1064" s="154">
        <v>46105</v>
      </c>
      <c r="B1064" s="3" t="s">
        <v>1931</v>
      </c>
      <c r="C1064" s="3">
        <v>1</v>
      </c>
      <c r="D1064" s="3" t="str">
        <f>VLOOKUP(B1064,'Element wise-detail Summary'!$A:$D,2,0)</f>
        <v>PV34</v>
      </c>
      <c r="E1064" s="3" t="str">
        <f>IFERROR(VLOOKUP(B1064,'Element wise-detail Summary'!$A:$D,3,0),0)</f>
        <v>Zone-6</v>
      </c>
      <c r="F1064" s="143" t="str">
        <f>VLOOKUP(B1064,'AFC Data details'!$B:$B,1,0)</f>
        <v>AZ6-PV34-T3C4-002</v>
      </c>
      <c r="H1064" s="3">
        <f>_xlfn.XLOOKUP(B1064,'AFC Data details'!B:B,'AFC Data details'!P:P)</f>
        <v>1.399</v>
      </c>
    </row>
    <row r="1065" spans="1:9" x14ac:dyDescent="0.25">
      <c r="A1065" s="154">
        <v>46105</v>
      </c>
      <c r="B1065" s="3" t="s">
        <v>2222</v>
      </c>
      <c r="C1065" s="3">
        <v>1</v>
      </c>
      <c r="D1065" s="3" t="str">
        <f>VLOOKUP(B1065,'Element wise-detail Summary'!$A:$D,2,0)</f>
        <v>PV02</v>
      </c>
      <c r="E1065" s="3" t="str">
        <f>IFERROR(VLOOKUP(B1065,'Element wise-detail Summary'!$A:$D,3,0),0)</f>
        <v>Zone-7</v>
      </c>
      <c r="F1065" s="143" t="str">
        <f>VLOOKUP(B1065,'AFC Data details'!$B:$B,1,0)</f>
        <v>AZ7-PV02-T3C6-002</v>
      </c>
      <c r="H1065" s="3">
        <f>_xlfn.XLOOKUP(B1065,'AFC Data details'!B:B,'AFC Data details'!P:P)</f>
        <v>1.242</v>
      </c>
    </row>
    <row r="1066" spans="1:9" x14ac:dyDescent="0.25">
      <c r="A1066" s="154">
        <v>46105</v>
      </c>
      <c r="B1066" s="3" t="s">
        <v>1234</v>
      </c>
      <c r="C1066" s="3">
        <v>0</v>
      </c>
      <c r="D1066" s="3" t="str">
        <f>VLOOKUP(B1066,'Element wise-detail Summary'!$A:$D,2,0)</f>
        <v>V20</v>
      </c>
      <c r="E1066" s="3" t="str">
        <f>IFERROR(VLOOKUP(B1066,'Element wise-detail Summary'!$A:$D,3,0),0)</f>
        <v>Zone-1</v>
      </c>
      <c r="F1066" s="143" t="str">
        <f>VLOOKUP(B1066,'AFC Data details'!$B:$B,1,0)</f>
        <v>AZ1-V20-T1C6-001</v>
      </c>
      <c r="H1066" s="3">
        <f>_xlfn.XLOOKUP(B1066,'AFC Data details'!B:B,'AFC Data details'!P:P)</f>
        <v>2.097</v>
      </c>
      <c r="I1066" t="s">
        <v>2532</v>
      </c>
    </row>
    <row r="1067" spans="1:9" x14ac:dyDescent="0.25">
      <c r="A1067" s="154">
        <v>46106</v>
      </c>
      <c r="B1067" s="3" t="s">
        <v>1930</v>
      </c>
      <c r="C1067" s="3">
        <v>1</v>
      </c>
      <c r="D1067" s="3" t="str">
        <f>VLOOKUP(B1067,'Element wise-detail Summary'!$A:$D,2,0)</f>
        <v>PV34</v>
      </c>
      <c r="E1067" s="3" t="str">
        <f>IFERROR(VLOOKUP(B1067,'Element wise-detail Summary'!$A:$D,3,0),0)</f>
        <v>Zone-6</v>
      </c>
      <c r="F1067" s="143" t="str">
        <f>VLOOKUP(B1067,'AFC Data details'!$B:$B,1,0)</f>
        <v>AZ6-PV34-T3C4-001</v>
      </c>
      <c r="H1067" s="3">
        <f>_xlfn.XLOOKUP(B1067,'AFC Data details'!B:B,'AFC Data details'!P:P)</f>
        <v>1.2909999999999999</v>
      </c>
    </row>
    <row r="1068" spans="1:9" x14ac:dyDescent="0.25">
      <c r="A1068" s="154">
        <v>46106</v>
      </c>
      <c r="B1068" s="3" t="s">
        <v>2328</v>
      </c>
      <c r="C1068" s="3">
        <v>1</v>
      </c>
      <c r="D1068" s="3" t="str">
        <f>VLOOKUP(B1068,'Element wise-detail Summary'!$A:$D,2,0)</f>
        <v>PV14</v>
      </c>
      <c r="E1068" s="3" t="str">
        <f>IFERROR(VLOOKUP(B1068,'Element wise-detail Summary'!$A:$D,3,0),0)</f>
        <v>Zone-7</v>
      </c>
      <c r="F1068" s="143" t="str">
        <f>VLOOKUP(B1068,'AFC Data details'!$B:$B,1,0)</f>
        <v>AZ7-PV14-T3C4-002</v>
      </c>
      <c r="H1068" s="3">
        <f>_xlfn.XLOOKUP(B1068,'AFC Data details'!B:B,'AFC Data details'!P:P)</f>
        <v>1.411</v>
      </c>
    </row>
    <row r="1069" spans="1:9" x14ac:dyDescent="0.25">
      <c r="A1069" s="154">
        <v>46107</v>
      </c>
      <c r="B1069" s="3" t="s">
        <v>1934</v>
      </c>
      <c r="C1069" s="3">
        <v>1</v>
      </c>
      <c r="D1069" s="3" t="str">
        <f>VLOOKUP(B1069,'Element wise-detail Summary'!$A:$D,2,0)</f>
        <v>PV35</v>
      </c>
      <c r="E1069" s="3" t="str">
        <f>IFERROR(VLOOKUP(B1069,'Element wise-detail Summary'!$A:$D,3,0),0)</f>
        <v>Zone-6</v>
      </c>
      <c r="F1069" s="143" t="str">
        <f>VLOOKUP(B1069,'AFC Data details'!$B:$B,1,0)</f>
        <v>AZ6-PV35-T3C4-001</v>
      </c>
      <c r="H1069" s="3">
        <f>_xlfn.XLOOKUP(B1069,'AFC Data details'!B:B,'AFC Data details'!P:P)</f>
        <v>1.395</v>
      </c>
    </row>
    <row r="1070" spans="1:9" x14ac:dyDescent="0.25">
      <c r="A1070" s="154">
        <v>46107</v>
      </c>
      <c r="B1070" s="3" t="s">
        <v>2311</v>
      </c>
      <c r="C1070" s="3">
        <v>1</v>
      </c>
      <c r="D1070" s="3" t="str">
        <f>VLOOKUP(B1070,'Element wise-detail Summary'!$A:$D,2,0)</f>
        <v>PV12</v>
      </c>
      <c r="E1070" s="3" t="str">
        <f>IFERROR(VLOOKUP(B1070,'Element wise-detail Summary'!$A:$D,3,0),0)</f>
        <v>Zone-7</v>
      </c>
      <c r="F1070" s="143" t="str">
        <f>VLOOKUP(B1070,'AFC Data details'!$B:$B,1,0)</f>
        <v>AZ7-PV12-T3C4-002</v>
      </c>
      <c r="H1070" s="3">
        <f>_xlfn.XLOOKUP(B1070,'AFC Data details'!B:B,'AFC Data details'!P:P)</f>
        <v>1.371</v>
      </c>
    </row>
    <row r="1071" spans="1:9" x14ac:dyDescent="0.25">
      <c r="A1071" s="154">
        <v>46109</v>
      </c>
      <c r="B1071" s="3" t="s">
        <v>1935</v>
      </c>
      <c r="C1071" s="3">
        <v>1</v>
      </c>
      <c r="D1071" s="3" t="str">
        <f>VLOOKUP(B1071,'Element wise-detail Summary'!$A:$D,2,0)</f>
        <v>PV35</v>
      </c>
      <c r="E1071" s="3" t="str">
        <f>IFERROR(VLOOKUP(B1071,'Element wise-detail Summary'!$A:$D,3,0),0)</f>
        <v>Zone-6</v>
      </c>
      <c r="F1071" s="143" t="str">
        <f>VLOOKUP(B1071,'AFC Data details'!$B:$B,1,0)</f>
        <v>AZ6-PV35-T3C4-002</v>
      </c>
      <c r="H1071" s="3">
        <f>_xlfn.XLOOKUP(B1071,'AFC Data details'!B:B,'AFC Data details'!P:P)</f>
        <v>1.2849999999999999</v>
      </c>
    </row>
    <row r="1072" spans="1:9" x14ac:dyDescent="0.25">
      <c r="A1072" s="154">
        <v>46109</v>
      </c>
      <c r="B1072" s="3" t="s">
        <v>1925</v>
      </c>
      <c r="C1072" s="3">
        <v>0</v>
      </c>
      <c r="D1072" s="3" t="str">
        <f>VLOOKUP(B1072,'Element wise-detail Summary'!$A:$D,2,0)</f>
        <v>PV33</v>
      </c>
      <c r="E1072" s="3" t="str">
        <f>IFERROR(VLOOKUP(B1072,'Element wise-detail Summary'!$A:$D,3,0),0)</f>
        <v>Zone-6</v>
      </c>
      <c r="F1072" s="143" t="str">
        <f>VLOOKUP(B1072,'AFC Data details'!$B:$B,1,0)</f>
        <v>AZ6-PV33-T3C4-001</v>
      </c>
      <c r="H1072" s="3">
        <f>_xlfn.XLOOKUP(B1072,'AFC Data details'!B:B,'AFC Data details'!P:P)</f>
        <v>1.3779999999999999</v>
      </c>
    </row>
    <row r="1073" spans="1:8" x14ac:dyDescent="0.25">
      <c r="A1073" s="154">
        <v>46110</v>
      </c>
      <c r="B1073" s="3" t="s">
        <v>2313</v>
      </c>
      <c r="C1073" s="3">
        <v>1</v>
      </c>
      <c r="D1073" s="3" t="str">
        <f>VLOOKUP(B1073,'Element wise-detail Summary'!$A:$D,2,0)</f>
        <v>PV13</v>
      </c>
      <c r="E1073" s="3" t="str">
        <f>IFERROR(VLOOKUP(B1073,'Element wise-detail Summary'!$A:$D,3,0),0)</f>
        <v>Zone-7</v>
      </c>
      <c r="F1073" s="143" t="str">
        <f>VLOOKUP(B1073,'AFC Data details'!$B:$B,1,0)</f>
        <v>AZ7-PV13-T3C4-001</v>
      </c>
      <c r="H1073" s="3">
        <f>_xlfn.XLOOKUP(B1073,'AFC Data details'!B:B,'AFC Data details'!P:P)</f>
        <v>1.399</v>
      </c>
    </row>
    <row r="1074" spans="1:8" x14ac:dyDescent="0.25">
      <c r="A1074" s="154">
        <v>46111</v>
      </c>
      <c r="B1074" s="3" t="s">
        <v>1905</v>
      </c>
      <c r="C1074" s="3">
        <v>1</v>
      </c>
      <c r="D1074" s="3" t="str">
        <f>VLOOKUP(B1074,'Element wise-detail Summary'!$A:$D,2,0)</f>
        <v>PV27</v>
      </c>
      <c r="E1074" s="3" t="str">
        <f>IFERROR(VLOOKUP(B1074,'Element wise-detail Summary'!$A:$D,3,0),0)</f>
        <v>Zone-6</v>
      </c>
      <c r="F1074" s="143" t="str">
        <f>VLOOKUP(B1074,'AFC Data details'!$B:$B,1,0)</f>
        <v>AZ6-PV27-T3C4-001</v>
      </c>
      <c r="H1074" s="3">
        <f>_xlfn.XLOOKUP(B1074,'AFC Data details'!B:B,'AFC Data details'!P:P)</f>
        <v>1.296</v>
      </c>
    </row>
    <row r="1075" spans="1:8" x14ac:dyDescent="0.25">
      <c r="A1075" s="154">
        <v>46111</v>
      </c>
      <c r="B1075" s="3" t="s">
        <v>2330</v>
      </c>
      <c r="C1075" s="3">
        <v>1</v>
      </c>
      <c r="D1075" s="3" t="str">
        <f>VLOOKUP(B1075,'Element wise-detail Summary'!$A:$D,2,0)</f>
        <v>PV15</v>
      </c>
      <c r="E1075" s="3" t="str">
        <f>IFERROR(VLOOKUP(B1075,'Element wise-detail Summary'!$A:$D,3,0),0)</f>
        <v>Zone-7</v>
      </c>
      <c r="F1075" s="143" t="str">
        <f>VLOOKUP(B1075,'AFC Data details'!$B:$B,1,0)</f>
        <v>AZ7-PV15-T3C4-001</v>
      </c>
      <c r="H1075" s="3">
        <f>_xlfn.XLOOKUP(B1075,'AFC Data details'!B:B,'AFC Data details'!P:P)</f>
        <v>1.3819999999999999</v>
      </c>
    </row>
    <row r="1076" spans="1:8" x14ac:dyDescent="0.25">
      <c r="A1076" s="154">
        <v>46112</v>
      </c>
      <c r="B1076" s="3" t="s">
        <v>1926</v>
      </c>
      <c r="C1076" s="3">
        <v>1</v>
      </c>
      <c r="D1076" s="3" t="str">
        <f>VLOOKUP(B1076,'Element wise-detail Summary'!$A:$D,2,0)</f>
        <v>PV33</v>
      </c>
      <c r="E1076" s="3" t="str">
        <f>IFERROR(VLOOKUP(B1076,'Element wise-detail Summary'!$A:$D,3,0),0)</f>
        <v>Zone-6</v>
      </c>
      <c r="F1076" s="143" t="str">
        <f>VLOOKUP(B1076,'AFC Data details'!$B:$B,1,0)</f>
        <v>AZ6-PV33-T3C4-002</v>
      </c>
      <c r="H1076" s="3">
        <f>_xlfn.XLOOKUP(B1076,'AFC Data details'!B:B,'AFC Data details'!P:P)</f>
        <v>1.2649999999999999</v>
      </c>
    </row>
    <row r="1077" spans="1:8" x14ac:dyDescent="0.25">
      <c r="A1077" s="154">
        <v>46113</v>
      </c>
      <c r="B1077" s="3" t="s">
        <v>1874</v>
      </c>
      <c r="C1077" s="3">
        <v>1</v>
      </c>
      <c r="D1077" s="3" t="str">
        <f>VLOOKUP(B1077,'Element wise-detail Summary'!$A:$D,2,0)</f>
        <v>PV18</v>
      </c>
      <c r="E1077" s="3" t="str">
        <f>IFERROR(VLOOKUP(B1077,'Element wise-detail Summary'!$A:$D,3,0),0)</f>
        <v>Zone-6</v>
      </c>
      <c r="F1077" s="143" t="str">
        <f>VLOOKUP(B1077,'AFC Data details'!$B:$B,1,0)</f>
        <v>AZ6-PV18-T3C4-001</v>
      </c>
      <c r="H1077" s="3">
        <f>_xlfn.XLOOKUP(B1077,'AFC Data details'!B:B,'AFC Data details'!P:P)</f>
        <v>1.214</v>
      </c>
    </row>
    <row r="1078" spans="1:8" x14ac:dyDescent="0.25">
      <c r="A1078" s="154">
        <v>46113</v>
      </c>
      <c r="B1078" s="3" t="s">
        <v>2339</v>
      </c>
      <c r="C1078" s="3">
        <v>1</v>
      </c>
      <c r="D1078" s="3" t="str">
        <f>VLOOKUP(B1078,'Element wise-detail Summary'!$A:$D,2,0)</f>
        <v>PV16</v>
      </c>
      <c r="E1078" s="3" t="str">
        <f>IFERROR(VLOOKUP(B1078,'Element wise-detail Summary'!$A:$D,3,0),0)</f>
        <v>Zone-7</v>
      </c>
      <c r="F1078" s="143" t="str">
        <f>VLOOKUP(B1078,'AFC Data details'!$B:$B,1,0)</f>
        <v>AZ7-PV16-T3C4-002</v>
      </c>
      <c r="H1078" s="3">
        <f>_xlfn.XLOOKUP(B1078,'AFC Data details'!B:B,'AFC Data details'!P:P)</f>
        <v>1.3320000000000001</v>
      </c>
    </row>
    <row r="1079" spans="1:8" x14ac:dyDescent="0.25">
      <c r="A1079" s="154">
        <v>46114</v>
      </c>
      <c r="B1079" s="3" t="s">
        <v>1923</v>
      </c>
      <c r="C1079" s="3">
        <v>1</v>
      </c>
      <c r="D1079" s="3" t="str">
        <f>VLOOKUP(B1079,'Element wise-detail Summary'!$A:$D,2,0)</f>
        <v>PV32</v>
      </c>
      <c r="E1079" s="3" t="str">
        <f>IFERROR(VLOOKUP(B1079,'Element wise-detail Summary'!$A:$D,3,0),0)</f>
        <v>Zone-6</v>
      </c>
      <c r="F1079" s="143" t="str">
        <f>VLOOKUP(B1079,'AFC Data details'!$B:$B,1,0)</f>
        <v>AZ6-PV32-T3C4-002</v>
      </c>
      <c r="H1079" s="3">
        <f>_xlfn.XLOOKUP(B1079,'AFC Data details'!B:B,'AFC Data details'!P:P)</f>
        <v>1.3149999999999999</v>
      </c>
    </row>
    <row r="1080" spans="1:8" x14ac:dyDescent="0.25">
      <c r="A1080" s="154">
        <v>46114</v>
      </c>
      <c r="B1080" s="3" t="s">
        <v>2208</v>
      </c>
      <c r="C1080" s="3">
        <v>1</v>
      </c>
      <c r="D1080" s="3" t="str">
        <f>VLOOKUP(B1080,'Element wise-detail Summary'!$A:$D,2,0)</f>
        <v>PV01</v>
      </c>
      <c r="E1080" s="3" t="str">
        <f>IFERROR(VLOOKUP(B1080,'Element wise-detail Summary'!$A:$D,3,0),0)</f>
        <v>Zone-7</v>
      </c>
      <c r="F1080" s="143" t="str">
        <f>VLOOKUP(B1080,'AFC Data details'!$B:$B,1,0)</f>
        <v>AZ7-PV01-T3C6-002</v>
      </c>
      <c r="H1080" s="3">
        <f>_xlfn.XLOOKUP(B1080,'AFC Data details'!B:B,'AFC Data details'!P:P)</f>
        <v>1.554</v>
      </c>
    </row>
    <row r="1081" spans="1:8" x14ac:dyDescent="0.25">
      <c r="A1081" s="154">
        <v>46115</v>
      </c>
      <c r="B1081" s="3" t="s">
        <v>1892</v>
      </c>
      <c r="C1081" s="3">
        <v>1</v>
      </c>
      <c r="D1081" s="3" t="str">
        <f>VLOOKUP(B1081,'Element wise-detail Summary'!$A:$D,2,0)</f>
        <v>PV24</v>
      </c>
      <c r="E1081" s="3" t="str">
        <f>IFERROR(VLOOKUP(B1081,'Element wise-detail Summary'!$A:$D,3,0),0)</f>
        <v>Zone-6</v>
      </c>
      <c r="F1081" s="143" t="str">
        <f>VLOOKUP(B1081,'AFC Data details'!$B:$B,1,0)</f>
        <v>AZ6-PV24-T3C4-001</v>
      </c>
      <c r="H1081" s="3">
        <f>_xlfn.XLOOKUP(B1081,'AFC Data details'!B:B,'AFC Data details'!P:P)</f>
        <v>1.2010000000000001</v>
      </c>
    </row>
    <row r="1082" spans="1:8" x14ac:dyDescent="0.25">
      <c r="A1082" s="154">
        <v>46115</v>
      </c>
      <c r="B1082" s="3" t="s">
        <v>1893</v>
      </c>
      <c r="C1082" s="3">
        <v>1</v>
      </c>
      <c r="D1082" s="3" t="str">
        <f>VLOOKUP(B1082,'Element wise-detail Summary'!$A:$D,2,0)</f>
        <v>PV24</v>
      </c>
      <c r="E1082" s="3" t="str">
        <f>IFERROR(VLOOKUP(B1082,'Element wise-detail Summary'!$A:$D,3,0),0)</f>
        <v>Zone-6</v>
      </c>
      <c r="F1082" s="143" t="str">
        <f>VLOOKUP(B1082,'AFC Data details'!$B:$B,1,0)</f>
        <v>AZ6-PV24-T3C4-002</v>
      </c>
      <c r="H1082" s="3">
        <f>_xlfn.XLOOKUP(B1082,'AFC Data details'!B:B,'AFC Data details'!P:P)</f>
        <v>1.3149999999999999</v>
      </c>
    </row>
    <row r="1083" spans="1:8" x14ac:dyDescent="0.25">
      <c r="A1083" s="154">
        <v>46115</v>
      </c>
      <c r="B1083" s="3" t="s">
        <v>2221</v>
      </c>
      <c r="C1083" s="3">
        <v>1</v>
      </c>
      <c r="D1083" s="3" t="str">
        <f>VLOOKUP(B1083,'Element wise-detail Summary'!$A:$D,2,0)</f>
        <v>PV02</v>
      </c>
      <c r="E1083" s="3" t="str">
        <f>IFERROR(VLOOKUP(B1083,'Element wise-detail Summary'!$A:$D,3,0),0)</f>
        <v>Zone-7</v>
      </c>
      <c r="F1083" s="143" t="str">
        <f>VLOOKUP(B1083,'AFC Data details'!$B:$B,1,0)</f>
        <v>AZ7-PV02-T3C6-001</v>
      </c>
      <c r="H1083" s="3">
        <f>_xlfn.XLOOKUP(B1083,'AFC Data details'!B:B,'AFC Data details'!P:P)</f>
        <v>1.617</v>
      </c>
    </row>
    <row r="1084" spans="1:8" x14ac:dyDescent="0.25">
      <c r="A1084" s="154">
        <v>46116</v>
      </c>
      <c r="B1084" s="3" t="s">
        <v>1881</v>
      </c>
      <c r="C1084" s="3">
        <v>1</v>
      </c>
      <c r="D1084" s="3" t="str">
        <f>VLOOKUP(B1084,'Element wise-detail Summary'!$A:$D,2,0)</f>
        <v>PV20</v>
      </c>
      <c r="E1084" s="3" t="str">
        <f>IFERROR(VLOOKUP(B1084,'Element wise-detail Summary'!$A:$D,3,0),0)</f>
        <v>Zone-6</v>
      </c>
      <c r="F1084" s="143" t="str">
        <f>VLOOKUP(B1084,'AFC Data details'!$B:$B,1,0)</f>
        <v>AZ6-PV20-T3C4-001</v>
      </c>
      <c r="H1084" s="3">
        <f>_xlfn.XLOOKUP(B1084,'AFC Data details'!B:B,'AFC Data details'!P:P)</f>
        <v>1.198</v>
      </c>
    </row>
    <row r="1085" spans="1:8" x14ac:dyDescent="0.25">
      <c r="A1085" s="154">
        <v>46116</v>
      </c>
      <c r="B1085" s="3" t="s">
        <v>1902</v>
      </c>
      <c r="C1085" s="3">
        <v>1</v>
      </c>
      <c r="D1085" s="3" t="str">
        <f>VLOOKUP(B1085,'Element wise-detail Summary'!$A:$D,2,0)</f>
        <v>PV26</v>
      </c>
      <c r="E1085" s="3" t="str">
        <f>IFERROR(VLOOKUP(B1085,'Element wise-detail Summary'!$A:$D,3,0),0)</f>
        <v>Zone-6</v>
      </c>
      <c r="F1085" s="143" t="str">
        <f>VLOOKUP(B1085,'AFC Data details'!$B:$B,1,0)</f>
        <v>AZ6-PV26-T3C4-002</v>
      </c>
      <c r="H1085" s="3">
        <f>_xlfn.XLOOKUP(B1085,'AFC Data details'!B:B,'AFC Data details'!P:P)</f>
        <v>1.2969999999999999</v>
      </c>
    </row>
    <row r="1086" spans="1:8" x14ac:dyDescent="0.25">
      <c r="A1086" s="154">
        <v>46116</v>
      </c>
      <c r="B1086" s="3" t="s">
        <v>2294</v>
      </c>
      <c r="C1086" s="3">
        <v>1</v>
      </c>
      <c r="D1086" s="3" t="str">
        <f>VLOOKUP(B1086,'Element wise-detail Summary'!$A:$D,2,0)</f>
        <v>PV11</v>
      </c>
      <c r="E1086" s="3" t="str">
        <f>IFERROR(VLOOKUP(B1086,'Element wise-detail Summary'!$A:$D,3,0),0)</f>
        <v>Zone-7</v>
      </c>
      <c r="F1086" s="143" t="str">
        <f>VLOOKUP(B1086,'AFC Data details'!$B:$B,1,0)</f>
        <v>AZ7-PV11-T3C4-001</v>
      </c>
      <c r="H1086" s="3">
        <f>_xlfn.XLOOKUP(B1086,'AFC Data details'!B:B,'AFC Data details'!P:P)</f>
        <v>1.3280000000000001</v>
      </c>
    </row>
    <row r="1087" spans="1:8" x14ac:dyDescent="0.25">
      <c r="A1087" s="154">
        <v>46118</v>
      </c>
      <c r="B1087" s="3" t="s">
        <v>1886</v>
      </c>
      <c r="C1087" s="3">
        <v>1</v>
      </c>
      <c r="D1087" s="3" t="str">
        <f>VLOOKUP(B1087,'Element wise-detail Summary'!$A:$D,2,0)</f>
        <v>PV22</v>
      </c>
      <c r="E1087" s="3" t="str">
        <f>IFERROR(VLOOKUP(B1087,'Element wise-detail Summary'!$A:$D,3,0),0)</f>
        <v>Zone-6</v>
      </c>
      <c r="F1087" s="143" t="str">
        <f>VLOOKUP(B1087,'AFC Data details'!$B:$B,1,0)</f>
        <v>AZ6-PV22-T3C4-001</v>
      </c>
      <c r="H1087" s="3">
        <f>_xlfn.XLOOKUP(B1087,'AFC Data details'!B:B,'AFC Data details'!P:P)</f>
        <v>1.196</v>
      </c>
    </row>
    <row r="1088" spans="1:8" x14ac:dyDescent="0.25">
      <c r="A1088" s="154">
        <v>46118</v>
      </c>
      <c r="B1088" s="3" t="s">
        <v>1916</v>
      </c>
      <c r="C1088" s="3">
        <v>1</v>
      </c>
      <c r="D1088" s="3" t="str">
        <f>VLOOKUP(B1088,'Element wise-detail Summary'!$A:$D,2,0)</f>
        <v>PV30</v>
      </c>
      <c r="E1088" s="3" t="str">
        <f>IFERROR(VLOOKUP(B1088,'Element wise-detail Summary'!$A:$D,3,0),0)</f>
        <v>Zone-6</v>
      </c>
      <c r="F1088" s="143" t="str">
        <f>VLOOKUP(B1088,'AFC Data details'!$B:$B,1,0)</f>
        <v>AZ6-PV30-T3C4-002</v>
      </c>
      <c r="H1088" s="3">
        <f>_xlfn.XLOOKUP(B1088,'AFC Data details'!B:B,'AFC Data details'!P:P)</f>
        <v>1.2709999999999999</v>
      </c>
    </row>
    <row r="1089" spans="1:8" x14ac:dyDescent="0.25">
      <c r="A1089" s="154">
        <v>46118</v>
      </c>
      <c r="B1089" s="3" t="s">
        <v>2366</v>
      </c>
      <c r="C1089" s="3">
        <v>1</v>
      </c>
      <c r="D1089" s="3" t="str">
        <f>VLOOKUP(B1089,'Element wise-detail Summary'!$A:$D,2,0)</f>
        <v>PV38</v>
      </c>
      <c r="E1089" s="3" t="str">
        <f>IFERROR(VLOOKUP(B1089,'Element wise-detail Summary'!$A:$D,3,0),0)</f>
        <v>Zone-8</v>
      </c>
      <c r="F1089" s="143" t="str">
        <f>VLOOKUP(B1089,'AFC Data details'!$B:$B,1,0)</f>
        <v>AZ8-PV38-T3C5-002</v>
      </c>
      <c r="H1089" s="3">
        <f>_xlfn.XLOOKUP(B1089,'AFC Data details'!B:B,'AFC Data details'!P:P)</f>
        <v>1.4650000000000001</v>
      </c>
    </row>
    <row r="1090" spans="1:8" x14ac:dyDescent="0.25">
      <c r="A1090" s="154">
        <v>46119</v>
      </c>
      <c r="B1090" s="3" t="s">
        <v>1922</v>
      </c>
      <c r="C1090" s="3">
        <v>1</v>
      </c>
      <c r="D1090" s="3" t="str">
        <f>VLOOKUP(B1090,'Element wise-detail Summary'!$A:$D,2,0)</f>
        <v>PV32</v>
      </c>
      <c r="E1090" s="3" t="str">
        <f>IFERROR(VLOOKUP(B1090,'Element wise-detail Summary'!$A:$D,3,0),0)</f>
        <v>Zone-6</v>
      </c>
      <c r="F1090" s="143" t="str">
        <f>VLOOKUP(B1090,'AFC Data details'!$B:$B,1,0)</f>
        <v>AZ6-PV32-T3C4-001</v>
      </c>
      <c r="H1090" s="3">
        <f>_xlfn.XLOOKUP(B1090,'AFC Data details'!B:B,'AFC Data details'!P:P)</f>
        <v>1.1910000000000001</v>
      </c>
    </row>
    <row r="1091" spans="1:8" x14ac:dyDescent="0.25">
      <c r="A1091" s="154">
        <v>46119</v>
      </c>
      <c r="B1091" s="3" t="s">
        <v>1917</v>
      </c>
      <c r="C1091" s="3">
        <v>1</v>
      </c>
      <c r="D1091" s="3" t="str">
        <f>VLOOKUP(B1091,'Element wise-detail Summary'!$A:$D,2,0)</f>
        <v>PV31</v>
      </c>
      <c r="E1091" s="3" t="str">
        <f>IFERROR(VLOOKUP(B1091,'Element wise-detail Summary'!$A:$D,3,0),0)</f>
        <v>Zone-6</v>
      </c>
      <c r="F1091" s="143" t="str">
        <f>VLOOKUP(B1091,'AFC Data details'!$B:$B,1,0)</f>
        <v>AZ6-PV31-T3C4-001</v>
      </c>
      <c r="H1091" s="3">
        <f>_xlfn.XLOOKUP(B1091,'AFC Data details'!B:B,'AFC Data details'!P:P)</f>
        <v>1.2809999999999999</v>
      </c>
    </row>
    <row r="1092" spans="1:8" x14ac:dyDescent="0.25">
      <c r="A1092" s="154">
        <v>46119</v>
      </c>
      <c r="B1092" s="3" t="s">
        <v>2367</v>
      </c>
      <c r="C1092" s="3">
        <v>1</v>
      </c>
      <c r="D1092" s="3" t="str">
        <f>VLOOKUP(B1092,'Element wise-detail Summary'!$A:$D,2,0)</f>
        <v>PV39</v>
      </c>
      <c r="E1092" s="3" t="str">
        <f>IFERROR(VLOOKUP(B1092,'Element wise-detail Summary'!$A:$D,3,0),0)</f>
        <v>Zone-8</v>
      </c>
      <c r="F1092" s="143" t="str">
        <f>VLOOKUP(B1092,'AFC Data details'!$B:$B,1,0)</f>
        <v>AZ8-PV39-T3C4-001</v>
      </c>
      <c r="H1092" s="3">
        <f>_xlfn.XLOOKUP(B1092,'AFC Data details'!B:B,'AFC Data details'!P:P)</f>
        <v>1.4119999999999999</v>
      </c>
    </row>
    <row r="1093" spans="1:8" x14ac:dyDescent="0.25">
      <c r="A1093" s="154">
        <v>46120</v>
      </c>
      <c r="B1093" s="3" t="s">
        <v>2414</v>
      </c>
      <c r="C1093" s="3">
        <v>1</v>
      </c>
      <c r="D1093" s="3" t="str">
        <f>VLOOKUP(B1093,'Element wise-detail Summary'!$A:$D,2,0)</f>
        <v>PV44</v>
      </c>
      <c r="E1093" s="3" t="str">
        <f>IFERROR(VLOOKUP(B1093,'Element wise-detail Summary'!$A:$D,3,0),0)</f>
        <v>Zone-8</v>
      </c>
      <c r="F1093" s="143" t="str">
        <f>VLOOKUP(B1093,'AFC Data details'!$B:$B,1,0)</f>
        <v>AZ8-PV44-T3C4-001</v>
      </c>
      <c r="H1093" s="3">
        <f>_xlfn.XLOOKUP(B1093,'AFC Data details'!B:B,'AFC Data details'!P:P)</f>
        <v>1.421</v>
      </c>
    </row>
    <row r="1094" spans="1:8" x14ac:dyDescent="0.25">
      <c r="A1094" s="154">
        <v>46120</v>
      </c>
      <c r="B1094" s="3" t="s">
        <v>2382</v>
      </c>
      <c r="C1094" s="3">
        <v>1</v>
      </c>
      <c r="D1094" s="3" t="str">
        <f>VLOOKUP(B1094,'Element wise-detail Summary'!$A:$D,2,0)</f>
        <v>PV40</v>
      </c>
      <c r="E1094" s="3" t="str">
        <f>IFERROR(VLOOKUP(B1094,'Element wise-detail Summary'!$A:$D,3,0),0)</f>
        <v>Zone-8</v>
      </c>
      <c r="F1094" s="143" t="str">
        <f>VLOOKUP(B1094,'AFC Data details'!$B:$B,1,0)</f>
        <v>AZ8-PV40-T3C5-001</v>
      </c>
      <c r="H1094" s="3">
        <f>_xlfn.XLOOKUP(B1094,'AFC Data details'!B:B,'AFC Data details'!P:P)</f>
        <v>1.2490000000000001</v>
      </c>
    </row>
    <row r="1095" spans="1:8" x14ac:dyDescent="0.25">
      <c r="A1095" s="154">
        <v>46121</v>
      </c>
      <c r="B1095" s="3" t="s">
        <v>1901</v>
      </c>
      <c r="C1095" s="3">
        <v>1</v>
      </c>
      <c r="D1095" s="3" t="str">
        <f>VLOOKUP(B1095,'Element wise-detail Summary'!$A:$D,2,0)</f>
        <v>PV26</v>
      </c>
      <c r="E1095" s="3" t="str">
        <f>IFERROR(VLOOKUP(B1095,'Element wise-detail Summary'!$A:$D,3,0),0)</f>
        <v>Zone-6</v>
      </c>
      <c r="F1095" s="143" t="str">
        <f>VLOOKUP(B1095,'AFC Data details'!$B:$B,1,0)</f>
        <v>AZ6-PV26-T3C4-001</v>
      </c>
      <c r="H1095" s="3">
        <f>_xlfn.XLOOKUP(B1095,'AFC Data details'!B:B,'AFC Data details'!P:P)</f>
        <v>1.1830000000000001</v>
      </c>
    </row>
    <row r="1096" spans="1:8" x14ac:dyDescent="0.25">
      <c r="A1096" s="154">
        <v>46121</v>
      </c>
      <c r="B1096" s="3" t="s">
        <v>2383</v>
      </c>
      <c r="C1096" s="3">
        <v>1</v>
      </c>
      <c r="D1096" s="3" t="str">
        <f>VLOOKUP(B1096,'Element wise-detail Summary'!$A:$D,2,0)</f>
        <v>PV40</v>
      </c>
      <c r="E1096" s="3" t="str">
        <f>IFERROR(VLOOKUP(B1096,'Element wise-detail Summary'!$A:$D,3,0),0)</f>
        <v>Zone-8</v>
      </c>
      <c r="F1096" s="143" t="str">
        <f>VLOOKUP(B1096,'AFC Data details'!$B:$B,1,0)</f>
        <v>AZ8-PV40-T3C5-002</v>
      </c>
      <c r="H1096" s="3">
        <f>_xlfn.XLOOKUP(B1096,'AFC Data details'!B:B,'AFC Data details'!P:P)</f>
        <v>1.579</v>
      </c>
    </row>
    <row r="1097" spans="1:8" x14ac:dyDescent="0.25">
      <c r="A1097" s="148">
        <v>46123</v>
      </c>
      <c r="B1097" s="3" t="s">
        <v>1878</v>
      </c>
      <c r="C1097" s="3">
        <v>1</v>
      </c>
      <c r="D1097" s="3" t="str">
        <f>VLOOKUP(B1097,'Element wise-detail Summary'!$A:$D,2,0)</f>
        <v>PV19</v>
      </c>
      <c r="E1097" s="3" t="str">
        <f>IFERROR(VLOOKUP(B1097,'Element wise-detail Summary'!$A:$D,3,0),0)</f>
        <v>Zone-6</v>
      </c>
      <c r="F1097" s="143" t="str">
        <f>VLOOKUP(B1097,'AFC Data details'!$B:$B,1,0)</f>
        <v>AZ6-PV19-T3C4-002</v>
      </c>
      <c r="H1097" s="3">
        <f>_xlfn.XLOOKUP(B1097,'AFC Data details'!B:B,'AFC Data details'!P:P)</f>
        <v>1.17</v>
      </c>
    </row>
    <row r="1098" spans="1:8" x14ac:dyDescent="0.25">
      <c r="A1098" s="148">
        <v>46122</v>
      </c>
      <c r="B1098" s="3" t="s">
        <v>2402</v>
      </c>
      <c r="C1098" s="3">
        <v>1</v>
      </c>
      <c r="D1098" s="3" t="str">
        <f>VLOOKUP(B1098,'Element wise-detail Summary'!$A:$D,2,0)</f>
        <v>PV43</v>
      </c>
      <c r="E1098" s="3" t="str">
        <f>IFERROR(VLOOKUP(B1098,'Element wise-detail Summary'!$A:$D,3,0),0)</f>
        <v>Zone-8</v>
      </c>
      <c r="F1098" s="143" t="str">
        <f>VLOOKUP(B1098,'AFC Data details'!$B:$B,1,0)</f>
        <v>AZ8-PV43-T3C4-001</v>
      </c>
      <c r="H1098" s="3">
        <f>_xlfn.XLOOKUP(B1098,'AFC Data details'!B:B,'AFC Data details'!P:P)</f>
        <v>1.4379999999999999</v>
      </c>
    </row>
    <row r="1099" spans="1:8" x14ac:dyDescent="0.25">
      <c r="A1099" s="148">
        <v>46123</v>
      </c>
      <c r="B1099" s="3" t="s">
        <v>2384</v>
      </c>
      <c r="C1099" s="3">
        <v>1</v>
      </c>
      <c r="D1099" s="3" t="str">
        <f>VLOOKUP(B1099,'Element wise-detail Summary'!$A:$D,2,0)</f>
        <v>PV41</v>
      </c>
      <c r="E1099" s="3" t="str">
        <f>IFERROR(VLOOKUP(B1099,'Element wise-detail Summary'!$A:$D,3,0),0)</f>
        <v>Zone-8</v>
      </c>
      <c r="F1099" s="143" t="str">
        <f>VLOOKUP(B1099,'AFC Data details'!$B:$B,1,0)</f>
        <v>AZ8-PV41-T3C5-001</v>
      </c>
      <c r="H1099" s="3">
        <f>_xlfn.XLOOKUP(B1099,'AFC Data details'!B:B,'AFC Data details'!P:P)</f>
        <v>1.5309999999999999</v>
      </c>
    </row>
    <row r="1100" spans="1:8" x14ac:dyDescent="0.25">
      <c r="A1100" s="148">
        <v>46124</v>
      </c>
      <c r="B1100" s="3" t="s">
        <v>1918</v>
      </c>
      <c r="C1100" s="3">
        <v>1</v>
      </c>
      <c r="D1100" s="3" t="str">
        <f>VLOOKUP(B1100,'Element wise-detail Summary'!$A:$D,2,0)</f>
        <v>PV31</v>
      </c>
      <c r="E1100" s="3" t="str">
        <f>IFERROR(VLOOKUP(B1100,'Element wise-detail Summary'!$A:$D,3,0),0)</f>
        <v>Zone-6</v>
      </c>
      <c r="F1100" s="143" t="str">
        <f>VLOOKUP(B1100,'AFC Data details'!$B:$B,1,0)</f>
        <v>AZ6-PV31-T3C4-002</v>
      </c>
      <c r="H1100" s="3">
        <f>_xlfn.XLOOKUP(B1100,'AFC Data details'!B:B,'AFC Data details'!P:P)</f>
        <v>1.1679999999999999</v>
      </c>
    </row>
    <row r="1101" spans="1:8" x14ac:dyDescent="0.25">
      <c r="A1101" s="148">
        <v>46124</v>
      </c>
      <c r="B1101" s="3" t="s">
        <v>2350</v>
      </c>
      <c r="C1101" s="3">
        <v>1</v>
      </c>
      <c r="D1101" s="3" t="str">
        <f>VLOOKUP(B1101,'Element wise-detail Summary'!$A:$D,2,0)</f>
        <v>PV37</v>
      </c>
      <c r="E1101" s="3" t="str">
        <f>IFERROR(VLOOKUP(B1101,'Element wise-detail Summary'!$A:$D,3,0),0)</f>
        <v>Zone-8</v>
      </c>
      <c r="F1101" s="143" t="str">
        <f>VLOOKUP(B1101,'AFC Data details'!$B:$B,1,0)</f>
        <v>AZ8-PV37-T3C4-001</v>
      </c>
      <c r="H1101" s="3">
        <f>_xlfn.XLOOKUP(B1101,'AFC Data details'!B:B,'AFC Data details'!P:P)</f>
        <v>1.385</v>
      </c>
    </row>
    <row r="1102" spans="1:8" x14ac:dyDescent="0.25">
      <c r="A1102" s="148">
        <v>46127</v>
      </c>
      <c r="B1102" s="3" t="s">
        <v>1906</v>
      </c>
      <c r="C1102" s="3">
        <v>1</v>
      </c>
      <c r="D1102" s="3" t="str">
        <f>VLOOKUP(B1102,'Element wise-detail Summary'!$A:$D,2,0)</f>
        <v>PV27</v>
      </c>
      <c r="E1102" s="3" t="str">
        <f>IFERROR(VLOOKUP(B1102,'Element wise-detail Summary'!$A:$D,3,0),0)</f>
        <v>Zone-6</v>
      </c>
      <c r="F1102" s="143" t="str">
        <f>VLOOKUP(B1102,'AFC Data details'!$B:$B,1,0)</f>
        <v>AZ6-PV27-T3C4-002</v>
      </c>
      <c r="H1102" s="3">
        <f>_xlfn.XLOOKUP(B1102,'AFC Data details'!B:B,'AFC Data details'!P:P)</f>
        <v>1.163</v>
      </c>
    </row>
    <row r="1103" spans="1:8" x14ac:dyDescent="0.25">
      <c r="A1103" s="148">
        <v>46127</v>
      </c>
      <c r="B1103" s="3" t="s">
        <v>1912</v>
      </c>
      <c r="C1103" s="3">
        <v>1</v>
      </c>
      <c r="D1103" s="3" t="str">
        <f>VLOOKUP(B1103,'Element wise-detail Summary'!$A:$D,2,0)</f>
        <v>PV29</v>
      </c>
      <c r="E1103" s="3" t="str">
        <f>IFERROR(VLOOKUP(B1103,'Element wise-detail Summary'!$A:$D,3,0),0)</f>
        <v>Zone-6</v>
      </c>
      <c r="F1103" s="143" t="str">
        <f>VLOOKUP(B1103,'AFC Data details'!$B:$B,1,0)</f>
        <v>AZ6-PV29-T3C4-001</v>
      </c>
      <c r="H1103" s="3">
        <f>_xlfn.XLOOKUP(B1103,'AFC Data details'!B:B,'AFC Data details'!P:P)</f>
        <v>1.266</v>
      </c>
    </row>
    <row r="1104" spans="1:8" x14ac:dyDescent="0.25">
      <c r="A1104" s="148">
        <v>46128</v>
      </c>
      <c r="B1104" s="3" t="s">
        <v>1898</v>
      </c>
      <c r="C1104" s="3">
        <v>1</v>
      </c>
      <c r="D1104" s="3" t="str">
        <f>VLOOKUP(B1104,'Element wise-detail Summary'!$A:$D,2,0)</f>
        <v>PV25</v>
      </c>
      <c r="E1104" s="3" t="str">
        <f>IFERROR(VLOOKUP(B1104,'Element wise-detail Summary'!$A:$D,3,0),0)</f>
        <v>Zone-6</v>
      </c>
      <c r="F1104" s="143" t="str">
        <f>VLOOKUP(B1104,'AFC Data details'!$B:$B,1,0)</f>
        <v>AZ6-PV25-T3C4-002</v>
      </c>
      <c r="H1104" s="3">
        <f>_xlfn.XLOOKUP(B1104,'AFC Data details'!B:B,'AFC Data details'!P:P)</f>
        <v>1.1499999999999999</v>
      </c>
    </row>
    <row r="1105" spans="1:9" x14ac:dyDescent="0.25">
      <c r="A1105" s="148">
        <v>46128</v>
      </c>
      <c r="B1105" s="3" t="s">
        <v>2493</v>
      </c>
      <c r="C1105" s="3">
        <v>1</v>
      </c>
      <c r="D1105" s="3" t="str">
        <f>VLOOKUP(B1105,'Element wise-detail Summary'!$A:$D,2,0)</f>
        <v>PV46</v>
      </c>
      <c r="E1105" s="3" t="str">
        <f>IFERROR(VLOOKUP(B1105,'Element wise-detail Summary'!$A:$D,3,0),0)</f>
        <v>Zone-8</v>
      </c>
      <c r="F1105" s="143" t="str">
        <f>VLOOKUP(B1105,'AFC Data details'!$B:$B,1,0)</f>
        <v>AZ8-PV46-T3C5-001</v>
      </c>
      <c r="H1105" s="3">
        <f>_xlfn.XLOOKUP(B1105,'AFC Data details'!B:B,'AFC Data details'!P:P)</f>
        <v>1.2989999999999999</v>
      </c>
    </row>
    <row r="1106" spans="1:9" x14ac:dyDescent="0.25">
      <c r="A1106" s="148">
        <v>46128</v>
      </c>
      <c r="B1106" s="3" t="s">
        <v>2385</v>
      </c>
      <c r="C1106" s="3">
        <v>1</v>
      </c>
      <c r="D1106" s="3" t="str">
        <f>VLOOKUP(B1106,'Element wise-detail Summary'!$A:$D,2,0)</f>
        <v>PV41</v>
      </c>
      <c r="E1106" s="3" t="str">
        <f>IFERROR(VLOOKUP(B1106,'Element wise-detail Summary'!$A:$D,3,0),0)</f>
        <v>Zone-8</v>
      </c>
      <c r="F1106" s="143" t="str">
        <f>VLOOKUP(B1106,'AFC Data details'!$B:$B,1,0)</f>
        <v>AZ8-PV41-T3C5-002</v>
      </c>
      <c r="H1106" s="3">
        <f>_xlfn.XLOOKUP(B1106,'AFC Data details'!B:B,'AFC Data details'!P:P)</f>
        <v>1.3049999999999999</v>
      </c>
    </row>
    <row r="1107" spans="1:9" x14ac:dyDescent="0.25">
      <c r="A1107" s="148">
        <v>46129</v>
      </c>
      <c r="B1107" s="3" t="s">
        <v>2365</v>
      </c>
      <c r="C1107" s="3">
        <v>1</v>
      </c>
      <c r="D1107" s="3" t="str">
        <f>VLOOKUP(B1107,'Element wise-detail Summary'!$A:$D,2,0)</f>
        <v>PV38</v>
      </c>
      <c r="E1107" s="3" t="str">
        <f>IFERROR(VLOOKUP(B1107,'Element wise-detail Summary'!$A:$D,3,0),0)</f>
        <v>Zone-8</v>
      </c>
      <c r="F1107" s="143" t="str">
        <f>VLOOKUP(B1107,'AFC Data details'!$B:$B,1,0)</f>
        <v>AZ8-PV38-T3C4-001</v>
      </c>
      <c r="H1107" s="3">
        <f>_xlfn.XLOOKUP(B1107,'AFC Data details'!B:B,'AFC Data details'!P:P)</f>
        <v>1.1859999999999999</v>
      </c>
    </row>
    <row r="1108" spans="1:9" x14ac:dyDescent="0.25">
      <c r="A1108" s="148">
        <v>46130</v>
      </c>
      <c r="B1108" s="3" t="s">
        <v>2351</v>
      </c>
      <c r="C1108" s="3">
        <v>1</v>
      </c>
      <c r="D1108" s="3" t="str">
        <f>VLOOKUP(B1108,'Element wise-detail Summary'!$A:$D,2,0)</f>
        <v>PV37</v>
      </c>
      <c r="E1108" s="3" t="str">
        <f>IFERROR(VLOOKUP(B1108,'Element wise-detail Summary'!$A:$D,3,0),0)</f>
        <v>Zone-8</v>
      </c>
      <c r="F1108" s="143" t="str">
        <f>VLOOKUP(B1108,'AFC Data details'!$B:$B,1,0)</f>
        <v>AZ8-PV37-T3C4-002</v>
      </c>
      <c r="H1108" s="3">
        <f>_xlfn.XLOOKUP(B1108,'AFC Data details'!B:B,'AFC Data details'!P:P)</f>
        <v>1.137</v>
      </c>
    </row>
    <row r="1109" spans="1:9" x14ac:dyDescent="0.25">
      <c r="A1109" s="148">
        <v>46130</v>
      </c>
      <c r="B1109" s="3" t="s">
        <v>2368</v>
      </c>
      <c r="C1109" s="3">
        <v>1</v>
      </c>
      <c r="D1109" s="3" t="str">
        <f>VLOOKUP(B1109,'Element wise-detail Summary'!$A:$D,2,0)</f>
        <v>PV39</v>
      </c>
      <c r="E1109" s="3" t="str">
        <f>IFERROR(VLOOKUP(B1109,'Element wise-detail Summary'!$A:$D,3,0),0)</f>
        <v>Zone-8</v>
      </c>
      <c r="F1109" s="143" t="str">
        <f>VLOOKUP(B1109,'AFC Data details'!$B:$B,1,0)</f>
        <v>AZ8-PV39-T3C4-002</v>
      </c>
      <c r="H1109" s="3">
        <f>_xlfn.XLOOKUP(B1109,'AFC Data details'!B:B,'AFC Data details'!P:P)</f>
        <v>1.1379999999999999</v>
      </c>
    </row>
    <row r="1110" spans="1:9" x14ac:dyDescent="0.25">
      <c r="A1110" s="148">
        <v>46132</v>
      </c>
      <c r="B1110" s="3" t="s">
        <v>2403</v>
      </c>
      <c r="C1110" s="3">
        <v>1</v>
      </c>
      <c r="D1110" s="3" t="str">
        <f>VLOOKUP(B1110,'Element wise-detail Summary'!$A:$D,2,0)</f>
        <v>PV43</v>
      </c>
      <c r="E1110" s="3" t="str">
        <f>IFERROR(VLOOKUP(B1110,'Element wise-detail Summary'!$A:$D,3,0),0)</f>
        <v>Zone-8</v>
      </c>
      <c r="F1110" s="143" t="str">
        <f>VLOOKUP(B1110,'AFC Data details'!$B:$B,1,0)</f>
        <v>AZ8-PV43-T3C4-002</v>
      </c>
      <c r="H1110" s="3">
        <f>_xlfn.XLOOKUP(B1110,'AFC Data details'!B:B,'AFC Data details'!P:P)</f>
        <v>1.1499999999999999</v>
      </c>
    </row>
    <row r="1111" spans="1:9" x14ac:dyDescent="0.25">
      <c r="A1111" s="148">
        <v>46129</v>
      </c>
      <c r="B1111" s="3" t="s">
        <v>2399</v>
      </c>
      <c r="C1111" s="3">
        <v>1</v>
      </c>
      <c r="D1111" s="3" t="str">
        <f>VLOOKUP(B1111,'Element wise-detail Summary'!$A:$D,2,0)</f>
        <v>PV42</v>
      </c>
      <c r="E1111" s="3" t="str">
        <f>IFERROR(VLOOKUP(B1111,'Element wise-detail Summary'!$A:$D,3,0),0)</f>
        <v>Zone-8</v>
      </c>
      <c r="F1111" s="143" t="str">
        <f>VLOOKUP(B1111,'AFC Data details'!$B:$B,1,0)</f>
        <v>AZ8-PV42-T3C5-001</v>
      </c>
      <c r="H1111" s="3">
        <f>_xlfn.XLOOKUP(B1111,'AFC Data details'!B:B,'AFC Data details'!P:P)</f>
        <v>1.33</v>
      </c>
    </row>
    <row r="1112" spans="1:9" x14ac:dyDescent="0.25">
      <c r="A1112" s="148">
        <v>46130</v>
      </c>
      <c r="B1112" s="3" t="s">
        <v>2400</v>
      </c>
      <c r="C1112" s="3">
        <v>1</v>
      </c>
      <c r="D1112" s="3" t="str">
        <f>VLOOKUP(B1112,'Element wise-detail Summary'!$A:$D,2,0)</f>
        <v>PV42</v>
      </c>
      <c r="E1112" s="3" t="str">
        <f>IFERROR(VLOOKUP(B1112,'Element wise-detail Summary'!$A:$D,3,0),0)</f>
        <v>Zone-8</v>
      </c>
      <c r="F1112" s="143" t="str">
        <f>VLOOKUP(B1112,'AFC Data details'!$B:$B,1,0)</f>
        <v>AZ8-PV42-T3C5-002</v>
      </c>
      <c r="H1112" s="3">
        <f>_xlfn.XLOOKUP(B1112,'AFC Data details'!B:B,'AFC Data details'!P:P)</f>
        <v>1.583</v>
      </c>
    </row>
    <row r="1113" spans="1:9" x14ac:dyDescent="0.25">
      <c r="A1113" s="148">
        <v>46132</v>
      </c>
      <c r="B1113" s="3" t="s">
        <v>2472</v>
      </c>
      <c r="C1113" s="3">
        <v>1</v>
      </c>
      <c r="D1113" s="3" t="str">
        <f>VLOOKUP(B1113,'Element wise-detail Summary'!$A:$D,2,0)</f>
        <v>PV45</v>
      </c>
      <c r="E1113" s="3" t="str">
        <f>IFERROR(VLOOKUP(B1113,'Element wise-detail Summary'!$A:$D,3,0),0)</f>
        <v>Zone-8</v>
      </c>
      <c r="F1113" s="143" t="str">
        <f>VLOOKUP(B1113,'AFC Data details'!$B:$B,1,0)</f>
        <v>AZ8-PV45-T1C3-001</v>
      </c>
      <c r="H1113" s="3">
        <f>_xlfn.XLOOKUP(B1113,'AFC Data details'!B:B,'AFC Data details'!P:P)</f>
        <v>1.3180000000000001</v>
      </c>
    </row>
    <row r="1114" spans="1:9" x14ac:dyDescent="0.25">
      <c r="A1114" s="148">
        <v>46146</v>
      </c>
      <c r="B1114" s="3" t="s">
        <v>2136</v>
      </c>
      <c r="C1114" s="3">
        <v>1</v>
      </c>
      <c r="D1114" s="3" t="str">
        <f>VLOOKUP(B1114,'Element wise-detail Summary'!$A:$D,2,0)</f>
        <v>PV33</v>
      </c>
      <c r="E1114" s="3" t="str">
        <f>IFERROR(VLOOKUP(B1114,'Element wise-detail Summary'!$A:$D,3,0),0)</f>
        <v>Zone-6</v>
      </c>
      <c r="F1114" s="143" t="str">
        <f>VLOOKUP(B1114,'AFC Data details'!$B:$B,1,0)</f>
        <v>AZ6-PV33-T1C6-003</v>
      </c>
      <c r="H1114" s="3">
        <f>_xlfn.XLOOKUP(B1114,'AFC Data details'!B:B,'AFC Data details'!P:P)</f>
        <v>2.0840000000000001</v>
      </c>
      <c r="I1114" t="s">
        <v>2593</v>
      </c>
    </row>
    <row r="1115" spans="1:9" x14ac:dyDescent="0.25">
      <c r="A1115" s="148">
        <v>46148</v>
      </c>
      <c r="B1115" s="3" t="s">
        <v>1925</v>
      </c>
      <c r="C1115" s="3">
        <v>1</v>
      </c>
      <c r="D1115" s="3" t="str">
        <f>VLOOKUP(B1115,'Element wise-detail Summary'!$A:$D,2,0)</f>
        <v>PV33</v>
      </c>
      <c r="E1115" s="3" t="str">
        <f>IFERROR(VLOOKUP(B1115,'Element wise-detail Summary'!$A:$D,3,0),0)</f>
        <v>Zone-6</v>
      </c>
      <c r="F1115" s="143" t="str">
        <f>VLOOKUP(B1115,'AFC Data details'!$B:$B,1,0)</f>
        <v>AZ6-PV33-T3C4-001</v>
      </c>
      <c r="H1115" s="3">
        <f>_xlfn.XLOOKUP(B1115,'AFC Data details'!B:B,'AFC Data details'!P:P)</f>
        <v>1.3779999999999999</v>
      </c>
      <c r="I1115" t="s">
        <v>2605</v>
      </c>
    </row>
  </sheetData>
  <autoFilter ref="A1:I1115" xr:uid="{234FFA34-E85B-47E3-A229-CB851406FE88}"/>
  <sortState xmlns:xlrd2="http://schemas.microsoft.com/office/spreadsheetml/2017/richdata2" ref="B554:B568">
    <sortCondition sortBy="cellColor" ref="B554:B568" dxfId="420"/>
  </sortState>
  <phoneticPr fontId="3" type="noConversion"/>
  <conditionalFormatting sqref="B1:B1048576">
    <cfRule type="duplicateValues" dxfId="408" priority="1"/>
  </conditionalFormatting>
  <pageMargins left="0.7" right="0.7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1E29-5172-4EBF-947F-EBCCE34BE593}">
  <dimension ref="A1:I642"/>
  <sheetViews>
    <sheetView tabSelected="1" workbookViewId="0">
      <pane xSplit="1" ySplit="1" topLeftCell="B615" activePane="bottomRight" state="frozen"/>
      <selection pane="topRight" activeCell="B1" sqref="B1"/>
      <selection pane="bottomLeft" activeCell="A2" sqref="A2"/>
      <selection pane="bottomRight" activeCell="C640" sqref="C640"/>
    </sheetView>
  </sheetViews>
  <sheetFormatPr defaultRowHeight="15" x14ac:dyDescent="0.25"/>
  <cols>
    <col min="1" max="1" width="10.28515625" style="148" bestFit="1" customWidth="1"/>
    <col min="2" max="2" width="20.7109375" style="3" bestFit="1" customWidth="1"/>
    <col min="3" max="3" width="8.85546875" style="3"/>
    <col min="4" max="4" width="16.85546875" style="3" customWidth="1"/>
    <col min="5" max="5" width="8.85546875" style="143"/>
    <col min="6" max="6" width="20.7109375" style="143" bestFit="1" customWidth="1"/>
    <col min="7" max="7" width="25.7109375" customWidth="1"/>
    <col min="8" max="8" width="11.7109375" customWidth="1"/>
    <col min="9" max="9" width="17.85546875" style="57" customWidth="1"/>
  </cols>
  <sheetData>
    <row r="1" spans="1:9" x14ac:dyDescent="0.25">
      <c r="A1" s="154" t="s">
        <v>1151</v>
      </c>
      <c r="B1" s="57" t="s">
        <v>1141</v>
      </c>
      <c r="C1" s="57" t="s">
        <v>1153</v>
      </c>
      <c r="D1" s="57" t="s">
        <v>1154</v>
      </c>
      <c r="E1" s="142" t="s">
        <v>1140</v>
      </c>
      <c r="F1" s="142" t="s">
        <v>1160</v>
      </c>
      <c r="G1" s="141">
        <f>SUBTOTAL(9,C:C)</f>
        <v>635</v>
      </c>
      <c r="I1" s="146">
        <f>MAXA(A:A)</f>
        <v>46241</v>
      </c>
    </row>
    <row r="2" spans="1:9" x14ac:dyDescent="0.25">
      <c r="A2" s="148">
        <v>45923</v>
      </c>
      <c r="B2" s="3" t="s">
        <v>1175</v>
      </c>
      <c r="C2" s="3">
        <v>1</v>
      </c>
      <c r="D2" s="3" t="s">
        <v>1701</v>
      </c>
      <c r="E2" s="143" t="str">
        <f>VLOOKUP(B2,'Element wise-detail Summary'!$A:$C,3,0)</f>
        <v>MOCKUP</v>
      </c>
      <c r="F2" s="143" t="str">
        <f>VLOOKUP(B2,'AFC Data details'!$B:$B,1,0)</f>
        <v>AMR-V17-T3C6-002</v>
      </c>
    </row>
    <row r="3" spans="1:9" x14ac:dyDescent="0.25">
      <c r="A3" s="148">
        <v>45923</v>
      </c>
      <c r="B3" s="3" t="s">
        <v>1180</v>
      </c>
      <c r="C3" s="3">
        <v>1</v>
      </c>
      <c r="D3" s="3" t="s">
        <v>1701</v>
      </c>
      <c r="E3" s="143" t="str">
        <f>VLOOKUP(B3,'Element wise-detail Summary'!$A:$C,3,0)</f>
        <v>MOCKUP</v>
      </c>
      <c r="F3" s="143" t="str">
        <f>VLOOKUP(B3,'AFC Data details'!$B:$B,1,0)</f>
        <v>AMR-V17-T1C11-001</v>
      </c>
    </row>
    <row r="4" spans="1:9" x14ac:dyDescent="0.25">
      <c r="A4" s="148">
        <v>45923</v>
      </c>
      <c r="B4" s="3" t="s">
        <v>1182</v>
      </c>
      <c r="C4" s="3">
        <v>1</v>
      </c>
      <c r="D4" s="3" t="s">
        <v>1701</v>
      </c>
      <c r="E4" s="143" t="str">
        <f>VLOOKUP(B4,'Element wise-detail Summary'!$A:$C,3,0)</f>
        <v>Zone-1</v>
      </c>
      <c r="F4" s="143" t="str">
        <f>VLOOKUP(B4,'AFC Data details'!$B:$B,1,0)</f>
        <v>AZ1-V19-T1C15S-002</v>
      </c>
    </row>
    <row r="5" spans="1:9" x14ac:dyDescent="0.25">
      <c r="A5" s="148">
        <v>45923</v>
      </c>
      <c r="B5" s="3" t="s">
        <v>1185</v>
      </c>
      <c r="C5" s="3">
        <v>1</v>
      </c>
      <c r="D5" s="3" t="s">
        <v>1701</v>
      </c>
      <c r="E5" s="143" t="str">
        <f>VLOOKUP(B5,'Element wise-detail Summary'!$A:$C,3,0)</f>
        <v>MOCKUP</v>
      </c>
      <c r="F5" s="143" t="str">
        <f>VLOOKUP(B5,'AFC Data details'!$B:$B,1,0)</f>
        <v>AMR-V17-T3C6-003</v>
      </c>
    </row>
    <row r="6" spans="1:9" x14ac:dyDescent="0.25">
      <c r="A6" s="148">
        <v>45923</v>
      </c>
      <c r="B6" s="3" t="s">
        <v>1179</v>
      </c>
      <c r="C6" s="3">
        <v>1</v>
      </c>
      <c r="D6" s="3" t="s">
        <v>1702</v>
      </c>
      <c r="E6" s="143" t="str">
        <f>VLOOKUP(B6,'Element wise-detail Summary'!$A:$C,3,0)</f>
        <v>Zone-1</v>
      </c>
      <c r="F6" s="143" t="str">
        <f>VLOOKUP(B6,'AFC Data details'!$B:$B,1,0)</f>
        <v>AZ1-V19-T2C1-001</v>
      </c>
    </row>
    <row r="7" spans="1:9" x14ac:dyDescent="0.25">
      <c r="A7" s="148">
        <v>45923</v>
      </c>
      <c r="B7" s="3" t="s">
        <v>1181</v>
      </c>
      <c r="C7" s="3">
        <v>1</v>
      </c>
      <c r="D7" s="3" t="s">
        <v>1702</v>
      </c>
      <c r="E7" s="143" t="str">
        <f>VLOOKUP(B7,'Element wise-detail Summary'!$A:$C,3,0)</f>
        <v>MOCKUP</v>
      </c>
      <c r="F7" s="143" t="str">
        <f>VLOOKUP(B7,'AFC Data details'!$B:$B,1,0)</f>
        <v>AMR-V17-T1C10-003</v>
      </c>
    </row>
    <row r="8" spans="1:9" x14ac:dyDescent="0.25">
      <c r="A8" s="148">
        <v>45923</v>
      </c>
      <c r="B8" s="3" t="s">
        <v>1183</v>
      </c>
      <c r="C8" s="3">
        <v>1</v>
      </c>
      <c r="D8" s="3" t="s">
        <v>1702</v>
      </c>
      <c r="E8" s="143" t="str">
        <f>VLOOKUP(B8,'Element wise-detail Summary'!$A:$C,3,0)</f>
        <v>MOCKUP</v>
      </c>
      <c r="F8" s="143" t="str">
        <f>VLOOKUP(B8,'AFC Data details'!$B:$B,1,0)</f>
        <v>AMR-V18-T1C10-007</v>
      </c>
    </row>
    <row r="9" spans="1:9" x14ac:dyDescent="0.25">
      <c r="A9" s="148">
        <v>45923</v>
      </c>
      <c r="B9" s="3" t="s">
        <v>1184</v>
      </c>
      <c r="C9" s="3">
        <v>1</v>
      </c>
      <c r="D9" s="3" t="s">
        <v>1702</v>
      </c>
      <c r="E9" s="143" t="str">
        <f>VLOOKUP(B9,'Element wise-detail Summary'!$A:$C,3,0)</f>
        <v>MOCKUP</v>
      </c>
      <c r="F9" s="143" t="str">
        <f>VLOOKUP(B9,'AFC Data details'!$B:$B,1,0)</f>
        <v>AMR-V18-T1C10-003</v>
      </c>
    </row>
    <row r="10" spans="1:9" x14ac:dyDescent="0.25">
      <c r="A10" s="148">
        <v>45929</v>
      </c>
      <c r="B10" s="3" t="s">
        <v>1176</v>
      </c>
      <c r="C10" s="3">
        <v>1</v>
      </c>
      <c r="D10" s="3" t="s">
        <v>1703</v>
      </c>
      <c r="E10" s="143" t="str">
        <f>VLOOKUP(B10,'Element wise-detail Summary'!$A:$C,3,0)</f>
        <v>MOCKUP</v>
      </c>
      <c r="F10" s="143" t="str">
        <f>VLOOKUP(B10,'AFC Data details'!$B:$B,1,0)</f>
        <v>AMR-V17-T1C10-002</v>
      </c>
    </row>
    <row r="11" spans="1:9" x14ac:dyDescent="0.25">
      <c r="A11" s="148">
        <v>45929</v>
      </c>
      <c r="B11" s="3" t="s">
        <v>1174</v>
      </c>
      <c r="C11" s="3">
        <v>1</v>
      </c>
      <c r="D11" s="3" t="s">
        <v>1703</v>
      </c>
      <c r="E11" s="143" t="str">
        <f>VLOOKUP(B11,'Element wise-detail Summary'!$A:$C,3,0)</f>
        <v>MOCKUP</v>
      </c>
      <c r="F11" s="143" t="str">
        <f>VLOOKUP(B11,'AFC Data details'!$B:$B,1,0)</f>
        <v>AMR-V18-T1C3-001</v>
      </c>
    </row>
    <row r="12" spans="1:9" x14ac:dyDescent="0.25">
      <c r="A12" s="148">
        <v>45929</v>
      </c>
      <c r="B12" s="3" t="s">
        <v>1171</v>
      </c>
      <c r="C12" s="3">
        <v>1</v>
      </c>
      <c r="D12" s="3" t="s">
        <v>1703</v>
      </c>
      <c r="E12" s="143" t="str">
        <f>VLOOKUP(B12,'Element wise-detail Summary'!$A:$C,3,0)</f>
        <v>MOCKUP</v>
      </c>
      <c r="F12" s="143" t="str">
        <f>VLOOKUP(B12,'AFC Data details'!$B:$B,1,0)</f>
        <v>AMR-V18-T3C3-003</v>
      </c>
    </row>
    <row r="13" spans="1:9" x14ac:dyDescent="0.25">
      <c r="A13" s="148">
        <v>45929</v>
      </c>
      <c r="B13" s="3" t="s">
        <v>1169</v>
      </c>
      <c r="C13" s="3">
        <v>1</v>
      </c>
      <c r="D13" s="3" t="s">
        <v>1703</v>
      </c>
      <c r="E13" s="143" t="str">
        <f>VLOOKUP(B13,'Element wise-detail Summary'!$A:$C,3,0)</f>
        <v>MOCKUP</v>
      </c>
      <c r="F13" s="143" t="str">
        <f>VLOOKUP(B13,'AFC Data details'!$B:$B,1,0)</f>
        <v>AMR-V18-T3C3-001</v>
      </c>
    </row>
    <row r="14" spans="1:9" x14ac:dyDescent="0.25">
      <c r="A14" s="148">
        <v>45929</v>
      </c>
      <c r="B14" s="3" t="s">
        <v>1197</v>
      </c>
      <c r="C14" s="3">
        <v>1</v>
      </c>
      <c r="D14" s="3" t="s">
        <v>1703</v>
      </c>
      <c r="E14" s="143" t="str">
        <f>VLOOKUP(B14,'Element wise-detail Summary'!$A:$C,3,0)</f>
        <v>MOCKUP</v>
      </c>
      <c r="F14" s="143" t="str">
        <f>VLOOKUP(B14,'AFC Data details'!$B:$B,1,0)</f>
        <v>AMR-V18-T1C10-001</v>
      </c>
    </row>
    <row r="15" spans="1:9" x14ac:dyDescent="0.25">
      <c r="A15" s="148">
        <v>45929</v>
      </c>
      <c r="B15" s="3" t="s">
        <v>1192</v>
      </c>
      <c r="C15" s="3">
        <v>1</v>
      </c>
      <c r="D15" s="3" t="s">
        <v>1703</v>
      </c>
      <c r="E15" s="143" t="str">
        <f>VLOOKUP(B15,'Element wise-detail Summary'!$A:$C,3,0)</f>
        <v>MOCKUP</v>
      </c>
      <c r="F15" s="143" t="str">
        <f>VLOOKUP(B15,'AFC Data details'!$B:$B,1,0)</f>
        <v>AMR-V18-T1C10-006</v>
      </c>
    </row>
    <row r="16" spans="1:9" x14ac:dyDescent="0.25">
      <c r="A16" s="148">
        <v>45929</v>
      </c>
      <c r="B16" s="3" t="s">
        <v>1178</v>
      </c>
      <c r="C16" s="3">
        <v>1</v>
      </c>
      <c r="D16" s="3" t="s">
        <v>1704</v>
      </c>
      <c r="E16" s="143" t="str">
        <f>VLOOKUP(B16,'Element wise-detail Summary'!$A:$C,3,0)</f>
        <v>MOCKUP</v>
      </c>
      <c r="F16" s="143" t="str">
        <f>VLOOKUP(B16,'AFC Data details'!$B:$B,1,0)</f>
        <v>AMR-V17-T1C11-002</v>
      </c>
    </row>
    <row r="17" spans="1:6" x14ac:dyDescent="0.25">
      <c r="A17" s="148">
        <v>45929</v>
      </c>
      <c r="B17" s="3" t="s">
        <v>1168</v>
      </c>
      <c r="C17" s="3">
        <v>1</v>
      </c>
      <c r="D17" s="3" t="s">
        <v>1704</v>
      </c>
      <c r="E17" s="143" t="str">
        <f>VLOOKUP(B17,'Element wise-detail Summary'!$A:$C,3,0)</f>
        <v>MOCKUP</v>
      </c>
      <c r="F17" s="143" t="str">
        <f>VLOOKUP(B17,'AFC Data details'!$B:$B,1,0)</f>
        <v>AMR-V17-T1C11-003</v>
      </c>
    </row>
    <row r="18" spans="1:6" x14ac:dyDescent="0.25">
      <c r="A18" s="148">
        <v>45929</v>
      </c>
      <c r="B18" s="3" t="s">
        <v>1177</v>
      </c>
      <c r="C18" s="3">
        <v>1</v>
      </c>
      <c r="D18" s="3" t="s">
        <v>1704</v>
      </c>
      <c r="E18" s="143" t="str">
        <f>VLOOKUP(B18,'Element wise-detail Summary'!$A:$C,3,0)</f>
        <v>MOCKUP</v>
      </c>
      <c r="F18" s="143" t="str">
        <f>VLOOKUP(B18,'AFC Data details'!$B:$B,1,0)</f>
        <v>AMR-V17-T3C6-001</v>
      </c>
    </row>
    <row r="19" spans="1:6" x14ac:dyDescent="0.25">
      <c r="A19" s="148">
        <v>45929</v>
      </c>
      <c r="B19" s="3" t="s">
        <v>1172</v>
      </c>
      <c r="C19" s="3">
        <v>1</v>
      </c>
      <c r="D19" s="3" t="s">
        <v>1704</v>
      </c>
      <c r="E19" s="143" t="str">
        <f>VLOOKUP(B19,'Element wise-detail Summary'!$A:$C,3,0)</f>
        <v>MOCKUP</v>
      </c>
      <c r="F19" s="143" t="str">
        <f>VLOOKUP(B19,'AFC Data details'!$B:$B,1,0)</f>
        <v>AMR-V17-T2C1-001</v>
      </c>
    </row>
    <row r="20" spans="1:6" x14ac:dyDescent="0.25">
      <c r="A20" s="148">
        <v>45929</v>
      </c>
      <c r="B20" s="3" t="s">
        <v>1170</v>
      </c>
      <c r="C20" s="3">
        <v>1</v>
      </c>
      <c r="D20" s="3" t="s">
        <v>1704</v>
      </c>
      <c r="E20" s="143" t="str">
        <f>VLOOKUP(B20,'Element wise-detail Summary'!$A:$C,3,0)</f>
        <v>MOCKUP</v>
      </c>
      <c r="F20" s="143" t="str">
        <f>VLOOKUP(B20,'AFC Data details'!$B:$B,1,0)</f>
        <v>AMR-V18-T3C3-002</v>
      </c>
    </row>
    <row r="21" spans="1:6" x14ac:dyDescent="0.25">
      <c r="A21" s="148">
        <v>45936</v>
      </c>
      <c r="B21" s="3" t="s">
        <v>1189</v>
      </c>
      <c r="C21" s="3">
        <v>1</v>
      </c>
      <c r="D21" s="3" t="s">
        <v>1705</v>
      </c>
      <c r="E21" s="143" t="str">
        <f>VLOOKUP(B21,'Element wise-detail Summary'!$A:$C,3,0)</f>
        <v>MOCKUP</v>
      </c>
      <c r="F21" s="143" t="str">
        <f>VLOOKUP(B21,'AFC Data details'!$B:$B,1,0)</f>
        <v>AMR-V18-T1C10-004</v>
      </c>
    </row>
    <row r="22" spans="1:6" x14ac:dyDescent="0.25">
      <c r="A22" s="148">
        <v>45936</v>
      </c>
      <c r="B22" s="3" t="s">
        <v>1196</v>
      </c>
      <c r="C22" s="3">
        <v>1</v>
      </c>
      <c r="D22" s="3" t="s">
        <v>1705</v>
      </c>
      <c r="E22" s="143" t="str">
        <f>VLOOKUP(B22,'Element wise-detail Summary'!$A:$C,3,0)</f>
        <v>MOCKUP</v>
      </c>
      <c r="F22" s="143" t="str">
        <f>VLOOKUP(B22,'AFC Data details'!$B:$B,1,0)</f>
        <v>AMR-V18-T1C10-005</v>
      </c>
    </row>
    <row r="23" spans="1:6" x14ac:dyDescent="0.25">
      <c r="A23" s="148">
        <v>45936</v>
      </c>
      <c r="B23" s="3" t="s">
        <v>1188</v>
      </c>
      <c r="C23" s="3">
        <v>1</v>
      </c>
      <c r="D23" s="3" t="s">
        <v>1705</v>
      </c>
      <c r="E23" s="143" t="str">
        <f>VLOOKUP(B23,'Element wise-detail Summary'!$A:$C,3,0)</f>
        <v>MOCKUP</v>
      </c>
      <c r="F23" s="143" t="str">
        <f>VLOOKUP(B23,'AFC Data details'!$B:$B,1,0)</f>
        <v>AMR-V18-T1C10-008</v>
      </c>
    </row>
    <row r="24" spans="1:6" x14ac:dyDescent="0.25">
      <c r="A24" s="148">
        <v>45936</v>
      </c>
      <c r="B24" s="3" t="s">
        <v>1193</v>
      </c>
      <c r="C24" s="3">
        <v>1</v>
      </c>
      <c r="D24" s="3" t="s">
        <v>1705</v>
      </c>
      <c r="E24" s="143" t="str">
        <f>VLOOKUP(B24,'Element wise-detail Summary'!$A:$C,3,0)</f>
        <v>MOCKUP</v>
      </c>
      <c r="F24" s="143" t="str">
        <f>VLOOKUP(B24,'AFC Data details'!$B:$B,1,0)</f>
        <v>AMR-V18-T1C10-009</v>
      </c>
    </row>
    <row r="25" spans="1:6" x14ac:dyDescent="0.25">
      <c r="A25" s="148">
        <v>45936</v>
      </c>
      <c r="B25" s="3" t="s">
        <v>1166</v>
      </c>
      <c r="C25" s="3">
        <v>1</v>
      </c>
      <c r="D25" s="3" t="s">
        <v>1706</v>
      </c>
      <c r="E25" s="143" t="str">
        <f>VLOOKUP(B25,'Element wise-detail Summary'!$A:$C,3,0)</f>
        <v>MOCKUP</v>
      </c>
      <c r="F25" s="143" t="str">
        <f>VLOOKUP(B25,'AFC Data details'!$B:$B,1,0)</f>
        <v>AMR-V17-T1C10-001</v>
      </c>
    </row>
    <row r="26" spans="1:6" x14ac:dyDescent="0.25">
      <c r="A26" s="148">
        <v>45936</v>
      </c>
      <c r="B26" s="3" t="s">
        <v>1194</v>
      </c>
      <c r="C26" s="3">
        <v>1</v>
      </c>
      <c r="D26" s="3" t="s">
        <v>1706</v>
      </c>
      <c r="E26" s="143" t="str">
        <f>VLOOKUP(B26,'Element wise-detail Summary'!$A:$C,3,0)</f>
        <v>MOCKUP</v>
      </c>
      <c r="F26" s="143" t="str">
        <f>VLOOKUP(B26,'AFC Data details'!$B:$B,1,0)</f>
        <v>AMR-V17-T1C13-001</v>
      </c>
    </row>
    <row r="27" spans="1:6" x14ac:dyDescent="0.25">
      <c r="A27" s="148">
        <v>45936</v>
      </c>
      <c r="B27" s="3" t="s">
        <v>1190</v>
      </c>
      <c r="C27" s="3">
        <v>1</v>
      </c>
      <c r="D27" s="3" t="s">
        <v>1706</v>
      </c>
      <c r="E27" s="143" t="str">
        <f>VLOOKUP(B27,'Element wise-detail Summary'!$A:$C,3,0)</f>
        <v>MOCKUP</v>
      </c>
      <c r="F27" s="143" t="str">
        <f>VLOOKUP(B27,'AFC Data details'!$B:$B,1,0)</f>
        <v>AMR-V17-T1C16-001</v>
      </c>
    </row>
    <row r="28" spans="1:6" x14ac:dyDescent="0.25">
      <c r="A28" s="148">
        <v>45936</v>
      </c>
      <c r="B28" s="3" t="s">
        <v>1167</v>
      </c>
      <c r="C28" s="3">
        <v>1</v>
      </c>
      <c r="D28" s="3" t="s">
        <v>1706</v>
      </c>
      <c r="E28" s="143" t="str">
        <f>VLOOKUP(B28,'Element wise-detail Summary'!$A:$C,3,0)</f>
        <v>MOCKUP</v>
      </c>
      <c r="F28" s="143" t="str">
        <f>VLOOKUP(B28,'AFC Data details'!$B:$B,1,0)</f>
        <v>AMR-V18-T1C10-002</v>
      </c>
    </row>
    <row r="29" spans="1:6" x14ac:dyDescent="0.25">
      <c r="A29" s="148">
        <v>45936</v>
      </c>
      <c r="B29" s="3" t="s">
        <v>1187</v>
      </c>
      <c r="C29" s="3">
        <v>1</v>
      </c>
      <c r="D29" s="147"/>
      <c r="E29" s="143" t="str">
        <f>VLOOKUP(B29,'Element wise-detail Summary'!$A:$C,3,0)</f>
        <v>MOCKUP</v>
      </c>
      <c r="F29" s="143" t="str">
        <f>VLOOKUP(B29,'AFC Data details'!$B:$B,1,0)</f>
        <v>AMR-V17-T1C12-001</v>
      </c>
    </row>
    <row r="30" spans="1:6" x14ac:dyDescent="0.25">
      <c r="A30" s="148">
        <v>45936</v>
      </c>
      <c r="B30" s="3" t="s">
        <v>1165</v>
      </c>
      <c r="C30" s="3">
        <v>1</v>
      </c>
      <c r="D30" s="147"/>
      <c r="E30" s="143" t="str">
        <f>VLOOKUP(B30,'Element wise-detail Summary'!$A:$C,3,0)</f>
        <v>MOCKUP</v>
      </c>
      <c r="F30" s="143" t="str">
        <f>VLOOKUP(B30,'AFC Data details'!$B:$B,1,0)</f>
        <v>AMR-V18-T1C16-001</v>
      </c>
    </row>
    <row r="31" spans="1:6" x14ac:dyDescent="0.25">
      <c r="A31" s="148">
        <v>45936</v>
      </c>
      <c r="B31" s="3" t="s">
        <v>1173</v>
      </c>
      <c r="C31" s="3">
        <v>1</v>
      </c>
      <c r="D31" s="147"/>
      <c r="E31" s="143" t="str">
        <f>VLOOKUP(B31,'Element wise-detail Summary'!$A:$C,3,0)</f>
        <v>MOCKUP</v>
      </c>
      <c r="F31" s="143" t="str">
        <f>VLOOKUP(B31,'AFC Data details'!$B:$B,1,0)</f>
        <v>AMR-V18-T3C6-001</v>
      </c>
    </row>
    <row r="32" spans="1:6" x14ac:dyDescent="0.25">
      <c r="A32" s="148">
        <v>45946</v>
      </c>
      <c r="B32" s="3" t="s">
        <v>1242</v>
      </c>
      <c r="C32" s="3">
        <v>1</v>
      </c>
      <c r="D32" s="3" t="s">
        <v>1707</v>
      </c>
      <c r="E32" s="143" t="str">
        <f>VLOOKUP(B32,'Element wise-detail Summary'!$A:$C,3,0)</f>
        <v>Zone-1</v>
      </c>
      <c r="F32" s="143" t="str">
        <f>VLOOKUP(B32,'AFC Data details'!$B:$B,1,0)</f>
        <v>AZ1-V21-T3C4-001</v>
      </c>
    </row>
    <row r="33" spans="1:6" x14ac:dyDescent="0.25">
      <c r="A33" s="148">
        <v>45946</v>
      </c>
      <c r="B33" s="3" t="s">
        <v>1244</v>
      </c>
      <c r="C33" s="3">
        <v>1</v>
      </c>
      <c r="D33" s="3" t="s">
        <v>1707</v>
      </c>
      <c r="E33" s="143" t="str">
        <f>VLOOKUP(B33,'Element wise-detail Summary'!$A:$C,3,0)</f>
        <v>Zone-1</v>
      </c>
      <c r="F33" s="143" t="str">
        <f>VLOOKUP(B33,'AFC Data details'!$B:$B,1,0)</f>
        <v>AZ1-V21-T3C4-002</v>
      </c>
    </row>
    <row r="34" spans="1:6" x14ac:dyDescent="0.25">
      <c r="A34" s="148">
        <v>45946</v>
      </c>
      <c r="B34" s="3" t="s">
        <v>1254</v>
      </c>
      <c r="C34" s="3">
        <v>1</v>
      </c>
      <c r="D34" s="3" t="s">
        <v>1707</v>
      </c>
      <c r="E34" s="143" t="str">
        <f>VLOOKUP(B34,'Element wise-detail Summary'!$A:$C,3,0)</f>
        <v>Zone-1</v>
      </c>
      <c r="F34" s="143" t="str">
        <f>VLOOKUP(B34,'AFC Data details'!$B:$B,1,0)</f>
        <v>AZ1-V21-T1C6-005</v>
      </c>
    </row>
    <row r="35" spans="1:6" x14ac:dyDescent="0.25">
      <c r="A35" s="148">
        <v>45946</v>
      </c>
      <c r="B35" s="3" t="s">
        <v>1263</v>
      </c>
      <c r="C35" s="3">
        <v>1</v>
      </c>
      <c r="D35" s="3" t="s">
        <v>1707</v>
      </c>
      <c r="E35" s="143" t="str">
        <f>VLOOKUP(B35,'Element wise-detail Summary'!$A:$C,3,0)</f>
        <v>Zone-1</v>
      </c>
      <c r="F35" s="143" t="str">
        <f>VLOOKUP(B35,'AFC Data details'!$B:$B,1,0)</f>
        <v>AZ1-V21-T1C6-006</v>
      </c>
    </row>
    <row r="36" spans="1:6" x14ac:dyDescent="0.25">
      <c r="A36" s="148">
        <v>45955</v>
      </c>
      <c r="B36" s="3" t="s">
        <v>1259</v>
      </c>
      <c r="C36" s="3">
        <v>1</v>
      </c>
      <c r="D36" s="3" t="s">
        <v>1709</v>
      </c>
      <c r="E36" s="143" t="str">
        <f>VLOOKUP(B36,'Element wise-detail Summary'!$A:$C,3,0)</f>
        <v>Zone-1</v>
      </c>
      <c r="F36" s="143" t="str">
        <f>VLOOKUP(B36,'AFC Data details'!$B:$B,1,0)</f>
        <v>AZ1-V22-T3C4-001</v>
      </c>
    </row>
    <row r="37" spans="1:6" x14ac:dyDescent="0.25">
      <c r="A37" s="148">
        <v>45955</v>
      </c>
      <c r="B37" s="3" t="s">
        <v>1250</v>
      </c>
      <c r="C37" s="3">
        <v>1</v>
      </c>
      <c r="D37" s="3" t="s">
        <v>1709</v>
      </c>
      <c r="E37" s="143" t="str">
        <f>VLOOKUP(B37,'Element wise-detail Summary'!$A:$C,3,0)</f>
        <v>Zone-1</v>
      </c>
      <c r="F37" s="143" t="str">
        <f>VLOOKUP(B37,'AFC Data details'!$B:$B,1,0)</f>
        <v>AZ1-V22-T1C6-005</v>
      </c>
    </row>
    <row r="38" spans="1:6" x14ac:dyDescent="0.25">
      <c r="A38" s="148">
        <v>45955</v>
      </c>
      <c r="B38" s="3" t="s">
        <v>1251</v>
      </c>
      <c r="C38" s="3">
        <v>1</v>
      </c>
      <c r="D38" s="3" t="s">
        <v>1709</v>
      </c>
      <c r="E38" s="143" t="str">
        <f>VLOOKUP(B38,'Element wise-detail Summary'!$A:$C,3,0)</f>
        <v>Zone-1</v>
      </c>
      <c r="F38" s="143" t="str">
        <f>VLOOKUP(B38,'AFC Data details'!$B:$B,1,0)</f>
        <v>AZ1-V23-T1C6-005</v>
      </c>
    </row>
    <row r="39" spans="1:6" x14ac:dyDescent="0.25">
      <c r="A39" s="148">
        <v>45955</v>
      </c>
      <c r="B39" s="3" t="s">
        <v>1262</v>
      </c>
      <c r="C39" s="3">
        <v>1</v>
      </c>
      <c r="D39" s="3" t="s">
        <v>1709</v>
      </c>
      <c r="E39" s="143" t="str">
        <f>VLOOKUP(B39,'Element wise-detail Summary'!$A:$C,3,0)</f>
        <v>Zone-1</v>
      </c>
      <c r="F39" s="143" t="str">
        <f>VLOOKUP(B39,'AFC Data details'!$B:$B,1,0)</f>
        <v>AZ1-V23-T1C6-006</v>
      </c>
    </row>
    <row r="40" spans="1:6" x14ac:dyDescent="0.25">
      <c r="A40" s="148">
        <v>45955</v>
      </c>
      <c r="B40" s="3" t="s">
        <v>1201</v>
      </c>
      <c r="C40" s="3">
        <v>1</v>
      </c>
      <c r="D40" s="3" t="s">
        <v>1710</v>
      </c>
      <c r="E40" s="143" t="str">
        <f>VLOOKUP(B40,'Element wise-detail Summary'!$A:$C,3,0)</f>
        <v>Zone-1</v>
      </c>
      <c r="F40" s="143" t="str">
        <f>VLOOKUP(B40,'AFC Data details'!$B:$B,1,0)</f>
        <v>AZ1-V23-T3C4-002</v>
      </c>
    </row>
    <row r="41" spans="1:6" x14ac:dyDescent="0.25">
      <c r="A41" s="148">
        <v>45955</v>
      </c>
      <c r="B41" s="3" t="s">
        <v>1200</v>
      </c>
      <c r="C41" s="3">
        <v>1</v>
      </c>
      <c r="D41" s="3" t="s">
        <v>1710</v>
      </c>
      <c r="E41" s="143" t="str">
        <f>VLOOKUP(B41,'Element wise-detail Summary'!$A:$C,3,0)</f>
        <v>Zone-1</v>
      </c>
      <c r="F41" s="143" t="str">
        <f>VLOOKUP(B41,'AFC Data details'!$B:$B,1,0)</f>
        <v>AZ1-V23-T3C4-001</v>
      </c>
    </row>
    <row r="42" spans="1:6" x14ac:dyDescent="0.25">
      <c r="A42" s="148">
        <v>45955</v>
      </c>
      <c r="B42" s="3" t="s">
        <v>1203</v>
      </c>
      <c r="C42" s="3">
        <v>1</v>
      </c>
      <c r="D42" s="3" t="s">
        <v>1710</v>
      </c>
      <c r="E42" s="143" t="str">
        <f>VLOOKUP(B42,'Element wise-detail Summary'!$A:$C,3,0)</f>
        <v>Zone-1</v>
      </c>
      <c r="F42" s="143" t="str">
        <f>VLOOKUP(B42,'AFC Data details'!$B:$B,1,0)</f>
        <v>AZ1-V24-T1C1-001</v>
      </c>
    </row>
    <row r="43" spans="1:6" x14ac:dyDescent="0.25">
      <c r="A43" s="148">
        <v>45955</v>
      </c>
      <c r="B43" s="3" t="s">
        <v>1279</v>
      </c>
      <c r="C43" s="3">
        <v>1</v>
      </c>
      <c r="D43" s="3" t="s">
        <v>1710</v>
      </c>
      <c r="E43" s="143" t="str">
        <f>VLOOKUP(B43,'Element wise-detail Summary'!$A:$C,3,0)</f>
        <v>Zone-1</v>
      </c>
      <c r="F43" s="143" t="str">
        <f>VLOOKUP(B43,'AFC Data details'!$B:$B,1,0)</f>
        <v>AZ1-V24-T3C4-002</v>
      </c>
    </row>
    <row r="44" spans="1:6" x14ac:dyDescent="0.25">
      <c r="A44" s="148">
        <v>45957</v>
      </c>
      <c r="B44" s="3" t="s">
        <v>1273</v>
      </c>
      <c r="C44" s="3">
        <v>1</v>
      </c>
      <c r="D44" s="3" t="s">
        <v>1711</v>
      </c>
      <c r="E44" s="143" t="str">
        <f>VLOOKUP(B44,'Element wise-detail Summary'!$A:$C,3,0)</f>
        <v>Zone-1</v>
      </c>
      <c r="F44" s="143" t="str">
        <f>VLOOKUP(B44,'AFC Data details'!$B:$B,1,0)</f>
        <v>AZ1-V25-T1C6-005</v>
      </c>
    </row>
    <row r="45" spans="1:6" x14ac:dyDescent="0.25">
      <c r="A45" s="148">
        <v>45957</v>
      </c>
      <c r="B45" s="3" t="s">
        <v>1283</v>
      </c>
      <c r="C45" s="3">
        <v>1</v>
      </c>
      <c r="D45" s="3" t="s">
        <v>1711</v>
      </c>
      <c r="E45" s="143" t="str">
        <f>VLOOKUP(B45,'Element wise-detail Summary'!$A:$C,3,0)</f>
        <v>Zone-1</v>
      </c>
      <c r="F45" s="143" t="str">
        <f>VLOOKUP(B45,'AFC Data details'!$B:$B,1,0)</f>
        <v>AZ1-V25-T1C6-006</v>
      </c>
    </row>
    <row r="46" spans="1:6" x14ac:dyDescent="0.25">
      <c r="A46" s="148">
        <v>45957</v>
      </c>
      <c r="B46" s="3" t="s">
        <v>1285</v>
      </c>
      <c r="C46" s="3">
        <v>1</v>
      </c>
      <c r="D46" s="3" t="s">
        <v>1711</v>
      </c>
      <c r="E46" s="143" t="str">
        <f>VLOOKUP(B46,'Element wise-detail Summary'!$A:$C,3,0)</f>
        <v>Zone-1</v>
      </c>
      <c r="F46" s="143" t="str">
        <f>VLOOKUP(B46,'AFC Data details'!$B:$B,1,0)</f>
        <v>AZ1-V25-T3C4-002</v>
      </c>
    </row>
    <row r="47" spans="1:6" x14ac:dyDescent="0.25">
      <c r="A47" s="148">
        <v>45957</v>
      </c>
      <c r="B47" s="3" t="s">
        <v>1284</v>
      </c>
      <c r="C47" s="3">
        <v>1</v>
      </c>
      <c r="D47" s="3" t="s">
        <v>1711</v>
      </c>
      <c r="E47" s="143" t="str">
        <f>VLOOKUP(B47,'Element wise-detail Summary'!$A:$C,3,0)</f>
        <v>Zone-1</v>
      </c>
      <c r="F47" s="143" t="str">
        <f>VLOOKUP(B47,'AFC Data details'!$B:$B,1,0)</f>
        <v>AZ1-V25-T3C4-001</v>
      </c>
    </row>
    <row r="48" spans="1:6" x14ac:dyDescent="0.25">
      <c r="A48" s="148">
        <v>45957</v>
      </c>
      <c r="B48" s="3" t="s">
        <v>1286</v>
      </c>
      <c r="C48" s="3">
        <v>1</v>
      </c>
      <c r="D48" s="3" t="s">
        <v>1712</v>
      </c>
      <c r="E48" s="143" t="str">
        <f>VLOOKUP(B48,'Element wise-detail Summary'!$A:$C,3,0)</f>
        <v>Zone-1</v>
      </c>
      <c r="F48" s="143" t="str">
        <f>VLOOKUP(B48,'AFC Data details'!$B:$B,1,0)</f>
        <v>AZ1-V26-T1C6-005</v>
      </c>
    </row>
    <row r="49" spans="1:6" x14ac:dyDescent="0.25">
      <c r="A49" s="148">
        <v>45957</v>
      </c>
      <c r="B49" s="3" t="s">
        <v>1290</v>
      </c>
      <c r="C49" s="3">
        <v>1</v>
      </c>
      <c r="D49" s="3" t="s">
        <v>1712</v>
      </c>
      <c r="E49" s="143" t="str">
        <f>VLOOKUP(B49,'Element wise-detail Summary'!$A:$C,3,0)</f>
        <v>Zone-1</v>
      </c>
      <c r="F49" s="143" t="str">
        <f>VLOOKUP(B49,'AFC Data details'!$B:$B,1,0)</f>
        <v>AZ1-V26-T1C6-006</v>
      </c>
    </row>
    <row r="50" spans="1:6" x14ac:dyDescent="0.25">
      <c r="A50" s="180"/>
      <c r="B50" s="3" t="s">
        <v>1229</v>
      </c>
      <c r="C50" s="3">
        <v>1</v>
      </c>
      <c r="D50" s="147"/>
      <c r="E50" s="143" t="str">
        <f>VLOOKUP(B50,'Element wise-detail Summary'!$A:$C,3,0)</f>
        <v>Zone-1</v>
      </c>
      <c r="F50" s="143" t="str">
        <f>VLOOKUP(B50,'AFC Data details'!$B:$B,1,0)</f>
        <v>AZ1-V34-T1C2-001</v>
      </c>
    </row>
    <row r="51" spans="1:6" x14ac:dyDescent="0.25">
      <c r="A51" s="180"/>
      <c r="B51" s="3" t="s">
        <v>1231</v>
      </c>
      <c r="C51" s="3">
        <v>1</v>
      </c>
      <c r="D51" s="147"/>
      <c r="E51" s="143" t="str">
        <f>VLOOKUP(B51,'Element wise-detail Summary'!$A:$C,3,0)</f>
        <v>Zone-1</v>
      </c>
      <c r="F51" s="143" t="str">
        <f>VLOOKUP(B51,'AFC Data details'!$B:$B,1,0)</f>
        <v>AZ1-V25-T2C1-001</v>
      </c>
    </row>
    <row r="52" spans="1:6" x14ac:dyDescent="0.25">
      <c r="A52" s="180"/>
      <c r="B52" s="3" t="s">
        <v>1239</v>
      </c>
      <c r="C52" s="3">
        <v>1</v>
      </c>
      <c r="D52" s="147"/>
      <c r="E52" s="143" t="str">
        <f>VLOOKUP(B52,'Element wise-detail Summary'!$A:$C,3,0)</f>
        <v>Zone-1</v>
      </c>
      <c r="F52" s="143" t="str">
        <f>VLOOKUP(B52,'AFC Data details'!$B:$B,1,0)</f>
        <v>AZ1-V21-T1C1-001</v>
      </c>
    </row>
    <row r="53" spans="1:6" x14ac:dyDescent="0.25">
      <c r="A53" s="180"/>
      <c r="B53" s="3" t="s">
        <v>1241</v>
      </c>
      <c r="C53" s="3">
        <v>1</v>
      </c>
      <c r="D53" s="147"/>
      <c r="E53" s="143" t="str">
        <f>VLOOKUP(B53,'Element wise-detail Summary'!$A:$C,3,0)</f>
        <v>Zone-1</v>
      </c>
      <c r="F53" s="143" t="str">
        <f>VLOOKUP(B53,'AFC Data details'!$B:$B,1,0)</f>
        <v>AZ1-V21-T2C1-001</v>
      </c>
    </row>
    <row r="54" spans="1:6" x14ac:dyDescent="0.25">
      <c r="A54" s="180"/>
      <c r="B54" s="3" t="s">
        <v>1257</v>
      </c>
      <c r="C54" s="3">
        <v>1</v>
      </c>
      <c r="D54" s="147"/>
      <c r="E54" s="143" t="str">
        <f>VLOOKUP(B54,'Element wise-detail Summary'!$A:$C,3,0)</f>
        <v>Zone-1</v>
      </c>
      <c r="F54" s="143" t="str">
        <f>VLOOKUP(B54,'AFC Data details'!$B:$B,1,0)</f>
        <v>AZ1-V22-T1C6-006</v>
      </c>
    </row>
    <row r="55" spans="1:6" x14ac:dyDescent="0.25">
      <c r="A55" s="180"/>
      <c r="B55" s="3" t="s">
        <v>1260</v>
      </c>
      <c r="C55" s="3">
        <v>1</v>
      </c>
      <c r="D55" s="147"/>
      <c r="E55" s="143" t="str">
        <f>VLOOKUP(B55,'Element wise-detail Summary'!$A:$C,3,0)</f>
        <v>Zone-1</v>
      </c>
      <c r="F55" s="143" t="str">
        <f>VLOOKUP(B55,'AFC Data details'!$B:$B,1,0)</f>
        <v>AZ1-V22-T3C4-002</v>
      </c>
    </row>
    <row r="56" spans="1:6" x14ac:dyDescent="0.25">
      <c r="A56" s="180"/>
      <c r="B56" s="3" t="s">
        <v>1264</v>
      </c>
      <c r="C56" s="3">
        <v>1</v>
      </c>
      <c r="D56" s="147"/>
      <c r="E56" s="143" t="str">
        <f>VLOOKUP(B56,'Element wise-detail Summary'!$A:$C,3,0)</f>
        <v>Zone-1</v>
      </c>
      <c r="F56" s="143" t="str">
        <f>VLOOKUP(B56,'AFC Data details'!$B:$B,1,0)</f>
        <v>AZ1-V23-T2C1-001</v>
      </c>
    </row>
    <row r="57" spans="1:6" x14ac:dyDescent="0.25">
      <c r="A57" s="180"/>
      <c r="B57" s="3" t="s">
        <v>1265</v>
      </c>
      <c r="C57" s="3">
        <v>1</v>
      </c>
      <c r="D57" s="147"/>
      <c r="E57" s="143" t="str">
        <f>VLOOKUP(B57,'Element wise-detail Summary'!$A:$C,3,0)</f>
        <v>Zone-1</v>
      </c>
      <c r="F57" s="143" t="str">
        <f>VLOOKUP(B57,'AFC Data details'!$B:$B,1,0)</f>
        <v>AZ1-V27-T2C1-001</v>
      </c>
    </row>
    <row r="58" spans="1:6" x14ac:dyDescent="0.25">
      <c r="A58" s="180"/>
      <c r="B58" s="3" t="s">
        <v>1266</v>
      </c>
      <c r="C58" s="3">
        <v>1</v>
      </c>
      <c r="D58" s="147"/>
      <c r="E58" s="143" t="str">
        <f>VLOOKUP(B58,'Element wise-detail Summary'!$A:$C,3,0)</f>
        <v>Zone-1</v>
      </c>
      <c r="F58" s="143" t="str">
        <f>VLOOKUP(B58,'AFC Data details'!$B:$B,1,0)</f>
        <v>AZ1-V33-T2C1-001</v>
      </c>
    </row>
    <row r="59" spans="1:6" x14ac:dyDescent="0.25">
      <c r="A59" s="180"/>
      <c r="B59" s="3" t="s">
        <v>1272</v>
      </c>
      <c r="C59" s="3">
        <v>1</v>
      </c>
      <c r="D59" s="147"/>
      <c r="E59" s="143" t="str">
        <f>VLOOKUP(B59,'Element wise-detail Summary'!$A:$C,3,0)</f>
        <v>Zone-1</v>
      </c>
      <c r="F59" s="143" t="str">
        <f>VLOOKUP(B59,'AFC Data details'!$B:$B,1,0)</f>
        <v>AZ1-V24-T1C6-005</v>
      </c>
    </row>
    <row r="60" spans="1:6" x14ac:dyDescent="0.25">
      <c r="A60" s="180"/>
      <c r="B60" s="3" t="s">
        <v>1276</v>
      </c>
      <c r="C60" s="3">
        <v>1</v>
      </c>
      <c r="D60" s="147"/>
      <c r="E60" s="143" t="str">
        <f>VLOOKUP(B60,'Element wise-detail Summary'!$A:$C,3,0)</f>
        <v>Zone-1</v>
      </c>
      <c r="F60" s="143" t="str">
        <f>VLOOKUP(B60,'AFC Data details'!$B:$B,1,0)</f>
        <v>AZ1-V24-T1C6-006</v>
      </c>
    </row>
    <row r="61" spans="1:6" x14ac:dyDescent="0.25">
      <c r="A61" s="180"/>
      <c r="B61" s="3" t="s">
        <v>1277</v>
      </c>
      <c r="C61" s="3">
        <v>1</v>
      </c>
      <c r="D61" s="147"/>
      <c r="E61" s="143" t="str">
        <f>VLOOKUP(B61,'Element wise-detail Summary'!$A:$C,3,0)</f>
        <v>Zone-1</v>
      </c>
      <c r="F61" s="143" t="str">
        <f>VLOOKUP(B61,'AFC Data details'!$B:$B,1,0)</f>
        <v>AZ1-V26-T3C4-001</v>
      </c>
    </row>
    <row r="62" spans="1:6" x14ac:dyDescent="0.25">
      <c r="A62" s="180"/>
      <c r="B62" s="3" t="s">
        <v>1278</v>
      </c>
      <c r="C62" s="3">
        <v>1</v>
      </c>
      <c r="D62" s="147"/>
      <c r="E62" s="143" t="str">
        <f>VLOOKUP(B62,'Element wise-detail Summary'!$A:$C,3,0)</f>
        <v>Zone-1</v>
      </c>
      <c r="F62" s="143" t="str">
        <f>VLOOKUP(B62,'AFC Data details'!$B:$B,1,0)</f>
        <v>AZ1-V24-T3C4-001</v>
      </c>
    </row>
    <row r="63" spans="1:6" x14ac:dyDescent="0.25">
      <c r="A63" s="180"/>
      <c r="B63" s="3" t="s">
        <v>1280</v>
      </c>
      <c r="C63" s="3">
        <v>1</v>
      </c>
      <c r="D63" s="147"/>
      <c r="E63" s="143" t="str">
        <f>VLOOKUP(B63,'Element wise-detail Summary'!$A:$C,3,0)</f>
        <v>Zone-1</v>
      </c>
      <c r="F63" s="143" t="str">
        <f>VLOOKUP(B63,'AFC Data details'!$B:$B,1,0)</f>
        <v>AZ1-V26-T3C4-002</v>
      </c>
    </row>
    <row r="64" spans="1:6" x14ac:dyDescent="0.25">
      <c r="A64" s="180"/>
      <c r="B64" s="3" t="s">
        <v>1281</v>
      </c>
      <c r="C64" s="3">
        <v>1</v>
      </c>
      <c r="D64" s="147"/>
      <c r="E64" s="143" t="str">
        <f>VLOOKUP(B64,'Element wise-detail Summary'!$A:$C,3,0)</f>
        <v>Zone-1</v>
      </c>
      <c r="F64" s="143" t="str">
        <f>VLOOKUP(B64,'AFC Data details'!$B:$B,1,0)</f>
        <v>AZ1-V25-T1C1-001</v>
      </c>
    </row>
    <row r="65" spans="1:6" x14ac:dyDescent="0.25">
      <c r="A65" s="180"/>
      <c r="B65" s="3" t="s">
        <v>1287</v>
      </c>
      <c r="C65" s="3">
        <v>1</v>
      </c>
      <c r="D65" s="147"/>
      <c r="E65" s="143" t="str">
        <f>VLOOKUP(B65,'Element wise-detail Summary'!$A:$C,3,0)</f>
        <v>Zone-1</v>
      </c>
      <c r="F65" s="143" t="str">
        <f>VLOOKUP(B65,'AFC Data details'!$B:$B,1,0)</f>
        <v>AZ1-V27-T1C6-005</v>
      </c>
    </row>
    <row r="66" spans="1:6" x14ac:dyDescent="0.25">
      <c r="A66" s="180"/>
      <c r="B66" s="3" t="s">
        <v>1291</v>
      </c>
      <c r="C66" s="3">
        <v>1</v>
      </c>
      <c r="D66" s="147"/>
      <c r="E66" s="143" t="str">
        <f>VLOOKUP(B66,'Element wise-detail Summary'!$A:$C,3,0)</f>
        <v>Zone-1</v>
      </c>
      <c r="F66" s="143" t="str">
        <f>VLOOKUP(B66,'AFC Data details'!$B:$B,1,0)</f>
        <v>AZ1-V27-T1C2-001</v>
      </c>
    </row>
    <row r="67" spans="1:6" x14ac:dyDescent="0.25">
      <c r="A67" s="180"/>
      <c r="B67" s="3" t="s">
        <v>1199</v>
      </c>
      <c r="C67" s="3">
        <v>1</v>
      </c>
      <c r="D67" s="147"/>
      <c r="E67" s="143" t="str">
        <f>VLOOKUP(B67,'Element wise-detail Summary'!$A:$C,3,0)</f>
        <v>Zone-1</v>
      </c>
      <c r="F67" s="143" t="str">
        <f>VLOOKUP(B67,'AFC Data details'!$B:$B,1,0)</f>
        <v>AZ1-V27-T1C6-006</v>
      </c>
    </row>
    <row r="68" spans="1:6" x14ac:dyDescent="0.25">
      <c r="A68" s="180"/>
      <c r="B68" s="3" t="s">
        <v>1292</v>
      </c>
      <c r="C68" s="3">
        <v>1</v>
      </c>
      <c r="D68" s="147"/>
      <c r="E68" s="143" t="str">
        <f>VLOOKUP(B68,'Element wise-detail Summary'!$A:$C,3,0)</f>
        <v>Zone-1</v>
      </c>
      <c r="F68" s="143" t="str">
        <f>VLOOKUP(B68,'AFC Data details'!$B:$B,1,0)</f>
        <v>AZ1-V27-T3C5-001</v>
      </c>
    </row>
    <row r="69" spans="1:6" x14ac:dyDescent="0.25">
      <c r="A69" s="180"/>
      <c r="B69" s="3" t="s">
        <v>1293</v>
      </c>
      <c r="C69" s="3">
        <v>1</v>
      </c>
      <c r="D69" s="147"/>
      <c r="E69" s="143" t="str">
        <f>VLOOKUP(B69,'Element wise-detail Summary'!$A:$C,3,0)</f>
        <v>Zone-1</v>
      </c>
      <c r="F69" s="143" t="str">
        <f>VLOOKUP(B69,'AFC Data details'!$B:$B,1,0)</f>
        <v>AZ1-V27-T3C5-002</v>
      </c>
    </row>
    <row r="70" spans="1:6" x14ac:dyDescent="0.25">
      <c r="A70" s="180"/>
      <c r="B70" s="3" t="s">
        <v>1299</v>
      </c>
      <c r="C70" s="3">
        <v>1</v>
      </c>
      <c r="D70" s="147"/>
      <c r="E70" s="143" t="str">
        <f>VLOOKUP(B70,'Element wise-detail Summary'!$A:$C,3,0)</f>
        <v>Zone-1</v>
      </c>
      <c r="F70" s="143" t="str">
        <f>VLOOKUP(B70,'AFC Data details'!$B:$B,1,0)</f>
        <v>AZ1-V28-T3C5-001</v>
      </c>
    </row>
    <row r="71" spans="1:6" x14ac:dyDescent="0.25">
      <c r="A71" s="180"/>
      <c r="B71" s="3" t="s">
        <v>1300</v>
      </c>
      <c r="C71" s="3">
        <v>1</v>
      </c>
      <c r="D71" s="147"/>
      <c r="E71" s="143" t="str">
        <f>VLOOKUP(B71,'Element wise-detail Summary'!$A:$C,3,0)</f>
        <v>Zone-1</v>
      </c>
      <c r="F71" s="143" t="str">
        <f>VLOOKUP(B71,'AFC Data details'!$B:$B,1,0)</f>
        <v>AZ1-V28-T3C5-002</v>
      </c>
    </row>
    <row r="72" spans="1:6" x14ac:dyDescent="0.25">
      <c r="A72" s="180"/>
      <c r="B72" s="3" t="s">
        <v>1301</v>
      </c>
      <c r="C72" s="3">
        <v>1</v>
      </c>
      <c r="D72" s="147"/>
      <c r="E72" s="143" t="str">
        <f>VLOOKUP(B72,'Element wise-detail Summary'!$A:$C,3,0)</f>
        <v>Zone-1</v>
      </c>
      <c r="F72" s="143" t="str">
        <f>VLOOKUP(B72,'AFC Data details'!$B:$B,1,0)</f>
        <v>AZ1-V29-T1C2-001</v>
      </c>
    </row>
    <row r="73" spans="1:6" x14ac:dyDescent="0.25">
      <c r="A73" s="180"/>
      <c r="B73" s="3" t="s">
        <v>1303</v>
      </c>
      <c r="C73" s="3">
        <v>1</v>
      </c>
      <c r="D73" s="147"/>
      <c r="E73" s="143" t="str">
        <f>VLOOKUP(B73,'Element wise-detail Summary'!$A:$C,3,0)</f>
        <v>Zone-1</v>
      </c>
      <c r="F73" s="143" t="str">
        <f>VLOOKUP(B73,'AFC Data details'!$B:$B,1,0)</f>
        <v>AZ1-V29-T2C1-001</v>
      </c>
    </row>
    <row r="74" spans="1:6" x14ac:dyDescent="0.25">
      <c r="A74" s="180"/>
      <c r="B74" s="3" t="s">
        <v>1304</v>
      </c>
      <c r="C74" s="3">
        <v>1</v>
      </c>
      <c r="D74" s="147"/>
      <c r="E74" s="143" t="str">
        <f>VLOOKUP(B74,'Element wise-detail Summary'!$A:$C,3,0)</f>
        <v>Zone-1</v>
      </c>
      <c r="F74" s="143" t="str">
        <f>VLOOKUP(B74,'AFC Data details'!$B:$B,1,0)</f>
        <v>AZ1-V29-T3C5-001</v>
      </c>
    </row>
    <row r="75" spans="1:6" x14ac:dyDescent="0.25">
      <c r="A75" s="180"/>
      <c r="B75" s="3" t="s">
        <v>1305</v>
      </c>
      <c r="C75" s="3">
        <v>1</v>
      </c>
      <c r="D75" s="147"/>
      <c r="E75" s="143" t="str">
        <f>VLOOKUP(B75,'Element wise-detail Summary'!$A:$C,3,0)</f>
        <v>Zone-1</v>
      </c>
      <c r="F75" s="143" t="str">
        <f>VLOOKUP(B75,'AFC Data details'!$B:$B,1,0)</f>
        <v>AZ1-V29-T3C5-002</v>
      </c>
    </row>
    <row r="76" spans="1:6" x14ac:dyDescent="0.25">
      <c r="A76" s="180"/>
      <c r="B76" s="3" t="s">
        <v>1316</v>
      </c>
      <c r="C76" s="3">
        <v>1</v>
      </c>
      <c r="D76" s="147"/>
      <c r="E76" s="143" t="str">
        <f>VLOOKUP(B76,'Element wise-detail Summary'!$A:$C,3,0)</f>
        <v>Zone-1</v>
      </c>
      <c r="F76" s="143" t="str">
        <f>VLOOKUP(B76,'AFC Data details'!$B:$B,1,0)</f>
        <v>AZ1-V30-T1C6-005</v>
      </c>
    </row>
    <row r="77" spans="1:6" x14ac:dyDescent="0.25">
      <c r="A77" s="180"/>
      <c r="B77" s="3" t="s">
        <v>1317</v>
      </c>
      <c r="C77" s="3">
        <v>1</v>
      </c>
      <c r="D77" s="147"/>
      <c r="E77" s="143" t="str">
        <f>VLOOKUP(B77,'Element wise-detail Summary'!$A:$C,3,0)</f>
        <v>Zone-1</v>
      </c>
      <c r="F77" s="143" t="str">
        <f>VLOOKUP(B77,'AFC Data details'!$B:$B,1,0)</f>
        <v>AZ1-V31-T1C6-005</v>
      </c>
    </row>
    <row r="78" spans="1:6" x14ac:dyDescent="0.25">
      <c r="A78" s="180"/>
      <c r="B78" s="3" t="s">
        <v>1320</v>
      </c>
      <c r="C78" s="3">
        <v>1</v>
      </c>
      <c r="D78" s="147"/>
      <c r="E78" s="143" t="str">
        <f>VLOOKUP(B78,'Element wise-detail Summary'!$A:$C,3,0)</f>
        <v>Zone-1</v>
      </c>
      <c r="F78" s="143" t="str">
        <f>VLOOKUP(B78,'AFC Data details'!$B:$B,1,0)</f>
        <v>AZ1-V28-T1C6-005</v>
      </c>
    </row>
    <row r="79" spans="1:6" x14ac:dyDescent="0.25">
      <c r="A79" s="180"/>
      <c r="B79" s="3" t="s">
        <v>1321</v>
      </c>
      <c r="C79" s="3">
        <v>1</v>
      </c>
      <c r="D79" s="147"/>
      <c r="E79" s="143" t="str">
        <f>VLOOKUP(B79,'Element wise-detail Summary'!$A:$C,3,0)</f>
        <v>Zone-1</v>
      </c>
      <c r="F79" s="143" t="str">
        <f>VLOOKUP(B79,'AFC Data details'!$B:$B,1,0)</f>
        <v>AZ1-V29-T1C6-005</v>
      </c>
    </row>
    <row r="80" spans="1:6" x14ac:dyDescent="0.25">
      <c r="A80" s="180"/>
      <c r="B80" s="3" t="s">
        <v>1324</v>
      </c>
      <c r="C80" s="3">
        <v>1</v>
      </c>
      <c r="D80" s="147"/>
      <c r="E80" s="143" t="str">
        <f>VLOOKUP(B80,'Element wise-detail Summary'!$A:$C,3,0)</f>
        <v>Zone-1</v>
      </c>
      <c r="F80" s="143" t="str">
        <f>VLOOKUP(B80,'AFC Data details'!$B:$B,1,0)</f>
        <v>AZ1-V30-T1C6-006</v>
      </c>
    </row>
    <row r="81" spans="1:6" x14ac:dyDescent="0.25">
      <c r="A81" s="180"/>
      <c r="B81" s="3" t="s">
        <v>1325</v>
      </c>
      <c r="C81" s="3">
        <v>1</v>
      </c>
      <c r="D81" s="147"/>
      <c r="E81" s="143" t="str">
        <f>VLOOKUP(B81,'Element wise-detail Summary'!$A:$C,3,0)</f>
        <v>Zone-1</v>
      </c>
      <c r="F81" s="143" t="str">
        <f>VLOOKUP(B81,'AFC Data details'!$B:$B,1,0)</f>
        <v>AZ1-V28-T1C6-006</v>
      </c>
    </row>
    <row r="82" spans="1:6" x14ac:dyDescent="0.25">
      <c r="A82" s="180"/>
      <c r="B82" s="3" t="s">
        <v>1326</v>
      </c>
      <c r="C82" s="3">
        <v>1</v>
      </c>
      <c r="D82" s="147"/>
      <c r="E82" s="143" t="str">
        <f>VLOOKUP(B82,'Element wise-detail Summary'!$A:$C,3,0)</f>
        <v>Zone-1</v>
      </c>
      <c r="F82" s="143" t="str">
        <f>VLOOKUP(B82,'AFC Data details'!$B:$B,1,0)</f>
        <v>AZ1-V30-T3C5-001</v>
      </c>
    </row>
    <row r="83" spans="1:6" x14ac:dyDescent="0.25">
      <c r="A83" s="180"/>
      <c r="B83" s="3" t="s">
        <v>1327</v>
      </c>
      <c r="C83" s="3">
        <v>1</v>
      </c>
      <c r="D83" s="147"/>
      <c r="E83" s="143" t="str">
        <f>VLOOKUP(B83,'Element wise-detail Summary'!$A:$C,3,0)</f>
        <v>Zone-1</v>
      </c>
      <c r="F83" s="143" t="str">
        <f>VLOOKUP(B83,'AFC Data details'!$B:$B,1,0)</f>
        <v>AZ1-V30-T3C5-002</v>
      </c>
    </row>
    <row r="84" spans="1:6" x14ac:dyDescent="0.25">
      <c r="A84" s="180"/>
      <c r="B84" s="3" t="s">
        <v>1330</v>
      </c>
      <c r="C84" s="3">
        <v>1</v>
      </c>
      <c r="D84" s="147"/>
      <c r="E84" s="143" t="str">
        <f>VLOOKUP(B84,'Element wise-detail Summary'!$A:$C,3,0)</f>
        <v>Zone-1</v>
      </c>
      <c r="F84" s="143" t="str">
        <f>VLOOKUP(B84,'AFC Data details'!$B:$B,1,0)</f>
        <v>AZ1-V31-T1C6-006</v>
      </c>
    </row>
    <row r="85" spans="1:6" x14ac:dyDescent="0.25">
      <c r="A85" s="180"/>
      <c r="B85" s="3" t="s">
        <v>1331</v>
      </c>
      <c r="C85" s="3">
        <v>1</v>
      </c>
      <c r="D85" s="147"/>
      <c r="E85" s="143" t="str">
        <f>VLOOKUP(B85,'Element wise-detail Summary'!$A:$C,3,0)</f>
        <v>Zone-1</v>
      </c>
      <c r="F85" s="143" t="str">
        <f>VLOOKUP(B85,'AFC Data details'!$B:$B,1,0)</f>
        <v>AZ1-V29-T1C6-006</v>
      </c>
    </row>
    <row r="86" spans="1:6" x14ac:dyDescent="0.25">
      <c r="A86" s="180"/>
      <c r="B86" s="3" t="s">
        <v>1332</v>
      </c>
      <c r="C86" s="3">
        <v>1</v>
      </c>
      <c r="D86" s="147"/>
      <c r="E86" s="143" t="str">
        <f>VLOOKUP(B86,'Element wise-detail Summary'!$A:$C,3,0)</f>
        <v>Zone-1</v>
      </c>
      <c r="F86" s="143" t="str">
        <f>VLOOKUP(B86,'AFC Data details'!$B:$B,1,0)</f>
        <v>AZ1-V31-T3C5-001</v>
      </c>
    </row>
    <row r="87" spans="1:6" x14ac:dyDescent="0.25">
      <c r="A87" s="180"/>
      <c r="B87" s="3" t="s">
        <v>1333</v>
      </c>
      <c r="C87" s="3">
        <v>1</v>
      </c>
      <c r="D87" s="147"/>
      <c r="E87" s="143" t="str">
        <f>VLOOKUP(B87,'Element wise-detail Summary'!$A:$C,3,0)</f>
        <v>Zone-1</v>
      </c>
      <c r="F87" s="143" t="str">
        <f>VLOOKUP(B87,'AFC Data details'!$B:$B,1,0)</f>
        <v>AZ1-V31-T3C5-002</v>
      </c>
    </row>
    <row r="88" spans="1:6" x14ac:dyDescent="0.25">
      <c r="A88" s="180"/>
      <c r="B88" s="3" t="s">
        <v>1335</v>
      </c>
      <c r="C88" s="3">
        <v>1</v>
      </c>
      <c r="D88" s="147"/>
      <c r="E88" s="143" t="str">
        <f>VLOOKUP(B88,'Element wise-detail Summary'!$A:$C,3,0)</f>
        <v>Zone-1</v>
      </c>
      <c r="F88" s="143" t="str">
        <f>VLOOKUP(B88,'AFC Data details'!$B:$B,1,0)</f>
        <v>AZ1-V32-T1C6-005</v>
      </c>
    </row>
    <row r="89" spans="1:6" x14ac:dyDescent="0.25">
      <c r="A89" s="180"/>
      <c r="B89" s="3" t="s">
        <v>1336</v>
      </c>
      <c r="C89" s="3">
        <v>1</v>
      </c>
      <c r="D89" s="147"/>
      <c r="E89" s="143" t="str">
        <f>VLOOKUP(B89,'Element wise-detail Summary'!$A:$C,3,0)</f>
        <v>Zone-1</v>
      </c>
      <c r="F89" s="143" t="str">
        <f>VLOOKUP(B89,'AFC Data details'!$B:$B,1,0)</f>
        <v>AZ1-V33-T1C6-005</v>
      </c>
    </row>
    <row r="90" spans="1:6" x14ac:dyDescent="0.25">
      <c r="A90" s="180"/>
      <c r="B90" s="3" t="s">
        <v>1343</v>
      </c>
      <c r="C90" s="3">
        <v>1</v>
      </c>
      <c r="D90" s="147"/>
      <c r="E90" s="143" t="str">
        <f>VLOOKUP(B90,'Element wise-detail Summary'!$A:$C,3,0)</f>
        <v>Zone-1</v>
      </c>
      <c r="F90" s="143" t="str">
        <f>VLOOKUP(B90,'AFC Data details'!$B:$B,1,0)</f>
        <v>AZ1-V32-T1C6-006</v>
      </c>
    </row>
    <row r="91" spans="1:6" x14ac:dyDescent="0.25">
      <c r="A91" s="180"/>
      <c r="B91" s="3" t="s">
        <v>1345</v>
      </c>
      <c r="C91" s="3">
        <v>1</v>
      </c>
      <c r="D91" s="147"/>
      <c r="E91" s="143" t="str">
        <f>VLOOKUP(B91,'Element wise-detail Summary'!$A:$C,3,0)</f>
        <v>Zone-1</v>
      </c>
      <c r="F91" s="143" t="str">
        <f>VLOOKUP(B91,'AFC Data details'!$B:$B,1,0)</f>
        <v>AZ1-V32-T3C5-001</v>
      </c>
    </row>
    <row r="92" spans="1:6" x14ac:dyDescent="0.25">
      <c r="A92" s="180"/>
      <c r="B92" s="3" t="s">
        <v>1346</v>
      </c>
      <c r="C92" s="3">
        <v>1</v>
      </c>
      <c r="D92" s="147"/>
      <c r="E92" s="143" t="str">
        <f>VLOOKUP(B92,'Element wise-detail Summary'!$A:$C,3,0)</f>
        <v>Zone-1</v>
      </c>
      <c r="F92" s="143" t="str">
        <f>VLOOKUP(B92,'AFC Data details'!$B:$B,1,0)</f>
        <v>AZ1-V32-T3C5-002</v>
      </c>
    </row>
    <row r="93" spans="1:6" x14ac:dyDescent="0.25">
      <c r="A93" s="180"/>
      <c r="B93" s="3" t="s">
        <v>1347</v>
      </c>
      <c r="C93" s="3">
        <v>1</v>
      </c>
      <c r="D93" s="147"/>
      <c r="E93" s="143" t="str">
        <f>VLOOKUP(B93,'Element wise-detail Summary'!$A:$C,3,0)</f>
        <v>Zone-1</v>
      </c>
      <c r="F93" s="143" t="str">
        <f>VLOOKUP(B93,'AFC Data details'!$B:$B,1,0)</f>
        <v>AZ1-V33-T1C6-006</v>
      </c>
    </row>
    <row r="94" spans="1:6" x14ac:dyDescent="0.25">
      <c r="A94" s="180"/>
      <c r="B94" s="3" t="s">
        <v>1349</v>
      </c>
      <c r="C94" s="3">
        <v>1</v>
      </c>
      <c r="D94" s="147"/>
      <c r="E94" s="143" t="str">
        <f>VLOOKUP(B94,'Element wise-detail Summary'!$A:$C,3,0)</f>
        <v>Zone-1</v>
      </c>
      <c r="F94" s="143" t="str">
        <f>VLOOKUP(B94,'AFC Data details'!$B:$B,1,0)</f>
        <v>AZ1-V33-T3C5-001</v>
      </c>
    </row>
    <row r="95" spans="1:6" x14ac:dyDescent="0.25">
      <c r="A95" s="180"/>
      <c r="B95" s="3" t="s">
        <v>1350</v>
      </c>
      <c r="C95" s="3">
        <v>1</v>
      </c>
      <c r="D95" s="147"/>
      <c r="E95" s="143" t="str">
        <f>VLOOKUP(B95,'Element wise-detail Summary'!$A:$C,3,0)</f>
        <v>Zone-1</v>
      </c>
      <c r="F95" s="143" t="str">
        <f>VLOOKUP(B95,'AFC Data details'!$B:$B,1,0)</f>
        <v>AZ1-V33-T3C5-002</v>
      </c>
    </row>
    <row r="96" spans="1:6" x14ac:dyDescent="0.25">
      <c r="A96" s="180"/>
      <c r="B96" s="3" t="s">
        <v>1354</v>
      </c>
      <c r="C96" s="3">
        <v>0</v>
      </c>
      <c r="D96" s="147"/>
      <c r="E96" s="143" t="str">
        <f>VLOOKUP(B96,'Element wise-detail Summary'!$A:$C,3,0)</f>
        <v>Zone-1</v>
      </c>
      <c r="F96" s="143" t="str">
        <f>VLOOKUP(B96,'AFC Data details'!$B:$B,1,0)</f>
        <v>AZ1-V34-T1C13-004</v>
      </c>
    </row>
    <row r="97" spans="1:6" x14ac:dyDescent="0.25">
      <c r="A97" s="180"/>
      <c r="B97" s="3" t="s">
        <v>1357</v>
      </c>
      <c r="C97" s="3">
        <v>1</v>
      </c>
      <c r="D97" s="147"/>
      <c r="E97" s="143" t="str">
        <f>VLOOKUP(B97,'Element wise-detail Summary'!$A:$C,3,0)</f>
        <v>Zone-1</v>
      </c>
      <c r="F97" s="143" t="str">
        <f>VLOOKUP(B97,'AFC Data details'!$B:$B,1,0)</f>
        <v>AZ1-V34-T3C5-001</v>
      </c>
    </row>
    <row r="98" spans="1:6" x14ac:dyDescent="0.25">
      <c r="A98" s="180"/>
      <c r="B98" s="3" t="s">
        <v>1358</v>
      </c>
      <c r="C98" s="3">
        <v>1</v>
      </c>
      <c r="D98" s="147"/>
      <c r="E98" s="143" t="str">
        <f>VLOOKUP(B98,'Element wise-detail Summary'!$A:$C,3,0)</f>
        <v>Zone-1</v>
      </c>
      <c r="F98" s="143" t="str">
        <f>VLOOKUP(B98,'AFC Data details'!$B:$B,1,0)</f>
        <v>AZ1-V34-T3C5-002</v>
      </c>
    </row>
    <row r="99" spans="1:6" x14ac:dyDescent="0.25">
      <c r="B99" s="3" t="s">
        <v>1364</v>
      </c>
      <c r="C99" s="3">
        <v>1</v>
      </c>
      <c r="D99" s="147"/>
      <c r="E99" s="143" t="str">
        <f>VLOOKUP(B99,'Element wise-detail Summary'!$A:$C,3,0)</f>
        <v>Zone-2</v>
      </c>
      <c r="F99" s="143" t="str">
        <f>VLOOKUP(B99,'AFC Data details'!$B:$B,1,0)</f>
        <v>AZ2-V35-T1C14-003</v>
      </c>
    </row>
    <row r="100" spans="1:6" x14ac:dyDescent="0.25">
      <c r="A100" s="148">
        <v>45971</v>
      </c>
      <c r="B100" s="3" t="s">
        <v>1352</v>
      </c>
      <c r="C100" s="3">
        <v>1</v>
      </c>
      <c r="D100" s="147"/>
      <c r="E100" s="143" t="str">
        <f>VLOOKUP(B100,'Element wise-detail Summary'!$A:$C,3,0)</f>
        <v>Zone-1</v>
      </c>
      <c r="F100" s="143" t="str">
        <f>VLOOKUP(B100,'AFC Data details'!$B:$B,1,0)</f>
        <v>AZ1-V34-T1C13-002</v>
      </c>
    </row>
    <row r="101" spans="1:6" x14ac:dyDescent="0.25">
      <c r="A101" s="148">
        <v>45982</v>
      </c>
      <c r="B101" s="159" t="s">
        <v>1351</v>
      </c>
      <c r="C101" s="3">
        <v>1</v>
      </c>
      <c r="D101" s="147"/>
      <c r="E101" s="143" t="str">
        <f>VLOOKUP(B101,'Element wise-detail Summary'!$A:$C,3,0)</f>
        <v>Zone-1</v>
      </c>
      <c r="F101" s="143" t="str">
        <f>VLOOKUP(B101,'AFC Data details'!$B:$B,1,0)</f>
        <v>AZ1-V34-T1C13-001</v>
      </c>
    </row>
    <row r="102" spans="1:6" x14ac:dyDescent="0.25">
      <c r="A102" s="148">
        <v>45982</v>
      </c>
      <c r="B102" s="159" t="s">
        <v>1363</v>
      </c>
      <c r="C102" s="3">
        <v>1</v>
      </c>
      <c r="D102" s="147"/>
      <c r="E102" s="143" t="str">
        <f>VLOOKUP(B102,'Element wise-detail Summary'!$A:$C,3,0)</f>
        <v>Zone-2</v>
      </c>
      <c r="F102" s="143" t="str">
        <f>VLOOKUP(B102,'AFC Data details'!$B:$B,1,0)</f>
        <v>AZ2-V35-T1C14-002</v>
      </c>
    </row>
    <row r="103" spans="1:6" x14ac:dyDescent="0.25">
      <c r="A103" s="148">
        <v>45982</v>
      </c>
      <c r="B103" s="160" t="s">
        <v>1383</v>
      </c>
      <c r="C103" s="3">
        <v>1</v>
      </c>
      <c r="D103" s="147"/>
      <c r="E103" s="143" t="str">
        <f>VLOOKUP(B103,'Element wise-detail Summary'!$A:$C,3,0)</f>
        <v>Zone-2</v>
      </c>
      <c r="F103" s="143" t="str">
        <f>VLOOKUP(B103,'AFC Data details'!$B:$B,1,0)</f>
        <v>AZ2-V36-T3C5-002</v>
      </c>
    </row>
    <row r="104" spans="1:6" x14ac:dyDescent="0.25">
      <c r="A104" s="148">
        <v>45982</v>
      </c>
      <c r="B104" s="160" t="s">
        <v>1380</v>
      </c>
      <c r="C104" s="3">
        <v>1</v>
      </c>
      <c r="D104" s="147"/>
      <c r="E104" s="143" t="str">
        <f>VLOOKUP(B104,'Element wise-detail Summary'!$A:$C,3,0)</f>
        <v>Zone-2</v>
      </c>
      <c r="F104" s="143" t="str">
        <f>VLOOKUP(B104,'AFC Data details'!$B:$B,1,0)</f>
        <v>AZ2-V36-T1C6-006</v>
      </c>
    </row>
    <row r="105" spans="1:6" x14ac:dyDescent="0.25">
      <c r="A105" s="148">
        <v>45991</v>
      </c>
      <c r="B105" s="3" t="s">
        <v>1432</v>
      </c>
      <c r="C105" s="3">
        <v>1</v>
      </c>
      <c r="D105" s="147"/>
      <c r="E105" s="143" t="str">
        <f>VLOOKUP(B105,'Element wise-detail Summary'!$A:$C,3,0)</f>
        <v>Zone-2</v>
      </c>
      <c r="F105" s="143" t="str">
        <f>VLOOKUP(B105,'AFC Data details'!$B:$B,1,0)</f>
        <v>AZ2-V42-T3C1-003</v>
      </c>
    </row>
    <row r="106" spans="1:6" x14ac:dyDescent="0.25">
      <c r="A106" s="148">
        <v>45991</v>
      </c>
      <c r="B106" s="3" t="s">
        <v>1431</v>
      </c>
      <c r="C106" s="3">
        <v>1</v>
      </c>
      <c r="D106" s="147"/>
      <c r="E106" s="143" t="str">
        <f>VLOOKUP(B106,'Element wise-detail Summary'!$A:$C,3,0)</f>
        <v>Zone-2</v>
      </c>
      <c r="F106" s="143" t="str">
        <f>VLOOKUP(B106,'AFC Data details'!$B:$B,1,0)</f>
        <v>AZ2-V42-T3C1-002</v>
      </c>
    </row>
    <row r="107" spans="1:6" x14ac:dyDescent="0.25">
      <c r="A107" s="148">
        <v>45991</v>
      </c>
      <c r="B107" s="3" t="s">
        <v>1423</v>
      </c>
      <c r="C107" s="3">
        <v>1</v>
      </c>
      <c r="D107" s="147"/>
      <c r="E107" s="143" t="str">
        <f>VLOOKUP(B107,'Element wise-detail Summary'!$A:$C,3,0)</f>
        <v>Zone-2</v>
      </c>
      <c r="F107" s="143" t="str">
        <f>VLOOKUP(B107,'AFC Data details'!$B:$B,1,0)</f>
        <v>AZ2-V42-T1C1-001</v>
      </c>
    </row>
    <row r="108" spans="1:6" ht="17.45" customHeight="1" x14ac:dyDescent="0.25">
      <c r="A108" s="148">
        <v>45991</v>
      </c>
      <c r="B108" s="3" t="s">
        <v>1420</v>
      </c>
      <c r="C108" s="3">
        <v>1</v>
      </c>
      <c r="D108" s="147"/>
      <c r="E108" s="143" t="str">
        <f>VLOOKUP(B108,'Element wise-detail Summary'!$A:$C,3,0)</f>
        <v>Zone-2</v>
      </c>
      <c r="F108" s="143" t="str">
        <f>VLOOKUP(B108,'AFC Data details'!$B:$B,1,0)</f>
        <v>AZ2-V41-T2C1-001</v>
      </c>
    </row>
    <row r="109" spans="1:6" x14ac:dyDescent="0.25">
      <c r="A109" s="148">
        <v>45995</v>
      </c>
      <c r="B109" s="3" t="s">
        <v>1236</v>
      </c>
      <c r="C109" s="3">
        <v>1</v>
      </c>
      <c r="D109" s="147"/>
      <c r="E109" s="143" t="str">
        <f>VLOOKUP(B109,'Element wise-detail Summary'!$A:$C,3,0)</f>
        <v>Zone-1</v>
      </c>
      <c r="F109" s="143" t="str">
        <f>VLOOKUP(B109,'AFC Data details'!$B:$B,1,0)</f>
        <v>AZ1-V21-T1C6-003</v>
      </c>
    </row>
    <row r="110" spans="1:6" x14ac:dyDescent="0.25">
      <c r="A110" s="148">
        <v>45995</v>
      </c>
      <c r="B110" s="3" t="s">
        <v>1238</v>
      </c>
      <c r="C110" s="3">
        <v>1</v>
      </c>
      <c r="D110" s="147"/>
      <c r="E110" s="143" t="str">
        <f>VLOOKUP(B110,'Element wise-detail Summary'!$A:$C,3,0)</f>
        <v>Zone-1</v>
      </c>
      <c r="F110" s="143" t="str">
        <f>VLOOKUP(B110,'AFC Data details'!$B:$B,1,0)</f>
        <v>AZ1-V21-T1C6-002</v>
      </c>
    </row>
    <row r="111" spans="1:6" x14ac:dyDescent="0.25">
      <c r="A111" s="148">
        <v>45995</v>
      </c>
      <c r="B111" s="3" t="s">
        <v>1252</v>
      </c>
      <c r="C111" s="3">
        <v>1</v>
      </c>
      <c r="D111" s="147"/>
      <c r="E111" s="143" t="str">
        <f>VLOOKUP(B111,'Element wise-detail Summary'!$A:$C,3,0)</f>
        <v>Zone-1</v>
      </c>
      <c r="F111" s="143" t="str">
        <f>VLOOKUP(B111,'AFC Data details'!$B:$B,1,0)</f>
        <v>AZ1-V22-T1C6-004</v>
      </c>
    </row>
    <row r="112" spans="1:6" x14ac:dyDescent="0.25">
      <c r="A112" s="148">
        <v>45995</v>
      </c>
      <c r="B112" s="3" t="s">
        <v>1256</v>
      </c>
      <c r="C112" s="3">
        <v>1</v>
      </c>
      <c r="D112" s="147"/>
      <c r="E112" s="143" t="str">
        <f>VLOOKUP(B112,'Element wise-detail Summary'!$A:$C,3,0)</f>
        <v>Zone-1</v>
      </c>
      <c r="F112" s="143" t="str">
        <f>VLOOKUP(B112,'AFC Data details'!$B:$B,1,0)</f>
        <v>AZ1-V21-T1C6-004</v>
      </c>
    </row>
    <row r="113" spans="1:6" x14ac:dyDescent="0.25">
      <c r="A113" s="148">
        <v>45999</v>
      </c>
      <c r="B113" s="3" t="s">
        <v>1288</v>
      </c>
      <c r="C113" s="3">
        <v>1</v>
      </c>
      <c r="D113" s="147"/>
      <c r="E113" s="143" t="str">
        <f>VLOOKUP(B113,'Element wise-detail Summary'!$A:$C,3,0)</f>
        <v>Zone-1</v>
      </c>
      <c r="F113" s="143" t="str">
        <f>VLOOKUP(B113,'AFC Data details'!$B:$B,1,0)</f>
        <v>AZ1-V26-T1C6-004</v>
      </c>
    </row>
    <row r="114" spans="1:6" x14ac:dyDescent="0.25">
      <c r="A114" s="148">
        <v>45999</v>
      </c>
      <c r="B114" s="3" t="s">
        <v>1289</v>
      </c>
      <c r="C114" s="3">
        <v>1</v>
      </c>
      <c r="D114" s="147"/>
      <c r="E114" s="143" t="str">
        <f>VLOOKUP(B114,'Element wise-detail Summary'!$A:$C,3,0)</f>
        <v>Zone-1</v>
      </c>
      <c r="F114" s="143" t="str">
        <f>VLOOKUP(B114,'AFC Data details'!$B:$B,1,0)</f>
        <v>AZ1-V27-T1C6-004</v>
      </c>
    </row>
    <row r="115" spans="1:6" x14ac:dyDescent="0.25">
      <c r="A115" s="148">
        <v>45999</v>
      </c>
      <c r="B115" s="3" t="s">
        <v>1312</v>
      </c>
      <c r="C115" s="3">
        <v>1</v>
      </c>
      <c r="D115" s="147"/>
      <c r="E115" s="143" t="str">
        <f>VLOOKUP(B115,'Element wise-detail Summary'!$A:$C,3,0)</f>
        <v>Zone-1</v>
      </c>
      <c r="F115" s="143" t="str">
        <f>VLOOKUP(B115,'AFC Data details'!$B:$B,1,0)</f>
        <v>AZ1-V26-T1C6-003</v>
      </c>
    </row>
    <row r="116" spans="1:6" x14ac:dyDescent="0.25">
      <c r="A116" s="148">
        <v>45999</v>
      </c>
      <c r="B116" s="3" t="s">
        <v>1314</v>
      </c>
      <c r="C116" s="3">
        <v>1</v>
      </c>
      <c r="D116" s="147"/>
      <c r="E116" s="143" t="str">
        <f>VLOOKUP(B116,'Element wise-detail Summary'!$A:$C,3,0)</f>
        <v>Zone-1</v>
      </c>
      <c r="F116" s="143" t="str">
        <f>VLOOKUP(B116,'AFC Data details'!$B:$B,1,0)</f>
        <v>AZ1-V26-T1C6-002</v>
      </c>
    </row>
    <row r="117" spans="1:6" x14ac:dyDescent="0.25">
      <c r="A117" s="148">
        <v>46001</v>
      </c>
      <c r="B117" s="3" t="s">
        <v>1313</v>
      </c>
      <c r="C117" s="3">
        <v>1</v>
      </c>
      <c r="D117" s="147"/>
      <c r="E117" s="143" t="str">
        <f>VLOOKUP(B117,'Element wise-detail Summary'!$A:$C,3,0)</f>
        <v>Zone-1</v>
      </c>
      <c r="F117" s="143" t="str">
        <f>VLOOKUP(B117,'AFC Data details'!$B:$B,1,0)</f>
        <v>AZ1-V27-T1C6-003</v>
      </c>
    </row>
    <row r="118" spans="1:6" x14ac:dyDescent="0.25">
      <c r="A118" s="148">
        <v>46001</v>
      </c>
      <c r="B118" s="3" t="s">
        <v>1294</v>
      </c>
      <c r="C118" s="3">
        <v>1</v>
      </c>
      <c r="D118" s="147"/>
      <c r="E118" s="143" t="str">
        <f>VLOOKUP(B118,'Element wise-detail Summary'!$A:$C,3,0)</f>
        <v>Zone-1</v>
      </c>
      <c r="F118" s="143" t="str">
        <f>VLOOKUP(B118,'AFC Data details'!$B:$B,1,0)</f>
        <v>AZ1-V28-T1C6-001</v>
      </c>
    </row>
    <row r="119" spans="1:6" x14ac:dyDescent="0.25">
      <c r="A119" s="148">
        <v>46001</v>
      </c>
      <c r="B119" s="3" t="s">
        <v>1295</v>
      </c>
      <c r="C119" s="3">
        <v>1</v>
      </c>
      <c r="D119" s="147"/>
      <c r="E119" s="143" t="str">
        <f>VLOOKUP(B119,'Element wise-detail Summary'!$A:$C,3,0)</f>
        <v>Zone-1</v>
      </c>
      <c r="F119" s="143" t="str">
        <f>VLOOKUP(B119,'AFC Data details'!$B:$B,1,0)</f>
        <v>AZ1-V28-T1C6-003</v>
      </c>
    </row>
    <row r="120" spans="1:6" x14ac:dyDescent="0.25">
      <c r="A120" s="148">
        <v>46001</v>
      </c>
      <c r="B120" s="3" t="s">
        <v>1297</v>
      </c>
      <c r="C120" s="3">
        <v>1</v>
      </c>
      <c r="D120" s="147"/>
      <c r="E120" s="143" t="str">
        <f>VLOOKUP(B120,'Element wise-detail Summary'!$A:$C,3,0)</f>
        <v>Zone-1</v>
      </c>
      <c r="F120" s="143" t="str">
        <f>VLOOKUP(B120,'AFC Data details'!$B:$B,1,0)</f>
        <v>AZ1-V28-T1C6-002</v>
      </c>
    </row>
    <row r="121" spans="1:6" x14ac:dyDescent="0.25">
      <c r="A121" s="148">
        <v>46001</v>
      </c>
      <c r="B121" s="3" t="s">
        <v>1267</v>
      </c>
      <c r="C121" s="3">
        <v>1</v>
      </c>
      <c r="D121" s="147"/>
      <c r="E121" s="143" t="str">
        <f>VLOOKUP(B121,'Element wise-detail Summary'!$A:$C,3,0)</f>
        <v>Zone-1</v>
      </c>
      <c r="F121" s="143" t="str">
        <f>VLOOKUP(B121,'AFC Data details'!$B:$B,1,0)</f>
        <v>AZ1-V24-T1C6-001</v>
      </c>
    </row>
    <row r="122" spans="1:6" x14ac:dyDescent="0.25">
      <c r="A122" s="148">
        <v>46001</v>
      </c>
      <c r="B122" s="3" t="s">
        <v>1268</v>
      </c>
      <c r="C122" s="3">
        <v>1</v>
      </c>
      <c r="D122" s="147"/>
      <c r="E122" s="143" t="str">
        <f>VLOOKUP(B122,'Element wise-detail Summary'!$A:$C,3,0)</f>
        <v>Zone-1</v>
      </c>
      <c r="F122" s="143" t="str">
        <f>VLOOKUP(B122,'AFC Data details'!$B:$B,1,0)</f>
        <v>AZ1-V24-T1C6-003</v>
      </c>
    </row>
    <row r="123" spans="1:6" x14ac:dyDescent="0.25">
      <c r="A123" s="148">
        <v>46001</v>
      </c>
      <c r="B123" s="3" t="s">
        <v>1269</v>
      </c>
      <c r="C123" s="3">
        <v>1</v>
      </c>
      <c r="D123" s="147"/>
      <c r="E123" s="143" t="str">
        <f>VLOOKUP(B123,'Element wise-detail Summary'!$A:$C,3,0)</f>
        <v>Zone-1</v>
      </c>
      <c r="F123" s="143" t="str">
        <f>VLOOKUP(B123,'AFC Data details'!$B:$B,1,0)</f>
        <v>AZ1-V25-T1C6-003</v>
      </c>
    </row>
    <row r="124" spans="1:6" x14ac:dyDescent="0.25">
      <c r="A124" s="148">
        <v>46001</v>
      </c>
      <c r="B124" s="3" t="s">
        <v>1307</v>
      </c>
      <c r="C124" s="3">
        <v>1</v>
      </c>
      <c r="D124" s="147"/>
      <c r="E124" s="143" t="str">
        <f>VLOOKUP(B124,'Element wise-detail Summary'!$A:$C,3,0)</f>
        <v>Zone-1</v>
      </c>
      <c r="F124" s="143" t="str">
        <f>VLOOKUP(B124,'AFC Data details'!$B:$B,1,0)</f>
        <v>AZ1-V26-T1C6-001</v>
      </c>
    </row>
    <row r="125" spans="1:6" x14ac:dyDescent="0.25">
      <c r="A125" s="148">
        <v>46002</v>
      </c>
      <c r="B125" s="161" t="s">
        <v>1246</v>
      </c>
      <c r="C125" s="3">
        <v>1</v>
      </c>
      <c r="D125" s="147"/>
      <c r="E125" s="143" t="str">
        <f>VLOOKUP(B125,'Element wise-detail Summary'!$A:$C,3,0)</f>
        <v>Zone-1</v>
      </c>
      <c r="F125" s="143" t="str">
        <f>VLOOKUP(B125,'AFC Data details'!$B:$B,1,0)</f>
        <v>AZ1-V22-T1C6-003</v>
      </c>
    </row>
    <row r="126" spans="1:6" x14ac:dyDescent="0.25">
      <c r="A126" s="148">
        <v>46002</v>
      </c>
      <c r="B126" s="161" t="s">
        <v>1247</v>
      </c>
      <c r="C126" s="3">
        <v>1</v>
      </c>
      <c r="D126" s="147"/>
      <c r="E126" s="143" t="str">
        <f>VLOOKUP(B126,'Element wise-detail Summary'!$A:$C,3,0)</f>
        <v>Zone-1</v>
      </c>
      <c r="F126" s="143" t="str">
        <f>VLOOKUP(B126,'AFC Data details'!$B:$B,1,0)</f>
        <v>AZ1-V23-T1C6-003</v>
      </c>
    </row>
    <row r="127" spans="1:6" x14ac:dyDescent="0.25">
      <c r="A127" s="148">
        <v>46002</v>
      </c>
      <c r="B127" s="161" t="s">
        <v>1261</v>
      </c>
      <c r="C127" s="3">
        <v>1</v>
      </c>
      <c r="D127" s="147"/>
      <c r="E127" s="143" t="str">
        <f>VLOOKUP(B127,'Element wise-detail Summary'!$A:$C,3,0)</f>
        <v>Zone-1</v>
      </c>
      <c r="F127" s="143" t="str">
        <f>VLOOKUP(B127,'AFC Data details'!$B:$B,1,0)</f>
        <v>AZ1-V23-T1C6-001</v>
      </c>
    </row>
    <row r="128" spans="1:6" x14ac:dyDescent="0.25">
      <c r="A128" s="148">
        <v>46002</v>
      </c>
      <c r="B128" s="161" t="s">
        <v>1270</v>
      </c>
      <c r="C128" s="3">
        <v>1</v>
      </c>
      <c r="D128" s="147"/>
      <c r="E128" s="143" t="str">
        <f>VLOOKUP(B128,'Element wise-detail Summary'!$A:$C,3,0)</f>
        <v>Zone-1</v>
      </c>
      <c r="F128" s="143" t="str">
        <f>VLOOKUP(B128,'AFC Data details'!$B:$B,1,0)</f>
        <v>AZ1-V24-T1C6-002</v>
      </c>
    </row>
    <row r="129" spans="1:6" x14ac:dyDescent="0.25">
      <c r="A129" s="148">
        <v>46003</v>
      </c>
      <c r="B129" s="3" t="s">
        <v>1322</v>
      </c>
      <c r="C129" s="3">
        <v>1</v>
      </c>
      <c r="D129" s="147"/>
      <c r="E129" s="143" t="str">
        <f>VLOOKUP(B129,'Element wise-detail Summary'!$A:$C,3,0)</f>
        <v>Zone-1</v>
      </c>
      <c r="F129" s="143" t="str">
        <f>VLOOKUP(B129,'AFC Data details'!$B:$B,1,0)</f>
        <v>AZ1-V28-T1C6-004</v>
      </c>
    </row>
    <row r="130" spans="1:6" x14ac:dyDescent="0.25">
      <c r="A130" s="148">
        <v>46003</v>
      </c>
      <c r="B130" s="3" t="s">
        <v>1298</v>
      </c>
      <c r="C130" s="3">
        <v>1</v>
      </c>
      <c r="D130" s="147"/>
      <c r="E130" s="143" t="str">
        <f>VLOOKUP(B130,'Element wise-detail Summary'!$A:$C,3,0)</f>
        <v>Zone-1</v>
      </c>
      <c r="F130" s="143" t="str">
        <f>VLOOKUP(B130,'AFC Data details'!$B:$B,1,0)</f>
        <v>AZ1-V29-T1C6-002</v>
      </c>
    </row>
    <row r="131" spans="1:6" x14ac:dyDescent="0.25">
      <c r="A131" s="148">
        <v>46003</v>
      </c>
      <c r="B131" s="3" t="s">
        <v>1296</v>
      </c>
      <c r="C131" s="3">
        <v>1</v>
      </c>
      <c r="D131" s="147"/>
      <c r="E131" s="143" t="str">
        <f>VLOOKUP(B131,'Element wise-detail Summary'!$A:$C,3,0)</f>
        <v>Zone-1</v>
      </c>
      <c r="F131" s="143" t="str">
        <f>VLOOKUP(B131,'AFC Data details'!$B:$B,1,0)</f>
        <v>AZ1-V29-T1C6-003</v>
      </c>
    </row>
    <row r="132" spans="1:6" x14ac:dyDescent="0.25">
      <c r="A132" s="148">
        <v>46003</v>
      </c>
      <c r="B132" s="3" t="s">
        <v>1306</v>
      </c>
      <c r="C132" s="3">
        <v>1</v>
      </c>
      <c r="D132" s="147"/>
      <c r="E132" s="143" t="str">
        <f>VLOOKUP(B132,'Element wise-detail Summary'!$A:$C,3,0)</f>
        <v>Zone-1</v>
      </c>
      <c r="F132" s="143" t="str">
        <f>VLOOKUP(B132,'AFC Data details'!$B:$B,1,0)</f>
        <v>AZ1-V30-T1C6-001</v>
      </c>
    </row>
    <row r="133" spans="1:6" x14ac:dyDescent="0.25">
      <c r="A133" s="148">
        <v>46003</v>
      </c>
      <c r="B133" s="3" t="s">
        <v>1329</v>
      </c>
      <c r="C133" s="3">
        <v>1</v>
      </c>
      <c r="D133" s="147"/>
      <c r="E133" s="143" t="str">
        <f>VLOOKUP(B133,'Element wise-detail Summary'!$A:$C,3,0)</f>
        <v>Zone-1</v>
      </c>
      <c r="F133" s="143" t="str">
        <f>VLOOKUP(B133,'AFC Data details'!$B:$B,1,0)</f>
        <v>AZ1-V27-T1C6-001</v>
      </c>
    </row>
    <row r="134" spans="1:6" x14ac:dyDescent="0.25">
      <c r="A134" s="148">
        <v>46003</v>
      </c>
      <c r="B134" s="3" t="s">
        <v>1302</v>
      </c>
      <c r="C134" s="3">
        <v>1</v>
      </c>
      <c r="D134" s="147"/>
      <c r="E134" s="143" t="str">
        <f>VLOOKUP(B134,'Element wise-detail Summary'!$A:$C,3,0)</f>
        <v>Zone-1</v>
      </c>
      <c r="F134" s="143" t="str">
        <f>VLOOKUP(B134,'AFC Data details'!$B:$B,1,0)</f>
        <v>AZ1-V29-T1C6-001</v>
      </c>
    </row>
    <row r="135" spans="1:6" x14ac:dyDescent="0.25">
      <c r="A135" s="148">
        <v>46003</v>
      </c>
      <c r="B135" s="3" t="s">
        <v>1310</v>
      </c>
      <c r="C135" s="3">
        <v>1</v>
      </c>
      <c r="D135" s="147"/>
      <c r="E135" s="143" t="str">
        <f>VLOOKUP(B135,'Element wise-detail Summary'!$A:$C,3,0)</f>
        <v>Zone-1</v>
      </c>
      <c r="F135" s="143" t="str">
        <f>VLOOKUP(B135,'AFC Data details'!$B:$B,1,0)</f>
        <v>AZ1-V30-T1C6-002</v>
      </c>
    </row>
    <row r="136" spans="1:6" x14ac:dyDescent="0.25">
      <c r="A136" s="148">
        <v>46003</v>
      </c>
      <c r="B136" s="3" t="s">
        <v>1318</v>
      </c>
      <c r="C136" s="3">
        <v>1</v>
      </c>
      <c r="D136" s="147"/>
      <c r="E136" s="143" t="str">
        <f>VLOOKUP(B136,'Element wise-detail Summary'!$A:$C,3,0)</f>
        <v>Zone-1</v>
      </c>
      <c r="F136" s="143" t="str">
        <f>VLOOKUP(B136,'AFC Data details'!$B:$B,1,0)</f>
        <v>AZ1-V30-T1C6-004</v>
      </c>
    </row>
    <row r="137" spans="1:6" x14ac:dyDescent="0.25">
      <c r="A137" s="148">
        <v>46004</v>
      </c>
      <c r="B137" s="3" t="s">
        <v>1353</v>
      </c>
      <c r="C137" s="3">
        <v>1</v>
      </c>
      <c r="D137" s="147"/>
      <c r="E137" s="143" t="str">
        <f>VLOOKUP(B137,'Element wise-detail Summary'!$A:$C,3,0)</f>
        <v>Zone-1</v>
      </c>
      <c r="F137" s="143" t="str">
        <f>VLOOKUP(B137,'AFC Data details'!$B:$B,1,0)</f>
        <v>AZ1-V34-T1C13-003</v>
      </c>
    </row>
    <row r="138" spans="1:6" x14ac:dyDescent="0.25">
      <c r="A138" s="148">
        <v>46004</v>
      </c>
      <c r="B138" s="3" t="s">
        <v>1354</v>
      </c>
      <c r="C138" s="3">
        <v>1</v>
      </c>
      <c r="D138" s="147"/>
      <c r="E138" s="143" t="str">
        <f>VLOOKUP(B138,'Element wise-detail Summary'!$A:$C,3,0)</f>
        <v>Zone-1</v>
      </c>
      <c r="F138" s="143" t="str">
        <f>VLOOKUP(B138,'AFC Data details'!$B:$B,1,0)</f>
        <v>AZ1-V34-T1C13-004</v>
      </c>
    </row>
    <row r="139" spans="1:6" x14ac:dyDescent="0.25">
      <c r="A139" s="148">
        <v>46004</v>
      </c>
      <c r="B139" s="3" t="s">
        <v>1355</v>
      </c>
      <c r="C139" s="3">
        <v>1</v>
      </c>
      <c r="D139" s="147"/>
      <c r="E139" s="143" t="str">
        <f>VLOOKUP(B139,'Element wise-detail Summary'!$A:$C,3,0)</f>
        <v>Zone-1</v>
      </c>
      <c r="F139" s="143" t="str">
        <f>VLOOKUP(B139,'AFC Data details'!$B:$B,1,0)</f>
        <v>AZ1-V34-T1C13-005</v>
      </c>
    </row>
    <row r="140" spans="1:6" x14ac:dyDescent="0.25">
      <c r="A140" s="148">
        <v>46004</v>
      </c>
      <c r="B140" s="3" t="s">
        <v>1356</v>
      </c>
      <c r="C140" s="3">
        <v>1</v>
      </c>
      <c r="D140" s="147"/>
      <c r="E140" s="143" t="str">
        <f>VLOOKUP(B140,'Element wise-detail Summary'!$A:$C,3,0)</f>
        <v>Zone-1</v>
      </c>
      <c r="F140" s="143" t="str">
        <f>VLOOKUP(B140,'AFC Data details'!$B:$B,1,0)</f>
        <v>AZ1-V34-T1C13-006</v>
      </c>
    </row>
    <row r="141" spans="1:6" x14ac:dyDescent="0.25">
      <c r="A141" s="148">
        <v>46004</v>
      </c>
      <c r="B141" s="3" t="s">
        <v>1411</v>
      </c>
      <c r="C141" s="3">
        <v>1</v>
      </c>
      <c r="D141" s="147"/>
      <c r="E141" s="143" t="str">
        <f>VLOOKUP(B141,'Element wise-detail Summary'!$A:$C,3,0)</f>
        <v>Zone-2</v>
      </c>
      <c r="F141" s="143" t="str">
        <f>VLOOKUP(B141,'AFC Data details'!$B:$B,1,0)</f>
        <v>AZ2-V40-T1C6-005</v>
      </c>
    </row>
    <row r="142" spans="1:6" x14ac:dyDescent="0.25">
      <c r="A142" s="148">
        <v>46004</v>
      </c>
      <c r="B142" s="3" t="s">
        <v>1416</v>
      </c>
      <c r="C142" s="3">
        <v>1</v>
      </c>
      <c r="D142" s="147"/>
      <c r="E142" s="143" t="str">
        <f>VLOOKUP(B142,'Element wise-detail Summary'!$A:$C,3,0)</f>
        <v>Zone-2</v>
      </c>
      <c r="F142" s="143" t="str">
        <f>VLOOKUP(B142,'AFC Data details'!$B:$B,1,0)</f>
        <v>AZ2-V40-T1C6-006</v>
      </c>
    </row>
    <row r="143" spans="1:6" x14ac:dyDescent="0.25">
      <c r="A143" s="148">
        <v>46004</v>
      </c>
      <c r="B143" s="3" t="s">
        <v>1418</v>
      </c>
      <c r="C143" s="3">
        <v>1</v>
      </c>
      <c r="D143" s="147"/>
      <c r="E143" s="143" t="str">
        <f>VLOOKUP(B143,'Element wise-detail Summary'!$A:$C,3,0)</f>
        <v>Zone-2</v>
      </c>
      <c r="F143" s="143" t="str">
        <f>VLOOKUP(B143,'AFC Data details'!$B:$B,1,0)</f>
        <v>AZ2-V40-T3C4-001</v>
      </c>
    </row>
    <row r="144" spans="1:6" x14ac:dyDescent="0.25">
      <c r="A144" s="148">
        <v>46004</v>
      </c>
      <c r="B144" s="3" t="s">
        <v>1419</v>
      </c>
      <c r="C144" s="3">
        <v>1</v>
      </c>
      <c r="D144" s="147"/>
      <c r="E144" s="143" t="str">
        <f>VLOOKUP(B144,'Element wise-detail Summary'!$A:$C,3,0)</f>
        <v>Zone-2</v>
      </c>
      <c r="F144" s="143" t="str">
        <f>VLOOKUP(B144,'AFC Data details'!$B:$B,1,0)</f>
        <v>AZ2-V40-T3C4-002</v>
      </c>
    </row>
    <row r="145" spans="1:6" x14ac:dyDescent="0.25">
      <c r="A145" s="148">
        <v>46004</v>
      </c>
      <c r="B145" s="3" t="s">
        <v>1234</v>
      </c>
      <c r="C145" s="3">
        <v>0</v>
      </c>
      <c r="D145" s="147"/>
      <c r="E145" s="143" t="str">
        <f>VLOOKUP(B145,'Element wise-detail Summary'!$A:$C,3,0)</f>
        <v>Zone-1</v>
      </c>
      <c r="F145" s="143" t="str">
        <f>VLOOKUP(B145,'AFC Data details'!$B:$B,1,0)</f>
        <v>AZ1-V20-T1C6-001</v>
      </c>
    </row>
    <row r="146" spans="1:6" x14ac:dyDescent="0.25">
      <c r="A146" s="148">
        <v>46004</v>
      </c>
      <c r="B146" s="3" t="s">
        <v>1237</v>
      </c>
      <c r="C146" s="3">
        <v>1</v>
      </c>
      <c r="D146" s="147"/>
      <c r="E146" s="143" t="str">
        <f>VLOOKUP(B146,'Element wise-detail Summary'!$A:$C,3,0)</f>
        <v>Zone-1</v>
      </c>
      <c r="F146" s="143" t="str">
        <f>VLOOKUP(B146,'AFC Data details'!$B:$B,1,0)</f>
        <v>AZ1-V20-T1C6-002</v>
      </c>
    </row>
    <row r="147" spans="1:6" x14ac:dyDescent="0.25">
      <c r="A147" s="148">
        <v>46004</v>
      </c>
      <c r="B147" s="3" t="s">
        <v>1255</v>
      </c>
      <c r="C147" s="3">
        <v>1</v>
      </c>
      <c r="D147" s="147"/>
      <c r="E147" s="143" t="str">
        <f>VLOOKUP(B147,'Element wise-detail Summary'!$A:$C,3,0)</f>
        <v>Zone-1</v>
      </c>
      <c r="F147" s="143" t="str">
        <f>VLOOKUP(B147,'AFC Data details'!$B:$B,1,0)</f>
        <v>AZ1-V20-T1C6-004</v>
      </c>
    </row>
    <row r="148" spans="1:6" x14ac:dyDescent="0.25">
      <c r="A148" s="148">
        <v>46004</v>
      </c>
      <c r="B148" s="3" t="s">
        <v>1240</v>
      </c>
      <c r="C148" s="3">
        <v>1</v>
      </c>
      <c r="D148" s="147"/>
      <c r="E148" s="143" t="str">
        <f>VLOOKUP(B148,'Element wise-detail Summary'!$A:$C,3,0)</f>
        <v>Zone-1</v>
      </c>
      <c r="F148" s="143" t="str">
        <f>VLOOKUP(B148,'AFC Data details'!$B:$B,1,0)</f>
        <v>AZ1-V21-T1C6-001</v>
      </c>
    </row>
    <row r="149" spans="1:6" x14ac:dyDescent="0.25">
      <c r="A149" s="148">
        <v>46004</v>
      </c>
      <c r="B149" s="3" t="s">
        <v>1338</v>
      </c>
      <c r="C149" s="3">
        <v>1</v>
      </c>
      <c r="D149" s="147"/>
      <c r="E149" s="143" t="str">
        <f>VLOOKUP(B149,'Element wise-detail Summary'!$A:$C,3,0)</f>
        <v>Zone-1</v>
      </c>
      <c r="F149" s="143" t="str">
        <f>VLOOKUP(B149,'AFC Data details'!$B:$B,1,0)</f>
        <v>AZ1-V33-T1C6-004</v>
      </c>
    </row>
    <row r="150" spans="1:6" x14ac:dyDescent="0.25">
      <c r="A150" s="148">
        <v>46004</v>
      </c>
      <c r="B150" s="3" t="s">
        <v>1339</v>
      </c>
      <c r="C150" s="3">
        <v>1</v>
      </c>
      <c r="D150" s="147"/>
      <c r="E150" s="143" t="str">
        <f>VLOOKUP(B150,'Element wise-detail Summary'!$A:$C,3,0)</f>
        <v>Zone-1</v>
      </c>
      <c r="F150" s="143" t="str">
        <f>VLOOKUP(B150,'AFC Data details'!$B:$B,1,0)</f>
        <v>AZ1-V32-T1C6-003</v>
      </c>
    </row>
    <row r="151" spans="1:6" x14ac:dyDescent="0.25">
      <c r="A151" s="148">
        <v>46004</v>
      </c>
      <c r="B151" s="3" t="s">
        <v>1340</v>
      </c>
      <c r="C151" s="3">
        <v>1</v>
      </c>
      <c r="D151" s="147"/>
      <c r="E151" s="143" t="str">
        <f>VLOOKUP(B151,'Element wise-detail Summary'!$A:$C,3,0)</f>
        <v>Zone-1</v>
      </c>
      <c r="F151" s="143" t="str">
        <f>VLOOKUP(B151,'AFC Data details'!$B:$B,1,0)</f>
        <v>AZ1-V33-T1C6-003</v>
      </c>
    </row>
    <row r="152" spans="1:6" x14ac:dyDescent="0.25">
      <c r="A152" s="148">
        <v>46004</v>
      </c>
      <c r="B152" s="3" t="s">
        <v>1342</v>
      </c>
      <c r="C152" s="3">
        <v>1</v>
      </c>
      <c r="D152" s="147"/>
      <c r="E152" s="143" t="str">
        <f>VLOOKUP(B152,'Element wise-detail Summary'!$A:$C,3,0)</f>
        <v>Zone-1</v>
      </c>
      <c r="F152" s="143" t="str">
        <f>VLOOKUP(B152,'AFC Data details'!$B:$B,1,0)</f>
        <v>AZ1-V33-T1C6-002</v>
      </c>
    </row>
    <row r="153" spans="1:6" x14ac:dyDescent="0.25">
      <c r="A153" s="148">
        <v>46004</v>
      </c>
      <c r="B153" s="3" t="s">
        <v>1393</v>
      </c>
      <c r="C153" s="3">
        <v>1</v>
      </c>
      <c r="D153" s="147"/>
      <c r="E153" s="143" t="str">
        <f>VLOOKUP(B153,'Element wise-detail Summary'!$A:$C,3,0)</f>
        <v>Zone-2</v>
      </c>
      <c r="F153" s="143" t="str">
        <f>VLOOKUP(B153,'AFC Data details'!$B:$B,1,0)</f>
        <v>AZ2-V38-T1C6-005</v>
      </c>
    </row>
    <row r="154" spans="1:6" x14ac:dyDescent="0.25">
      <c r="A154" s="148">
        <v>46004</v>
      </c>
      <c r="B154" s="3" t="s">
        <v>1398</v>
      </c>
      <c r="C154" s="3">
        <v>1</v>
      </c>
      <c r="D154" s="147"/>
      <c r="E154" s="143" t="str">
        <f>VLOOKUP(B154,'Element wise-detail Summary'!$A:$C,3,0)</f>
        <v>Zone-2</v>
      </c>
      <c r="F154" s="143" t="str">
        <f>VLOOKUP(B154,'AFC Data details'!$B:$B,1,0)</f>
        <v>AZ2-V38-T1C6-006</v>
      </c>
    </row>
    <row r="155" spans="1:6" x14ac:dyDescent="0.25">
      <c r="A155" s="148">
        <v>46004</v>
      </c>
      <c r="B155" s="3" t="s">
        <v>1400</v>
      </c>
      <c r="C155" s="3">
        <v>1</v>
      </c>
      <c r="D155" s="147"/>
      <c r="E155" s="143" t="str">
        <f>VLOOKUP(B155,'Element wise-detail Summary'!$A:$C,3,0)</f>
        <v>Zone-2</v>
      </c>
      <c r="F155" s="143" t="str">
        <f>VLOOKUP(B155,'AFC Data details'!$B:$B,1,0)</f>
        <v>AZ2-V38-T3C4-001</v>
      </c>
    </row>
    <row r="156" spans="1:6" x14ac:dyDescent="0.25">
      <c r="A156" s="148">
        <v>46004</v>
      </c>
      <c r="B156" s="3" t="s">
        <v>1401</v>
      </c>
      <c r="C156" s="3">
        <v>1</v>
      </c>
      <c r="D156" s="147"/>
      <c r="E156" s="143" t="str">
        <f>VLOOKUP(B156,'Element wise-detail Summary'!$A:$C,3,0)</f>
        <v>Zone-2</v>
      </c>
      <c r="F156" s="143" t="str">
        <f>VLOOKUP(B156,'AFC Data details'!$B:$B,1,0)</f>
        <v>AZ2-V38-T3C4-002</v>
      </c>
    </row>
    <row r="157" spans="1:6" x14ac:dyDescent="0.25">
      <c r="A157" s="148">
        <v>46006</v>
      </c>
      <c r="B157" s="3" t="s">
        <v>1271</v>
      </c>
      <c r="C157" s="3">
        <v>1</v>
      </c>
      <c r="D157" s="147"/>
      <c r="E157" s="143" t="str">
        <f>VLOOKUP(B157,'Element wise-detail Summary'!$A:$C,3,0)</f>
        <v>Zone-1</v>
      </c>
      <c r="F157" s="143" t="str">
        <f>VLOOKUP(B157,'AFC Data details'!$B:$B,1,0)</f>
        <v>AZ1-V25-T1C6-002</v>
      </c>
    </row>
    <row r="158" spans="1:6" x14ac:dyDescent="0.25">
      <c r="A158" s="148">
        <v>46006</v>
      </c>
      <c r="B158" s="3" t="s">
        <v>1275</v>
      </c>
      <c r="C158" s="3">
        <v>1</v>
      </c>
      <c r="D158" s="147"/>
      <c r="E158" s="143" t="str">
        <f>VLOOKUP(B158,'Element wise-detail Summary'!$A:$C,3,0)</f>
        <v>Zone-1</v>
      </c>
      <c r="F158" s="143" t="str">
        <f>VLOOKUP(B158,'AFC Data details'!$B:$B,1,0)</f>
        <v>AZ1-V25-T1C6-004</v>
      </c>
    </row>
    <row r="159" spans="1:6" x14ac:dyDescent="0.25">
      <c r="A159" s="148">
        <v>46006</v>
      </c>
      <c r="B159" s="3" t="s">
        <v>1282</v>
      </c>
      <c r="C159" s="3">
        <v>1</v>
      </c>
      <c r="D159" s="147"/>
      <c r="E159" s="143" t="str">
        <f>VLOOKUP(B159,'Element wise-detail Summary'!$A:$C,3,0)</f>
        <v>Zone-1</v>
      </c>
      <c r="F159" s="143" t="str">
        <f>VLOOKUP(B159,'AFC Data details'!$B:$B,1,0)</f>
        <v>AZ1-V25-T1C6-001</v>
      </c>
    </row>
    <row r="160" spans="1:6" x14ac:dyDescent="0.25">
      <c r="A160" s="148">
        <v>46006</v>
      </c>
      <c r="B160" s="3" t="s">
        <v>1315</v>
      </c>
      <c r="C160" s="3">
        <v>1</v>
      </c>
      <c r="D160" s="147"/>
      <c r="E160" s="143" t="str">
        <f>VLOOKUP(B160,'Element wise-detail Summary'!$A:$C,3,0)</f>
        <v>Zone-1</v>
      </c>
      <c r="F160" s="143" t="str">
        <f>VLOOKUP(B160,'AFC Data details'!$B:$B,1,0)</f>
        <v>AZ1-V27-T1C6-002</v>
      </c>
    </row>
    <row r="161" spans="1:6" x14ac:dyDescent="0.25">
      <c r="A161" s="148">
        <v>46006</v>
      </c>
      <c r="B161" s="3" t="s">
        <v>1235</v>
      </c>
      <c r="C161" s="3">
        <v>1</v>
      </c>
      <c r="D161" s="147"/>
      <c r="E161" s="143" t="str">
        <f>VLOOKUP(B161,'Element wise-detail Summary'!$A:$C,3,0)</f>
        <v>Zone-1</v>
      </c>
      <c r="F161" s="143" t="str">
        <f>VLOOKUP(B161,'AFC Data details'!$B:$B,1,0)</f>
        <v>AZ1-V20-T1C6-003</v>
      </c>
    </row>
    <row r="162" spans="1:6" x14ac:dyDescent="0.25">
      <c r="A162" s="148">
        <v>46006</v>
      </c>
      <c r="B162" s="3" t="s">
        <v>1202</v>
      </c>
      <c r="C162" s="3">
        <v>1</v>
      </c>
      <c r="D162" s="147"/>
      <c r="E162" s="143" t="str">
        <f>VLOOKUP(B162,'Element wise-detail Summary'!$A:$C,3,0)</f>
        <v>Zone-1</v>
      </c>
      <c r="F162" s="143" t="str">
        <f>VLOOKUP(B162,'AFC Data details'!$B:$B,1,0)</f>
        <v>AZ1-V20-T1C6-005</v>
      </c>
    </row>
    <row r="163" spans="1:6" x14ac:dyDescent="0.25">
      <c r="A163" s="148">
        <v>46006</v>
      </c>
      <c r="B163" s="3" t="s">
        <v>1248</v>
      </c>
      <c r="C163" s="3">
        <v>1</v>
      </c>
      <c r="D163" s="147"/>
      <c r="E163" s="143" t="str">
        <f>VLOOKUP(B163,'Element wise-detail Summary'!$A:$C,3,0)</f>
        <v>Zone-1</v>
      </c>
      <c r="F163" s="143" t="str">
        <f>VLOOKUP(B163,'AFC Data details'!$B:$B,1,0)</f>
        <v>AZ1-V22-T1C6-002</v>
      </c>
    </row>
    <row r="164" spans="1:6" x14ac:dyDescent="0.25">
      <c r="A164" s="148">
        <v>46006</v>
      </c>
      <c r="B164" s="3" t="s">
        <v>1245</v>
      </c>
      <c r="C164" s="3">
        <v>1</v>
      </c>
      <c r="D164" s="147"/>
      <c r="E164" s="143" t="str">
        <f>VLOOKUP(B164,'Element wise-detail Summary'!$A:$C,3,0)</f>
        <v>Zone-1</v>
      </c>
      <c r="F164" s="143" t="str">
        <f>VLOOKUP(B164,'AFC Data details'!$B:$B,1,0)</f>
        <v>AZ1-V22-T1C6-001</v>
      </c>
    </row>
    <row r="165" spans="1:6" x14ac:dyDescent="0.25">
      <c r="A165" s="148">
        <v>46007</v>
      </c>
      <c r="B165" s="3" t="s">
        <v>1334</v>
      </c>
      <c r="C165" s="3">
        <v>1</v>
      </c>
      <c r="D165" s="3" t="s">
        <v>1949</v>
      </c>
      <c r="E165" s="143" t="str">
        <f>VLOOKUP(B165,'Element wise-detail Summary'!$A:$C,3,0)</f>
        <v>Zone-1</v>
      </c>
      <c r="F165" s="143" t="str">
        <f>VLOOKUP(B165,'AFC Data details'!$B:$B,1,0)</f>
        <v>AZ1-V32-T1C2-001</v>
      </c>
    </row>
    <row r="166" spans="1:6" x14ac:dyDescent="0.25">
      <c r="A166" s="148">
        <v>46007</v>
      </c>
      <c r="B166" s="3" t="s">
        <v>1232</v>
      </c>
      <c r="C166" s="3">
        <v>1</v>
      </c>
      <c r="D166" s="3" t="s">
        <v>1949</v>
      </c>
      <c r="E166" s="143" t="str">
        <f>VLOOKUP(B166,'Element wise-detail Summary'!$A:$C,3,0)</f>
        <v>Zone-1</v>
      </c>
      <c r="F166" s="143" t="str">
        <f>VLOOKUP(B166,'AFC Data details'!$B:$B,1,0)</f>
        <v>AZ1-V31-T2C1-001</v>
      </c>
    </row>
    <row r="167" spans="1:6" x14ac:dyDescent="0.25">
      <c r="A167" s="148">
        <v>46007</v>
      </c>
      <c r="B167" s="3" t="s">
        <v>1337</v>
      </c>
      <c r="C167" s="3">
        <v>1</v>
      </c>
      <c r="D167" s="3" t="s">
        <v>1949</v>
      </c>
      <c r="E167" s="143" t="str">
        <f>VLOOKUP(B167,'Element wise-detail Summary'!$A:$C,3,0)</f>
        <v>Zone-1</v>
      </c>
      <c r="F167" s="143" t="str">
        <f>VLOOKUP(B167,'AFC Data details'!$B:$B,1,0)</f>
        <v>AZ1-V32-T1C6-004</v>
      </c>
    </row>
    <row r="168" spans="1:6" x14ac:dyDescent="0.25">
      <c r="A168" s="148">
        <v>46007</v>
      </c>
      <c r="B168" s="3" t="s">
        <v>1341</v>
      </c>
      <c r="C168" s="3">
        <v>1</v>
      </c>
      <c r="D168" s="3" t="s">
        <v>1949</v>
      </c>
      <c r="E168" s="143" t="str">
        <f>VLOOKUP(B168,'Element wise-detail Summary'!$A:$C,3,0)</f>
        <v>Zone-1</v>
      </c>
      <c r="F168" s="143" t="str">
        <f>VLOOKUP(B168,'AFC Data details'!$B:$B,1,0)</f>
        <v>AZ1-V32-T1C6-002</v>
      </c>
    </row>
    <row r="169" spans="1:6" x14ac:dyDescent="0.25">
      <c r="A169" s="148">
        <v>46007</v>
      </c>
      <c r="B169" s="3" t="s">
        <v>1308</v>
      </c>
      <c r="C169" s="3">
        <v>1</v>
      </c>
      <c r="D169" s="3" t="s">
        <v>1950</v>
      </c>
      <c r="E169" s="143" t="str">
        <f>VLOOKUP(B169,'Element wise-detail Summary'!$A:$C,3,0)</f>
        <v>Zone-1</v>
      </c>
      <c r="F169" s="143" t="str">
        <f>VLOOKUP(B169,'AFC Data details'!$B:$B,1,0)</f>
        <v>AZ1-V30-T1C6-003</v>
      </c>
    </row>
    <row r="170" spans="1:6" x14ac:dyDescent="0.25">
      <c r="A170" s="148">
        <v>46007</v>
      </c>
      <c r="B170" s="3" t="s">
        <v>1309</v>
      </c>
      <c r="C170" s="3">
        <v>1</v>
      </c>
      <c r="D170" s="3" t="s">
        <v>1950</v>
      </c>
      <c r="E170" s="143" t="str">
        <f>VLOOKUP(B170,'Element wise-detail Summary'!$A:$C,3,0)</f>
        <v>Zone-1</v>
      </c>
      <c r="F170" s="143" t="str">
        <f>VLOOKUP(B170,'AFC Data details'!$B:$B,1,0)</f>
        <v>AZ1-V31-T1C6-003</v>
      </c>
    </row>
    <row r="171" spans="1:6" x14ac:dyDescent="0.25">
      <c r="A171" s="148">
        <v>46007</v>
      </c>
      <c r="B171" s="3" t="s">
        <v>1311</v>
      </c>
      <c r="C171" s="3">
        <v>1</v>
      </c>
      <c r="D171" s="3" t="s">
        <v>1950</v>
      </c>
      <c r="E171" s="143" t="str">
        <f>VLOOKUP(B171,'Element wise-detail Summary'!$A:$C,3,0)</f>
        <v>Zone-1</v>
      </c>
      <c r="F171" s="143" t="str">
        <f>VLOOKUP(B171,'AFC Data details'!$B:$B,1,0)</f>
        <v>AZ1-V31-T1C6-002</v>
      </c>
    </row>
    <row r="172" spans="1:6" x14ac:dyDescent="0.25">
      <c r="A172" s="148">
        <v>46007</v>
      </c>
      <c r="B172" s="3" t="s">
        <v>1319</v>
      </c>
      <c r="C172" s="3">
        <v>1</v>
      </c>
      <c r="D172" s="3" t="s">
        <v>1950</v>
      </c>
      <c r="E172" s="143" t="str">
        <f>VLOOKUP(B172,'Element wise-detail Summary'!$A:$C,3,0)</f>
        <v>Zone-1</v>
      </c>
      <c r="F172" s="143" t="str">
        <f>VLOOKUP(B172,'AFC Data details'!$B:$B,1,0)</f>
        <v>AZ1-V31-T1C6-004</v>
      </c>
    </row>
    <row r="173" spans="1:6" x14ac:dyDescent="0.25">
      <c r="A173" s="148">
        <v>46008</v>
      </c>
      <c r="B173" s="3" t="s">
        <v>1344</v>
      </c>
      <c r="C173" s="3">
        <v>1</v>
      </c>
      <c r="D173" s="3" t="s">
        <v>1951</v>
      </c>
      <c r="E173" s="143" t="str">
        <f>VLOOKUP(B173,'Element wise-detail Summary'!$A:$C,3,0)</f>
        <v>Zone-1</v>
      </c>
      <c r="F173" s="143" t="str">
        <f>VLOOKUP(B173,'AFC Data details'!$B:$B,1,0)</f>
        <v>AZ1-V33-T1C6-001</v>
      </c>
    </row>
    <row r="174" spans="1:6" x14ac:dyDescent="0.25">
      <c r="A174" s="148">
        <v>46008</v>
      </c>
      <c r="B174" s="3" t="s">
        <v>1328</v>
      </c>
      <c r="C174" s="3">
        <v>1</v>
      </c>
      <c r="D174" s="3" t="s">
        <v>1951</v>
      </c>
      <c r="E174" s="143" t="str">
        <f>VLOOKUP(B174,'Element wise-detail Summary'!$A:$C,3,0)</f>
        <v>Zone-1</v>
      </c>
      <c r="F174" s="143" t="str">
        <f>VLOOKUP(B174,'AFC Data details'!$B:$B,1,0)</f>
        <v>AZ1-V31-T1C6-001</v>
      </c>
    </row>
    <row r="175" spans="1:6" x14ac:dyDescent="0.25">
      <c r="A175" s="148">
        <v>46008</v>
      </c>
      <c r="B175" s="3" t="s">
        <v>1323</v>
      </c>
      <c r="C175" s="3">
        <v>1</v>
      </c>
      <c r="D175" s="3" t="s">
        <v>1951</v>
      </c>
      <c r="E175" s="143" t="str">
        <f>VLOOKUP(B175,'Element wise-detail Summary'!$A:$C,3,0)</f>
        <v>Zone-1</v>
      </c>
      <c r="F175" s="143" t="str">
        <f>VLOOKUP(B175,'AFC Data details'!$B:$B,1,0)</f>
        <v>AZ1-V29-T1C6-004</v>
      </c>
    </row>
    <row r="176" spans="1:6" x14ac:dyDescent="0.25">
      <c r="A176" s="148">
        <v>46008</v>
      </c>
      <c r="B176" s="3" t="s">
        <v>1348</v>
      </c>
      <c r="C176" s="3">
        <v>1</v>
      </c>
      <c r="D176" s="3" t="s">
        <v>1951</v>
      </c>
      <c r="E176" s="143" t="str">
        <f>VLOOKUP(B176,'Element wise-detail Summary'!$A:$C,3,0)</f>
        <v>Zone-1</v>
      </c>
      <c r="F176" s="143" t="str">
        <f>VLOOKUP(B176,'AFC Data details'!$B:$B,1,0)</f>
        <v>AZ1-V32-T1C6-001</v>
      </c>
    </row>
    <row r="177" spans="1:6" x14ac:dyDescent="0.25">
      <c r="A177" s="148">
        <v>46008</v>
      </c>
      <c r="B177" s="3" t="s">
        <v>1407</v>
      </c>
      <c r="C177" s="3">
        <v>1</v>
      </c>
      <c r="D177" s="3" t="s">
        <v>1952</v>
      </c>
      <c r="E177" s="143" t="str">
        <f>VLOOKUP(B177,'Element wise-detail Summary'!$A:$C,3,0)</f>
        <v>Zone-2</v>
      </c>
      <c r="F177" s="143" t="str">
        <f>VLOOKUP(B177,'AFC Data details'!$B:$B,1,0)</f>
        <v>AZ2-V41-T1C6-006</v>
      </c>
    </row>
    <row r="178" spans="1:6" x14ac:dyDescent="0.25">
      <c r="A178" s="148">
        <v>46008</v>
      </c>
      <c r="B178" s="3" t="s">
        <v>1415</v>
      </c>
      <c r="C178" s="3">
        <v>1</v>
      </c>
      <c r="D178" s="3" t="s">
        <v>1952</v>
      </c>
      <c r="E178" s="143" t="str">
        <f>VLOOKUP(B178,'Element wise-detail Summary'!$A:$C,3,0)</f>
        <v>Zone-2</v>
      </c>
      <c r="F178" s="143" t="str">
        <f>VLOOKUP(B178,'AFC Data details'!$B:$B,1,0)</f>
        <v>AZ2-V41-T1C6-005</v>
      </c>
    </row>
    <row r="179" spans="1:6" x14ac:dyDescent="0.25">
      <c r="A179" s="148">
        <v>46008</v>
      </c>
      <c r="B179" s="3" t="s">
        <v>1405</v>
      </c>
      <c r="C179" s="3">
        <v>1</v>
      </c>
      <c r="D179" s="3" t="s">
        <v>1952</v>
      </c>
      <c r="E179" s="143" t="str">
        <f>VLOOKUP(B179,'Element wise-detail Summary'!$A:$C,3,0)</f>
        <v>Zone-2</v>
      </c>
      <c r="F179" s="143" t="str">
        <f>VLOOKUP(B179,'AFC Data details'!$B:$B,1,0)</f>
        <v>AZ2-V40-T1C1-001</v>
      </c>
    </row>
    <row r="180" spans="1:6" x14ac:dyDescent="0.25">
      <c r="A180" s="148">
        <v>46008</v>
      </c>
      <c r="B180" s="3" t="s">
        <v>1389</v>
      </c>
      <c r="C180" s="3">
        <v>1</v>
      </c>
      <c r="D180" s="3" t="s">
        <v>1952</v>
      </c>
      <c r="E180" s="143" t="str">
        <f>VLOOKUP(B180,'Element wise-detail Summary'!$A:$C,3,0)</f>
        <v>Zone-2</v>
      </c>
      <c r="F180" s="143" t="str">
        <f>VLOOKUP(B180,'AFC Data details'!$B:$B,1,0)</f>
        <v>AZ2-V39-T1C6-006</v>
      </c>
    </row>
    <row r="181" spans="1:6" x14ac:dyDescent="0.25">
      <c r="A181" s="148">
        <v>46009</v>
      </c>
      <c r="B181" s="3" t="s">
        <v>1408</v>
      </c>
      <c r="C181" s="3">
        <v>1</v>
      </c>
      <c r="D181" s="3" t="s">
        <v>1953</v>
      </c>
      <c r="E181" s="143" t="str">
        <f>VLOOKUP(B181,'Element wise-detail Summary'!$A:$C,3,0)</f>
        <v>Zone-2</v>
      </c>
      <c r="F181" s="143" t="str">
        <f>VLOOKUP(B181,'AFC Data details'!$B:$B,1,0)</f>
        <v>AZ2-V40-T1C6-002</v>
      </c>
    </row>
    <row r="182" spans="1:6" x14ac:dyDescent="0.25">
      <c r="A182" s="148">
        <v>46009</v>
      </c>
      <c r="B182" s="3" t="s">
        <v>1414</v>
      </c>
      <c r="C182" s="3">
        <v>1</v>
      </c>
      <c r="D182" s="3" t="s">
        <v>1953</v>
      </c>
      <c r="E182" s="143" t="str">
        <f>VLOOKUP(B182,'Element wise-detail Summary'!$A:$C,3,0)</f>
        <v>Zone-2</v>
      </c>
      <c r="F182" s="143" t="str">
        <f>VLOOKUP(B182,'AFC Data details'!$B:$B,1,0)</f>
        <v>AZ2-V41-T1C6-004</v>
      </c>
    </row>
    <row r="183" spans="1:6" x14ac:dyDescent="0.25">
      <c r="A183" s="148">
        <v>46009</v>
      </c>
      <c r="B183" s="3" t="s">
        <v>1412</v>
      </c>
      <c r="C183" s="3">
        <v>1</v>
      </c>
      <c r="D183" s="3" t="s">
        <v>1953</v>
      </c>
      <c r="E183" s="143" t="str">
        <f>VLOOKUP(B183,'Element wise-detail Summary'!$A:$C,3,0)</f>
        <v>Zone-2</v>
      </c>
      <c r="F183" s="143" t="str">
        <f>VLOOKUP(B183,'AFC Data details'!$B:$B,1,0)</f>
        <v>AZ2-V41-T1C6-002</v>
      </c>
    </row>
    <row r="184" spans="1:6" x14ac:dyDescent="0.25">
      <c r="A184" s="148">
        <v>46009</v>
      </c>
      <c r="B184" s="3" t="s">
        <v>1413</v>
      </c>
      <c r="C184" s="3">
        <v>1</v>
      </c>
      <c r="D184" s="3" t="s">
        <v>1953</v>
      </c>
      <c r="E184" s="143" t="str">
        <f>VLOOKUP(B184,'Element wise-detail Summary'!$A:$C,3,0)</f>
        <v>Zone-2</v>
      </c>
      <c r="F184" s="143" t="str">
        <f>VLOOKUP(B184,'AFC Data details'!$B:$B,1,0)</f>
        <v>AZ2-V41-T1C6-003</v>
      </c>
    </row>
    <row r="185" spans="1:6" x14ac:dyDescent="0.25">
      <c r="A185" s="148">
        <v>46010</v>
      </c>
      <c r="B185" s="3" t="s">
        <v>1370</v>
      </c>
      <c r="C185" s="3">
        <v>1</v>
      </c>
      <c r="D185" s="3" t="s">
        <v>1954</v>
      </c>
      <c r="E185" s="143" t="str">
        <f>VLOOKUP(B185,'Element wise-detail Summary'!$A:$C,3,0)</f>
        <v>Zone-2</v>
      </c>
      <c r="F185" s="143" t="str">
        <f>VLOOKUP(B185,'AFC Data details'!$B:$B,1,0)</f>
        <v>AZ2-V36-T1C6-001</v>
      </c>
    </row>
    <row r="186" spans="1:6" x14ac:dyDescent="0.25">
      <c r="A186" s="148">
        <v>46010</v>
      </c>
      <c r="B186" s="3" t="s">
        <v>1373</v>
      </c>
      <c r="C186" s="3">
        <v>1</v>
      </c>
      <c r="D186" s="3" t="s">
        <v>1954</v>
      </c>
      <c r="E186" s="143" t="str">
        <f>VLOOKUP(B186,'Element wise-detail Summary'!$A:$C,3,0)</f>
        <v>Zone-2</v>
      </c>
      <c r="F186" s="143" t="str">
        <f>VLOOKUP(B186,'AFC Data details'!$B:$B,1,0)</f>
        <v>AZ2-V36-T1C6-003</v>
      </c>
    </row>
    <row r="187" spans="1:6" x14ac:dyDescent="0.25">
      <c r="A187" s="148">
        <v>46010</v>
      </c>
      <c r="B187" s="3" t="s">
        <v>1371</v>
      </c>
      <c r="C187" s="3">
        <v>1</v>
      </c>
      <c r="D187" s="3" t="s">
        <v>1954</v>
      </c>
      <c r="E187" s="143" t="str">
        <f>VLOOKUP(B187,'Element wise-detail Summary'!$A:$C,3,0)</f>
        <v>Zone-2</v>
      </c>
      <c r="F187" s="143" t="str">
        <f>VLOOKUP(B187,'AFC Data details'!$B:$B,1,0)</f>
        <v>AZ2-V37-T1C6-006</v>
      </c>
    </row>
    <row r="188" spans="1:6" x14ac:dyDescent="0.25">
      <c r="A188" s="148">
        <v>46010</v>
      </c>
      <c r="B188" s="3" t="s">
        <v>1379</v>
      </c>
      <c r="C188" s="3">
        <v>1</v>
      </c>
      <c r="D188" s="3" t="s">
        <v>1954</v>
      </c>
      <c r="E188" s="143" t="str">
        <f>VLOOKUP(B188,'Element wise-detail Summary'!$A:$C,3,0)</f>
        <v>Zone-2</v>
      </c>
      <c r="F188" s="143" t="str">
        <f>VLOOKUP(B188,'AFC Data details'!$B:$B,1,0)</f>
        <v>AZ2-V37-T1C6-005</v>
      </c>
    </row>
    <row r="189" spans="1:6" x14ac:dyDescent="0.25">
      <c r="A189" s="148">
        <v>46011</v>
      </c>
      <c r="B189" s="3" t="s">
        <v>1376</v>
      </c>
      <c r="C189" s="3">
        <v>1</v>
      </c>
      <c r="D189" s="3" t="s">
        <v>1955</v>
      </c>
      <c r="E189" s="143" t="str">
        <f>VLOOKUP(B189,'Element wise-detail Summary'!$A:$C,3,0)</f>
        <v>Zone-2</v>
      </c>
      <c r="F189" s="143" t="str">
        <f>VLOOKUP(B189,'AFC Data details'!$B:$B,1,0)</f>
        <v>AZ2-V37-T1C6-002</v>
      </c>
    </row>
    <row r="190" spans="1:6" x14ac:dyDescent="0.25">
      <c r="A190" s="148">
        <v>46011</v>
      </c>
      <c r="B190" s="3" t="s">
        <v>1390</v>
      </c>
      <c r="C190" s="3">
        <v>1</v>
      </c>
      <c r="D190" s="3" t="s">
        <v>1955</v>
      </c>
      <c r="E190" s="143" t="str">
        <f>VLOOKUP(B190,'Element wise-detail Summary'!$A:$C,3,0)</f>
        <v>Zone-2</v>
      </c>
      <c r="F190" s="143" t="str">
        <f>VLOOKUP(B190,'AFC Data details'!$B:$B,1,0)</f>
        <v>AZ2-V38-T1C6-002</v>
      </c>
    </row>
    <row r="191" spans="1:6" x14ac:dyDescent="0.25">
      <c r="A191" s="148">
        <v>46011</v>
      </c>
      <c r="B191" s="3" t="s">
        <v>1391</v>
      </c>
      <c r="C191" s="3">
        <v>1</v>
      </c>
      <c r="D191" s="3" t="s">
        <v>1955</v>
      </c>
      <c r="E191" s="143" t="str">
        <f>VLOOKUP(B191,'Element wise-detail Summary'!$A:$C,3,0)</f>
        <v>Zone-2</v>
      </c>
      <c r="F191" s="143" t="str">
        <f>VLOOKUP(B191,'AFC Data details'!$B:$B,1,0)</f>
        <v>AZ2-V38-T1C6-003</v>
      </c>
    </row>
    <row r="192" spans="1:6" x14ac:dyDescent="0.25">
      <c r="A192" s="148">
        <v>46011</v>
      </c>
      <c r="B192" s="3" t="s">
        <v>1392</v>
      </c>
      <c r="C192" s="3">
        <v>1</v>
      </c>
      <c r="D192" s="3" t="s">
        <v>1955</v>
      </c>
      <c r="E192" s="143" t="str">
        <f>VLOOKUP(B192,'Element wise-detail Summary'!$A:$C,3,0)</f>
        <v>Zone-2</v>
      </c>
      <c r="F192" s="143" t="str">
        <f>VLOOKUP(B192,'AFC Data details'!$B:$B,1,0)</f>
        <v>AZ2-V38-T1C6-004</v>
      </c>
    </row>
    <row r="193" spans="1:6" x14ac:dyDescent="0.25">
      <c r="A193" s="148">
        <v>46012</v>
      </c>
      <c r="B193" s="3" t="s">
        <v>1424</v>
      </c>
      <c r="C193" s="3">
        <v>1</v>
      </c>
      <c r="D193" s="3" t="s">
        <v>1956</v>
      </c>
      <c r="E193" s="143" t="str">
        <f>VLOOKUP(B193,'Element wise-detail Summary'!$A:$C,3,0)</f>
        <v>Zone-2</v>
      </c>
      <c r="F193" s="143" t="str">
        <f>VLOOKUP(B193,'AFC Data details'!$B:$B,1,0)</f>
        <v>AZ2-V42-T1C10-001</v>
      </c>
    </row>
    <row r="194" spans="1:6" x14ac:dyDescent="0.25">
      <c r="A194" s="148">
        <v>46012</v>
      </c>
      <c r="B194" s="129" t="s">
        <v>1427</v>
      </c>
      <c r="C194" s="3">
        <v>1</v>
      </c>
      <c r="D194" s="129" t="s">
        <v>1956</v>
      </c>
      <c r="E194" s="143" t="str">
        <f>VLOOKUP(B194,'Element wise-detail Summary'!$A:$C,3,0)</f>
        <v>Zone-2</v>
      </c>
      <c r="F194" s="143" t="str">
        <f>VLOOKUP(B194,'AFC Data details'!$B:$B,1,0)</f>
        <v>AZ2-V42-T1C13-003</v>
      </c>
    </row>
    <row r="195" spans="1:6" x14ac:dyDescent="0.25">
      <c r="A195" s="148">
        <v>46012</v>
      </c>
      <c r="B195" s="129" t="s">
        <v>1428</v>
      </c>
      <c r="C195" s="3">
        <v>1</v>
      </c>
      <c r="D195" s="129" t="s">
        <v>1956</v>
      </c>
      <c r="E195" s="143" t="str">
        <f>VLOOKUP(B195,'Element wise-detail Summary'!$A:$C,3,0)</f>
        <v>Zone-2</v>
      </c>
      <c r="F195" s="143" t="str">
        <f>VLOOKUP(B195,'AFC Data details'!$B:$B,1,0)</f>
        <v>AZ2-V42-T1C13-004</v>
      </c>
    </row>
    <row r="196" spans="1:6" x14ac:dyDescent="0.25">
      <c r="A196" s="148">
        <v>46012</v>
      </c>
      <c r="B196" s="129" t="s">
        <v>1429</v>
      </c>
      <c r="C196" s="3">
        <v>1</v>
      </c>
      <c r="D196" s="129" t="s">
        <v>1956</v>
      </c>
      <c r="E196" s="143" t="str">
        <f>VLOOKUP(B196,'Element wise-detail Summary'!$A:$C,3,0)</f>
        <v>Zone-2</v>
      </c>
      <c r="F196" s="143" t="str">
        <f>VLOOKUP(B196,'AFC Data details'!$B:$B,1,0)</f>
        <v>AZ2-V42-T1C13-005</v>
      </c>
    </row>
    <row r="197" spans="1:6" x14ac:dyDescent="0.25">
      <c r="A197" s="148">
        <v>46012</v>
      </c>
      <c r="B197" s="129" t="s">
        <v>1421</v>
      </c>
      <c r="C197" s="3">
        <v>1</v>
      </c>
      <c r="D197" s="129" t="s">
        <v>1957</v>
      </c>
      <c r="E197" s="143" t="str">
        <f>VLOOKUP(B197,'Element wise-detail Summary'!$A:$C,3,0)</f>
        <v>Zone-2</v>
      </c>
      <c r="F197" s="143" t="str">
        <f>VLOOKUP(B197,'AFC Data details'!$B:$B,1,0)</f>
        <v>AZ2-V41-T3C4-001</v>
      </c>
    </row>
    <row r="198" spans="1:6" x14ac:dyDescent="0.25">
      <c r="A198" s="148">
        <v>46012</v>
      </c>
      <c r="B198" s="129" t="s">
        <v>1422</v>
      </c>
      <c r="C198" s="3">
        <v>1</v>
      </c>
      <c r="D198" s="129" t="s">
        <v>1957</v>
      </c>
      <c r="E198" s="143" t="str">
        <f>VLOOKUP(B198,'Element wise-detail Summary'!$A:$C,3,0)</f>
        <v>Zone-2</v>
      </c>
      <c r="F198" s="143" t="str">
        <f>VLOOKUP(B198,'AFC Data details'!$B:$B,1,0)</f>
        <v>AZ2-V41-T3C4-002</v>
      </c>
    </row>
    <row r="199" spans="1:6" x14ac:dyDescent="0.25">
      <c r="A199" s="148">
        <v>46012</v>
      </c>
      <c r="B199" s="129" t="s">
        <v>1425</v>
      </c>
      <c r="C199" s="3">
        <v>1</v>
      </c>
      <c r="D199" s="129" t="s">
        <v>1957</v>
      </c>
      <c r="E199" s="143" t="str">
        <f>VLOOKUP(B199,'Element wise-detail Summary'!$A:$C,3,0)</f>
        <v>Zone-2</v>
      </c>
      <c r="F199" s="143" t="str">
        <f>VLOOKUP(B199,'AFC Data details'!$B:$B,1,0)</f>
        <v>AZ2-V42-T1C13-001</v>
      </c>
    </row>
    <row r="200" spans="1:6" x14ac:dyDescent="0.25">
      <c r="A200" s="148">
        <v>46012</v>
      </c>
      <c r="B200" s="129" t="s">
        <v>1426</v>
      </c>
      <c r="C200" s="3">
        <v>1</v>
      </c>
      <c r="D200" s="129" t="s">
        <v>1957</v>
      </c>
      <c r="E200" s="143" t="str">
        <f>VLOOKUP(B200,'Element wise-detail Summary'!$A:$C,3,0)</f>
        <v>Zone-2</v>
      </c>
      <c r="F200" s="143" t="str">
        <f>VLOOKUP(B200,'AFC Data details'!$B:$B,1,0)</f>
        <v>AZ2-V42-T1C13-002</v>
      </c>
    </row>
    <row r="201" spans="1:6" x14ac:dyDescent="0.25">
      <c r="A201" s="148">
        <v>46013</v>
      </c>
      <c r="B201" s="3" t="s">
        <v>1410</v>
      </c>
      <c r="C201" s="161">
        <v>1</v>
      </c>
      <c r="D201" s="161" t="s">
        <v>1959</v>
      </c>
      <c r="E201" s="143" t="str">
        <f>VLOOKUP(B201,'Element wise-detail Summary'!$A:$C,3,0)</f>
        <v>Zone-2</v>
      </c>
      <c r="F201" s="143" t="str">
        <f>VLOOKUP(B201,'AFC Data details'!$B:$B,1,0)</f>
        <v>AZ2-V40-T1C6-004</v>
      </c>
    </row>
    <row r="202" spans="1:6" x14ac:dyDescent="0.25">
      <c r="A202" s="148">
        <v>46013</v>
      </c>
      <c r="B202" s="3" t="s">
        <v>1402</v>
      </c>
      <c r="C202" s="161">
        <v>1</v>
      </c>
      <c r="D202" s="161" t="s">
        <v>1959</v>
      </c>
      <c r="E202" s="143" t="str">
        <f>VLOOKUP(B202,'Element wise-detail Summary'!$A:$C,3,0)</f>
        <v>Zone-2</v>
      </c>
      <c r="F202" s="143" t="str">
        <f>VLOOKUP(B202,'AFC Data details'!$B:$B,1,0)</f>
        <v>AZ2-V39-T2C1-001</v>
      </c>
    </row>
    <row r="203" spans="1:6" x14ac:dyDescent="0.25">
      <c r="A203" s="148">
        <v>46013</v>
      </c>
      <c r="B203" s="3" t="s">
        <v>1403</v>
      </c>
      <c r="C203" s="161">
        <v>1</v>
      </c>
      <c r="D203" s="161" t="s">
        <v>1959</v>
      </c>
      <c r="E203" s="143" t="str">
        <f>VLOOKUP(B203,'Element wise-detail Summary'!$A:$C,3,0)</f>
        <v>Zone-2</v>
      </c>
      <c r="F203" s="143" t="str">
        <f>VLOOKUP(B203,'AFC Data details'!$B:$B,1,0)</f>
        <v>AZ2-V39-T3C4-001</v>
      </c>
    </row>
    <row r="204" spans="1:6" x14ac:dyDescent="0.25">
      <c r="A204" s="148">
        <v>46013</v>
      </c>
      <c r="B204" s="3" t="s">
        <v>1404</v>
      </c>
      <c r="C204" s="161">
        <v>1</v>
      </c>
      <c r="D204" s="161" t="s">
        <v>1959</v>
      </c>
      <c r="E204" s="143" t="str">
        <f>VLOOKUP(B204,'Element wise-detail Summary'!$A:$C,3,0)</f>
        <v>Zone-2</v>
      </c>
      <c r="F204" s="143" t="str">
        <f>VLOOKUP(B204,'AFC Data details'!$B:$B,1,0)</f>
        <v>AZ2-V39-T3C4-002</v>
      </c>
    </row>
    <row r="205" spans="1:6" x14ac:dyDescent="0.25">
      <c r="A205" s="148">
        <v>46027</v>
      </c>
      <c r="B205" s="3" t="s">
        <v>1366</v>
      </c>
      <c r="C205" s="3">
        <v>1</v>
      </c>
      <c r="D205" s="3" t="s">
        <v>2035</v>
      </c>
      <c r="E205" s="143" t="str">
        <f>VLOOKUP(B205,'Element wise-detail Summary'!$A:$C,3,0)</f>
        <v>Zone-2</v>
      </c>
      <c r="F205" s="143" t="str">
        <f>VLOOKUP(B205,'AFC Data details'!$B:$B,1,0)</f>
        <v>AZ2-V35-T2C1-001</v>
      </c>
    </row>
    <row r="206" spans="1:6" x14ac:dyDescent="0.25">
      <c r="A206" s="148">
        <v>46027</v>
      </c>
      <c r="B206" s="3" t="s">
        <v>1360</v>
      </c>
      <c r="C206" s="3">
        <v>1</v>
      </c>
      <c r="D206" s="3" t="s">
        <v>2035</v>
      </c>
      <c r="E206" s="143" t="str">
        <f>VLOOKUP(B206,'Element wise-detail Summary'!$A:$C,3,0)</f>
        <v>Zone-2</v>
      </c>
      <c r="F206" s="143" t="str">
        <f>VLOOKUP(B206,'AFC Data details'!$B:$B,1,0)</f>
        <v>AZ2-V35-T1C13-002</v>
      </c>
    </row>
    <row r="207" spans="1:6" x14ac:dyDescent="0.25">
      <c r="A207" s="148">
        <v>46027</v>
      </c>
      <c r="B207" s="3" t="s">
        <v>1377</v>
      </c>
      <c r="C207" s="3">
        <v>1</v>
      </c>
      <c r="D207" s="3" t="s">
        <v>2035</v>
      </c>
      <c r="E207" s="143" t="str">
        <f>VLOOKUP(B207,'Element wise-detail Summary'!$A:$C,3,0)</f>
        <v>Zone-2</v>
      </c>
      <c r="F207" s="143" t="str">
        <f>VLOOKUP(B207,'AFC Data details'!$B:$B,1,0)</f>
        <v>AZ2-V37-T1C6-003</v>
      </c>
    </row>
    <row r="208" spans="1:6" x14ac:dyDescent="0.25">
      <c r="A208" s="148">
        <v>46027</v>
      </c>
      <c r="B208" s="3" t="s">
        <v>1384</v>
      </c>
      <c r="C208" s="3">
        <v>1</v>
      </c>
      <c r="D208" s="3" t="s">
        <v>2035</v>
      </c>
      <c r="E208" s="143" t="str">
        <f>VLOOKUP(B208,'Element wise-detail Summary'!$A:$C,3,0)</f>
        <v>Zone-2</v>
      </c>
      <c r="F208" s="143" t="str">
        <f>VLOOKUP(B208,'AFC Data details'!$B:$B,1,0)</f>
        <v>AZ2-V37-T2C1-001</v>
      </c>
    </row>
    <row r="209" spans="1:6" x14ac:dyDescent="0.25">
      <c r="A209" s="148">
        <v>46027</v>
      </c>
      <c r="B209" s="3" t="s">
        <v>1382</v>
      </c>
      <c r="C209" s="3">
        <v>1</v>
      </c>
      <c r="D209" s="3" t="s">
        <v>2036</v>
      </c>
      <c r="E209" s="143" t="str">
        <f>VLOOKUP(B209,'Element wise-detail Summary'!$A:$C,3,0)</f>
        <v>Zone-2</v>
      </c>
      <c r="F209" s="143" t="str">
        <f>VLOOKUP(B209,'AFC Data details'!$B:$B,1,0)</f>
        <v>AZ2-V36-T3C5-001</v>
      </c>
    </row>
    <row r="210" spans="1:6" x14ac:dyDescent="0.25">
      <c r="A210" s="148">
        <v>46027</v>
      </c>
      <c r="B210" s="3" t="s">
        <v>1385</v>
      </c>
      <c r="C210" s="3">
        <v>1</v>
      </c>
      <c r="D210" s="3" t="s">
        <v>2036</v>
      </c>
      <c r="E210" s="143" t="str">
        <f>VLOOKUP(B210,'Element wise-detail Summary'!$A:$C,3,0)</f>
        <v>Zone-2</v>
      </c>
      <c r="F210" s="143" t="str">
        <f>VLOOKUP(B210,'AFC Data details'!$B:$B,1,0)</f>
        <v>AZ2-V37-T3C5-001</v>
      </c>
    </row>
    <row r="211" spans="1:6" x14ac:dyDescent="0.25">
      <c r="A211" s="148">
        <v>46027</v>
      </c>
      <c r="B211" s="3" t="s">
        <v>1361</v>
      </c>
      <c r="C211" s="3">
        <v>1</v>
      </c>
      <c r="D211" s="3" t="s">
        <v>2036</v>
      </c>
      <c r="E211" s="143" t="str">
        <f>VLOOKUP(B211,'Element wise-detail Summary'!$A:$C,3,0)</f>
        <v>Zone-2</v>
      </c>
      <c r="F211" s="143" t="str">
        <f>VLOOKUP(B211,'AFC Data details'!$B:$B,1,0)</f>
        <v>AZ2-V35-T1C14-001</v>
      </c>
    </row>
    <row r="212" spans="1:6" x14ac:dyDescent="0.25">
      <c r="A212" s="148">
        <v>46027</v>
      </c>
      <c r="B212" s="3" t="s">
        <v>1397</v>
      </c>
      <c r="C212" s="3">
        <v>1</v>
      </c>
      <c r="D212" s="3" t="s">
        <v>2036</v>
      </c>
      <c r="E212" s="143" t="str">
        <f>VLOOKUP(B212,'Element wise-detail Summary'!$A:$C,3,0)</f>
        <v>Zone-2</v>
      </c>
      <c r="F212" s="143" t="str">
        <f>VLOOKUP(B212,'AFC Data details'!$B:$B,1,0)</f>
        <v>AZ2-V39-T1C6-005</v>
      </c>
    </row>
    <row r="213" spans="1:6" x14ac:dyDescent="0.25">
      <c r="A213" s="148">
        <v>46027</v>
      </c>
      <c r="B213" s="3" t="s">
        <v>1375</v>
      </c>
      <c r="C213" s="3">
        <v>1</v>
      </c>
      <c r="D213" s="3" t="s">
        <v>2037</v>
      </c>
      <c r="E213" s="143" t="str">
        <f>VLOOKUP(B213,'Element wise-detail Summary'!$A:$C,3,0)</f>
        <v>Zone-2</v>
      </c>
      <c r="F213" s="143" t="str">
        <f>VLOOKUP(B213,'AFC Data details'!$B:$B,1,0)</f>
        <v>AZ2-V36-T1C6-005</v>
      </c>
    </row>
    <row r="214" spans="1:6" x14ac:dyDescent="0.25">
      <c r="A214" s="148">
        <v>46027</v>
      </c>
      <c r="B214" s="3" t="s">
        <v>1386</v>
      </c>
      <c r="C214" s="3">
        <v>1</v>
      </c>
      <c r="D214" s="3" t="s">
        <v>2037</v>
      </c>
      <c r="E214" s="143" t="str">
        <f>VLOOKUP(B214,'Element wise-detail Summary'!$A:$C,3,0)</f>
        <v>Zone-2</v>
      </c>
      <c r="F214" s="143" t="str">
        <f>VLOOKUP(B214,'AFC Data details'!$B:$B,1,0)</f>
        <v>AZ2-V37-T3C5-002</v>
      </c>
    </row>
    <row r="215" spans="1:6" x14ac:dyDescent="0.25">
      <c r="A215" s="148">
        <v>46027</v>
      </c>
      <c r="B215" s="145" t="s">
        <v>1387</v>
      </c>
      <c r="C215" s="151">
        <v>0</v>
      </c>
      <c r="D215" s="152" t="s">
        <v>2037</v>
      </c>
      <c r="E215" s="143" t="str">
        <f>VLOOKUP(B215,'Element wise-detail Summary'!$A:$C,3,0)</f>
        <v>Zone-2</v>
      </c>
      <c r="F215" s="143" t="str">
        <f>VLOOKUP(B215,'AFC Data details'!$B:$B,1,0)</f>
        <v>AZ2-V38-T1C2-001</v>
      </c>
    </row>
    <row r="216" spans="1:6" x14ac:dyDescent="0.25">
      <c r="A216" s="148">
        <v>46027</v>
      </c>
      <c r="B216" s="145" t="s">
        <v>1369</v>
      </c>
      <c r="C216" s="151">
        <v>1</v>
      </c>
      <c r="D216" s="152" t="s">
        <v>2037</v>
      </c>
      <c r="E216" s="143" t="str">
        <f>VLOOKUP(B216,'Element wise-detail Summary'!$A:$C,3,0)</f>
        <v>Zone-2</v>
      </c>
      <c r="F216" s="143" t="str">
        <f>VLOOKUP(B216,'AFC Data details'!$B:$B,1,0)</f>
        <v>AZ2-V36-T1C2-001</v>
      </c>
    </row>
    <row r="217" spans="1:6" x14ac:dyDescent="0.25">
      <c r="A217" s="148">
        <v>46027</v>
      </c>
      <c r="B217" s="145" t="s">
        <v>1359</v>
      </c>
      <c r="C217" s="151">
        <v>1</v>
      </c>
      <c r="D217" s="152" t="s">
        <v>2038</v>
      </c>
      <c r="E217" s="143" t="str">
        <f>VLOOKUP(B217,'Element wise-detail Summary'!$A:$C,3,0)</f>
        <v>Zone-2</v>
      </c>
      <c r="F217" s="143" t="str">
        <f>VLOOKUP(B217,'AFC Data details'!$B:$B,1,0)</f>
        <v>AZ2-V35-T1C13-001</v>
      </c>
    </row>
    <row r="218" spans="1:6" x14ac:dyDescent="0.25">
      <c r="A218" s="148">
        <v>46027</v>
      </c>
      <c r="B218" s="145" t="s">
        <v>1381</v>
      </c>
      <c r="C218" s="151">
        <v>1</v>
      </c>
      <c r="D218" s="152" t="s">
        <v>2038</v>
      </c>
      <c r="E218" s="143" t="str">
        <f>VLOOKUP(B218,'Element wise-detail Summary'!$A:$C,3,0)</f>
        <v>Zone-2</v>
      </c>
      <c r="F218" s="143" t="str">
        <f>VLOOKUP(B218,'AFC Data details'!$B:$B,1,0)</f>
        <v>AZ2-V37-T1C6-001</v>
      </c>
    </row>
    <row r="219" spans="1:6" x14ac:dyDescent="0.25">
      <c r="A219" s="148">
        <v>46027</v>
      </c>
      <c r="B219" s="3" t="s">
        <v>1399</v>
      </c>
      <c r="C219" s="3">
        <v>1</v>
      </c>
      <c r="D219" s="3" t="s">
        <v>2038</v>
      </c>
      <c r="E219" s="143" t="str">
        <f>VLOOKUP(B219,'Element wise-detail Summary'!$A:$C,3,0)</f>
        <v>Zone-2</v>
      </c>
      <c r="F219" s="143" t="str">
        <f>VLOOKUP(B219,'AFC Data details'!$B:$B,1,0)</f>
        <v>AZ2-V39-T1C6-001</v>
      </c>
    </row>
    <row r="220" spans="1:6" x14ac:dyDescent="0.25">
      <c r="A220" s="148">
        <v>46027</v>
      </c>
      <c r="B220" s="3" t="s">
        <v>1409</v>
      </c>
      <c r="C220" s="3">
        <v>1</v>
      </c>
      <c r="D220" s="3" t="s">
        <v>2038</v>
      </c>
      <c r="E220" s="143" t="str">
        <f>VLOOKUP(B220,'Element wise-detail Summary'!$A:$C,3,0)</f>
        <v>Zone-2</v>
      </c>
      <c r="F220" s="143" t="str">
        <f>VLOOKUP(B220,'AFC Data details'!$B:$B,1,0)</f>
        <v>AZ2-V40-T1C6-003</v>
      </c>
    </row>
    <row r="221" spans="1:6" x14ac:dyDescent="0.25">
      <c r="A221" s="181">
        <v>46028</v>
      </c>
      <c r="B221" s="3" t="s">
        <v>1406</v>
      </c>
      <c r="C221" s="3">
        <v>1</v>
      </c>
      <c r="D221" s="3" t="s">
        <v>2039</v>
      </c>
      <c r="E221" s="143" t="str">
        <f>VLOOKUP(B221,'Element wise-detail Summary'!$A:$C,3,0)</f>
        <v>Zone-2</v>
      </c>
      <c r="F221" s="143" t="str">
        <f>VLOOKUP(B221,'AFC Data details'!$B:$B,1,0)</f>
        <v>AZ2-V40-T1C6-001</v>
      </c>
    </row>
    <row r="222" spans="1:6" x14ac:dyDescent="0.25">
      <c r="A222" s="181">
        <v>46028</v>
      </c>
      <c r="B222" s="3" t="s">
        <v>1395</v>
      </c>
      <c r="C222" s="3">
        <v>1</v>
      </c>
      <c r="D222" s="3" t="s">
        <v>2039</v>
      </c>
      <c r="E222" s="143" t="str">
        <f>VLOOKUP(B222,'Element wise-detail Summary'!$A:$C,3,0)</f>
        <v>Zone-2</v>
      </c>
      <c r="F222" s="143" t="str">
        <f>VLOOKUP(B222,'AFC Data details'!$B:$B,1,0)</f>
        <v>AZ2-V39-T1C6-003</v>
      </c>
    </row>
    <row r="223" spans="1:6" x14ac:dyDescent="0.25">
      <c r="A223" s="181">
        <v>46028</v>
      </c>
      <c r="B223" s="3" t="s">
        <v>1396</v>
      </c>
      <c r="C223" s="3">
        <v>1</v>
      </c>
      <c r="D223" s="3" t="s">
        <v>2039</v>
      </c>
      <c r="E223" s="143" t="str">
        <f>VLOOKUP(B223,'Element wise-detail Summary'!$A:$C,3,0)</f>
        <v>Zone-2</v>
      </c>
      <c r="F223" s="143" t="str">
        <f>VLOOKUP(B223,'AFC Data details'!$B:$B,1,0)</f>
        <v>AZ2-V39-T1C6-004</v>
      </c>
    </row>
    <row r="224" spans="1:6" x14ac:dyDescent="0.25">
      <c r="A224" s="181">
        <v>46028</v>
      </c>
      <c r="B224" s="3" t="s">
        <v>1388</v>
      </c>
      <c r="C224" s="3">
        <v>1</v>
      </c>
      <c r="D224" s="3" t="s">
        <v>2039</v>
      </c>
      <c r="E224" s="143" t="str">
        <f>VLOOKUP(B224,'Element wise-detail Summary'!$A:$C,3,0)</f>
        <v>Zone-2</v>
      </c>
      <c r="F224" s="143" t="str">
        <f>VLOOKUP(B224,'AFC Data details'!$B:$B,1,0)</f>
        <v>AZ2-V38-T1C6-001</v>
      </c>
    </row>
    <row r="225" spans="1:6" x14ac:dyDescent="0.25">
      <c r="A225" s="181">
        <v>46028</v>
      </c>
      <c r="B225" s="3" t="s">
        <v>1394</v>
      </c>
      <c r="C225" s="3">
        <v>1</v>
      </c>
      <c r="D225" s="3" t="s">
        <v>2040</v>
      </c>
      <c r="E225" s="143" t="str">
        <f>VLOOKUP(B225,'Element wise-detail Summary'!$A:$C,3,0)</f>
        <v>Zone-2</v>
      </c>
      <c r="F225" s="143" t="str">
        <f>VLOOKUP(B225,'AFC Data details'!$B:$B,1,0)</f>
        <v>AZ2-V39-T1C6-002</v>
      </c>
    </row>
    <row r="226" spans="1:6" x14ac:dyDescent="0.25">
      <c r="A226" s="181">
        <v>46028</v>
      </c>
      <c r="B226" s="3" t="s">
        <v>1378</v>
      </c>
      <c r="C226" s="3">
        <v>1</v>
      </c>
      <c r="D226" s="3" t="s">
        <v>2040</v>
      </c>
      <c r="E226" s="143" t="str">
        <f>VLOOKUP(B226,'Element wise-detail Summary'!$A:$C,3,0)</f>
        <v>Zone-2</v>
      </c>
      <c r="F226" s="143" t="str">
        <f>VLOOKUP(B226,'AFC Data details'!$B:$B,1,0)</f>
        <v>AZ2-V37-T1C6-004</v>
      </c>
    </row>
    <row r="227" spans="1:6" x14ac:dyDescent="0.25">
      <c r="A227" s="181">
        <v>46028</v>
      </c>
      <c r="B227" s="3" t="s">
        <v>1417</v>
      </c>
      <c r="C227" s="3">
        <v>1</v>
      </c>
      <c r="D227" s="3" t="s">
        <v>2040</v>
      </c>
      <c r="E227" s="143" t="str">
        <f>VLOOKUP(B227,'Element wise-detail Summary'!$A:$C,3,0)</f>
        <v>Zone-2</v>
      </c>
      <c r="F227" s="143" t="str">
        <f>VLOOKUP(B227,'AFC Data details'!$B:$B,1,0)</f>
        <v>AZ2-V41-T1C6-001</v>
      </c>
    </row>
    <row r="228" spans="1:6" x14ac:dyDescent="0.25">
      <c r="A228" s="181">
        <v>46028</v>
      </c>
      <c r="B228" s="3" t="s">
        <v>1374</v>
      </c>
      <c r="C228" s="3">
        <v>1</v>
      </c>
      <c r="D228" s="3" t="s">
        <v>2040</v>
      </c>
      <c r="E228" s="143" t="str">
        <f>VLOOKUP(B228,'Element wise-detail Summary'!$A:$C,3,0)</f>
        <v>Zone-2</v>
      </c>
      <c r="F228" s="143" t="str">
        <f>VLOOKUP(B228,'AFC Data details'!$B:$B,1,0)</f>
        <v>AZ2-V36-T1C6-004</v>
      </c>
    </row>
    <row r="229" spans="1:6" x14ac:dyDescent="0.25">
      <c r="A229" s="181">
        <v>46029</v>
      </c>
      <c r="B229" s="3" t="s">
        <v>1365</v>
      </c>
      <c r="C229" s="3">
        <v>1</v>
      </c>
      <c r="D229" s="3" t="s">
        <v>2041</v>
      </c>
      <c r="E229" s="143" t="str">
        <f>VLOOKUP(B229,'Element wise-detail Summary'!$A:$C,3,0)</f>
        <v>Zone-2</v>
      </c>
      <c r="F229" s="143" t="str">
        <f>VLOOKUP(B229,'AFC Data details'!$B:$B,1,0)</f>
        <v>AZ2-V35-T1C14-004</v>
      </c>
    </row>
    <row r="230" spans="1:6" x14ac:dyDescent="0.25">
      <c r="A230" s="181">
        <v>46029</v>
      </c>
      <c r="B230" s="3" t="s">
        <v>1367</v>
      </c>
      <c r="C230" s="3">
        <v>1</v>
      </c>
      <c r="D230" s="3" t="s">
        <v>2041</v>
      </c>
      <c r="E230" s="143" t="str">
        <f>VLOOKUP(B230,'Element wise-detail Summary'!$A:$C,3,0)</f>
        <v>Zone-2</v>
      </c>
      <c r="F230" s="143" t="str">
        <f>VLOOKUP(B230,'AFC Data details'!$B:$B,1,0)</f>
        <v>AZ2-V35-T3C5-001</v>
      </c>
    </row>
    <row r="231" spans="1:6" x14ac:dyDescent="0.25">
      <c r="A231" s="181">
        <v>46029</v>
      </c>
      <c r="B231" s="3" t="s">
        <v>1368</v>
      </c>
      <c r="C231" s="3">
        <v>1</v>
      </c>
      <c r="D231" s="3" t="s">
        <v>2041</v>
      </c>
      <c r="E231" s="143" t="str">
        <f>VLOOKUP(B231,'Element wise-detail Summary'!$A:$C,3,0)</f>
        <v>Zone-2</v>
      </c>
      <c r="F231" s="143" t="str">
        <f>VLOOKUP(B231,'AFC Data details'!$B:$B,1,0)</f>
        <v>AZ2-V35-T3C5-002</v>
      </c>
    </row>
    <row r="232" spans="1:6" x14ac:dyDescent="0.25">
      <c r="A232" s="181">
        <v>46029</v>
      </c>
      <c r="B232" s="3" t="s">
        <v>1372</v>
      </c>
      <c r="C232" s="3">
        <v>1</v>
      </c>
      <c r="D232" s="3" t="s">
        <v>2041</v>
      </c>
      <c r="E232" s="143" t="str">
        <f>VLOOKUP(B232,'Element wise-detail Summary'!$A:$C,3,0)</f>
        <v>Zone-2</v>
      </c>
      <c r="F232" s="143" t="str">
        <f>VLOOKUP(B232,'AFC Data details'!$B:$B,1,0)</f>
        <v>AZ2-V36-T1C6-002</v>
      </c>
    </row>
    <row r="233" spans="1:6" x14ac:dyDescent="0.25">
      <c r="A233" s="181">
        <v>46034</v>
      </c>
      <c r="B233" s="3" t="s">
        <v>1198</v>
      </c>
      <c r="C233" s="3">
        <v>1</v>
      </c>
      <c r="D233" s="3" t="s">
        <v>2173</v>
      </c>
      <c r="E233" s="143" t="str">
        <f>VLOOKUP(B233,'Element wise-detail Summary'!$A:$C,3,0)</f>
        <v>Zone-1</v>
      </c>
      <c r="F233" s="143" t="str">
        <f>VLOOKUP(B233,'AFC Data details'!$B:$B,1,0)</f>
        <v>AZ1-V19-T1C2-001</v>
      </c>
    </row>
    <row r="234" spans="1:6" x14ac:dyDescent="0.25">
      <c r="A234" s="181">
        <v>46034</v>
      </c>
      <c r="B234" s="3" t="s">
        <v>1186</v>
      </c>
      <c r="C234" s="3">
        <v>1</v>
      </c>
      <c r="D234" s="3" t="s">
        <v>2173</v>
      </c>
      <c r="E234" s="143" t="str">
        <f>VLOOKUP(B234,'Element wise-detail Summary'!$A:$C,3,0)</f>
        <v>Zone-1</v>
      </c>
      <c r="F234" s="143" t="str">
        <f>VLOOKUP(B234,'AFC Data details'!$B:$B,1,0)</f>
        <v>AZ1-V19-T3C5-001</v>
      </c>
    </row>
    <row r="235" spans="1:6" x14ac:dyDescent="0.25">
      <c r="A235" s="181">
        <v>46034</v>
      </c>
      <c r="B235" s="3" t="s">
        <v>1223</v>
      </c>
      <c r="C235" s="3">
        <v>1</v>
      </c>
      <c r="D235" s="3" t="s">
        <v>2173</v>
      </c>
      <c r="E235" s="143" t="str">
        <f>VLOOKUP(B235,'Element wise-detail Summary'!$A:$C,3,0)</f>
        <v>Zone-1</v>
      </c>
      <c r="F235" s="143" t="str">
        <f>VLOOKUP(B235,'AFC Data details'!$B:$B,1,0)</f>
        <v>AZ1-V19-T1C17-001</v>
      </c>
    </row>
    <row r="236" spans="1:6" x14ac:dyDescent="0.25">
      <c r="A236" s="181">
        <v>46034</v>
      </c>
      <c r="B236" s="3" t="s">
        <v>1226</v>
      </c>
      <c r="C236" s="3">
        <v>1</v>
      </c>
      <c r="D236" s="3" t="s">
        <v>2173</v>
      </c>
      <c r="E236" s="143" t="str">
        <f>VLOOKUP(B236,'Element wise-detail Summary'!$A:$C,3,0)</f>
        <v>Zone-1</v>
      </c>
      <c r="F236" s="143" t="str">
        <f>VLOOKUP(B236,'AFC Data details'!$B:$B,1,0)</f>
        <v>AZ1-V19-T1C18-002</v>
      </c>
    </row>
    <row r="237" spans="1:6" x14ac:dyDescent="0.25">
      <c r="A237" s="181">
        <v>46035</v>
      </c>
      <c r="B237" s="3" t="s">
        <v>1221</v>
      </c>
      <c r="C237" s="3">
        <v>1</v>
      </c>
      <c r="D237" s="3" t="s">
        <v>2174</v>
      </c>
      <c r="E237" s="143" t="str">
        <f>VLOOKUP(B237,'Element wise-detail Summary'!$A:$C,3,0)</f>
        <v>Zone-1</v>
      </c>
      <c r="F237" s="143" t="str">
        <f>VLOOKUP(B237,'AFC Data details'!$B:$B,1,0)</f>
        <v>AZ1-V19-T1C15S-001</v>
      </c>
    </row>
    <row r="238" spans="1:6" x14ac:dyDescent="0.25">
      <c r="A238" s="181">
        <v>46035</v>
      </c>
      <c r="B238" s="3" t="s">
        <v>1227</v>
      </c>
      <c r="C238" s="3">
        <v>1</v>
      </c>
      <c r="D238" s="3" t="s">
        <v>2174</v>
      </c>
      <c r="E238" s="143" t="str">
        <f>VLOOKUP(B238,'Element wise-detail Summary'!$A:$C,3,0)</f>
        <v>Zone-1</v>
      </c>
      <c r="F238" s="143" t="str">
        <f>VLOOKUP(B238,'AFC Data details'!$B:$B,1,0)</f>
        <v>AZ1-V19-T1C18-003</v>
      </c>
    </row>
    <row r="239" spans="1:6" x14ac:dyDescent="0.25">
      <c r="A239" s="181">
        <v>46035</v>
      </c>
      <c r="B239" s="3" t="s">
        <v>1216</v>
      </c>
      <c r="C239" s="3">
        <v>1</v>
      </c>
      <c r="D239" s="3" t="s">
        <v>2174</v>
      </c>
      <c r="E239" s="143" t="str">
        <f>VLOOKUP(B239,'Element wise-detail Summary'!$A:$C,3,0)</f>
        <v>Zone-1</v>
      </c>
      <c r="F239" s="143" t="str">
        <f>VLOOKUP(B239,'AFC Data details'!$B:$B,1,0)</f>
        <v>AZ1-V19-T1C10-002</v>
      </c>
    </row>
    <row r="240" spans="1:6" x14ac:dyDescent="0.25">
      <c r="A240" s="181">
        <v>46035</v>
      </c>
      <c r="B240" s="3" t="s">
        <v>1215</v>
      </c>
      <c r="C240" s="3">
        <v>1</v>
      </c>
      <c r="D240" s="3" t="s">
        <v>2174</v>
      </c>
      <c r="E240" s="143" t="str">
        <f>VLOOKUP(B240,'Element wise-detail Summary'!$A:$C,3,0)</f>
        <v>Zone-1</v>
      </c>
      <c r="F240" s="143" t="str">
        <f>VLOOKUP(B240,'AFC Data details'!$B:$B,1,0)</f>
        <v>AZ1-V19-T1C10-001</v>
      </c>
    </row>
    <row r="241" spans="1:6" x14ac:dyDescent="0.25">
      <c r="A241" s="148">
        <v>46038</v>
      </c>
      <c r="B241" s="153" t="s">
        <v>1796</v>
      </c>
      <c r="C241" s="3">
        <v>1</v>
      </c>
      <c r="D241" s="3" t="s">
        <v>2175</v>
      </c>
      <c r="E241" s="143" t="str">
        <f>VLOOKUP(B241,'Element wise-detail Summary'!$A:$C,3,0)</f>
        <v>Zone-4</v>
      </c>
      <c r="F241" s="143" t="str">
        <f>VLOOKUP(B241,'AFC Data details'!$B:$B,1,0)</f>
        <v>AZ4-V06-T3C3S-002</v>
      </c>
    </row>
    <row r="242" spans="1:6" x14ac:dyDescent="0.25">
      <c r="A242" s="148">
        <v>46038</v>
      </c>
      <c r="B242" s="153" t="s">
        <v>1794</v>
      </c>
      <c r="C242" s="3">
        <v>1</v>
      </c>
      <c r="D242" s="3" t="s">
        <v>2175</v>
      </c>
      <c r="E242" s="143" t="str">
        <f>VLOOKUP(B242,'Element wise-detail Summary'!$A:$C,3,0)</f>
        <v>Zone-4</v>
      </c>
      <c r="F242" s="143" t="str">
        <f>VLOOKUP(B242,'AFC Data details'!$B:$B,1,0)</f>
        <v>AZ4-V06-T3C3-001</v>
      </c>
    </row>
    <row r="243" spans="1:6" x14ac:dyDescent="0.25">
      <c r="A243" s="148">
        <v>46038</v>
      </c>
      <c r="B243" s="153" t="s">
        <v>1795</v>
      </c>
      <c r="C243" s="3">
        <v>1</v>
      </c>
      <c r="D243" s="3" t="s">
        <v>2175</v>
      </c>
      <c r="E243" s="143" t="str">
        <f>VLOOKUP(B243,'Element wise-detail Summary'!$A:$C,3,0)</f>
        <v>Zone-4</v>
      </c>
      <c r="F243" s="143" t="str">
        <f>VLOOKUP(B243,'AFC Data details'!$B:$B,1,0)</f>
        <v>AZ4-V06-T3C3S-001</v>
      </c>
    </row>
    <row r="244" spans="1:6" x14ac:dyDescent="0.25">
      <c r="A244" s="148">
        <v>46038</v>
      </c>
      <c r="B244" s="153" t="s">
        <v>1797</v>
      </c>
      <c r="C244" s="3">
        <v>1</v>
      </c>
      <c r="D244" s="3" t="s">
        <v>2175</v>
      </c>
      <c r="E244" s="143" t="str">
        <f>VLOOKUP(B244,'Element wise-detail Summary'!$A:$C,3,0)</f>
        <v>Zone-4</v>
      </c>
      <c r="F244" s="143" t="str">
        <f>VLOOKUP(B244,'AFC Data details'!$B:$B,1,0)</f>
        <v>AZ4-V06-T3C3S-003</v>
      </c>
    </row>
    <row r="245" spans="1:6" x14ac:dyDescent="0.25">
      <c r="A245" s="148">
        <v>46038</v>
      </c>
      <c r="B245" s="153" t="s">
        <v>1790</v>
      </c>
      <c r="C245" s="3">
        <v>1</v>
      </c>
      <c r="D245" s="3" t="s">
        <v>2176</v>
      </c>
      <c r="E245" s="143" t="str">
        <f>VLOOKUP(B245,'Element wise-detail Summary'!$A:$C,3,0)</f>
        <v>Zone-4</v>
      </c>
      <c r="F245" s="143" t="str">
        <f>VLOOKUP(B245,'AFC Data details'!$B:$B,1,0)</f>
        <v>AZ4-V05-T3C3-002</v>
      </c>
    </row>
    <row r="246" spans="1:6" x14ac:dyDescent="0.25">
      <c r="A246" s="148">
        <v>46038</v>
      </c>
      <c r="B246" s="153" t="s">
        <v>1791</v>
      </c>
      <c r="C246" s="3">
        <v>1</v>
      </c>
      <c r="D246" s="3" t="s">
        <v>2176</v>
      </c>
      <c r="E246" s="143" t="str">
        <f>VLOOKUP(B246,'Element wise-detail Summary'!$A:$C,3,0)</f>
        <v>Zone-4</v>
      </c>
      <c r="F246" s="143" t="str">
        <f>VLOOKUP(B246,'AFC Data details'!$B:$B,1,0)</f>
        <v>AZ4-V05-T3C3-003</v>
      </c>
    </row>
    <row r="247" spans="1:6" x14ac:dyDescent="0.25">
      <c r="A247" s="148">
        <v>46038</v>
      </c>
      <c r="B247" s="153" t="s">
        <v>1983</v>
      </c>
      <c r="C247" s="3">
        <v>1</v>
      </c>
      <c r="D247" s="3" t="s">
        <v>2176</v>
      </c>
      <c r="E247" s="143" t="str">
        <f>VLOOKUP(B247,'Element wise-detail Summary'!$A:$C,3,0)</f>
        <v>Zone-4</v>
      </c>
      <c r="F247" s="143" t="str">
        <f>VLOOKUP(B247,'AFC Data details'!$B:$B,1,0)</f>
        <v>AZ4-V05-T3C3-004</v>
      </c>
    </row>
    <row r="248" spans="1:6" x14ac:dyDescent="0.25">
      <c r="A248" s="148">
        <v>46038</v>
      </c>
      <c r="B248" s="153" t="s">
        <v>1788</v>
      </c>
      <c r="C248" s="3">
        <v>1</v>
      </c>
      <c r="D248" s="3" t="s">
        <v>2176</v>
      </c>
      <c r="E248" s="143" t="str">
        <f>VLOOKUP(B248,'Element wise-detail Summary'!$A:$C,3,0)</f>
        <v>Zone-4</v>
      </c>
      <c r="F248" s="143" t="str">
        <f>VLOOKUP(B248,'AFC Data details'!$B:$B,1,0)</f>
        <v>AZ4-V05-T3C3-001</v>
      </c>
    </row>
    <row r="249" spans="1:6" x14ac:dyDescent="0.25">
      <c r="A249" s="148">
        <v>46039</v>
      </c>
      <c r="B249" s="153" t="s">
        <v>1985</v>
      </c>
      <c r="C249" s="3">
        <v>1</v>
      </c>
      <c r="D249" s="3" t="s">
        <v>2177</v>
      </c>
      <c r="E249" s="143" t="str">
        <f>VLOOKUP(B249,'Element wise-detail Summary'!$A:$C,3,0)</f>
        <v>Zone-4</v>
      </c>
      <c r="F249" s="143" t="str">
        <f>VLOOKUP(B249,'AFC Data details'!$B:$B,1,0)</f>
        <v>AZ4-V08-T3C3-004</v>
      </c>
    </row>
    <row r="250" spans="1:6" x14ac:dyDescent="0.25">
      <c r="A250" s="148">
        <v>46039</v>
      </c>
      <c r="B250" s="153" t="s">
        <v>1825</v>
      </c>
      <c r="C250" s="3">
        <v>1</v>
      </c>
      <c r="D250" s="3" t="s">
        <v>2177</v>
      </c>
      <c r="E250" s="143" t="str">
        <f>VLOOKUP(B250,'Element wise-detail Summary'!$A:$C,3,0)</f>
        <v>Zone-4</v>
      </c>
      <c r="F250" s="143" t="str">
        <f>VLOOKUP(B250,'AFC Data details'!$B:$B,1,0)</f>
        <v>AZ4-V13-T3C6-002</v>
      </c>
    </row>
    <row r="251" spans="1:6" x14ac:dyDescent="0.25">
      <c r="A251" s="148">
        <v>46039</v>
      </c>
      <c r="B251" s="153" t="s">
        <v>1857</v>
      </c>
      <c r="C251" s="3">
        <v>1</v>
      </c>
      <c r="D251" s="3" t="s">
        <v>2177</v>
      </c>
      <c r="E251" s="143" t="str">
        <f>VLOOKUP(B251,'Element wise-detail Summary'!$A:$C,3,0)</f>
        <v>Zone-4</v>
      </c>
      <c r="F251" s="143" t="str">
        <f>VLOOKUP(B251,'AFC Data details'!$B:$B,1,0)</f>
        <v>AZ4-V10-T1C6-001</v>
      </c>
    </row>
    <row r="252" spans="1:6" x14ac:dyDescent="0.25">
      <c r="A252" s="148">
        <v>46039</v>
      </c>
      <c r="B252" s="153" t="s">
        <v>1838</v>
      </c>
      <c r="C252" s="3">
        <v>1</v>
      </c>
      <c r="D252" s="3" t="s">
        <v>2177</v>
      </c>
      <c r="E252" s="143" t="str">
        <f>VLOOKUP(B252,'Element wise-detail Summary'!$A:$C,3,0)</f>
        <v>Zone-4</v>
      </c>
      <c r="F252" s="143" t="str">
        <f>VLOOKUP(B252,'AFC Data details'!$B:$B,1,0)</f>
        <v>AZ4-V16-T1C14-001</v>
      </c>
    </row>
    <row r="253" spans="1:6" x14ac:dyDescent="0.25">
      <c r="A253" s="148">
        <v>46041</v>
      </c>
      <c r="B253" s="153" t="s">
        <v>1782</v>
      </c>
      <c r="C253" s="3">
        <v>1</v>
      </c>
      <c r="D253" s="3" t="s">
        <v>2178</v>
      </c>
      <c r="E253" s="143" t="str">
        <f>VLOOKUP(B253,'Element wise-detail Summary'!$A:$C,3,0)</f>
        <v>Zone-4</v>
      </c>
      <c r="F253" s="143" t="str">
        <f>VLOOKUP(B253,'AFC Data details'!$B:$B,1,0)</f>
        <v>AZ4-V03-T3C5-001</v>
      </c>
    </row>
    <row r="254" spans="1:6" x14ac:dyDescent="0.25">
      <c r="A254" s="148">
        <v>46041</v>
      </c>
      <c r="B254" s="153" t="s">
        <v>1798</v>
      </c>
      <c r="C254" s="3">
        <v>1</v>
      </c>
      <c r="D254" s="3" t="s">
        <v>2178</v>
      </c>
      <c r="E254" s="143" t="str">
        <f>VLOOKUP(B254,'Element wise-detail Summary'!$A:$C,3,0)</f>
        <v>Zone-4</v>
      </c>
      <c r="F254" s="143" t="str">
        <f>VLOOKUP(B254,'AFC Data details'!$B:$B,1,0)</f>
        <v>AZ4-V07-T3C3S-001</v>
      </c>
    </row>
    <row r="255" spans="1:6" x14ac:dyDescent="0.25">
      <c r="A255" s="148">
        <v>46041</v>
      </c>
      <c r="B255" s="153" t="s">
        <v>1855</v>
      </c>
      <c r="C255" s="3">
        <v>1</v>
      </c>
      <c r="D255" s="3" t="s">
        <v>2178</v>
      </c>
      <c r="E255" s="143" t="str">
        <f>VLOOKUP(B255,'Element wise-detail Summary'!$A:$C,3,0)</f>
        <v>Zone-4</v>
      </c>
      <c r="F255" s="143" t="str">
        <f>VLOOKUP(B255,'AFC Data details'!$B:$B,1,0)</f>
        <v>AZ4-V08-T2C1-001</v>
      </c>
    </row>
    <row r="256" spans="1:6" x14ac:dyDescent="0.25">
      <c r="A256" s="148">
        <v>46041</v>
      </c>
      <c r="B256" s="3" t="s">
        <v>1856</v>
      </c>
      <c r="C256" s="3">
        <v>1</v>
      </c>
      <c r="D256" s="3" t="s">
        <v>2178</v>
      </c>
      <c r="E256" s="143" t="str">
        <f>VLOOKUP(B256,'Element wise-detail Summary'!$A:$C,3,0)</f>
        <v>Zone-4</v>
      </c>
      <c r="F256" s="143" t="str">
        <f>VLOOKUP(B256,'AFC Data details'!$B:$B,1,0)</f>
        <v>AZ4-V09-T1C6-001</v>
      </c>
    </row>
    <row r="257" spans="1:7" x14ac:dyDescent="0.25">
      <c r="A257" s="148">
        <v>46041</v>
      </c>
      <c r="B257" s="3" t="s">
        <v>1845</v>
      </c>
      <c r="C257" s="3">
        <v>1</v>
      </c>
      <c r="D257" s="3" t="s">
        <v>2179</v>
      </c>
      <c r="E257" s="143" t="str">
        <f>VLOOKUP(B257,'Element wise-detail Summary'!$A:$C,3,0)</f>
        <v>Zone-4</v>
      </c>
      <c r="F257" s="143" t="str">
        <f>VLOOKUP(B257,'AFC Data details'!$B:$B,1,0)</f>
        <v>AZ4-V04-T2C1-001</v>
      </c>
    </row>
    <row r="258" spans="1:7" x14ac:dyDescent="0.25">
      <c r="A258" s="148">
        <v>46041</v>
      </c>
      <c r="B258" s="3" t="s">
        <v>1842</v>
      </c>
      <c r="C258" s="3">
        <v>1</v>
      </c>
      <c r="D258" s="3" t="s">
        <v>2179</v>
      </c>
      <c r="E258" s="143" t="str">
        <f>VLOOKUP(B258,'Element wise-detail Summary'!$A:$C,3,0)</f>
        <v>Zone-4</v>
      </c>
      <c r="F258" s="143" t="str">
        <f>VLOOKUP(B258,'AFC Data details'!$B:$B,1,0)</f>
        <v>AZ4-V04-T1C6-002</v>
      </c>
    </row>
    <row r="259" spans="1:7" x14ac:dyDescent="0.25">
      <c r="A259" s="148">
        <v>46041</v>
      </c>
      <c r="B259" s="3" t="s">
        <v>1969</v>
      </c>
      <c r="C259" s="3">
        <v>1</v>
      </c>
      <c r="D259" s="3" t="s">
        <v>2179</v>
      </c>
      <c r="E259" s="143" t="str">
        <f>VLOOKUP(B259,'Element wise-detail Summary'!$A:$C,3,0)</f>
        <v>Zone-4</v>
      </c>
      <c r="F259" s="143" t="str">
        <f>VLOOKUP(B259,'AFC Data details'!$B:$B,1,0)</f>
        <v>AZ4-V05-T1C6-002</v>
      </c>
    </row>
    <row r="260" spans="1:7" x14ac:dyDescent="0.25">
      <c r="A260" s="148">
        <v>46041</v>
      </c>
      <c r="B260" s="3" t="s">
        <v>1846</v>
      </c>
      <c r="C260" s="3">
        <v>1</v>
      </c>
      <c r="D260" s="3" t="s">
        <v>2179</v>
      </c>
      <c r="E260" s="143" t="str">
        <f>VLOOKUP(B260,'Element wise-detail Summary'!$A:$C,3,0)</f>
        <v>Zone-4</v>
      </c>
      <c r="F260" s="143" t="str">
        <f>VLOOKUP(B260,'AFC Data details'!$B:$B,1,0)</f>
        <v>AZ4-V05-T1C6-001</v>
      </c>
    </row>
    <row r="261" spans="1:7" x14ac:dyDescent="0.25">
      <c r="A261" s="148">
        <v>46042</v>
      </c>
      <c r="B261" s="3" t="s">
        <v>1847</v>
      </c>
      <c r="C261" s="3">
        <v>1</v>
      </c>
      <c r="D261" s="3" t="s">
        <v>2180</v>
      </c>
      <c r="E261" s="143" t="str">
        <f>VLOOKUP(B261,'Element wise-detail Summary'!$A:$C,3,0)</f>
        <v>Zone-4</v>
      </c>
      <c r="F261" s="143" t="str">
        <f>VLOOKUP(B261,'AFC Data details'!$B:$B,1,0)</f>
        <v>AZ4-V05-T1C6-006</v>
      </c>
    </row>
    <row r="262" spans="1:7" x14ac:dyDescent="0.25">
      <c r="A262" s="148">
        <v>46042</v>
      </c>
      <c r="B262" s="3" t="s">
        <v>1785</v>
      </c>
      <c r="C262" s="3">
        <v>1</v>
      </c>
      <c r="D262" s="3" t="s">
        <v>2180</v>
      </c>
      <c r="E262" s="143" t="str">
        <f>VLOOKUP(B262,'Element wise-detail Summary'!$A:$C,3,0)</f>
        <v>Zone-4</v>
      </c>
      <c r="F262" s="143" t="str">
        <f>VLOOKUP(B262,'AFC Data details'!$B:$B,1,0)</f>
        <v>AZ4-V04-T3C6-001</v>
      </c>
    </row>
    <row r="263" spans="1:7" x14ac:dyDescent="0.25">
      <c r="A263" s="148">
        <v>46042</v>
      </c>
      <c r="B263" s="3" t="s">
        <v>1961</v>
      </c>
      <c r="C263" s="3">
        <v>1</v>
      </c>
      <c r="D263" s="3" t="s">
        <v>2180</v>
      </c>
      <c r="E263" s="143" t="str">
        <f>VLOOKUP(B263,'Element wise-detail Summary'!$A:$C,3,0)</f>
        <v>Zone-4</v>
      </c>
      <c r="F263" s="143" t="str">
        <f>VLOOKUP(B263,'AFC Data details'!$B:$B,1,0)</f>
        <v>AZ4-V05-T1C6-005</v>
      </c>
    </row>
    <row r="264" spans="1:7" x14ac:dyDescent="0.25">
      <c r="A264" s="148">
        <v>46042</v>
      </c>
      <c r="B264" s="3" t="s">
        <v>1849</v>
      </c>
      <c r="C264" s="3">
        <v>1</v>
      </c>
      <c r="D264" s="3" t="s">
        <v>2180</v>
      </c>
      <c r="E264" s="143" t="str">
        <f>VLOOKUP(B264,'Element wise-detail Summary'!$A:$C,3,0)</f>
        <v>Zone-4</v>
      </c>
      <c r="F264" s="143" t="str">
        <f>VLOOKUP(B264,'AFC Data details'!$B:$B,1,0)</f>
        <v>AZ4-V06-T1C6-006</v>
      </c>
    </row>
    <row r="265" spans="1:7" x14ac:dyDescent="0.25">
      <c r="A265" s="148">
        <v>46042</v>
      </c>
      <c r="B265" s="3" t="s">
        <v>1780</v>
      </c>
      <c r="C265" s="3">
        <v>1</v>
      </c>
      <c r="D265" s="3" t="s">
        <v>2181</v>
      </c>
      <c r="E265" s="143" t="str">
        <f>VLOOKUP(B265,'Element wise-detail Summary'!$A:$C,3,0)</f>
        <v>Zone-4</v>
      </c>
      <c r="F265" s="143" t="str">
        <f>VLOOKUP(B265,'AFC Data details'!$B:$B,1,0)</f>
        <v>AZ4-V03-T3C4-002</v>
      </c>
    </row>
    <row r="266" spans="1:7" x14ac:dyDescent="0.25">
      <c r="A266" s="148">
        <v>46042</v>
      </c>
      <c r="B266" s="3" t="s">
        <v>1829</v>
      </c>
      <c r="C266" s="3">
        <v>1</v>
      </c>
      <c r="D266" s="3" t="s">
        <v>2181</v>
      </c>
      <c r="E266" s="143" t="str">
        <f>VLOOKUP(B266,'Element wise-detail Summary'!$A:$C,3,0)</f>
        <v>Zone-4</v>
      </c>
      <c r="F266" s="143" t="str">
        <f>VLOOKUP(B266,'AFC Data details'!$B:$B,1,0)</f>
        <v>AZ4-V14-T3C5-001</v>
      </c>
    </row>
    <row r="267" spans="1:7" x14ac:dyDescent="0.25">
      <c r="A267" s="148">
        <v>46042</v>
      </c>
      <c r="B267" s="3" t="s">
        <v>1972</v>
      </c>
      <c r="C267" s="3">
        <v>1</v>
      </c>
      <c r="D267" s="3" t="s">
        <v>2181</v>
      </c>
      <c r="E267" s="143" t="str">
        <f>VLOOKUP(B267,'Element wise-detail Summary'!$A:$C,3,0)</f>
        <v>Zone-4</v>
      </c>
      <c r="F267" s="143" t="str">
        <f>VLOOKUP(B267,'AFC Data details'!$B:$B,1,0)</f>
        <v>AZ4-V14-T1C6-005</v>
      </c>
    </row>
    <row r="268" spans="1:7" x14ac:dyDescent="0.25">
      <c r="A268" s="148">
        <v>46042</v>
      </c>
      <c r="B268" s="230" t="s">
        <v>1861</v>
      </c>
      <c r="C268" s="230">
        <v>0</v>
      </c>
      <c r="D268" s="230" t="s">
        <v>2181</v>
      </c>
      <c r="E268" s="231" t="str">
        <f>VLOOKUP(B268,'Element wise-detail Summary'!$A:$C,3,0)</f>
        <v>Zone-4</v>
      </c>
      <c r="F268" s="231" t="str">
        <f>VLOOKUP(B268,'AFC Data details'!$B:$B,1,0)</f>
        <v>AZ4-V12-T1C6-002</v>
      </c>
      <c r="G268" s="232" t="s">
        <v>2580</v>
      </c>
    </row>
    <row r="269" spans="1:7" x14ac:dyDescent="0.25">
      <c r="A269" s="148">
        <v>46042</v>
      </c>
      <c r="B269" s="3" t="s">
        <v>1821</v>
      </c>
      <c r="C269" s="3">
        <v>1</v>
      </c>
      <c r="D269" s="3" t="s">
        <v>2182</v>
      </c>
      <c r="E269" s="143" t="str">
        <f>VLOOKUP(B269,'Element wise-detail Summary'!$A:$C,3,0)</f>
        <v>Zone-4</v>
      </c>
      <c r="F269" s="143" t="str">
        <f>VLOOKUP(B269,'AFC Data details'!$B:$B,1,0)</f>
        <v>AZ4-V12-T3C4-001</v>
      </c>
    </row>
    <row r="270" spans="1:7" x14ac:dyDescent="0.25">
      <c r="A270" s="148">
        <v>46042</v>
      </c>
      <c r="B270" s="3" t="s">
        <v>1851</v>
      </c>
      <c r="C270" s="3">
        <v>1</v>
      </c>
      <c r="D270" s="3" t="s">
        <v>2182</v>
      </c>
      <c r="E270" s="143" t="str">
        <f>VLOOKUP(B270,'Element wise-detail Summary'!$A:$C,3,0)</f>
        <v>Zone-4</v>
      </c>
      <c r="F270" s="143" t="str">
        <f>VLOOKUP(B270,'AFC Data details'!$B:$B,1,0)</f>
        <v>AZ4-V07-T1C6-001</v>
      </c>
    </row>
    <row r="271" spans="1:7" x14ac:dyDescent="0.25">
      <c r="A271" s="148">
        <v>46042</v>
      </c>
      <c r="B271" s="3" t="s">
        <v>1823</v>
      </c>
      <c r="C271" s="3">
        <v>1</v>
      </c>
      <c r="D271" s="3" t="s">
        <v>2182</v>
      </c>
      <c r="E271" s="143" t="str">
        <f>VLOOKUP(B271,'Element wise-detail Summary'!$A:$C,3,0)</f>
        <v>Zone-4</v>
      </c>
      <c r="F271" s="143" t="str">
        <f>VLOOKUP(B271,'AFC Data details'!$B:$B,1,0)</f>
        <v>AZ4-V13-T3C6-001</v>
      </c>
    </row>
    <row r="272" spans="1:7" x14ac:dyDescent="0.25">
      <c r="A272" s="148">
        <v>46042</v>
      </c>
      <c r="B272" s="3" t="s">
        <v>1854</v>
      </c>
      <c r="C272" s="3">
        <v>1</v>
      </c>
      <c r="D272" s="3" t="s">
        <v>2182</v>
      </c>
      <c r="E272" s="143" t="str">
        <f>VLOOKUP(B272,'Element wise-detail Summary'!$A:$C,3,0)</f>
        <v>Zone-4</v>
      </c>
      <c r="F272" s="143" t="str">
        <f>VLOOKUP(B272,'AFC Data details'!$B:$B,1,0)</f>
        <v>AZ4-V08-T1C6-002</v>
      </c>
    </row>
    <row r="273" spans="1:6" x14ac:dyDescent="0.25">
      <c r="A273" s="148">
        <v>46043</v>
      </c>
      <c r="B273" s="3" t="s">
        <v>1783</v>
      </c>
      <c r="C273" s="3">
        <v>1</v>
      </c>
      <c r="D273" s="3" t="s">
        <v>2183</v>
      </c>
      <c r="E273" s="143" t="str">
        <f>VLOOKUP(B273,'Element wise-detail Summary'!$A:$C,3,0)</f>
        <v>Zone-4</v>
      </c>
      <c r="F273" s="143" t="str">
        <f>VLOOKUP(B273,'AFC Data details'!$B:$B,1,0)</f>
        <v>AZ4-V04-T1C2-001</v>
      </c>
    </row>
    <row r="274" spans="1:6" x14ac:dyDescent="0.25">
      <c r="A274" s="148">
        <v>46043</v>
      </c>
      <c r="B274" s="3" t="s">
        <v>1841</v>
      </c>
      <c r="C274" s="3">
        <v>1</v>
      </c>
      <c r="D274" s="3" t="s">
        <v>2183</v>
      </c>
      <c r="E274" s="143" t="str">
        <f>VLOOKUP(B274,'Element wise-detail Summary'!$A:$C,3,0)</f>
        <v>Zone-4</v>
      </c>
      <c r="F274" s="143" t="str">
        <f>VLOOKUP(B274,'AFC Data details'!$B:$B,1,0)</f>
        <v>AZ4-V04-T1C6-001</v>
      </c>
    </row>
    <row r="275" spans="1:6" x14ac:dyDescent="0.25">
      <c r="A275" s="148">
        <v>46043</v>
      </c>
      <c r="B275" s="3" t="s">
        <v>1853</v>
      </c>
      <c r="C275" s="3">
        <v>1</v>
      </c>
      <c r="D275" s="3" t="s">
        <v>2183</v>
      </c>
      <c r="E275" s="143" t="str">
        <f>VLOOKUP(B275,'Element wise-detail Summary'!$A:$C,3,0)</f>
        <v>Zone-4</v>
      </c>
      <c r="F275" s="143" t="str">
        <f>VLOOKUP(B275,'AFC Data details'!$B:$B,1,0)</f>
        <v>AZ4-V08-T1C6-001</v>
      </c>
    </row>
    <row r="276" spans="1:6" x14ac:dyDescent="0.25">
      <c r="A276" s="148">
        <v>46043</v>
      </c>
      <c r="B276" s="3" t="s">
        <v>1807</v>
      </c>
      <c r="C276" s="3">
        <v>1</v>
      </c>
      <c r="D276" s="3" t="s">
        <v>2183</v>
      </c>
      <c r="E276" s="143" t="str">
        <f>VLOOKUP(B276,'Element wise-detail Summary'!$A:$C,3,0)</f>
        <v>Zone-4</v>
      </c>
      <c r="F276" s="143" t="str">
        <f>VLOOKUP(B276,'AFC Data details'!$B:$B,1,0)</f>
        <v>AZ4-V08-T3C3-003</v>
      </c>
    </row>
    <row r="277" spans="1:6" x14ac:dyDescent="0.25">
      <c r="A277" s="148">
        <v>46044</v>
      </c>
      <c r="B277" s="3" t="s">
        <v>1990</v>
      </c>
      <c r="C277" s="3">
        <v>1</v>
      </c>
      <c r="D277" s="3" t="s">
        <v>2184</v>
      </c>
      <c r="E277" s="143" t="str">
        <f>VLOOKUP(B277,'Element wise-detail Summary'!$A:$C,3,0)</f>
        <v>Zone-4</v>
      </c>
      <c r="F277" s="143" t="str">
        <f>VLOOKUP(B277,'AFC Data details'!$B:$B,1,0)</f>
        <v>AZ4-V10-T2C1-001</v>
      </c>
    </row>
    <row r="278" spans="1:6" x14ac:dyDescent="0.25">
      <c r="A278" s="148">
        <v>46044</v>
      </c>
      <c r="B278" s="3" t="s">
        <v>1801</v>
      </c>
      <c r="C278" s="3">
        <v>1</v>
      </c>
      <c r="D278" s="3" t="s">
        <v>2184</v>
      </c>
      <c r="E278" s="143" t="str">
        <f>VLOOKUP(B278,'Element wise-detail Summary'!$A:$C,3,0)</f>
        <v>Zone-4</v>
      </c>
      <c r="F278" s="143" t="str">
        <f>VLOOKUP(B278,'AFC Data details'!$B:$B,1,0)</f>
        <v>AZ4-V07-T3C3S-004</v>
      </c>
    </row>
    <row r="279" spans="1:6" x14ac:dyDescent="0.25">
      <c r="A279" s="148">
        <v>46044</v>
      </c>
      <c r="B279" s="3" t="s">
        <v>1808</v>
      </c>
      <c r="C279" s="3">
        <v>1</v>
      </c>
      <c r="D279" s="3" t="s">
        <v>2184</v>
      </c>
      <c r="E279" s="143" t="str">
        <f>VLOOKUP(B279,'Element wise-detail Summary'!$A:$C,3,0)</f>
        <v>Zone-4</v>
      </c>
      <c r="F279" s="143" t="str">
        <f>VLOOKUP(B279,'AFC Data details'!$B:$B,1,0)</f>
        <v>AZ4-V08-T3C3-005</v>
      </c>
    </row>
    <row r="280" spans="1:6" x14ac:dyDescent="0.25">
      <c r="A280" s="148">
        <v>46044</v>
      </c>
      <c r="B280" s="3" t="s">
        <v>1806</v>
      </c>
      <c r="C280" s="3">
        <v>1</v>
      </c>
      <c r="D280" s="3" t="s">
        <v>2184</v>
      </c>
      <c r="E280" s="143" t="str">
        <f>VLOOKUP(B280,'Element wise-detail Summary'!$A:$C,3,0)</f>
        <v>Zone-4</v>
      </c>
      <c r="F280" s="143" t="str">
        <f>VLOOKUP(B280,'AFC Data details'!$B:$B,1,0)</f>
        <v>AZ4-V08-T3C3-002</v>
      </c>
    </row>
    <row r="281" spans="1:6" x14ac:dyDescent="0.25">
      <c r="A281" s="148">
        <v>46045</v>
      </c>
      <c r="B281" s="3" t="s">
        <v>1864</v>
      </c>
      <c r="C281" s="3">
        <v>1</v>
      </c>
      <c r="D281" s="3" t="s">
        <v>2185</v>
      </c>
      <c r="E281" s="143" t="str">
        <f>VLOOKUP(B281,'Element wise-detail Summary'!$A:$C,3,0)</f>
        <v>Zone-4</v>
      </c>
      <c r="F281" s="143" t="str">
        <f>VLOOKUP(B281,'AFC Data details'!$B:$B,1,0)</f>
        <v>AZ4-V14-T1C6-002</v>
      </c>
    </row>
    <row r="282" spans="1:6" x14ac:dyDescent="0.25">
      <c r="A282" s="148">
        <v>46045</v>
      </c>
      <c r="B282" s="3" t="s">
        <v>1995</v>
      </c>
      <c r="C282" s="3">
        <v>1</v>
      </c>
      <c r="D282" s="3" t="s">
        <v>2185</v>
      </c>
      <c r="E282" s="143" t="str">
        <f>VLOOKUP(B282,'Element wise-detail Summary'!$A:$C,3,0)</f>
        <v>Zone-4</v>
      </c>
      <c r="F282" s="143" t="str">
        <f>VLOOKUP(B282,'AFC Data details'!$B:$B,1,0)</f>
        <v>AZ4-V09-T1C6-003</v>
      </c>
    </row>
    <row r="283" spans="1:6" x14ac:dyDescent="0.25">
      <c r="A283" s="148">
        <v>46045</v>
      </c>
      <c r="B283" s="3" t="s">
        <v>1977</v>
      </c>
      <c r="C283" s="3">
        <v>1</v>
      </c>
      <c r="D283" s="3" t="s">
        <v>2185</v>
      </c>
      <c r="E283" s="143" t="str">
        <f>VLOOKUP(B283,'Element wise-detail Summary'!$A:$C,3,0)</f>
        <v>Zone-4</v>
      </c>
      <c r="F283" s="143" t="str">
        <f>VLOOKUP(B283,'AFC Data details'!$B:$B,1,0)</f>
        <v>AZ4-V06-T1C6-003</v>
      </c>
    </row>
    <row r="284" spans="1:6" x14ac:dyDescent="0.25">
      <c r="A284" s="148">
        <v>46045</v>
      </c>
      <c r="B284" s="3" t="s">
        <v>2003</v>
      </c>
      <c r="C284" s="3">
        <v>1</v>
      </c>
      <c r="D284" s="3" t="s">
        <v>2185</v>
      </c>
      <c r="E284" s="143" t="str">
        <f>VLOOKUP(B284,'Element wise-detail Summary'!$A:$C,3,0)</f>
        <v>Zone-4</v>
      </c>
      <c r="F284" s="143" t="str">
        <f>VLOOKUP(B284,'AFC Data details'!$B:$B,1,0)</f>
        <v>AZ4-V11-T1C6-003</v>
      </c>
    </row>
    <row r="285" spans="1:6" x14ac:dyDescent="0.25">
      <c r="A285" s="148">
        <v>46046</v>
      </c>
      <c r="B285" s="3" t="s">
        <v>1826</v>
      </c>
      <c r="C285" s="3">
        <v>1</v>
      </c>
      <c r="D285" s="3" t="s">
        <v>2186</v>
      </c>
      <c r="E285" s="143" t="str">
        <f>VLOOKUP(B285,'Element wise-detail Summary'!$A:$C,3,0)</f>
        <v>Zone-4</v>
      </c>
      <c r="F285" s="143" t="str">
        <f>VLOOKUP(B285,'AFC Data details'!$B:$B,1,0)</f>
        <v>AZ4-V14-T1C2-001</v>
      </c>
    </row>
    <row r="286" spans="1:6" x14ac:dyDescent="0.25">
      <c r="A286" s="148">
        <v>46046</v>
      </c>
      <c r="B286" s="3" t="s">
        <v>1828</v>
      </c>
      <c r="C286" s="3">
        <v>1</v>
      </c>
      <c r="D286" s="3" t="s">
        <v>2186</v>
      </c>
      <c r="E286" s="143" t="str">
        <f>VLOOKUP(B286,'Element wise-detail Summary'!$A:$C,3,0)</f>
        <v>Zone-4</v>
      </c>
      <c r="F286" s="143" t="str">
        <f>VLOOKUP(B286,'AFC Data details'!$B:$B,1,0)</f>
        <v>AZ4-V14-T3C4-001</v>
      </c>
    </row>
    <row r="287" spans="1:6" x14ac:dyDescent="0.25">
      <c r="A287" s="148">
        <v>46046</v>
      </c>
      <c r="B287" s="3" t="s">
        <v>2011</v>
      </c>
      <c r="C287" s="3">
        <v>1</v>
      </c>
      <c r="D287" s="3" t="s">
        <v>2186</v>
      </c>
      <c r="E287" s="143" t="str">
        <f>VLOOKUP(B287,'Element wise-detail Summary'!$A:$C,3,0)</f>
        <v>Zone-4</v>
      </c>
      <c r="F287" s="143" t="str">
        <f>VLOOKUP(B287,'AFC Data details'!$B:$B,1,0)</f>
        <v>AZ4-V14-T1C6-003</v>
      </c>
    </row>
    <row r="288" spans="1:6" x14ac:dyDescent="0.25">
      <c r="A288" s="148">
        <v>46046</v>
      </c>
      <c r="B288" s="3" t="s">
        <v>2012</v>
      </c>
      <c r="C288" s="3">
        <v>1</v>
      </c>
      <c r="D288" s="3" t="s">
        <v>2186</v>
      </c>
      <c r="E288" s="143" t="str">
        <f>VLOOKUP(B288,'Element wise-detail Summary'!$A:$C,3,0)</f>
        <v>Zone-4</v>
      </c>
      <c r="F288" s="143" t="str">
        <f>VLOOKUP(B288,'AFC Data details'!$B:$B,1,0)</f>
        <v>AZ4-V14-T1C6-004</v>
      </c>
    </row>
    <row r="289" spans="1:6" x14ac:dyDescent="0.25">
      <c r="A289" s="148">
        <v>46046</v>
      </c>
      <c r="B289" s="3" t="s">
        <v>1800</v>
      </c>
      <c r="C289" s="3">
        <v>1</v>
      </c>
      <c r="D289" s="3" t="s">
        <v>2187</v>
      </c>
      <c r="E289" s="143" t="str">
        <f>VLOOKUP(B289,'Element wise-detail Summary'!$A:$C,3,0)</f>
        <v>Zone-4</v>
      </c>
      <c r="F289" s="143" t="str">
        <f>VLOOKUP(B289,'AFC Data details'!$B:$B,1,0)</f>
        <v>AZ4-V07-T3C3S-002</v>
      </c>
    </row>
    <row r="290" spans="1:6" x14ac:dyDescent="0.25">
      <c r="A290" s="148">
        <v>46046</v>
      </c>
      <c r="B290" s="3" t="s">
        <v>1984</v>
      </c>
      <c r="C290" s="3">
        <v>1</v>
      </c>
      <c r="D290" s="3" t="s">
        <v>2187</v>
      </c>
      <c r="E290" s="143" t="str">
        <f>VLOOKUP(B290,'Element wise-detail Summary'!$A:$C,3,0)</f>
        <v>Zone-4</v>
      </c>
      <c r="F290" s="143" t="str">
        <f>VLOOKUP(B290,'AFC Data details'!$B:$B,1,0)</f>
        <v>AZ4-V07-T3C3S-003</v>
      </c>
    </row>
    <row r="291" spans="1:6" x14ac:dyDescent="0.25">
      <c r="A291" s="148">
        <v>46046</v>
      </c>
      <c r="B291" s="3" t="s">
        <v>1852</v>
      </c>
      <c r="C291" s="3">
        <v>1</v>
      </c>
      <c r="D291" s="3" t="s">
        <v>2187</v>
      </c>
      <c r="E291" s="143" t="str">
        <f>VLOOKUP(B291,'Element wise-detail Summary'!$A:$C,3,0)</f>
        <v>Zone-4</v>
      </c>
      <c r="F291" s="143" t="str">
        <f>VLOOKUP(B291,'AFC Data details'!$B:$B,1,0)</f>
        <v>AZ4-V07-T1C6-006</v>
      </c>
    </row>
    <row r="292" spans="1:6" x14ac:dyDescent="0.25">
      <c r="A292" s="148">
        <v>46046</v>
      </c>
      <c r="B292" s="3" t="s">
        <v>1960</v>
      </c>
      <c r="C292" s="3">
        <v>1</v>
      </c>
      <c r="D292" s="3" t="s">
        <v>2187</v>
      </c>
      <c r="E292" s="143" t="str">
        <f>VLOOKUP(B292,'Element wise-detail Summary'!$A:$C,3,0)</f>
        <v>Zone-4</v>
      </c>
      <c r="F292" s="143" t="str">
        <f>VLOOKUP(B292,'AFC Data details'!$B:$B,1,0)</f>
        <v>AZ4-V07-T1C6-004</v>
      </c>
    </row>
    <row r="293" spans="1:6" x14ac:dyDescent="0.25">
      <c r="A293" s="148">
        <v>46048</v>
      </c>
      <c r="B293" s="3" t="s">
        <v>1805</v>
      </c>
      <c r="C293" s="3">
        <v>1</v>
      </c>
      <c r="D293" s="3" t="s">
        <v>2188</v>
      </c>
      <c r="E293" s="143" t="str">
        <f>VLOOKUP(B293,'Element wise-detail Summary'!$A:$C,3,0)</f>
        <v>Zone-4</v>
      </c>
      <c r="F293" s="143" t="str">
        <f>VLOOKUP(B293,'AFC Data details'!$B:$B,1,0)</f>
        <v>AZ4-V08-T3C3-001</v>
      </c>
    </row>
    <row r="294" spans="1:6" x14ac:dyDescent="0.25">
      <c r="A294" s="148">
        <v>46048</v>
      </c>
      <c r="B294" s="3" t="s">
        <v>1815</v>
      </c>
      <c r="C294" s="3">
        <v>1</v>
      </c>
      <c r="D294" s="3" t="s">
        <v>2188</v>
      </c>
      <c r="E294" s="143" t="str">
        <f>VLOOKUP(B294,'Element wise-detail Summary'!$A:$C,3,0)</f>
        <v>Zone-4</v>
      </c>
      <c r="F294" s="143" t="str">
        <f>VLOOKUP(B294,'AFC Data details'!$B:$B,1,0)</f>
        <v>AZ4-V10-T3C5-001</v>
      </c>
    </row>
    <row r="295" spans="1:6" x14ac:dyDescent="0.25">
      <c r="A295" s="148">
        <v>46048</v>
      </c>
      <c r="B295" s="3" t="s">
        <v>1813</v>
      </c>
      <c r="C295" s="3">
        <v>1</v>
      </c>
      <c r="D295" s="3" t="s">
        <v>2188</v>
      </c>
      <c r="E295" s="143" t="str">
        <f>VLOOKUP(B295,'Element wise-detail Summary'!$A:$C,3,0)</f>
        <v>Zone-4</v>
      </c>
      <c r="F295" s="143" t="str">
        <f>VLOOKUP(B295,'AFC Data details'!$B:$B,1,0)</f>
        <v>AZ4-V10-T3C4-001</v>
      </c>
    </row>
    <row r="296" spans="1:6" x14ac:dyDescent="0.25">
      <c r="A296" s="148">
        <v>46048</v>
      </c>
      <c r="B296" s="3" t="s">
        <v>1994</v>
      </c>
      <c r="C296" s="3">
        <v>1</v>
      </c>
      <c r="D296" s="3" t="s">
        <v>2188</v>
      </c>
      <c r="E296" s="143" t="str">
        <f>VLOOKUP(B296,'Element wise-detail Summary'!$A:$C,3,0)</f>
        <v>Zone-4</v>
      </c>
      <c r="F296" s="143" t="str">
        <f>VLOOKUP(B296,'AFC Data details'!$B:$B,1,0)</f>
        <v>AZ4-V09-T1C6-002</v>
      </c>
    </row>
    <row r="297" spans="1:6" x14ac:dyDescent="0.25">
      <c r="A297" s="148">
        <v>46049</v>
      </c>
      <c r="B297" s="3" t="s">
        <v>1802</v>
      </c>
      <c r="C297" s="3">
        <v>1</v>
      </c>
      <c r="D297" s="169" t="s">
        <v>2189</v>
      </c>
      <c r="E297" s="143" t="str">
        <f>VLOOKUP(B297,'Element wise-detail Summary'!$A:$C,3,0)</f>
        <v>Zone-4</v>
      </c>
      <c r="F297" s="143" t="str">
        <f>VLOOKUP(B297,'AFC Data details'!$B:$B,1,0)</f>
        <v>AZ4-V07-T3C3S-005</v>
      </c>
    </row>
    <row r="298" spans="1:6" x14ac:dyDescent="0.25">
      <c r="A298" s="148">
        <v>46049</v>
      </c>
      <c r="B298" s="3" t="s">
        <v>1803</v>
      </c>
      <c r="C298" s="3">
        <v>1</v>
      </c>
      <c r="D298" s="169" t="s">
        <v>2189</v>
      </c>
      <c r="E298" s="143" t="str">
        <f>VLOOKUP(B298,'Element wise-detail Summary'!$A:$C,3,0)</f>
        <v>Zone-4</v>
      </c>
      <c r="F298" s="143" t="str">
        <f>VLOOKUP(B298,'AFC Data details'!$B:$B,1,0)</f>
        <v>AZ4-V08-T1C3S-001</v>
      </c>
    </row>
    <row r="299" spans="1:6" x14ac:dyDescent="0.25">
      <c r="A299" s="148">
        <v>46049</v>
      </c>
      <c r="B299" s="3" t="s">
        <v>1812</v>
      </c>
      <c r="C299" s="3">
        <v>1</v>
      </c>
      <c r="D299" s="169" t="s">
        <v>2189</v>
      </c>
      <c r="E299" s="143" t="str">
        <f>VLOOKUP(B299,'Element wise-detail Summary'!$A:$C,3,0)</f>
        <v>Zone-4</v>
      </c>
      <c r="F299" s="143" t="str">
        <f>VLOOKUP(B299,'AFC Data details'!$B:$B,1,0)</f>
        <v>AZ4-V09-T3C6-002</v>
      </c>
    </row>
    <row r="300" spans="1:6" x14ac:dyDescent="0.25">
      <c r="A300" s="148">
        <v>46049</v>
      </c>
      <c r="B300" s="3" t="s">
        <v>1430</v>
      </c>
      <c r="C300" s="3">
        <v>1</v>
      </c>
      <c r="D300" s="169" t="s">
        <v>2189</v>
      </c>
      <c r="E300" s="143" t="str">
        <f>VLOOKUP(B300,'Element wise-detail Summary'!$A:$C,3,0)</f>
        <v>Zone-2</v>
      </c>
      <c r="F300" s="143" t="str">
        <f>VLOOKUP(B300,'AFC Data details'!$B:$B,1,0)</f>
        <v>AZ2-V42-T3C1-001</v>
      </c>
    </row>
    <row r="301" spans="1:6" x14ac:dyDescent="0.25">
      <c r="A301" s="148">
        <v>46060</v>
      </c>
      <c r="B301" s="3" t="s">
        <v>1448</v>
      </c>
      <c r="C301" s="3">
        <v>1</v>
      </c>
      <c r="D301" s="3" t="s">
        <v>2453</v>
      </c>
      <c r="E301" s="143" t="str">
        <f>VLOOKUP(B301,'Element wise-detail Summary'!$A:$C,3,0)</f>
        <v>Zone-3</v>
      </c>
      <c r="F301" s="143" t="str">
        <f>VLOOKUP(B301,'AFC Data details'!$B:$B,1,0)</f>
        <v>AZ3-V47-T2C1-001</v>
      </c>
    </row>
    <row r="302" spans="1:6" x14ac:dyDescent="0.25">
      <c r="A302" s="148">
        <v>46060</v>
      </c>
      <c r="B302" s="3" t="s">
        <v>1478</v>
      </c>
      <c r="C302" s="3">
        <v>1</v>
      </c>
      <c r="D302" s="3" t="s">
        <v>2453</v>
      </c>
      <c r="E302" s="143" t="str">
        <f>VLOOKUP(B302,'Element wise-detail Summary'!$A:$C,3,0)</f>
        <v>Zone-3</v>
      </c>
      <c r="F302" s="143" t="str">
        <f>VLOOKUP(B302,'AFC Data details'!$B:$B,1,0)</f>
        <v>AZ3-V47-T3C6-001</v>
      </c>
    </row>
    <row r="303" spans="1:6" x14ac:dyDescent="0.25">
      <c r="A303" s="148">
        <v>46060</v>
      </c>
      <c r="B303" s="3" t="s">
        <v>1474</v>
      </c>
      <c r="C303" s="3">
        <v>1</v>
      </c>
      <c r="D303" s="3" t="s">
        <v>2453</v>
      </c>
      <c r="E303" s="143" t="str">
        <f>VLOOKUP(B303,'Element wise-detail Summary'!$A:$C,3,0)</f>
        <v>Zone-3</v>
      </c>
      <c r="F303" s="143" t="str">
        <f>VLOOKUP(B303,'AFC Data details'!$B:$B,1,0)</f>
        <v>AZ3-V45-T3C6-002</v>
      </c>
    </row>
    <row r="304" spans="1:6" x14ac:dyDescent="0.25">
      <c r="A304" s="148">
        <v>46060</v>
      </c>
      <c r="B304" s="3" t="s">
        <v>1467</v>
      </c>
      <c r="C304" s="3">
        <v>1</v>
      </c>
      <c r="D304" s="3" t="s">
        <v>2453</v>
      </c>
      <c r="E304" s="143" t="str">
        <f>VLOOKUP(B304,'Element wise-detail Summary'!$A:$C,3,0)</f>
        <v>Zone-3</v>
      </c>
      <c r="F304" s="143" t="str">
        <f>VLOOKUP(B304,'AFC Data details'!$B:$B,1,0)</f>
        <v>AZ3-V45-T1C3-001</v>
      </c>
    </row>
    <row r="305" spans="1:6" x14ac:dyDescent="0.25">
      <c r="A305" s="148">
        <v>46062</v>
      </c>
      <c r="B305" s="3" t="s">
        <v>1477</v>
      </c>
      <c r="C305" s="3">
        <v>1</v>
      </c>
      <c r="D305" s="3" t="s">
        <v>2519</v>
      </c>
      <c r="E305" s="143" t="str">
        <f>VLOOKUP(B305,'Element wise-detail Summary'!$A:$C,3,0)</f>
        <v>Zone-3</v>
      </c>
      <c r="F305" s="143" t="str">
        <f>VLOOKUP(B305,'AFC Data details'!$B:$B,1,0)</f>
        <v>AZ3-V47-T1C2-001</v>
      </c>
    </row>
    <row r="306" spans="1:6" x14ac:dyDescent="0.25">
      <c r="A306" s="148">
        <v>46062</v>
      </c>
      <c r="B306" s="3" t="s">
        <v>1476</v>
      </c>
      <c r="C306" s="3">
        <v>1</v>
      </c>
      <c r="D306" s="3" t="s">
        <v>2519</v>
      </c>
      <c r="E306" s="143" t="str">
        <f>VLOOKUP(B306,'Element wise-detail Summary'!$A:$C,3,0)</f>
        <v>Zone-3</v>
      </c>
      <c r="F306" s="143" t="str">
        <f>VLOOKUP(B306,'AFC Data details'!$B:$B,1,0)</f>
        <v>AZ3-V46-T3C6-002</v>
      </c>
    </row>
    <row r="307" spans="1:6" x14ac:dyDescent="0.25">
      <c r="A307" s="148">
        <v>46062</v>
      </c>
      <c r="B307" s="3" t="s">
        <v>1479</v>
      </c>
      <c r="C307" s="3">
        <v>1</v>
      </c>
      <c r="D307" s="3" t="s">
        <v>2519</v>
      </c>
      <c r="E307" s="143" t="str">
        <f>VLOOKUP(B307,'Element wise-detail Summary'!$A:$C,3,0)</f>
        <v>Zone-3</v>
      </c>
      <c r="F307" s="143" t="str">
        <f>VLOOKUP(B307,'AFC Data details'!$B:$B,1,0)</f>
        <v>AZ3-V47-T3C6-002</v>
      </c>
    </row>
    <row r="308" spans="1:6" x14ac:dyDescent="0.25">
      <c r="A308" s="148">
        <v>46062</v>
      </c>
      <c r="B308" s="3" t="s">
        <v>1487</v>
      </c>
      <c r="C308" s="3">
        <v>1</v>
      </c>
      <c r="D308" s="3" t="s">
        <v>2519</v>
      </c>
      <c r="E308" s="143" t="str">
        <f>VLOOKUP(B308,'Element wise-detail Summary'!$A:$C,3,0)</f>
        <v>Zone-3</v>
      </c>
      <c r="F308" s="143" t="str">
        <f>VLOOKUP(B308,'AFC Data details'!$B:$B,1,0)</f>
        <v>AZ3-V48-T3C6-001</v>
      </c>
    </row>
    <row r="309" spans="1:6" x14ac:dyDescent="0.25">
      <c r="A309" s="148">
        <v>46064</v>
      </c>
      <c r="B309" s="3" t="s">
        <v>1480</v>
      </c>
      <c r="C309" s="3">
        <v>1</v>
      </c>
      <c r="D309" s="3" t="s">
        <v>2520</v>
      </c>
      <c r="E309" s="143" t="str">
        <f>VLOOKUP(B309,'Element wise-detail Summary'!$A:$C,3,0)</f>
        <v>Zone-3</v>
      </c>
      <c r="F309" s="143" t="str">
        <f>VLOOKUP(B309,'AFC Data details'!$B:$B,1,0)</f>
        <v>AZ3-V47-T3C6-003</v>
      </c>
    </row>
    <row r="310" spans="1:6" x14ac:dyDescent="0.25">
      <c r="A310" s="148">
        <v>46064</v>
      </c>
      <c r="B310" s="3" t="s">
        <v>1481</v>
      </c>
      <c r="C310" s="3">
        <v>1</v>
      </c>
      <c r="D310" s="3" t="s">
        <v>2520</v>
      </c>
      <c r="E310" s="143" t="str">
        <f>VLOOKUP(B310,'Element wise-detail Summary'!$A:$C,3,0)</f>
        <v>Zone-3</v>
      </c>
      <c r="F310" s="143" t="str">
        <f>VLOOKUP(B310,'AFC Data details'!$B:$B,1,0)</f>
        <v>AZ3-V48-T1C13-001</v>
      </c>
    </row>
    <row r="311" spans="1:6" x14ac:dyDescent="0.25">
      <c r="A311" s="148">
        <v>46064</v>
      </c>
      <c r="B311" s="3" t="s">
        <v>1472</v>
      </c>
      <c r="C311" s="3">
        <v>1</v>
      </c>
      <c r="D311" s="3" t="s">
        <v>2520</v>
      </c>
      <c r="E311" s="143" t="str">
        <f>VLOOKUP(B311,'Element wise-detail Summary'!$A:$C,3,0)</f>
        <v>Zone-3</v>
      </c>
      <c r="F311" s="143" t="str">
        <f>VLOOKUP(B311,'AFC Data details'!$B:$B,1,0)</f>
        <v>AZ3-V45-T3C6-001</v>
      </c>
    </row>
    <row r="312" spans="1:6" x14ac:dyDescent="0.25">
      <c r="A312" s="148">
        <v>46064</v>
      </c>
      <c r="B312" s="3" t="s">
        <v>1475</v>
      </c>
      <c r="C312" s="3">
        <v>1</v>
      </c>
      <c r="D312" s="3" t="s">
        <v>2520</v>
      </c>
      <c r="E312" s="143" t="str">
        <f>VLOOKUP(B312,'Element wise-detail Summary'!$A:$C,3,0)</f>
        <v>Zone-3</v>
      </c>
      <c r="F312" s="143" t="str">
        <f>VLOOKUP(B312,'AFC Data details'!$B:$B,1,0)</f>
        <v>AZ3-V46-T3C6-001</v>
      </c>
    </row>
    <row r="313" spans="1:6" x14ac:dyDescent="0.25">
      <c r="A313" s="148">
        <v>46065</v>
      </c>
      <c r="B313" s="3" t="s">
        <v>1786</v>
      </c>
      <c r="C313" s="3">
        <v>1</v>
      </c>
      <c r="D313" s="3" t="s">
        <v>2521</v>
      </c>
      <c r="E313" s="143" t="str">
        <f>VLOOKUP(B313,'Element wise-detail Summary'!$A:$C,3,0)</f>
        <v>Zone-4</v>
      </c>
      <c r="F313" s="143" t="str">
        <f>VLOOKUP(B313,'AFC Data details'!$B:$B,1,0)</f>
        <v>AZ4-V04-T3C6-002</v>
      </c>
    </row>
    <row r="314" spans="1:6" x14ac:dyDescent="0.25">
      <c r="A314" s="148">
        <v>46065</v>
      </c>
      <c r="B314" s="3" t="s">
        <v>1850</v>
      </c>
      <c r="C314" s="3">
        <v>1</v>
      </c>
      <c r="D314" s="3" t="s">
        <v>2521</v>
      </c>
      <c r="E314" s="143" t="str">
        <f>VLOOKUP(B314,'Element wise-detail Summary'!$A:$C,3,0)</f>
        <v>Zone-4</v>
      </c>
      <c r="F314" s="143" t="str">
        <f>VLOOKUP(B314,'AFC Data details'!$B:$B,1,0)</f>
        <v>AZ4-V06-T2C1-001</v>
      </c>
    </row>
    <row r="315" spans="1:6" x14ac:dyDescent="0.25">
      <c r="A315" s="148">
        <v>46065</v>
      </c>
      <c r="B315" s="3" t="s">
        <v>1792</v>
      </c>
      <c r="C315" s="3">
        <v>1</v>
      </c>
      <c r="D315" s="3" t="s">
        <v>2521</v>
      </c>
      <c r="E315" s="143" t="str">
        <f>VLOOKUP(B315,'Element wise-detail Summary'!$A:$C,3,0)</f>
        <v>Zone-4</v>
      </c>
      <c r="F315" s="143" t="str">
        <f>VLOOKUP(B315,'AFC Data details'!$B:$B,1,0)</f>
        <v>AZ4-V06-T1C3-001</v>
      </c>
    </row>
    <row r="316" spans="1:6" x14ac:dyDescent="0.25">
      <c r="A316" s="148">
        <v>46065</v>
      </c>
      <c r="B316" s="3" t="s">
        <v>1787</v>
      </c>
      <c r="C316" s="3">
        <v>1</v>
      </c>
      <c r="D316" s="3" t="s">
        <v>2521</v>
      </c>
      <c r="E316" s="143" t="str">
        <f>VLOOKUP(B316,'Element wise-detail Summary'!$A:$C,3,0)</f>
        <v>Zone-4</v>
      </c>
      <c r="F316" s="143" t="str">
        <f>VLOOKUP(B316,'AFC Data details'!$B:$B,1,0)</f>
        <v>AZ4-V04-T3C6S-001</v>
      </c>
    </row>
    <row r="317" spans="1:6" x14ac:dyDescent="0.25">
      <c r="A317" s="148">
        <v>46069</v>
      </c>
      <c r="B317" s="3" t="s">
        <v>1866</v>
      </c>
      <c r="C317" s="3">
        <v>1</v>
      </c>
      <c r="D317" s="3" t="s">
        <v>2522</v>
      </c>
      <c r="E317" s="143" t="str">
        <f>VLOOKUP(B317,'Element wise-detail Summary'!$A:$C,3,0)</f>
        <v>Zone-4</v>
      </c>
      <c r="F317" s="143" t="str">
        <f>VLOOKUP(B317,'AFC Data details'!$B:$B,1,0)</f>
        <v>AZ4-V16-T2C1-001</v>
      </c>
    </row>
    <row r="318" spans="1:6" x14ac:dyDescent="0.25">
      <c r="A318" s="148">
        <v>46069</v>
      </c>
      <c r="B318" s="3" t="s">
        <v>1839</v>
      </c>
      <c r="C318" s="3">
        <v>1</v>
      </c>
      <c r="D318" s="3" t="s">
        <v>2522</v>
      </c>
      <c r="E318" s="143" t="str">
        <f>VLOOKUP(B318,'Element wise-detail Summary'!$A:$C,3,0)</f>
        <v>Zone-4</v>
      </c>
      <c r="F318" s="143" t="str">
        <f>VLOOKUP(B318,'AFC Data details'!$B:$B,1,0)</f>
        <v>AZ4-V16-T3C4-001</v>
      </c>
    </row>
    <row r="319" spans="1:6" x14ac:dyDescent="0.25">
      <c r="A319" s="148">
        <v>46069</v>
      </c>
      <c r="B319" s="3" t="s">
        <v>1840</v>
      </c>
      <c r="C319" s="3">
        <v>1</v>
      </c>
      <c r="D319" s="3" t="s">
        <v>2522</v>
      </c>
      <c r="E319" s="143" t="str">
        <f>VLOOKUP(B319,'Element wise-detail Summary'!$A:$C,3,0)</f>
        <v>Zone-4</v>
      </c>
      <c r="F319" s="143" t="str">
        <f>VLOOKUP(B319,'AFC Data details'!$B:$B,1,0)</f>
        <v>AZ4-V16-T3C4-002</v>
      </c>
    </row>
    <row r="320" spans="1:6" x14ac:dyDescent="0.25">
      <c r="A320" s="148">
        <v>46069</v>
      </c>
      <c r="B320" s="3" t="s">
        <v>1830</v>
      </c>
      <c r="C320" s="3">
        <v>1</v>
      </c>
      <c r="D320" s="3" t="s">
        <v>2522</v>
      </c>
      <c r="E320" s="143" t="str">
        <f>VLOOKUP(B320,'Element wise-detail Summary'!$A:$C,3,0)</f>
        <v>Zone-4</v>
      </c>
      <c r="F320" s="143" t="str">
        <f>VLOOKUP(B320,'AFC Data details'!$B:$B,1,0)</f>
        <v>AZ4-V15-T3C5-001</v>
      </c>
    </row>
    <row r="321" spans="1:6" x14ac:dyDescent="0.25">
      <c r="A321" s="148">
        <v>46071</v>
      </c>
      <c r="B321" s="3" t="s">
        <v>1832</v>
      </c>
      <c r="C321" s="3">
        <v>1</v>
      </c>
      <c r="D321" s="3" t="s">
        <v>2523</v>
      </c>
      <c r="E321" s="143" t="str">
        <f>VLOOKUP(B321,'Element wise-detail Summary'!$A:$C,3,0)</f>
        <v>Zone-4</v>
      </c>
      <c r="F321" s="143" t="str">
        <f>VLOOKUP(B321,'AFC Data details'!$B:$B,1,0)</f>
        <v>AZ4-V15-T3C5-002</v>
      </c>
    </row>
    <row r="322" spans="1:6" x14ac:dyDescent="0.25">
      <c r="A322" s="148">
        <v>46071</v>
      </c>
      <c r="B322" s="3" t="s">
        <v>1809</v>
      </c>
      <c r="C322" s="3">
        <v>1</v>
      </c>
      <c r="D322" s="3" t="s">
        <v>2523</v>
      </c>
      <c r="E322" s="143" t="str">
        <f>VLOOKUP(B322,'Element wise-detail Summary'!$A:$C,3,0)</f>
        <v>Zone-4</v>
      </c>
      <c r="F322" s="143" t="str">
        <f>VLOOKUP(B322,'AFC Data details'!$B:$B,1,0)</f>
        <v>AZ4-V09-T1C2-001</v>
      </c>
    </row>
    <row r="323" spans="1:6" x14ac:dyDescent="0.25">
      <c r="A323" s="148">
        <v>46071</v>
      </c>
      <c r="B323" s="3" t="s">
        <v>1860</v>
      </c>
      <c r="C323" s="3">
        <v>1</v>
      </c>
      <c r="D323" s="3" t="s">
        <v>2523</v>
      </c>
      <c r="E323" s="143" t="str">
        <f>VLOOKUP(B323,'Element wise-detail Summary'!$A:$C,3,0)</f>
        <v>Zone-4</v>
      </c>
      <c r="F323" s="143" t="str">
        <f>VLOOKUP(B323,'AFC Data details'!$B:$B,1,0)</f>
        <v>AZ4-V12-T1C6-001</v>
      </c>
    </row>
    <row r="324" spans="1:6" x14ac:dyDescent="0.25">
      <c r="A324" s="148">
        <v>46071</v>
      </c>
      <c r="B324" s="3" t="s">
        <v>1811</v>
      </c>
      <c r="C324" s="3">
        <v>1</v>
      </c>
      <c r="D324" s="3" t="s">
        <v>2523</v>
      </c>
      <c r="E324" s="143" t="str">
        <f>VLOOKUP(B324,'Element wise-detail Summary'!$A:$C,3,0)</f>
        <v>Zone-4</v>
      </c>
      <c r="F324" s="143" t="str">
        <f>VLOOKUP(B324,'AFC Data details'!$B:$B,1,0)</f>
        <v>AZ4-V09-T3C6-001</v>
      </c>
    </row>
    <row r="325" spans="1:6" x14ac:dyDescent="0.25">
      <c r="A325" s="148">
        <v>46071</v>
      </c>
      <c r="B325" s="3" t="s">
        <v>1816</v>
      </c>
      <c r="C325" s="3">
        <v>1</v>
      </c>
      <c r="D325" s="3" t="s">
        <v>2524</v>
      </c>
      <c r="E325" s="143" t="str">
        <f>VLOOKUP(B325,'Element wise-detail Summary'!$A:$C,3,0)</f>
        <v>Zone-4</v>
      </c>
      <c r="F325" s="143" t="str">
        <f>VLOOKUP(B325,'AFC Data details'!$B:$B,1,0)</f>
        <v>AZ4-V11-T3C6-001</v>
      </c>
    </row>
    <row r="326" spans="1:6" x14ac:dyDescent="0.25">
      <c r="A326" s="148">
        <v>46071</v>
      </c>
      <c r="B326" s="3" t="s">
        <v>1862</v>
      </c>
      <c r="C326" s="3">
        <v>1</v>
      </c>
      <c r="D326" s="3" t="s">
        <v>2524</v>
      </c>
      <c r="E326" s="143" t="str">
        <f>VLOOKUP(B326,'Element wise-detail Summary'!$A:$C,3,0)</f>
        <v>Zone-4</v>
      </c>
      <c r="F326" s="143" t="str">
        <f>VLOOKUP(B326,'AFC Data details'!$B:$B,1,0)</f>
        <v>AZ4-V13-T1C6-001</v>
      </c>
    </row>
    <row r="327" spans="1:6" x14ac:dyDescent="0.25">
      <c r="A327" s="148">
        <v>46071</v>
      </c>
      <c r="B327" s="3" t="s">
        <v>2013</v>
      </c>
      <c r="C327" s="3">
        <v>1</v>
      </c>
      <c r="D327" s="3" t="s">
        <v>2524</v>
      </c>
      <c r="E327" s="143" t="str">
        <f>VLOOKUP(B327,'Element wise-detail Summary'!$A:$C,3,0)</f>
        <v>Zone-4</v>
      </c>
      <c r="F327" s="143" t="str">
        <f>VLOOKUP(B327,'AFC Data details'!$B:$B,1,0)</f>
        <v>AZ4-V15-T1C6-002</v>
      </c>
    </row>
    <row r="328" spans="1:6" x14ac:dyDescent="0.25">
      <c r="A328" s="148">
        <v>46071</v>
      </c>
      <c r="B328" s="3" t="s">
        <v>1819</v>
      </c>
      <c r="C328" s="3">
        <v>1</v>
      </c>
      <c r="D328" s="3" t="s">
        <v>2524</v>
      </c>
      <c r="E328" s="143" t="str">
        <f>VLOOKUP(B328,'Element wise-detail Summary'!$A:$C,3,0)</f>
        <v>Zone-4</v>
      </c>
      <c r="F328" s="143" t="str">
        <f>VLOOKUP(B328,'AFC Data details'!$B:$B,1,0)</f>
        <v>AZ4-V12-T1C2-001</v>
      </c>
    </row>
    <row r="329" spans="1:6" x14ac:dyDescent="0.25">
      <c r="A329" s="148">
        <v>46071</v>
      </c>
      <c r="B329" s="3" t="s">
        <v>1818</v>
      </c>
      <c r="C329" s="3">
        <v>1</v>
      </c>
      <c r="D329" s="3" t="s">
        <v>2525</v>
      </c>
      <c r="E329" s="143" t="str">
        <f>VLOOKUP(B329,'Element wise-detail Summary'!$A:$C,3,0)</f>
        <v>Zone-4</v>
      </c>
      <c r="F329" s="143" t="str">
        <f>VLOOKUP(B329,'AFC Data details'!$B:$B,1,0)</f>
        <v>AZ4-V11-T3C6-002</v>
      </c>
    </row>
    <row r="330" spans="1:6" x14ac:dyDescent="0.25">
      <c r="A330" s="148">
        <v>46071</v>
      </c>
      <c r="B330" s="3" t="s">
        <v>1989</v>
      </c>
      <c r="C330" s="3">
        <v>1</v>
      </c>
      <c r="D330" s="3" t="s">
        <v>2525</v>
      </c>
      <c r="E330" s="143" t="str">
        <f>VLOOKUP(B330,'Element wise-detail Summary'!$A:$C,3,0)</f>
        <v>Zone-4</v>
      </c>
      <c r="F330" s="143" t="str">
        <f>VLOOKUP(B330,'AFC Data details'!$B:$B,1,0)</f>
        <v>AZ4-V12-T2C1-001</v>
      </c>
    </row>
    <row r="331" spans="1:6" x14ac:dyDescent="0.25">
      <c r="A331" s="148">
        <v>46071</v>
      </c>
      <c r="B331" s="3" t="s">
        <v>1988</v>
      </c>
      <c r="C331" s="3">
        <v>1</v>
      </c>
      <c r="D331" s="3" t="s">
        <v>2525</v>
      </c>
      <c r="E331" s="143" t="str">
        <f>VLOOKUP(B331,'Element wise-detail Summary'!$A:$C,3,0)</f>
        <v>Zone-4</v>
      </c>
      <c r="F331" s="143" t="str">
        <f>VLOOKUP(B331,'AFC Data details'!$B:$B,1,0)</f>
        <v>AZ4-V14-T2C1-001</v>
      </c>
    </row>
    <row r="332" spans="1:6" x14ac:dyDescent="0.25">
      <c r="A332" s="148">
        <v>46071</v>
      </c>
      <c r="B332" s="3" t="s">
        <v>1835</v>
      </c>
      <c r="C332" s="3">
        <v>1</v>
      </c>
      <c r="D332" s="3" t="s">
        <v>2525</v>
      </c>
      <c r="E332" s="143" t="str">
        <f>VLOOKUP(B332,'Element wise-detail Summary'!$A:$C,3,0)</f>
        <v>Zone-4</v>
      </c>
      <c r="F332" s="143" t="str">
        <f>VLOOKUP(B332,'AFC Data details'!$B:$B,1,0)</f>
        <v>AZ4-V16-T1C13-001</v>
      </c>
    </row>
    <row r="333" spans="1:6" x14ac:dyDescent="0.25">
      <c r="A333" s="148">
        <v>46072</v>
      </c>
      <c r="B333" s="3" t="s">
        <v>1822</v>
      </c>
      <c r="C333" s="3">
        <v>1</v>
      </c>
      <c r="D333" s="3" t="s">
        <v>2526</v>
      </c>
      <c r="E333" s="143" t="str">
        <f>VLOOKUP(B333,'Element wise-detail Summary'!$A:$C,3,0)</f>
        <v>Zone-4</v>
      </c>
      <c r="F333" s="143" t="str">
        <f>VLOOKUP(B333,'AFC Data details'!$B:$B,1,0)</f>
        <v>AZ4-V12-T3C5-001</v>
      </c>
    </row>
    <row r="334" spans="1:6" x14ac:dyDescent="0.25">
      <c r="A334" s="148">
        <v>46072</v>
      </c>
      <c r="B334" s="3" t="s">
        <v>2014</v>
      </c>
      <c r="C334" s="3">
        <v>1</v>
      </c>
      <c r="D334" s="3" t="s">
        <v>2526</v>
      </c>
      <c r="E334" s="143" t="str">
        <f>VLOOKUP(B334,'Element wise-detail Summary'!$A:$C,3,0)</f>
        <v>Zone-4</v>
      </c>
      <c r="F334" s="143" t="str">
        <f>VLOOKUP(B334,'AFC Data details'!$B:$B,1,0)</f>
        <v>AZ4-V15-T1C6-003</v>
      </c>
    </row>
    <row r="335" spans="1:6" x14ac:dyDescent="0.25">
      <c r="A335" s="148">
        <v>46072</v>
      </c>
      <c r="B335" s="3" t="s">
        <v>2002</v>
      </c>
      <c r="C335" s="3">
        <v>1</v>
      </c>
      <c r="D335" s="3" t="s">
        <v>2526</v>
      </c>
      <c r="E335" s="143" t="str">
        <f>VLOOKUP(B335,'Element wise-detail Summary'!$A:$C,3,0)</f>
        <v>Zone-4</v>
      </c>
      <c r="F335" s="143" t="str">
        <f>VLOOKUP(B335,'AFC Data details'!$B:$B,1,0)</f>
        <v>AZ4-V11-T1C6-002</v>
      </c>
    </row>
    <row r="336" spans="1:6" x14ac:dyDescent="0.25">
      <c r="A336" s="148">
        <v>46072</v>
      </c>
      <c r="B336" s="3" t="s">
        <v>1858</v>
      </c>
      <c r="C336" s="3">
        <v>1</v>
      </c>
      <c r="D336" s="3" t="s">
        <v>2526</v>
      </c>
      <c r="E336" s="143" t="str">
        <f>VLOOKUP(B336,'Element wise-detail Summary'!$A:$C,3,0)</f>
        <v>Zone-4</v>
      </c>
      <c r="F336" s="143" t="str">
        <f>VLOOKUP(B336,'AFC Data details'!$B:$B,1,0)</f>
        <v>AZ4-V10-T1C6-002</v>
      </c>
    </row>
    <row r="337" spans="1:6" x14ac:dyDescent="0.25">
      <c r="A337" s="148">
        <v>46072</v>
      </c>
      <c r="B337" s="3" t="s">
        <v>1859</v>
      </c>
      <c r="C337" s="3">
        <v>1</v>
      </c>
      <c r="D337" s="3" t="s">
        <v>2527</v>
      </c>
      <c r="E337" s="143" t="str">
        <f>VLOOKUP(B337,'Element wise-detail Summary'!$A:$C,3,0)</f>
        <v>Zone-4</v>
      </c>
      <c r="F337" s="143" t="str">
        <f>VLOOKUP(B337,'AFC Data details'!$B:$B,1,0)</f>
        <v>AZ4-V11-T1C6-001</v>
      </c>
    </row>
    <row r="338" spans="1:6" x14ac:dyDescent="0.25">
      <c r="A338" s="148">
        <v>46072</v>
      </c>
      <c r="B338" s="3" t="s">
        <v>1865</v>
      </c>
      <c r="C338" s="3">
        <v>1</v>
      </c>
      <c r="D338" s="3" t="s">
        <v>2527</v>
      </c>
      <c r="E338" s="143" t="str">
        <f>VLOOKUP(B338,'Element wise-detail Summary'!$A:$C,3,0)</f>
        <v>Zone-4</v>
      </c>
      <c r="F338" s="143" t="str">
        <f>VLOOKUP(B338,'AFC Data details'!$B:$B,1,0)</f>
        <v>AZ4-V15-T1C6-001</v>
      </c>
    </row>
    <row r="339" spans="1:6" x14ac:dyDescent="0.25">
      <c r="A339" s="148">
        <v>46072</v>
      </c>
      <c r="B339" s="3" t="s">
        <v>1863</v>
      </c>
      <c r="C339" s="3">
        <v>1</v>
      </c>
      <c r="D339" s="3" t="s">
        <v>2527</v>
      </c>
      <c r="E339" s="143" t="str">
        <f>VLOOKUP(B339,'Element wise-detail Summary'!$A:$C,3,0)</f>
        <v>Zone-4</v>
      </c>
      <c r="F339" s="143" t="str">
        <f>VLOOKUP(B339,'AFC Data details'!$B:$B,1,0)</f>
        <v>AZ4-V14-T1C6-001</v>
      </c>
    </row>
    <row r="340" spans="1:6" x14ac:dyDescent="0.25">
      <c r="A340" s="148">
        <v>46072</v>
      </c>
      <c r="B340" s="3" t="s">
        <v>1833</v>
      </c>
      <c r="C340" s="3">
        <v>1</v>
      </c>
      <c r="D340" s="3" t="s">
        <v>2527</v>
      </c>
      <c r="E340" s="143" t="str">
        <f>VLOOKUP(B340,'Element wise-detail Summary'!$A:$C,3,0)</f>
        <v>Zone-4</v>
      </c>
      <c r="F340" s="143" t="str">
        <f>VLOOKUP(B340,'AFC Data details'!$B:$B,1,0)</f>
        <v>AZ4-V16-T1C2-001</v>
      </c>
    </row>
    <row r="341" spans="1:6" x14ac:dyDescent="0.25">
      <c r="A341" s="148">
        <v>46078</v>
      </c>
      <c r="B341" s="3" t="s">
        <v>1217</v>
      </c>
      <c r="C341" s="3">
        <v>1</v>
      </c>
      <c r="D341" s="3" t="s">
        <v>2528</v>
      </c>
      <c r="E341" s="143" t="str">
        <f>VLOOKUP(B341,'Element wise-detail Summary'!$A:$C,3,0)</f>
        <v>Zone-1</v>
      </c>
      <c r="F341" s="143" t="str">
        <f>VLOOKUP(B341,'AFC Data details'!$B:$B,1,0)</f>
        <v>AZ1-V19-T1C10-003</v>
      </c>
    </row>
    <row r="342" spans="1:6" x14ac:dyDescent="0.25">
      <c r="A342" s="148">
        <v>46078</v>
      </c>
      <c r="B342" s="3" t="s">
        <v>1218</v>
      </c>
      <c r="C342" s="3">
        <v>1</v>
      </c>
      <c r="D342" s="3" t="s">
        <v>2528</v>
      </c>
      <c r="E342" s="143" t="str">
        <f>VLOOKUP(B342,'Element wise-detail Summary'!$A:$C,3,0)</f>
        <v>Zone-1</v>
      </c>
      <c r="F342" s="143" t="str">
        <f>VLOOKUP(B342,'AFC Data details'!$B:$B,1,0)</f>
        <v>AZ1-V19-T1C11-001</v>
      </c>
    </row>
    <row r="343" spans="1:6" x14ac:dyDescent="0.25">
      <c r="A343" s="148">
        <v>46078</v>
      </c>
      <c r="B343" s="3" t="s">
        <v>1204</v>
      </c>
      <c r="C343" s="3">
        <v>1</v>
      </c>
      <c r="D343" s="3" t="s">
        <v>2528</v>
      </c>
      <c r="E343" s="143" t="str">
        <f>VLOOKUP(B343,'Element wise-detail Summary'!$A:$C,3,0)</f>
        <v>Zone-1</v>
      </c>
      <c r="F343" s="143" t="str">
        <f>VLOOKUP(B343,'AFC Data details'!$B:$B,1,0)</f>
        <v>AZ1-V19-T1C15S-003</v>
      </c>
    </row>
    <row r="344" spans="1:6" x14ac:dyDescent="0.25">
      <c r="A344" s="148">
        <v>46078</v>
      </c>
      <c r="B344" s="3" t="s">
        <v>1225</v>
      </c>
      <c r="C344" s="3">
        <v>1</v>
      </c>
      <c r="D344" s="3" t="s">
        <v>2528</v>
      </c>
      <c r="E344" s="143" t="str">
        <f>VLOOKUP(B344,'Element wise-detail Summary'!$A:$C,3,0)</f>
        <v>Zone-1</v>
      </c>
      <c r="F344" s="143" t="str">
        <f>VLOOKUP(B344,'AFC Data details'!$B:$B,1,0)</f>
        <v>AZ1-V19-T1C18-001</v>
      </c>
    </row>
    <row r="345" spans="1:6" x14ac:dyDescent="0.25">
      <c r="A345" s="148">
        <v>46079</v>
      </c>
      <c r="B345" s="3" t="s">
        <v>1967</v>
      </c>
      <c r="C345" s="3">
        <v>1</v>
      </c>
      <c r="D345" s="3" t="s">
        <v>2529</v>
      </c>
      <c r="E345" s="143" t="str">
        <f>VLOOKUP(B345,'Element wise-detail Summary'!$A:$C,3,0)</f>
        <v>Zone-4</v>
      </c>
      <c r="F345" s="143" t="str">
        <f>VLOOKUP(B345,'AFC Data details'!$B:$B,1,0)</f>
        <v>AZ4-V04-T1C6-005</v>
      </c>
    </row>
    <row r="346" spans="1:6" x14ac:dyDescent="0.25">
      <c r="A346" s="148">
        <v>46079</v>
      </c>
      <c r="B346" s="3" t="s">
        <v>1844</v>
      </c>
      <c r="C346" s="3">
        <v>1</v>
      </c>
      <c r="D346" s="3" t="s">
        <v>2529</v>
      </c>
      <c r="E346" s="143" t="str">
        <f>VLOOKUP(B346,'Element wise-detail Summary'!$A:$C,3,0)</f>
        <v>Zone-4</v>
      </c>
      <c r="F346" s="143" t="str">
        <f>VLOOKUP(B346,'AFC Data details'!$B:$B,1,0)</f>
        <v>AZ4-V04-T1C6-006</v>
      </c>
    </row>
    <row r="347" spans="1:6" x14ac:dyDescent="0.25">
      <c r="A347" s="148">
        <v>46079</v>
      </c>
      <c r="B347" s="3" t="s">
        <v>1970</v>
      </c>
      <c r="C347" s="3">
        <v>1</v>
      </c>
      <c r="D347" s="3" t="s">
        <v>2529</v>
      </c>
      <c r="E347" s="143" t="str">
        <f>VLOOKUP(B347,'Element wise-detail Summary'!$A:$C,3,0)</f>
        <v>Zone-4</v>
      </c>
      <c r="F347" s="143" t="str">
        <f>VLOOKUP(B347,'AFC Data details'!$B:$B,1,0)</f>
        <v>AZ4-V05-T1C6-003</v>
      </c>
    </row>
    <row r="348" spans="1:6" x14ac:dyDescent="0.25">
      <c r="A348" s="148">
        <v>46079</v>
      </c>
      <c r="B348" s="3" t="s">
        <v>1991</v>
      </c>
      <c r="C348" s="3">
        <v>1</v>
      </c>
      <c r="D348" s="3" t="s">
        <v>2529</v>
      </c>
      <c r="E348" s="143" t="str">
        <f>VLOOKUP(B348,'Element wise-detail Summary'!$A:$C,3,0)</f>
        <v>Zone-4</v>
      </c>
      <c r="F348" s="143" t="str">
        <f>VLOOKUP(B348,'AFC Data details'!$B:$B,1,0)</f>
        <v>AZ4-V05-T1C6-004</v>
      </c>
    </row>
    <row r="349" spans="1:6" x14ac:dyDescent="0.25">
      <c r="A349" s="148">
        <v>46080</v>
      </c>
      <c r="B349" s="3" t="s">
        <v>1962</v>
      </c>
      <c r="C349" s="3">
        <v>1</v>
      </c>
      <c r="D349" s="3" t="s">
        <v>2530</v>
      </c>
      <c r="E349" s="143" t="str">
        <f>VLOOKUP(B349,'Element wise-detail Summary'!$A:$C,3,0)</f>
        <v>Zone-4</v>
      </c>
      <c r="F349" s="143" t="str">
        <f>VLOOKUP(B349,'AFC Data details'!$B:$B,1,0)</f>
        <v>AZ4-V07-T1C6-005</v>
      </c>
    </row>
    <row r="350" spans="1:6" x14ac:dyDescent="0.25">
      <c r="A350" s="148">
        <v>46080</v>
      </c>
      <c r="B350" s="3" t="s">
        <v>1976</v>
      </c>
      <c r="C350" s="3">
        <v>1</v>
      </c>
      <c r="D350" s="3" t="s">
        <v>2530</v>
      </c>
      <c r="E350" s="143" t="str">
        <f>VLOOKUP(B350,'Element wise-detail Summary'!$A:$C,3,0)</f>
        <v>Zone-4</v>
      </c>
      <c r="F350" s="143" t="str">
        <f>VLOOKUP(B350,'AFC Data details'!$B:$B,1,0)</f>
        <v>AZ4-V06-T1C6-002</v>
      </c>
    </row>
    <row r="351" spans="1:6" x14ac:dyDescent="0.25">
      <c r="A351" s="148">
        <v>46080</v>
      </c>
      <c r="B351" s="3" t="s">
        <v>1996</v>
      </c>
      <c r="C351" s="3">
        <v>1</v>
      </c>
      <c r="D351" s="3" t="s">
        <v>2530</v>
      </c>
      <c r="E351" s="143" t="str">
        <f>VLOOKUP(B351,'Element wise-detail Summary'!$A:$C,3,0)</f>
        <v>Zone-4</v>
      </c>
      <c r="F351" s="143" t="str">
        <f>VLOOKUP(B351,'AFC Data details'!$B:$B,1,0)</f>
        <v>AZ4-V06-T1C6-004</v>
      </c>
    </row>
    <row r="352" spans="1:6" x14ac:dyDescent="0.25">
      <c r="A352" s="148">
        <v>46080</v>
      </c>
      <c r="B352" s="3" t="s">
        <v>1997</v>
      </c>
      <c r="C352" s="3">
        <v>1</v>
      </c>
      <c r="D352" s="3" t="s">
        <v>2530</v>
      </c>
      <c r="E352" s="143" t="str">
        <f>VLOOKUP(B352,'Element wise-detail Summary'!$A:$C,3,0)</f>
        <v>Zone-4</v>
      </c>
      <c r="F352" s="143" t="str">
        <f>VLOOKUP(B352,'AFC Data details'!$B:$B,1,0)</f>
        <v>AZ4-V06-T1C6-005</v>
      </c>
    </row>
    <row r="353" spans="1:6" x14ac:dyDescent="0.25">
      <c r="A353" s="148">
        <v>46080</v>
      </c>
      <c r="B353" s="3" t="s">
        <v>1998</v>
      </c>
      <c r="C353" s="3">
        <v>1</v>
      </c>
      <c r="D353" s="3" t="s">
        <v>2531</v>
      </c>
      <c r="E353" s="143" t="str">
        <f>VLOOKUP(B353,'Element wise-detail Summary'!$A:$C,3,0)</f>
        <v>Zone-4</v>
      </c>
      <c r="F353" s="143" t="str">
        <f>VLOOKUP(B353,'AFC Data details'!$B:$B,1,0)</f>
        <v>AZ4-V07-T1C6-002</v>
      </c>
    </row>
    <row r="354" spans="1:6" x14ac:dyDescent="0.25">
      <c r="A354" s="148">
        <v>46080</v>
      </c>
      <c r="B354" s="3" t="s">
        <v>1999</v>
      </c>
      <c r="C354" s="3">
        <v>1</v>
      </c>
      <c r="D354" s="3" t="s">
        <v>2531</v>
      </c>
      <c r="E354" s="143" t="str">
        <f>VLOOKUP(B354,'Element wise-detail Summary'!$A:$C,3,0)</f>
        <v>Zone-4</v>
      </c>
      <c r="F354" s="143" t="str">
        <f>VLOOKUP(B354,'AFC Data details'!$B:$B,1,0)</f>
        <v>AZ4-V07-T1C6-003</v>
      </c>
    </row>
    <row r="355" spans="1:6" x14ac:dyDescent="0.25">
      <c r="A355" s="148">
        <v>46080</v>
      </c>
      <c r="B355" s="3" t="s">
        <v>1848</v>
      </c>
      <c r="C355" s="3">
        <v>1</v>
      </c>
      <c r="D355" s="3" t="s">
        <v>2531</v>
      </c>
      <c r="E355" s="143" t="str">
        <f>VLOOKUP(B355,'Element wise-detail Summary'!$A:$C,3,0)</f>
        <v>Zone-4</v>
      </c>
      <c r="F355" s="143" t="str">
        <f>VLOOKUP(B355,'AFC Data details'!$B:$B,1,0)</f>
        <v>AZ4-V06-T1C6-001</v>
      </c>
    </row>
    <row r="356" spans="1:6" x14ac:dyDescent="0.25">
      <c r="A356" s="148">
        <v>46080</v>
      </c>
      <c r="B356" s="3" t="s">
        <v>1968</v>
      </c>
      <c r="C356" s="3">
        <v>1</v>
      </c>
      <c r="D356" s="3" t="s">
        <v>2531</v>
      </c>
      <c r="E356" s="143" t="str">
        <f>VLOOKUP(B356,'Element wise-detail Summary'!$A:$C,3,0)</f>
        <v>Zone-4</v>
      </c>
      <c r="F356" s="143" t="str">
        <f>VLOOKUP(B356,'AFC Data details'!$B:$B,1,0)</f>
        <v>AZ4-V04-T1C6-003</v>
      </c>
    </row>
    <row r="357" spans="1:6" x14ac:dyDescent="0.25">
      <c r="A357" s="148">
        <v>46091</v>
      </c>
      <c r="B357" s="182" t="s">
        <v>1482</v>
      </c>
      <c r="C357" s="183">
        <v>1</v>
      </c>
      <c r="D357" s="183" t="s">
        <v>2533</v>
      </c>
      <c r="E357" s="143" t="str">
        <f>VLOOKUP(B357,'Element wise-detail Summary'!$A:$C,3,0)</f>
        <v>Zone-3</v>
      </c>
      <c r="F357" s="143" t="str">
        <f>VLOOKUP(B357,'AFC Data details'!$B:$B,1,0)</f>
        <v>AZ3-V48-T1C13-002</v>
      </c>
    </row>
    <row r="358" spans="1:6" x14ac:dyDescent="0.25">
      <c r="A358" s="148">
        <v>46091</v>
      </c>
      <c r="B358" s="182" t="s">
        <v>1483</v>
      </c>
      <c r="C358" s="183">
        <v>1</v>
      </c>
      <c r="D358" s="183" t="s">
        <v>2533</v>
      </c>
      <c r="E358" s="143" t="str">
        <f>VLOOKUP(B358,'Element wise-detail Summary'!$A:$C,3,0)</f>
        <v>Zone-3</v>
      </c>
      <c r="F358" s="143" t="str">
        <f>VLOOKUP(B358,'AFC Data details'!$B:$B,1,0)</f>
        <v>AZ3-V48-T1C13-003</v>
      </c>
    </row>
    <row r="359" spans="1:6" x14ac:dyDescent="0.25">
      <c r="A359" s="148">
        <v>46091</v>
      </c>
      <c r="B359" s="182" t="s">
        <v>1485</v>
      </c>
      <c r="C359" s="183">
        <v>1</v>
      </c>
      <c r="D359" s="183" t="s">
        <v>2533</v>
      </c>
      <c r="E359" s="143" t="str">
        <f>VLOOKUP(B359,'Element wise-detail Summary'!$A:$C,3,0)</f>
        <v>Zone-3</v>
      </c>
      <c r="F359" s="143" t="str">
        <f>VLOOKUP(B359,'AFC Data details'!$B:$B,1,0)</f>
        <v>AZ3-V48-T1C14-002</v>
      </c>
    </row>
    <row r="360" spans="1:6" x14ac:dyDescent="0.25">
      <c r="A360" s="148">
        <v>46091</v>
      </c>
      <c r="B360" s="182" t="s">
        <v>1486</v>
      </c>
      <c r="C360" s="183">
        <v>1</v>
      </c>
      <c r="D360" s="183" t="s">
        <v>2533</v>
      </c>
      <c r="E360" s="143" t="str">
        <f>VLOOKUP(B360,'Element wise-detail Summary'!$A:$C,3,0)</f>
        <v>Zone-3</v>
      </c>
      <c r="F360" s="143" t="str">
        <f>VLOOKUP(B360,'AFC Data details'!$B:$B,1,0)</f>
        <v>AZ3-V48-T1C14-003</v>
      </c>
    </row>
    <row r="361" spans="1:6" x14ac:dyDescent="0.25">
      <c r="A361" s="148">
        <v>46092</v>
      </c>
      <c r="B361" s="184" t="s">
        <v>2211</v>
      </c>
      <c r="C361" s="183">
        <v>0</v>
      </c>
      <c r="D361" s="183" t="s">
        <v>2534</v>
      </c>
      <c r="E361" s="143" t="str">
        <f>VLOOKUP(B361,'Element wise-detail Summary'!$A:$C,3,0)</f>
        <v>Zone-7</v>
      </c>
      <c r="F361" s="143" t="str">
        <f>VLOOKUP(B361,'AFC Data details'!$B:$B,1,0)</f>
        <v>AZ7-PV02-T1C6-002</v>
      </c>
    </row>
    <row r="362" spans="1:6" x14ac:dyDescent="0.25">
      <c r="A362" s="148">
        <v>46092</v>
      </c>
      <c r="B362" s="184" t="s">
        <v>2217</v>
      </c>
      <c r="C362" s="183">
        <v>1</v>
      </c>
      <c r="D362" s="183" t="s">
        <v>2534</v>
      </c>
      <c r="E362" s="143" t="str">
        <f>VLOOKUP(B362,'Element wise-detail Summary'!$A:$C,3,0)</f>
        <v>Zone-7</v>
      </c>
      <c r="F362" s="143" t="str">
        <f>VLOOKUP(B362,'AFC Data details'!$B:$B,1,0)</f>
        <v>AZ7-PV03-T1C6-004</v>
      </c>
    </row>
    <row r="363" spans="1:6" x14ac:dyDescent="0.25">
      <c r="A363" s="148">
        <v>46092</v>
      </c>
      <c r="B363" s="184" t="s">
        <v>2220</v>
      </c>
      <c r="C363" s="183">
        <v>1</v>
      </c>
      <c r="D363" s="183" t="s">
        <v>2534</v>
      </c>
      <c r="E363" s="143" t="str">
        <f>VLOOKUP(B363,'Element wise-detail Summary'!$A:$C,3,0)</f>
        <v>Zone-7</v>
      </c>
      <c r="F363" s="143" t="str">
        <f>VLOOKUP(B363,'AFC Data details'!$B:$B,1,0)</f>
        <v>AZ7-PV03-T1C6-001</v>
      </c>
    </row>
    <row r="364" spans="1:6" x14ac:dyDescent="0.25">
      <c r="A364" s="148">
        <v>46092</v>
      </c>
      <c r="B364" s="184" t="s">
        <v>1843</v>
      </c>
      <c r="C364" s="183">
        <v>1</v>
      </c>
      <c r="D364" s="183" t="s">
        <v>2534</v>
      </c>
      <c r="E364" s="143" t="str">
        <f>VLOOKUP(B364,'Element wise-detail Summary'!$A:$C,3,0)</f>
        <v>Zone-4</v>
      </c>
      <c r="F364" s="143" t="str">
        <f>VLOOKUP(B364,'AFC Data details'!$B:$B,1,0)</f>
        <v>AZ4-V04-T1C6-004</v>
      </c>
    </row>
    <row r="365" spans="1:6" x14ac:dyDescent="0.25">
      <c r="A365" s="148">
        <v>46092</v>
      </c>
      <c r="B365" s="184" t="s">
        <v>2212</v>
      </c>
      <c r="C365" s="183">
        <v>1</v>
      </c>
      <c r="D365" s="183" t="s">
        <v>2535</v>
      </c>
      <c r="E365" s="143" t="str">
        <f>VLOOKUP(B365,'Element wise-detail Summary'!$A:$C,3,0)</f>
        <v>Zone-7</v>
      </c>
      <c r="F365" s="143" t="str">
        <f>VLOOKUP(B365,'AFC Data details'!$B:$B,1,0)</f>
        <v>AZ7-PV02-T1C6-003</v>
      </c>
    </row>
    <row r="366" spans="1:6" x14ac:dyDescent="0.25">
      <c r="A366" s="148">
        <v>46092</v>
      </c>
      <c r="B366" s="184" t="s">
        <v>2213</v>
      </c>
      <c r="C366" s="183">
        <v>0</v>
      </c>
      <c r="D366" s="183" t="s">
        <v>2535</v>
      </c>
      <c r="E366" s="143" t="str">
        <f>VLOOKUP(B366,'Element wise-detail Summary'!$A:$C,3,0)</f>
        <v>Zone-7</v>
      </c>
      <c r="F366" s="143" t="str">
        <f>VLOOKUP(B366,'AFC Data details'!$B:$B,1,0)</f>
        <v>AZ7-PV02-T1C6-004</v>
      </c>
    </row>
    <row r="367" spans="1:6" x14ac:dyDescent="0.25">
      <c r="A367" s="148">
        <v>46092</v>
      </c>
      <c r="B367" s="184" t="s">
        <v>2210</v>
      </c>
      <c r="C367" s="183">
        <v>1</v>
      </c>
      <c r="D367" s="183" t="s">
        <v>2535</v>
      </c>
      <c r="E367" s="143" t="str">
        <f>VLOOKUP(B367,'Element wise-detail Summary'!$A:$C,3,0)</f>
        <v>Zone-7</v>
      </c>
      <c r="F367" s="143" t="str">
        <f>VLOOKUP(B367,'AFC Data details'!$B:$B,1,0)</f>
        <v>AZ7-PV03-T1C6-006</v>
      </c>
    </row>
    <row r="368" spans="1:6" x14ac:dyDescent="0.25">
      <c r="A368" s="148">
        <v>46092</v>
      </c>
      <c r="B368" s="184" t="s">
        <v>2215</v>
      </c>
      <c r="C368" s="183">
        <v>1</v>
      </c>
      <c r="D368" s="183" t="s">
        <v>2535</v>
      </c>
      <c r="E368" s="143" t="str">
        <f>VLOOKUP(B368,'Element wise-detail Summary'!$A:$C,3,0)</f>
        <v>Zone-7</v>
      </c>
      <c r="F368" s="143" t="str">
        <f>VLOOKUP(B368,'AFC Data details'!$B:$B,1,0)</f>
        <v>AZ7-PV03-T1C6-002</v>
      </c>
    </row>
    <row r="369" spans="1:6" x14ac:dyDescent="0.25">
      <c r="A369" s="148">
        <v>46093</v>
      </c>
      <c r="B369" s="184" t="s">
        <v>2211</v>
      </c>
      <c r="C369" s="183">
        <v>1</v>
      </c>
      <c r="D369" s="183" t="s">
        <v>2536</v>
      </c>
      <c r="E369" s="143" t="str">
        <f>VLOOKUP(B369,'Element wise-detail Summary'!$A:$C,3,0)</f>
        <v>Zone-7</v>
      </c>
      <c r="F369" s="143" t="str">
        <f>VLOOKUP(B369,'AFC Data details'!$B:$B,1,0)</f>
        <v>AZ7-PV02-T1C6-002</v>
      </c>
    </row>
    <row r="370" spans="1:6" x14ac:dyDescent="0.25">
      <c r="A370" s="148">
        <v>46093</v>
      </c>
      <c r="B370" s="184" t="s">
        <v>2213</v>
      </c>
      <c r="C370" s="183">
        <v>1</v>
      </c>
      <c r="D370" s="183" t="s">
        <v>2536</v>
      </c>
      <c r="E370" s="143" t="str">
        <f>VLOOKUP(B370,'Element wise-detail Summary'!$A:$C,3,0)</f>
        <v>Zone-7</v>
      </c>
      <c r="F370" s="143" t="str">
        <f>VLOOKUP(B370,'AFC Data details'!$B:$B,1,0)</f>
        <v>AZ7-PV02-T1C6-004</v>
      </c>
    </row>
    <row r="371" spans="1:6" x14ac:dyDescent="0.25">
      <c r="A371" s="148">
        <v>46093</v>
      </c>
      <c r="B371" s="184" t="s">
        <v>2510</v>
      </c>
      <c r="C371" s="183">
        <v>1</v>
      </c>
      <c r="D371" s="183" t="s">
        <v>2536</v>
      </c>
      <c r="E371" s="143" t="str">
        <f>VLOOKUP(B371,'Element wise-detail Summary'!$A:$C,3,0)</f>
        <v>Zone-4</v>
      </c>
      <c r="F371" s="143" t="str">
        <f>VLOOKUP(B371,'AFC Data details'!$B:$B,1,0)</f>
        <v>AZ4-V02-T1C7-001</v>
      </c>
    </row>
    <row r="372" spans="1:6" x14ac:dyDescent="0.25">
      <c r="A372" s="148">
        <v>46093</v>
      </c>
      <c r="B372" s="184" t="s">
        <v>2517</v>
      </c>
      <c r="C372" s="183">
        <v>1</v>
      </c>
      <c r="D372" s="183" t="s">
        <v>2536</v>
      </c>
      <c r="E372" s="143" t="str">
        <f>VLOOKUP(B372,'Element wise-detail Summary'!$A:$C,3,0)</f>
        <v>Zone-4</v>
      </c>
      <c r="F372" s="143" t="str">
        <f>VLOOKUP(B372,'AFC Data details'!$B:$B,1,0)</f>
        <v>AZ4-V03-T1C7-001</v>
      </c>
    </row>
    <row r="373" spans="1:6" x14ac:dyDescent="0.25">
      <c r="A373" s="148">
        <v>46093</v>
      </c>
      <c r="B373" s="184" t="s">
        <v>2442</v>
      </c>
      <c r="C373" s="183">
        <v>1</v>
      </c>
      <c r="D373" s="183" t="s">
        <v>2537</v>
      </c>
      <c r="E373" s="143" t="str">
        <f>VLOOKUP(B373,'Element wise-detail Summary'!$A:$C,3,0)</f>
        <v>Zone-4</v>
      </c>
      <c r="F373" s="143" t="str">
        <f>VLOOKUP(B373,'AFC Data details'!$B:$B,1,0)</f>
        <v>AZ4-V01-T1C19-002</v>
      </c>
    </row>
    <row r="374" spans="1:6" x14ac:dyDescent="0.25">
      <c r="A374" s="148">
        <v>46093</v>
      </c>
      <c r="B374" s="184" t="s">
        <v>2503</v>
      </c>
      <c r="C374" s="183">
        <v>1</v>
      </c>
      <c r="D374" s="183" t="s">
        <v>2537</v>
      </c>
      <c r="E374" s="143" t="str">
        <f>VLOOKUP(B374,'Element wise-detail Summary'!$A:$C,3,0)</f>
        <v>Zone-4</v>
      </c>
      <c r="F374" s="143" t="str">
        <f>VLOOKUP(B374,'AFC Data details'!$B:$B,1,0)</f>
        <v>AZ4-V02-T1C6-003</v>
      </c>
    </row>
    <row r="375" spans="1:6" x14ac:dyDescent="0.25">
      <c r="A375" s="148">
        <v>46093</v>
      </c>
      <c r="B375" s="184" t="s">
        <v>2515</v>
      </c>
      <c r="C375" s="183">
        <v>1</v>
      </c>
      <c r="D375" s="183" t="s">
        <v>2537</v>
      </c>
      <c r="E375" s="143" t="str">
        <f>VLOOKUP(B375,'Element wise-detail Summary'!$A:$C,3,0)</f>
        <v>Zone-4</v>
      </c>
      <c r="F375" s="143" t="str">
        <f>VLOOKUP(B375,'AFC Data details'!$B:$B,1,0)</f>
        <v>AZ4-V02-T3C3-001</v>
      </c>
    </row>
    <row r="376" spans="1:6" x14ac:dyDescent="0.25">
      <c r="A376" s="148">
        <v>46093</v>
      </c>
      <c r="B376" s="184" t="s">
        <v>2504</v>
      </c>
      <c r="C376" s="183">
        <v>1</v>
      </c>
      <c r="D376" s="183" t="s">
        <v>2537</v>
      </c>
      <c r="E376" s="143" t="str">
        <f>VLOOKUP(B376,'Element wise-detail Summary'!$A:$C,3,0)</f>
        <v>Zone-4</v>
      </c>
      <c r="F376" s="143" t="str">
        <f>VLOOKUP(B376,'AFC Data details'!$B:$B,1,0)</f>
        <v>AZ4-V03-T1C6-003</v>
      </c>
    </row>
    <row r="377" spans="1:6" x14ac:dyDescent="0.25">
      <c r="A377" s="148">
        <v>46093</v>
      </c>
      <c r="B377" s="184" t="s">
        <v>2496</v>
      </c>
      <c r="C377" s="183">
        <v>1</v>
      </c>
      <c r="D377" s="183" t="s">
        <v>2538</v>
      </c>
      <c r="E377" s="143" t="str">
        <f>VLOOKUP(B377,'Element wise-detail Summary'!$A:$C,3,0)</f>
        <v>Zone-4</v>
      </c>
      <c r="F377" s="143" t="str">
        <f>VLOOKUP(B377,'AFC Data details'!$B:$B,1,0)</f>
        <v>AZ4-V01-T1C19-008</v>
      </c>
    </row>
    <row r="378" spans="1:6" x14ac:dyDescent="0.25">
      <c r="A378" s="148">
        <v>46093</v>
      </c>
      <c r="B378" s="184" t="s">
        <v>2498</v>
      </c>
      <c r="C378" s="183">
        <v>1</v>
      </c>
      <c r="D378" s="183" t="s">
        <v>2538</v>
      </c>
      <c r="E378" s="143" t="str">
        <f>VLOOKUP(B378,'Element wise-detail Summary'!$A:$C,3,0)</f>
        <v>Zone-4</v>
      </c>
      <c r="F378" s="143" t="str">
        <f>VLOOKUP(B378,'AFC Data details'!$B:$B,1,0)</f>
        <v>AZ4-V01-T1C19-009</v>
      </c>
    </row>
    <row r="379" spans="1:6" x14ac:dyDescent="0.25">
      <c r="A379" s="148">
        <v>46093</v>
      </c>
      <c r="B379" s="184" t="s">
        <v>2509</v>
      </c>
      <c r="C379" s="183">
        <v>1</v>
      </c>
      <c r="D379" s="183" t="s">
        <v>2538</v>
      </c>
      <c r="E379" s="143" t="str">
        <f>VLOOKUP(B379,'Element wise-detail Summary'!$A:$C,3,0)</f>
        <v>Zone-4</v>
      </c>
      <c r="F379" s="143" t="str">
        <f>VLOOKUP(B379,'AFC Data details'!$B:$B,1,0)</f>
        <v>AZ4-V02-T1C6-006</v>
      </c>
    </row>
    <row r="380" spans="1:6" x14ac:dyDescent="0.25">
      <c r="A380" s="148">
        <v>46093</v>
      </c>
      <c r="B380" s="184" t="s">
        <v>2516</v>
      </c>
      <c r="C380" s="183">
        <v>1</v>
      </c>
      <c r="D380" s="183" t="s">
        <v>2538</v>
      </c>
      <c r="E380" s="143" t="str">
        <f>VLOOKUP(B380,'Element wise-detail Summary'!$A:$C,3,0)</f>
        <v>Zone-4</v>
      </c>
      <c r="F380" s="143" t="str">
        <f>VLOOKUP(B380,'AFC Data details'!$B:$B,1,0)</f>
        <v>AZ4-V03-T1C6-006</v>
      </c>
    </row>
    <row r="381" spans="1:6" x14ac:dyDescent="0.25">
      <c r="A381" s="148">
        <v>46093</v>
      </c>
      <c r="B381" s="184" t="s">
        <v>2209</v>
      </c>
      <c r="C381" s="183">
        <v>1</v>
      </c>
      <c r="D381" s="183" t="s">
        <v>2539</v>
      </c>
      <c r="E381" s="143" t="str">
        <f>VLOOKUP(B381,'Element wise-detail Summary'!$A:$C,3,0)</f>
        <v>Zone-7</v>
      </c>
      <c r="F381" s="143" t="str">
        <f>VLOOKUP(B381,'AFC Data details'!$B:$B,1,0)</f>
        <v>AZ7-PV02-T1C6-001</v>
      </c>
    </row>
    <row r="382" spans="1:6" x14ac:dyDescent="0.25">
      <c r="A382" s="148">
        <v>46093</v>
      </c>
      <c r="B382" s="184" t="s">
        <v>2219</v>
      </c>
      <c r="C382" s="183">
        <v>1</v>
      </c>
      <c r="D382" s="183" t="s">
        <v>2539</v>
      </c>
      <c r="E382" s="143" t="str">
        <f>VLOOKUP(B382,'Element wise-detail Summary'!$A:$C,3,0)</f>
        <v>Zone-7</v>
      </c>
      <c r="F382" s="143" t="str">
        <f>VLOOKUP(B382,'AFC Data details'!$B:$B,1,0)</f>
        <v>AZ7-PV02-T1C6-006</v>
      </c>
    </row>
    <row r="383" spans="1:6" x14ac:dyDescent="0.25">
      <c r="A383" s="148">
        <v>46093</v>
      </c>
      <c r="B383" s="184" t="s">
        <v>2216</v>
      </c>
      <c r="C383" s="183">
        <v>1</v>
      </c>
      <c r="D383" s="183" t="s">
        <v>2539</v>
      </c>
      <c r="E383" s="143" t="str">
        <f>VLOOKUP(B383,'Element wise-detail Summary'!$A:$C,3,0)</f>
        <v>Zone-7</v>
      </c>
      <c r="F383" s="143" t="str">
        <f>VLOOKUP(B383,'AFC Data details'!$B:$B,1,0)</f>
        <v>AZ7-PV03-T1C6-003</v>
      </c>
    </row>
    <row r="384" spans="1:6" x14ac:dyDescent="0.25">
      <c r="A384" s="148">
        <v>46093</v>
      </c>
      <c r="B384" s="184" t="s">
        <v>2218</v>
      </c>
      <c r="C384" s="183">
        <v>1</v>
      </c>
      <c r="D384" s="183" t="s">
        <v>2539</v>
      </c>
      <c r="E384" s="143" t="str">
        <f>VLOOKUP(B384,'Element wise-detail Summary'!$A:$C,3,0)</f>
        <v>Zone-7</v>
      </c>
      <c r="F384" s="143" t="str">
        <f>VLOOKUP(B384,'AFC Data details'!$B:$B,1,0)</f>
        <v>AZ7-PV03-T1C6-005</v>
      </c>
    </row>
    <row r="385" spans="1:6" x14ac:dyDescent="0.25">
      <c r="A385" s="148">
        <v>46094</v>
      </c>
      <c r="B385" s="184" t="s">
        <v>2214</v>
      </c>
      <c r="C385" s="183">
        <v>1</v>
      </c>
      <c r="D385" s="183" t="s">
        <v>2540</v>
      </c>
      <c r="E385" s="143" t="str">
        <f>VLOOKUP(B385,'Element wise-detail Summary'!$A:$C,3,0)</f>
        <v>Zone-7</v>
      </c>
      <c r="F385" s="143" t="str">
        <f>VLOOKUP(B385,'AFC Data details'!$B:$B,1,0)</f>
        <v>AZ7-PV02-T1C6-005</v>
      </c>
    </row>
    <row r="386" spans="1:6" x14ac:dyDescent="0.25">
      <c r="A386" s="148">
        <v>46094</v>
      </c>
      <c r="B386" s="184" t="s">
        <v>2446</v>
      </c>
      <c r="C386" s="183">
        <v>1</v>
      </c>
      <c r="D386" s="183" t="s">
        <v>2540</v>
      </c>
      <c r="E386" s="143" t="str">
        <f>VLOOKUP(B386,'Element wise-detail Summary'!$A:$C,3,0)</f>
        <v>Zone-4</v>
      </c>
      <c r="F386" s="143" t="str">
        <f>VLOOKUP(B386,'AFC Data details'!$B:$B,1,0)</f>
        <v>AZ4-V01-T1C19-006</v>
      </c>
    </row>
    <row r="387" spans="1:6" x14ac:dyDescent="0.25">
      <c r="A387" s="148">
        <v>46094</v>
      </c>
      <c r="B387" s="184" t="s">
        <v>2448</v>
      </c>
      <c r="C387" s="183">
        <v>1</v>
      </c>
      <c r="D387" s="183" t="s">
        <v>2540</v>
      </c>
      <c r="E387" s="143" t="str">
        <f>VLOOKUP(B387,'Element wise-detail Summary'!$A:$C,3,0)</f>
        <v>Zone-4</v>
      </c>
      <c r="F387" s="143" t="str">
        <f>VLOOKUP(B387,'AFC Data details'!$B:$B,1,0)</f>
        <v>AZ4-V01-T1C19-007</v>
      </c>
    </row>
    <row r="388" spans="1:6" x14ac:dyDescent="0.25">
      <c r="A388" s="148">
        <v>46094</v>
      </c>
      <c r="B388" s="184" t="s">
        <v>2506</v>
      </c>
      <c r="C388" s="183">
        <v>1</v>
      </c>
      <c r="D388" s="183" t="s">
        <v>2540</v>
      </c>
      <c r="E388" s="143" t="str">
        <f>VLOOKUP(B388,'Element wise-detail Summary'!$A:$C,3,0)</f>
        <v>Zone-4</v>
      </c>
      <c r="F388" s="143" t="str">
        <f>VLOOKUP(B388,'AFC Data details'!$B:$B,1,0)</f>
        <v>AZ4-V03-T1C6-004</v>
      </c>
    </row>
    <row r="389" spans="1:6" x14ac:dyDescent="0.25">
      <c r="A389" s="148">
        <v>46094</v>
      </c>
      <c r="B389" s="184" t="s">
        <v>2437</v>
      </c>
      <c r="C389" s="183">
        <v>1</v>
      </c>
      <c r="D389" s="183" t="s">
        <v>2541</v>
      </c>
      <c r="E389" s="143" t="str">
        <f>VLOOKUP(B389,'Element wise-detail Summary'!$A:$C,3,0)</f>
        <v>Zone-4</v>
      </c>
      <c r="F389" s="143" t="str">
        <f>VLOOKUP(B389,'AFC Data details'!$B:$B,1,0)</f>
        <v>AZ4-V01-T1C19-001</v>
      </c>
    </row>
    <row r="390" spans="1:6" x14ac:dyDescent="0.25">
      <c r="A390" s="148">
        <v>46094</v>
      </c>
      <c r="B390" s="184" t="s">
        <v>2443</v>
      </c>
      <c r="C390" s="183">
        <v>1</v>
      </c>
      <c r="D390" s="183" t="s">
        <v>2541</v>
      </c>
      <c r="E390" s="143" t="str">
        <f>VLOOKUP(B390,'Element wise-detail Summary'!$A:$C,3,0)</f>
        <v>Zone-4</v>
      </c>
      <c r="F390" s="143" t="str">
        <f>VLOOKUP(B390,'AFC Data details'!$B:$B,1,0)</f>
        <v>AZ4-V01-T1C19-003</v>
      </c>
    </row>
    <row r="391" spans="1:6" x14ac:dyDescent="0.25">
      <c r="A391" s="148">
        <v>46094</v>
      </c>
      <c r="B391" s="184" t="s">
        <v>2444</v>
      </c>
      <c r="C391" s="183">
        <v>1</v>
      </c>
      <c r="D391" s="183" t="s">
        <v>2541</v>
      </c>
      <c r="E391" s="143" t="str">
        <f>VLOOKUP(B391,'Element wise-detail Summary'!$A:$C,3,0)</f>
        <v>Zone-4</v>
      </c>
      <c r="F391" s="143" t="str">
        <f>VLOOKUP(B391,'AFC Data details'!$B:$B,1,0)</f>
        <v>AZ4-V01-T1C19-004</v>
      </c>
    </row>
    <row r="392" spans="1:6" x14ac:dyDescent="0.25">
      <c r="A392" s="148">
        <v>46094</v>
      </c>
      <c r="B392" s="184" t="s">
        <v>2445</v>
      </c>
      <c r="C392" s="183">
        <v>1</v>
      </c>
      <c r="D392" s="183" t="s">
        <v>2541</v>
      </c>
      <c r="E392" s="143" t="str">
        <f>VLOOKUP(B392,'Element wise-detail Summary'!$A:$C,3,0)</f>
        <v>Zone-4</v>
      </c>
      <c r="F392" s="143" t="str">
        <f>VLOOKUP(B392,'AFC Data details'!$B:$B,1,0)</f>
        <v>AZ4-V01-T1C19-005</v>
      </c>
    </row>
    <row r="393" spans="1:6" x14ac:dyDescent="0.25">
      <c r="A393" s="148">
        <v>46095</v>
      </c>
      <c r="B393" s="184" t="s">
        <v>2261</v>
      </c>
      <c r="C393" s="183">
        <v>1</v>
      </c>
      <c r="D393" s="183" t="s">
        <v>2542</v>
      </c>
      <c r="E393" s="143" t="str">
        <f>VLOOKUP(B393,'Element wise-detail Summary'!$A:$C,3,0)</f>
        <v>Zone-7</v>
      </c>
      <c r="F393" s="143" t="str">
        <f>VLOOKUP(B393,'AFC Data details'!$B:$B,1,0)</f>
        <v>AZ7-PV09-T1C6-006</v>
      </c>
    </row>
    <row r="394" spans="1:6" x14ac:dyDescent="0.25">
      <c r="A394" s="148">
        <v>46095</v>
      </c>
      <c r="B394" s="184" t="s">
        <v>2000</v>
      </c>
      <c r="C394" s="183">
        <v>1</v>
      </c>
      <c r="D394" s="183" t="s">
        <v>2542</v>
      </c>
      <c r="E394" s="143" t="str">
        <f>VLOOKUP(B394,'Element wise-detail Summary'!$A:$C,3,0)</f>
        <v>Zone-4</v>
      </c>
      <c r="F394" s="143" t="str">
        <f>VLOOKUP(B394,'AFC Data details'!$B:$B,1,0)</f>
        <v>AZ4-V10-T1C6-004</v>
      </c>
    </row>
    <row r="395" spans="1:6" x14ac:dyDescent="0.25">
      <c r="A395" s="148">
        <v>46095</v>
      </c>
      <c r="B395" s="184" t="s">
        <v>2001</v>
      </c>
      <c r="C395" s="183">
        <v>1</v>
      </c>
      <c r="D395" s="183" t="s">
        <v>2542</v>
      </c>
      <c r="E395" s="143" t="str">
        <f>VLOOKUP(B395,'Element wise-detail Summary'!$A:$C,3,0)</f>
        <v>Zone-4</v>
      </c>
      <c r="F395" s="143" t="str">
        <f>VLOOKUP(B395,'AFC Data details'!$B:$B,1,0)</f>
        <v>AZ4-V10-T1C6-005</v>
      </c>
    </row>
    <row r="396" spans="1:6" x14ac:dyDescent="0.25">
      <c r="A396" s="148">
        <v>46095</v>
      </c>
      <c r="B396" s="184" t="s">
        <v>2006</v>
      </c>
      <c r="C396" s="183">
        <v>1</v>
      </c>
      <c r="D396" s="183" t="s">
        <v>2542</v>
      </c>
      <c r="E396" s="143" t="str">
        <f>VLOOKUP(B396,'Element wise-detail Summary'!$A:$C,3,0)</f>
        <v>Zone-4</v>
      </c>
      <c r="F396" s="143" t="str">
        <f>VLOOKUP(B396,'AFC Data details'!$B:$B,1,0)</f>
        <v>AZ4-V10-T1C6-006</v>
      </c>
    </row>
    <row r="397" spans="1:6" x14ac:dyDescent="0.25">
      <c r="A397" s="148">
        <v>46095</v>
      </c>
      <c r="B397" s="184" t="s">
        <v>2511</v>
      </c>
      <c r="C397" s="183">
        <v>1</v>
      </c>
      <c r="D397" s="183" t="s">
        <v>2543</v>
      </c>
      <c r="E397" s="143" t="str">
        <f>VLOOKUP(B397,'Element wise-detail Summary'!$A:$C,3,0)</f>
        <v>Zone-4</v>
      </c>
      <c r="F397" s="143" t="str">
        <f>VLOOKUP(B397,'AFC Data details'!$B:$B,1,0)</f>
        <v>AZ4-V02-T2C1-001</v>
      </c>
    </row>
    <row r="398" spans="1:6" x14ac:dyDescent="0.25">
      <c r="A398" s="148">
        <v>46095</v>
      </c>
      <c r="B398" s="184" t="s">
        <v>2513</v>
      </c>
      <c r="C398" s="183">
        <v>1</v>
      </c>
      <c r="D398" s="183" t="s">
        <v>2543</v>
      </c>
      <c r="E398" s="143" t="str">
        <f>VLOOKUP(B398,'Element wise-detail Summary'!$A:$C,3,0)</f>
        <v>Zone-4</v>
      </c>
      <c r="F398" s="143" t="str">
        <f>VLOOKUP(B398,'AFC Data details'!$B:$B,1,0)</f>
        <v>AZ4-V02-T3C2-001</v>
      </c>
    </row>
    <row r="399" spans="1:6" x14ac:dyDescent="0.25">
      <c r="A399" s="148">
        <v>46095</v>
      </c>
      <c r="B399" s="184" t="s">
        <v>2514</v>
      </c>
      <c r="C399" s="183">
        <v>1</v>
      </c>
      <c r="D399" s="183" t="s">
        <v>2543</v>
      </c>
      <c r="E399" s="143" t="str">
        <f>VLOOKUP(B399,'Element wise-detail Summary'!$A:$C,3,0)</f>
        <v>Zone-4</v>
      </c>
      <c r="F399" s="143" t="str">
        <f>VLOOKUP(B399,'AFC Data details'!$B:$B,1,0)</f>
        <v>AZ4-V02-T3C2-002</v>
      </c>
    </row>
    <row r="400" spans="1:6" x14ac:dyDescent="0.25">
      <c r="A400" s="148">
        <v>46095</v>
      </c>
      <c r="B400" s="184" t="s">
        <v>2502</v>
      </c>
      <c r="C400" s="183">
        <v>1</v>
      </c>
      <c r="D400" s="183" t="s">
        <v>2543</v>
      </c>
      <c r="E400" s="143" t="str">
        <f>VLOOKUP(B400,'Element wise-detail Summary'!$A:$C,3,0)</f>
        <v>Zone-4</v>
      </c>
      <c r="F400" s="143" t="str">
        <f>VLOOKUP(B400,'AFC Data details'!$B:$B,1,0)</f>
        <v>AZ4-V03-T1C6-002</v>
      </c>
    </row>
    <row r="401" spans="1:6" x14ac:dyDescent="0.25">
      <c r="A401" s="148">
        <v>46097</v>
      </c>
      <c r="B401" s="184" t="s">
        <v>1975</v>
      </c>
      <c r="C401" s="183">
        <v>1</v>
      </c>
      <c r="D401" s="183" t="s">
        <v>2544</v>
      </c>
      <c r="E401" s="143" t="str">
        <f>VLOOKUP(B401,'Element wise-detail Summary'!$A:$C,3,0)</f>
        <v>Zone-4</v>
      </c>
      <c r="F401" s="143" t="str">
        <f>VLOOKUP(B401,'AFC Data details'!$B:$B,1,0)</f>
        <v>AZ4-V08-T1C6-003</v>
      </c>
    </row>
    <row r="402" spans="1:6" x14ac:dyDescent="0.25">
      <c r="A402" s="148">
        <v>46097</v>
      </c>
      <c r="B402" s="184" t="s">
        <v>1992</v>
      </c>
      <c r="C402" s="183">
        <v>1</v>
      </c>
      <c r="D402" s="183" t="s">
        <v>2544</v>
      </c>
      <c r="E402" s="143" t="str">
        <f>VLOOKUP(B402,'Element wise-detail Summary'!$A:$C,3,0)</f>
        <v>Zone-4</v>
      </c>
      <c r="F402" s="143" t="str">
        <f>VLOOKUP(B402,'AFC Data details'!$B:$B,1,0)</f>
        <v>AZ4-V08-T1C6-004</v>
      </c>
    </row>
    <row r="403" spans="1:6" x14ac:dyDescent="0.25">
      <c r="A403" s="148">
        <v>46097</v>
      </c>
      <c r="B403" s="184" t="s">
        <v>2269</v>
      </c>
      <c r="C403" s="183">
        <v>1</v>
      </c>
      <c r="D403" s="183" t="s">
        <v>2544</v>
      </c>
      <c r="E403" s="143" t="str">
        <f>VLOOKUP(B403,'Element wise-detail Summary'!$A:$C,3,0)</f>
        <v>Zone-7</v>
      </c>
      <c r="F403" s="143" t="str">
        <f>VLOOKUP(B403,'AFC Data details'!$B:$B,1,0)</f>
        <v>AZ7-PV09-T1C6-005</v>
      </c>
    </row>
    <row r="404" spans="1:6" x14ac:dyDescent="0.25">
      <c r="A404" s="148">
        <v>46097</v>
      </c>
      <c r="B404" s="184" t="s">
        <v>1979</v>
      </c>
      <c r="C404" s="183">
        <v>1</v>
      </c>
      <c r="D404" s="183" t="s">
        <v>2544</v>
      </c>
      <c r="E404" s="143" t="str">
        <f>VLOOKUP(B404,'Element wise-detail Summary'!$A:$C,3,0)</f>
        <v>Zone-4</v>
      </c>
      <c r="F404" s="143" t="str">
        <f>VLOOKUP(B404,'AFC Data details'!$B:$B,1,0)</f>
        <v>AZ4-V10-T1C6-003</v>
      </c>
    </row>
    <row r="405" spans="1:6" x14ac:dyDescent="0.25">
      <c r="A405" s="148">
        <v>46098</v>
      </c>
      <c r="B405" s="184" t="s">
        <v>2265</v>
      </c>
      <c r="C405" s="183">
        <v>1</v>
      </c>
      <c r="D405" s="183" t="s">
        <v>2545</v>
      </c>
      <c r="E405" s="143" t="str">
        <f>VLOOKUP(B405,'Element wise-detail Summary'!$A:$C,3,0)</f>
        <v>Zone-7</v>
      </c>
      <c r="F405" s="143" t="str">
        <f>VLOOKUP(B405,'AFC Data details'!$B:$B,1,0)</f>
        <v>AZ7-PV08-T1C6-005</v>
      </c>
    </row>
    <row r="406" spans="1:6" x14ac:dyDescent="0.25">
      <c r="A406" s="148">
        <v>46098</v>
      </c>
      <c r="B406" s="184" t="s">
        <v>2508</v>
      </c>
      <c r="C406" s="183">
        <v>1</v>
      </c>
      <c r="D406" s="183" t="s">
        <v>2545</v>
      </c>
      <c r="E406" s="143" t="str">
        <f>VLOOKUP(B406,'Element wise-detail Summary'!$A:$C,3,0)</f>
        <v>Zone-4</v>
      </c>
      <c r="F406" s="143" t="str">
        <f>VLOOKUP(B406,'AFC Data details'!$B:$B,1,0)</f>
        <v>AZ4-V03-T1C6-005</v>
      </c>
    </row>
    <row r="407" spans="1:6" x14ac:dyDescent="0.25">
      <c r="A407" s="148">
        <v>46098</v>
      </c>
      <c r="B407" s="185" t="s">
        <v>2450</v>
      </c>
      <c r="C407" s="183">
        <v>1</v>
      </c>
      <c r="D407" s="183" t="s">
        <v>2545</v>
      </c>
      <c r="E407" s="143" t="str">
        <f>VLOOKUP(B407,'Element wise-detail Summary'!$A:$C,3,0)</f>
        <v>Zone-4</v>
      </c>
      <c r="F407" s="143" t="str">
        <f>VLOOKUP(B407,'AFC Data details'!$B:$B,1,0)</f>
        <v>AZ4-V02-T1C19-001</v>
      </c>
    </row>
    <row r="408" spans="1:6" x14ac:dyDescent="0.25">
      <c r="A408" s="148">
        <v>46098</v>
      </c>
      <c r="B408" s="186" t="s">
        <v>2518</v>
      </c>
      <c r="C408" s="183">
        <v>1</v>
      </c>
      <c r="D408" s="183" t="s">
        <v>2545</v>
      </c>
      <c r="E408" s="143" t="str">
        <f>VLOOKUP(B408,'Element wise-detail Summary'!$A:$C,3,0)</f>
        <v>Zone-4</v>
      </c>
      <c r="F408" s="143" t="str">
        <f>VLOOKUP(B408,'AFC Data details'!$B:$B,1,0)</f>
        <v>AZ4-V03-T3C4-001</v>
      </c>
    </row>
    <row r="409" spans="1:6" x14ac:dyDescent="0.25">
      <c r="A409" s="148">
        <v>46110</v>
      </c>
      <c r="B409" s="187" t="s">
        <v>1488</v>
      </c>
      <c r="C409" s="169">
        <v>1</v>
      </c>
      <c r="D409" s="169" t="s">
        <v>2546</v>
      </c>
      <c r="E409" s="143" t="str">
        <f>VLOOKUP(B409,'Element wise-detail Summary'!$A:$C,3,0)</f>
        <v>Zone-3</v>
      </c>
      <c r="F409" s="143" t="str">
        <f>VLOOKUP(B409,'AFC Data details'!$B:$B,1,0)</f>
        <v>AZ3-V48-T3C6-002</v>
      </c>
    </row>
    <row r="410" spans="1:6" x14ac:dyDescent="0.25">
      <c r="A410" s="148">
        <v>46110</v>
      </c>
      <c r="B410" s="187" t="s">
        <v>1489</v>
      </c>
      <c r="C410" s="169">
        <v>1</v>
      </c>
      <c r="D410" s="169" t="s">
        <v>2546</v>
      </c>
      <c r="E410" s="143" t="str">
        <f>VLOOKUP(B410,'Element wise-detail Summary'!$A:$C,3,0)</f>
        <v>Zone-3</v>
      </c>
      <c r="F410" s="143" t="str">
        <f>VLOOKUP(B410,'AFC Data details'!$B:$B,1,0)</f>
        <v>AZ3-V48-T3C6-003</v>
      </c>
    </row>
    <row r="411" spans="1:6" x14ac:dyDescent="0.25">
      <c r="A411" s="148">
        <v>46110</v>
      </c>
      <c r="B411" s="187" t="s">
        <v>1234</v>
      </c>
      <c r="C411" s="169">
        <v>1</v>
      </c>
      <c r="D411" s="169" t="s">
        <v>2546</v>
      </c>
      <c r="E411" s="143" t="str">
        <f>VLOOKUP(B411,'Element wise-detail Summary'!$A:$C,3,0)</f>
        <v>Zone-1</v>
      </c>
      <c r="F411" s="143" t="str">
        <f>VLOOKUP(B411,'AFC Data details'!$B:$B,1,0)</f>
        <v>AZ1-V20-T1C6-001</v>
      </c>
    </row>
    <row r="412" spans="1:6" x14ac:dyDescent="0.25">
      <c r="A412" s="148">
        <v>46110</v>
      </c>
      <c r="B412" s="187" t="s">
        <v>1645</v>
      </c>
      <c r="C412" s="169">
        <v>1</v>
      </c>
      <c r="D412" s="169" t="s">
        <v>2546</v>
      </c>
      <c r="E412" s="143" t="str">
        <f>VLOOKUP(B412,'Element wise-detail Summary'!$A:$C,3,0)</f>
        <v>Zone-5</v>
      </c>
      <c r="F412" s="143" t="str">
        <f>VLOOKUP(B412,'AFC Data details'!$B:$B,1,0)</f>
        <v>AZ5-V55-T3C5-002</v>
      </c>
    </row>
    <row r="413" spans="1:6" x14ac:dyDescent="0.25">
      <c r="A413" s="148">
        <v>46110</v>
      </c>
      <c r="B413" s="187" t="s">
        <v>1546</v>
      </c>
      <c r="C413" s="169">
        <v>1</v>
      </c>
      <c r="D413" s="169" t="s">
        <v>2547</v>
      </c>
      <c r="E413" s="143" t="str">
        <f>VLOOKUP(B413,'Element wise-detail Summary'!$A:$C,3,0)</f>
        <v>Zone-5</v>
      </c>
      <c r="F413" s="143" t="str">
        <f>VLOOKUP(B413,'AFC Data details'!$B:$B,1,0)</f>
        <v>AZ5-V56-T1C6-003</v>
      </c>
    </row>
    <row r="414" spans="1:6" x14ac:dyDescent="0.25">
      <c r="A414" s="148">
        <v>46110</v>
      </c>
      <c r="B414" s="187" t="s">
        <v>1646</v>
      </c>
      <c r="C414" s="169">
        <v>1</v>
      </c>
      <c r="D414" s="169" t="s">
        <v>2547</v>
      </c>
      <c r="E414" s="143" t="str">
        <f>VLOOKUP(B414,'Element wise-detail Summary'!$A:$C,3,0)</f>
        <v>Zone-5</v>
      </c>
      <c r="F414" s="143" t="str">
        <f>VLOOKUP(B414,'AFC Data details'!$B:$B,1,0)</f>
        <v>AZ5-V56-T3C5-001</v>
      </c>
    </row>
    <row r="415" spans="1:6" x14ac:dyDescent="0.25">
      <c r="A415" s="148">
        <v>46110</v>
      </c>
      <c r="B415" s="187" t="s">
        <v>1647</v>
      </c>
      <c r="C415" s="169">
        <v>1</v>
      </c>
      <c r="D415" s="169" t="s">
        <v>2547</v>
      </c>
      <c r="E415" s="143" t="str">
        <f>VLOOKUP(B415,'Element wise-detail Summary'!$A:$C,3,0)</f>
        <v>Zone-5</v>
      </c>
      <c r="F415" s="143" t="str">
        <f>VLOOKUP(B415,'AFC Data details'!$B:$B,1,0)</f>
        <v>AZ5-V56-T3C5-002</v>
      </c>
    </row>
    <row r="416" spans="1:6" x14ac:dyDescent="0.25">
      <c r="A416" s="148">
        <v>46110</v>
      </c>
      <c r="B416" s="187" t="s">
        <v>1464</v>
      </c>
      <c r="C416" s="169">
        <v>1</v>
      </c>
      <c r="D416" s="169" t="s">
        <v>2547</v>
      </c>
      <c r="E416" s="143" t="str">
        <f>VLOOKUP(B416,'Element wise-detail Summary'!$A:$C,3,0)</f>
        <v>Zone-3</v>
      </c>
      <c r="F416" s="143" t="str">
        <f>VLOOKUP(B416,'AFC Data details'!$B:$B,1,0)</f>
        <v>AZ3-V44-T3C3-001</v>
      </c>
    </row>
    <row r="417" spans="1:6" x14ac:dyDescent="0.25">
      <c r="A417" s="148">
        <v>46111</v>
      </c>
      <c r="B417" s="3" t="s">
        <v>1547</v>
      </c>
      <c r="C417" s="161">
        <v>1</v>
      </c>
      <c r="D417" s="3" t="s">
        <v>2548</v>
      </c>
      <c r="E417" s="143" t="str">
        <f>VLOOKUP(B417,'Element wise-detail Summary'!$A:$C,3,0)</f>
        <v>Zone-5</v>
      </c>
      <c r="F417" s="143" t="str">
        <f>VLOOKUP(B417,'AFC Data details'!$B:$B,1,0)</f>
        <v>AZ5-V56-T1C6-004</v>
      </c>
    </row>
    <row r="418" spans="1:6" x14ac:dyDescent="0.25">
      <c r="A418" s="148">
        <v>46111</v>
      </c>
      <c r="B418" s="151" t="s">
        <v>1548</v>
      </c>
      <c r="C418" s="161">
        <v>1</v>
      </c>
      <c r="D418" s="3" t="s">
        <v>2548</v>
      </c>
      <c r="E418" s="143" t="str">
        <f>VLOOKUP(B418,'Element wise-detail Summary'!$A:$C,3,0)</f>
        <v>Zone-5</v>
      </c>
      <c r="F418" s="143" t="str">
        <f>VLOOKUP(B418,'AFC Data details'!$B:$B,1,0)</f>
        <v>AZ5-V56-T1C6-005</v>
      </c>
    </row>
    <row r="419" spans="1:6" x14ac:dyDescent="0.25">
      <c r="A419" s="148">
        <v>46111</v>
      </c>
      <c r="B419" s="3" t="s">
        <v>1484</v>
      </c>
      <c r="C419" s="161">
        <v>1</v>
      </c>
      <c r="D419" s="3" t="s">
        <v>2548</v>
      </c>
      <c r="E419" s="143" t="str">
        <f>VLOOKUP(B419,'Element wise-detail Summary'!$A:$C,3,0)</f>
        <v>Zone-3</v>
      </c>
      <c r="F419" s="143" t="str">
        <f>VLOOKUP(B419,'AFC Data details'!$B:$B,1,0)</f>
        <v>AZ3-V48-T1C14-001</v>
      </c>
    </row>
    <row r="420" spans="1:6" x14ac:dyDescent="0.25">
      <c r="A420" s="148">
        <v>46111</v>
      </c>
      <c r="B420" s="3" t="s">
        <v>1466</v>
      </c>
      <c r="C420" s="161">
        <v>1</v>
      </c>
      <c r="D420" s="3" t="s">
        <v>2548</v>
      </c>
      <c r="E420" s="143" t="str">
        <f>VLOOKUP(B420,'Element wise-detail Summary'!$A:$C,3,0)</f>
        <v>Zone-3</v>
      </c>
      <c r="F420" s="143" t="str">
        <f>VLOOKUP(B420,'AFC Data details'!$B:$B,1,0)</f>
        <v>AZ3-V44-T3C3-003</v>
      </c>
    </row>
    <row r="421" spans="1:6" x14ac:dyDescent="0.25">
      <c r="A421" s="148">
        <v>46111</v>
      </c>
      <c r="B421" s="3" t="s">
        <v>1433</v>
      </c>
      <c r="C421" s="161">
        <v>1</v>
      </c>
      <c r="D421" s="3" t="s">
        <v>2549</v>
      </c>
      <c r="E421" s="143" t="str">
        <f>VLOOKUP(B421,'Element wise-detail Summary'!$A:$C,3,0)</f>
        <v>Zone-3</v>
      </c>
      <c r="F421" s="143" t="str">
        <f>VLOOKUP(B421,'AFC Data details'!$B:$B,1,0)</f>
        <v>AZ3-V43-T1C3-001</v>
      </c>
    </row>
    <row r="422" spans="1:6" x14ac:dyDescent="0.25">
      <c r="A422" s="148">
        <v>46111</v>
      </c>
      <c r="B422" s="3" t="s">
        <v>1387</v>
      </c>
      <c r="C422" s="161">
        <v>1</v>
      </c>
      <c r="D422" s="3" t="s">
        <v>2549</v>
      </c>
      <c r="E422" s="143" t="str">
        <f>VLOOKUP(B422,'Element wise-detail Summary'!$A:$C,3,0)</f>
        <v>Zone-2</v>
      </c>
      <c r="F422" s="143" t="str">
        <f>VLOOKUP(B422,'AFC Data details'!$B:$B,1,0)</f>
        <v>AZ2-V38-T1C2-001</v>
      </c>
    </row>
    <row r="423" spans="1:6" x14ac:dyDescent="0.25">
      <c r="A423" s="148">
        <v>46111</v>
      </c>
      <c r="B423" s="151" t="s">
        <v>1544</v>
      </c>
      <c r="C423" s="161">
        <v>1</v>
      </c>
      <c r="D423" s="3" t="s">
        <v>2549</v>
      </c>
      <c r="E423" s="143" t="str">
        <f>VLOOKUP(B423,'Element wise-detail Summary'!$A:$C,3,0)</f>
        <v>Zone-5</v>
      </c>
      <c r="F423" s="143" t="str">
        <f>VLOOKUP(B423,'AFC Data details'!$B:$B,1,0)</f>
        <v>AZ5-V56-T1C6-001</v>
      </c>
    </row>
    <row r="424" spans="1:6" x14ac:dyDescent="0.25">
      <c r="A424" s="148">
        <v>46111</v>
      </c>
      <c r="B424" s="3" t="s">
        <v>1553</v>
      </c>
      <c r="C424" s="161">
        <v>1</v>
      </c>
      <c r="D424" s="3" t="s">
        <v>2549</v>
      </c>
      <c r="E424" s="143" t="str">
        <f>VLOOKUP(B424,'Element wise-detail Summary'!$A:$C,3,0)</f>
        <v>Zone-5</v>
      </c>
      <c r="F424" s="143" t="str">
        <f>VLOOKUP(B424,'AFC Data details'!$B:$B,1,0)</f>
        <v>AZ5-V56-T1C6-006</v>
      </c>
    </row>
    <row r="425" spans="1:6" x14ac:dyDescent="0.25">
      <c r="A425" s="148">
        <v>46125</v>
      </c>
      <c r="B425" s="183" t="s">
        <v>2004</v>
      </c>
      <c r="C425" s="186">
        <v>1</v>
      </c>
      <c r="D425" s="184" t="s">
        <v>2570</v>
      </c>
      <c r="E425" s="143" t="str">
        <f>VLOOKUP(B425,'Element wise-detail Summary'!$A:$C,3,0)</f>
        <v>Zone-4</v>
      </c>
      <c r="F425" s="143" t="str">
        <f>VLOOKUP(B425,'AFC Data details'!$B:$B,1,0)</f>
        <v>AZ4-V11-T1C6-004</v>
      </c>
    </row>
    <row r="426" spans="1:6" x14ac:dyDescent="0.25">
      <c r="A426" s="148">
        <v>46125</v>
      </c>
      <c r="B426" s="183" t="s">
        <v>1978</v>
      </c>
      <c r="C426" s="186">
        <v>1</v>
      </c>
      <c r="D426" s="184" t="s">
        <v>2570</v>
      </c>
      <c r="E426" s="143" t="str">
        <f>VLOOKUP(B426,'Element wise-detail Summary'!$A:$C,3,0)</f>
        <v>Zone-4</v>
      </c>
      <c r="F426" s="143" t="str">
        <f>VLOOKUP(B426,'AFC Data details'!$B:$B,1,0)</f>
        <v>AZ4-V11-T1C6-006</v>
      </c>
    </row>
    <row r="427" spans="1:6" x14ac:dyDescent="0.25">
      <c r="A427" s="148">
        <v>46125</v>
      </c>
      <c r="B427" s="183" t="s">
        <v>1986</v>
      </c>
      <c r="C427" s="186">
        <v>1</v>
      </c>
      <c r="D427" s="184" t="s">
        <v>2570</v>
      </c>
      <c r="E427" s="143" t="str">
        <f>VLOOKUP(B427,'Element wise-detail Summary'!$A:$C,3,0)</f>
        <v>Zone-4</v>
      </c>
      <c r="F427" s="143" t="str">
        <f>VLOOKUP(B427,'AFC Data details'!$B:$B,1,0)</f>
        <v>AZ4-V16-T1C13-003</v>
      </c>
    </row>
    <row r="428" spans="1:6" x14ac:dyDescent="0.25">
      <c r="A428" s="148">
        <v>46125</v>
      </c>
      <c r="B428" s="183" t="s">
        <v>1987</v>
      </c>
      <c r="C428" s="186">
        <v>1</v>
      </c>
      <c r="D428" s="184" t="s">
        <v>2570</v>
      </c>
      <c r="E428" s="143" t="str">
        <f>VLOOKUP(B428,'Element wise-detail Summary'!$A:$C,3,0)</f>
        <v>Zone-4</v>
      </c>
      <c r="F428" s="143" t="str">
        <f>VLOOKUP(B428,'AFC Data details'!$B:$B,1,0)</f>
        <v>AZ4-V16-T1C13-004</v>
      </c>
    </row>
    <row r="429" spans="1:6" x14ac:dyDescent="0.25">
      <c r="A429" s="148">
        <v>46126</v>
      </c>
      <c r="B429" s="224" t="s">
        <v>2336</v>
      </c>
      <c r="C429" s="225">
        <v>1</v>
      </c>
      <c r="D429" s="224" t="s">
        <v>2551</v>
      </c>
      <c r="E429" s="143" t="str">
        <f>VLOOKUP(B429,'Element wise-detail Summary'!$A:$C,3,0)</f>
        <v>Zone-7</v>
      </c>
      <c r="F429" s="143" t="str">
        <f>VLOOKUP(B429,'AFC Data details'!$B:$B,1,0)</f>
        <v>AZ7-PV16-T1C13-005</v>
      </c>
    </row>
    <row r="430" spans="1:6" x14ac:dyDescent="0.25">
      <c r="A430" s="148">
        <v>46126</v>
      </c>
      <c r="B430" s="226" t="s">
        <v>1963</v>
      </c>
      <c r="C430" s="227">
        <v>1</v>
      </c>
      <c r="D430" s="226" t="s">
        <v>2551</v>
      </c>
      <c r="E430" s="143" t="str">
        <f>VLOOKUP(B430,'Element wise-detail Summary'!$A:$C,3,0)</f>
        <v>Zone-4</v>
      </c>
      <c r="F430" s="143" t="str">
        <f>VLOOKUP(B430,'AFC Data details'!$B:$B,1,0)</f>
        <v>AZ4-V09-T1C6-004</v>
      </c>
    </row>
    <row r="431" spans="1:6" x14ac:dyDescent="0.25">
      <c r="A431" s="148">
        <v>46126</v>
      </c>
      <c r="B431" s="226" t="s">
        <v>2005</v>
      </c>
      <c r="C431" s="227">
        <v>1</v>
      </c>
      <c r="D431" s="226" t="s">
        <v>2551</v>
      </c>
      <c r="E431" s="143" t="str">
        <f>VLOOKUP(B431,'Element wise-detail Summary'!$A:$C,3,0)</f>
        <v>Zone-4</v>
      </c>
      <c r="F431" s="143" t="str">
        <f>VLOOKUP(B431,'AFC Data details'!$B:$B,1,0)</f>
        <v>AZ4-V11-T1C6-005</v>
      </c>
    </row>
    <row r="432" spans="1:6" x14ac:dyDescent="0.25">
      <c r="A432" s="148">
        <v>46126</v>
      </c>
      <c r="B432" s="226" t="s">
        <v>1971</v>
      </c>
      <c r="C432" s="227">
        <v>1</v>
      </c>
      <c r="D432" s="226" t="s">
        <v>2551</v>
      </c>
      <c r="E432" s="143" t="str">
        <f>VLOOKUP(B432,'Element wise-detail Summary'!$A:$C,3,0)</f>
        <v>Zone-4</v>
      </c>
      <c r="F432" s="143" t="str">
        <f>VLOOKUP(B432,'AFC Data details'!$B:$B,1,0)</f>
        <v>AZ4-V08-T1C6-006</v>
      </c>
    </row>
    <row r="433" spans="1:6" x14ac:dyDescent="0.25">
      <c r="A433" s="148">
        <v>46129</v>
      </c>
      <c r="B433" s="151" t="s">
        <v>1652</v>
      </c>
      <c r="C433" s="161">
        <v>1</v>
      </c>
      <c r="D433" s="3" t="s">
        <v>2552</v>
      </c>
      <c r="E433" s="143" t="str">
        <f>VLOOKUP(B433,'Element wise-detail Summary'!$A:$C,3,0)</f>
        <v>Zone-5</v>
      </c>
      <c r="F433" s="143" t="str">
        <f>VLOOKUP(B433,'AFC Data details'!$B:$B,1,0)</f>
        <v>AZ5-V58-T3C5-001</v>
      </c>
    </row>
    <row r="434" spans="1:6" x14ac:dyDescent="0.25">
      <c r="A434" s="148">
        <v>46129</v>
      </c>
      <c r="B434" s="151" t="s">
        <v>1653</v>
      </c>
      <c r="C434" s="161">
        <v>1</v>
      </c>
      <c r="D434" s="3" t="s">
        <v>2552</v>
      </c>
      <c r="E434" s="143" t="str">
        <f>VLOOKUP(B434,'Element wise-detail Summary'!$A:$C,3,0)</f>
        <v>Zone-5</v>
      </c>
      <c r="F434" s="143" t="str">
        <f>VLOOKUP(B434,'AFC Data details'!$B:$B,1,0)</f>
        <v>AZ5-V58-T3C5-002</v>
      </c>
    </row>
    <row r="435" spans="1:6" x14ac:dyDescent="0.25">
      <c r="A435" s="148">
        <v>46129</v>
      </c>
      <c r="B435" s="151" t="s">
        <v>1655</v>
      </c>
      <c r="C435" s="161">
        <v>1</v>
      </c>
      <c r="D435" s="3" t="s">
        <v>2552</v>
      </c>
      <c r="E435" s="143" t="str">
        <f>VLOOKUP(B435,'Element wise-detail Summary'!$A:$C,3,0)</f>
        <v>Zone-5</v>
      </c>
      <c r="F435" s="143" t="str">
        <f>VLOOKUP(B435,'AFC Data details'!$B:$B,1,0)</f>
        <v>AZ5-V59-T2C1-001</v>
      </c>
    </row>
    <row r="436" spans="1:6" x14ac:dyDescent="0.25">
      <c r="A436" s="148">
        <v>46129</v>
      </c>
      <c r="B436" s="151" t="s">
        <v>1657</v>
      </c>
      <c r="C436" s="161">
        <v>1</v>
      </c>
      <c r="D436" s="3" t="s">
        <v>2552</v>
      </c>
      <c r="E436" s="143" t="str">
        <f>VLOOKUP(B436,'Element wise-detail Summary'!$A:$C,3,0)</f>
        <v>Zone-5</v>
      </c>
      <c r="F436" s="143" t="str">
        <f>VLOOKUP(B436,'AFC Data details'!$B:$B,1,0)</f>
        <v>AZ5-V59-T3C5-002</v>
      </c>
    </row>
    <row r="437" spans="1:6" x14ac:dyDescent="0.25">
      <c r="A437" s="148">
        <v>46129</v>
      </c>
      <c r="B437" s="151" t="s">
        <v>1556</v>
      </c>
      <c r="C437" s="161">
        <v>1</v>
      </c>
      <c r="D437" s="3" t="s">
        <v>2553</v>
      </c>
      <c r="E437" s="143" t="str">
        <f>VLOOKUP(B437,'Element wise-detail Summary'!$A:$C,3,0)</f>
        <v>Zone-5</v>
      </c>
      <c r="F437" s="143" t="str">
        <f>VLOOKUP(B437,'AFC Data details'!$B:$B,1,0)</f>
        <v>AZ5-V58-T1C6-001</v>
      </c>
    </row>
    <row r="438" spans="1:6" x14ac:dyDescent="0.25">
      <c r="A438" s="148">
        <v>46129</v>
      </c>
      <c r="B438" s="151" t="s">
        <v>1557</v>
      </c>
      <c r="C438" s="161">
        <v>1</v>
      </c>
      <c r="D438" s="3" t="s">
        <v>2553</v>
      </c>
      <c r="E438" s="143" t="str">
        <f>VLOOKUP(B438,'Element wise-detail Summary'!$A:$C,3,0)</f>
        <v>Zone-5</v>
      </c>
      <c r="F438" s="143" t="str">
        <f>VLOOKUP(B438,'AFC Data details'!$B:$B,1,0)</f>
        <v>AZ5-V58-T1C6-002</v>
      </c>
    </row>
    <row r="439" spans="1:6" x14ac:dyDescent="0.25">
      <c r="A439" s="148">
        <v>46129</v>
      </c>
      <c r="B439" s="151" t="s">
        <v>1558</v>
      </c>
      <c r="C439" s="161">
        <v>1</v>
      </c>
      <c r="D439" s="3" t="s">
        <v>2553</v>
      </c>
      <c r="E439" s="143" t="str">
        <f>VLOOKUP(B439,'Element wise-detail Summary'!$A:$C,3,0)</f>
        <v>Zone-5</v>
      </c>
      <c r="F439" s="143" t="str">
        <f>VLOOKUP(B439,'AFC Data details'!$B:$B,1,0)</f>
        <v>AZ5-V58-T1C6-003</v>
      </c>
    </row>
    <row r="440" spans="1:6" x14ac:dyDescent="0.25">
      <c r="A440" s="148">
        <v>46129</v>
      </c>
      <c r="B440" s="151" t="s">
        <v>2230</v>
      </c>
      <c r="C440" s="161">
        <v>1</v>
      </c>
      <c r="D440" s="3" t="s">
        <v>2553</v>
      </c>
      <c r="E440" s="143" t="str">
        <f>VLOOKUP(B440,'Element wise-detail Summary'!$A:$C,3,0)</f>
        <v>Zone-7</v>
      </c>
      <c r="F440" s="143" t="str">
        <f>VLOOKUP(B440,'AFC Data details'!$B:$B,1,0)</f>
        <v>AZ7-PV04-T1C6-004</v>
      </c>
    </row>
    <row r="441" spans="1:6" x14ac:dyDescent="0.25">
      <c r="A441" s="148">
        <v>46129</v>
      </c>
      <c r="B441" s="151" t="s">
        <v>1563</v>
      </c>
      <c r="C441" s="161">
        <v>1</v>
      </c>
      <c r="D441" s="3" t="s">
        <v>2554</v>
      </c>
      <c r="E441" s="143" t="str">
        <f>VLOOKUP(B441,'Element wise-detail Summary'!$A:$C,3,0)</f>
        <v>Zone-5</v>
      </c>
      <c r="F441" s="143" t="str">
        <f>VLOOKUP(B441,'AFC Data details'!$B:$B,1,0)</f>
        <v>AZ5-V59-T1C6-004</v>
      </c>
    </row>
    <row r="442" spans="1:6" x14ac:dyDescent="0.25">
      <c r="A442" s="148">
        <v>46129</v>
      </c>
      <c r="B442" s="151" t="s">
        <v>1564</v>
      </c>
      <c r="C442" s="161">
        <v>1</v>
      </c>
      <c r="D442" s="3" t="s">
        <v>2554</v>
      </c>
      <c r="E442" s="143" t="str">
        <f>VLOOKUP(B442,'Element wise-detail Summary'!$A:$C,3,0)</f>
        <v>Zone-5</v>
      </c>
      <c r="F442" s="143" t="str">
        <f>VLOOKUP(B442,'AFC Data details'!$B:$B,1,0)</f>
        <v>AZ5-V59-T1C6-005</v>
      </c>
    </row>
    <row r="443" spans="1:6" x14ac:dyDescent="0.25">
      <c r="A443" s="148">
        <v>46129</v>
      </c>
      <c r="B443" s="151" t="s">
        <v>1566</v>
      </c>
      <c r="C443" s="161">
        <v>1</v>
      </c>
      <c r="D443" s="3" t="s">
        <v>2554</v>
      </c>
      <c r="E443" s="143" t="str">
        <f>VLOOKUP(B443,'Element wise-detail Summary'!$A:$C,3,0)</f>
        <v>Zone-5</v>
      </c>
      <c r="F443" s="143" t="str">
        <f>VLOOKUP(B443,'AFC Data details'!$B:$B,1,0)</f>
        <v>AZ5-V59-T1C6-001</v>
      </c>
    </row>
    <row r="444" spans="1:6" x14ac:dyDescent="0.25">
      <c r="A444" s="148">
        <v>46129</v>
      </c>
      <c r="B444" s="151" t="s">
        <v>1567</v>
      </c>
      <c r="C444" s="161">
        <v>1</v>
      </c>
      <c r="D444" s="3" t="s">
        <v>2554</v>
      </c>
      <c r="E444" s="143" t="str">
        <f>VLOOKUP(B444,'Element wise-detail Summary'!$A:$C,3,0)</f>
        <v>Zone-5</v>
      </c>
      <c r="F444" s="143" t="str">
        <f>VLOOKUP(B444,'AFC Data details'!$B:$B,1,0)</f>
        <v>AZ5-V59-T1C6-006</v>
      </c>
    </row>
    <row r="445" spans="1:6" x14ac:dyDescent="0.25">
      <c r="A445" s="148">
        <v>46130</v>
      </c>
      <c r="B445" s="3" t="s">
        <v>1559</v>
      </c>
      <c r="C445" s="161">
        <v>1</v>
      </c>
      <c r="D445" s="3" t="s">
        <v>2555</v>
      </c>
      <c r="E445" s="143" t="str">
        <f>VLOOKUP(B445,'Element wise-detail Summary'!$A:$C,3,0)</f>
        <v>Zone-5</v>
      </c>
      <c r="F445" s="143" t="str">
        <f>VLOOKUP(B445,'AFC Data details'!$B:$B,1,0)</f>
        <v>AZ5-V58-T1C6-004</v>
      </c>
    </row>
    <row r="446" spans="1:6" x14ac:dyDescent="0.25">
      <c r="A446" s="148">
        <v>46130</v>
      </c>
      <c r="B446" s="3" t="s">
        <v>1565</v>
      </c>
      <c r="C446" s="161">
        <v>1</v>
      </c>
      <c r="D446" s="3" t="s">
        <v>2555</v>
      </c>
      <c r="E446" s="143" t="str">
        <f>VLOOKUP(B446,'Element wise-detail Summary'!$A:$C,3,0)</f>
        <v>Zone-5</v>
      </c>
      <c r="F446" s="143" t="str">
        <f>VLOOKUP(B446,'AFC Data details'!$B:$B,1,0)</f>
        <v>AZ5-V58-T1C6-006</v>
      </c>
    </row>
    <row r="447" spans="1:6" x14ac:dyDescent="0.25">
      <c r="A447" s="148">
        <v>46130</v>
      </c>
      <c r="B447" s="3" t="s">
        <v>1562</v>
      </c>
      <c r="C447" s="161">
        <v>1</v>
      </c>
      <c r="D447" s="3" t="s">
        <v>2555</v>
      </c>
      <c r="E447" s="143" t="str">
        <f>VLOOKUP(B447,'Element wise-detail Summary'!$A:$C,3,0)</f>
        <v>Zone-5</v>
      </c>
      <c r="F447" s="143" t="str">
        <f>VLOOKUP(B447,'AFC Data details'!$B:$B,1,0)</f>
        <v>AZ5-V59-T1C6-003</v>
      </c>
    </row>
    <row r="448" spans="1:6" x14ac:dyDescent="0.25">
      <c r="A448" s="148">
        <v>46130</v>
      </c>
      <c r="B448" s="3" t="s">
        <v>1656</v>
      </c>
      <c r="C448" s="161">
        <v>1</v>
      </c>
      <c r="D448" s="3" t="s">
        <v>2555</v>
      </c>
      <c r="E448" s="143" t="str">
        <f>VLOOKUP(B448,'Element wise-detail Summary'!$A:$C,3,0)</f>
        <v>Zone-5</v>
      </c>
      <c r="F448" s="143" t="str">
        <f>VLOOKUP(B448,'AFC Data details'!$B:$B,1,0)</f>
        <v>AZ5-V59-T3C5-001</v>
      </c>
    </row>
    <row r="449" spans="1:6" x14ac:dyDescent="0.25">
      <c r="A449" s="148">
        <v>46137</v>
      </c>
      <c r="B449" s="228" t="s">
        <v>1650</v>
      </c>
      <c r="C449" s="228">
        <v>1</v>
      </c>
      <c r="D449" s="229" t="s">
        <v>2556</v>
      </c>
      <c r="E449" s="143" t="str">
        <f>VLOOKUP(B449,'Element wise-detail Summary'!$A:$C,3,0)</f>
        <v>Zone-5</v>
      </c>
      <c r="F449" s="143" t="str">
        <f>VLOOKUP(B449,'AFC Data details'!$B:$B,1,0)</f>
        <v>AZ5-V57-T3C5-001</v>
      </c>
    </row>
    <row r="450" spans="1:6" x14ac:dyDescent="0.25">
      <c r="A450" s="148">
        <v>46137</v>
      </c>
      <c r="B450" s="228" t="s">
        <v>1659</v>
      </c>
      <c r="C450" s="228">
        <v>1</v>
      </c>
      <c r="D450" s="229" t="s">
        <v>2556</v>
      </c>
      <c r="E450" s="143" t="str">
        <f>VLOOKUP(B450,'Element wise-detail Summary'!$A:$C,3,0)</f>
        <v>Zone-5</v>
      </c>
      <c r="F450" s="143" t="str">
        <f>VLOOKUP(B450,'AFC Data details'!$B:$B,1,0)</f>
        <v>AZ5-V60-T3C5-002</v>
      </c>
    </row>
    <row r="451" spans="1:6" x14ac:dyDescent="0.25">
      <c r="A451" s="148">
        <v>46137</v>
      </c>
      <c r="B451" s="228" t="s">
        <v>1667</v>
      </c>
      <c r="C451" s="228">
        <v>1</v>
      </c>
      <c r="D451" s="229" t="s">
        <v>2556</v>
      </c>
      <c r="E451" s="143" t="str">
        <f>VLOOKUP(B451,'Element wise-detail Summary'!$A:$C,3,0)</f>
        <v>Zone-5</v>
      </c>
      <c r="F451" s="143" t="str">
        <f>VLOOKUP(B451,'AFC Data details'!$B:$B,1,0)</f>
        <v>AZ5-V61-T3C5-002</v>
      </c>
    </row>
    <row r="452" spans="1:6" x14ac:dyDescent="0.25">
      <c r="A452" s="148">
        <v>46137</v>
      </c>
      <c r="B452" s="228" t="s">
        <v>1597</v>
      </c>
      <c r="C452" s="228">
        <v>1</v>
      </c>
      <c r="D452" s="229" t="s">
        <v>2556</v>
      </c>
      <c r="E452" s="143" t="str">
        <f>VLOOKUP(B452,'Element wise-detail Summary'!$A:$C,3,0)</f>
        <v>Zone-5</v>
      </c>
      <c r="F452" s="143" t="str">
        <f>VLOOKUP(B452,'AFC Data details'!$B:$B,1,0)</f>
        <v>AZ5-V62-T1C6-006</v>
      </c>
    </row>
    <row r="453" spans="1:6" x14ac:dyDescent="0.25">
      <c r="A453" s="148">
        <v>46137</v>
      </c>
      <c r="B453" s="151" t="s">
        <v>1550</v>
      </c>
      <c r="C453" s="228">
        <v>1</v>
      </c>
      <c r="D453" s="229" t="s">
        <v>2557</v>
      </c>
      <c r="E453" s="143" t="str">
        <f>VLOOKUP(B453,'Element wise-detail Summary'!$A:$C,3,0)</f>
        <v>Zone-5</v>
      </c>
      <c r="F453" s="143" t="str">
        <f>VLOOKUP(B453,'AFC Data details'!$B:$B,1,0)</f>
        <v>AZ5-V57-T1C6-003</v>
      </c>
    </row>
    <row r="454" spans="1:6" x14ac:dyDescent="0.25">
      <c r="A454" s="148">
        <v>46137</v>
      </c>
      <c r="B454" s="151" t="s">
        <v>1551</v>
      </c>
      <c r="C454" s="228">
        <v>1</v>
      </c>
      <c r="D454" s="229" t="s">
        <v>2557</v>
      </c>
      <c r="E454" s="143" t="str">
        <f>VLOOKUP(B454,'Element wise-detail Summary'!$A:$C,3,0)</f>
        <v>Zone-5</v>
      </c>
      <c r="F454" s="143" t="str">
        <f>VLOOKUP(B454,'AFC Data details'!$B:$B,1,0)</f>
        <v>AZ5-V57-T1C6-004</v>
      </c>
    </row>
    <row r="455" spans="1:6" x14ac:dyDescent="0.25">
      <c r="A455" s="148">
        <v>46137</v>
      </c>
      <c r="B455" s="151" t="s">
        <v>1552</v>
      </c>
      <c r="C455" s="228">
        <v>1</v>
      </c>
      <c r="D455" s="229" t="s">
        <v>2557</v>
      </c>
      <c r="E455" s="143" t="str">
        <f>VLOOKUP(B455,'Element wise-detail Summary'!$A:$C,3,0)</f>
        <v>Zone-5</v>
      </c>
      <c r="F455" s="143" t="str">
        <f>VLOOKUP(B455,'AFC Data details'!$B:$B,1,0)</f>
        <v>AZ5-V57-T1C6-005</v>
      </c>
    </row>
    <row r="456" spans="1:6" x14ac:dyDescent="0.25">
      <c r="A456" s="148">
        <v>46137</v>
      </c>
      <c r="B456" s="151" t="s">
        <v>1555</v>
      </c>
      <c r="C456" s="228">
        <v>1</v>
      </c>
      <c r="D456" s="229" t="s">
        <v>2557</v>
      </c>
      <c r="E456" s="143" t="str">
        <f>VLOOKUP(B456,'Element wise-detail Summary'!$A:$C,3,0)</f>
        <v>Zone-5</v>
      </c>
      <c r="F456" s="143" t="str">
        <f>VLOOKUP(B456,'AFC Data details'!$B:$B,1,0)</f>
        <v>AZ5-V57-T1C6-006</v>
      </c>
    </row>
    <row r="457" spans="1:6" x14ac:dyDescent="0.25">
      <c r="A457" s="148">
        <v>46137</v>
      </c>
      <c r="B457" s="151" t="s">
        <v>1579</v>
      </c>
      <c r="C457" s="228">
        <v>1</v>
      </c>
      <c r="D457" s="229" t="s">
        <v>2558</v>
      </c>
      <c r="E457" s="143" t="str">
        <f>VLOOKUP(B457,'Element wise-detail Summary'!$A:$C,3,0)</f>
        <v>Zone-5</v>
      </c>
      <c r="F457" s="143" t="str">
        <f>VLOOKUP(B457,'AFC Data details'!$B:$B,1,0)</f>
        <v>AZ5-V63-T1C6-002</v>
      </c>
    </row>
    <row r="458" spans="1:6" x14ac:dyDescent="0.25">
      <c r="A458" s="148">
        <v>46137</v>
      </c>
      <c r="B458" s="151" t="s">
        <v>1588</v>
      </c>
      <c r="C458" s="228">
        <v>1</v>
      </c>
      <c r="D458" s="229" t="s">
        <v>2558</v>
      </c>
      <c r="E458" s="143" t="str">
        <f>VLOOKUP(B458,'Element wise-detail Summary'!$A:$C,3,0)</f>
        <v>Zone-5</v>
      </c>
      <c r="F458" s="143" t="str">
        <f>VLOOKUP(B458,'AFC Data details'!$B:$B,1,0)</f>
        <v>AZ5-V63-T1C6-005</v>
      </c>
    </row>
    <row r="459" spans="1:6" x14ac:dyDescent="0.25">
      <c r="A459" s="148">
        <v>46137</v>
      </c>
      <c r="B459" s="151" t="s">
        <v>1602</v>
      </c>
      <c r="C459" s="228">
        <v>1</v>
      </c>
      <c r="D459" s="229" t="s">
        <v>2558</v>
      </c>
      <c r="E459" s="143" t="str">
        <f>VLOOKUP(B459,'Element wise-detail Summary'!$A:$C,3,0)</f>
        <v>Zone-5</v>
      </c>
      <c r="F459" s="143" t="str">
        <f>VLOOKUP(B459,'AFC Data details'!$B:$B,1,0)</f>
        <v>AZ5-V63-T1C6-006</v>
      </c>
    </row>
    <row r="460" spans="1:6" x14ac:dyDescent="0.25">
      <c r="A460" s="148">
        <v>46137</v>
      </c>
      <c r="B460" s="151" t="s">
        <v>1586</v>
      </c>
      <c r="C460" s="228">
        <v>1</v>
      </c>
      <c r="D460" s="229" t="s">
        <v>2558</v>
      </c>
      <c r="E460" s="143" t="str">
        <f>VLOOKUP(B460,'Element wise-detail Summary'!$A:$C,3,0)</f>
        <v>Zone-5</v>
      </c>
      <c r="F460" s="143" t="str">
        <f>VLOOKUP(B460,'AFC Data details'!$B:$B,1,0)</f>
        <v>AZ5-V62-T1C6-005</v>
      </c>
    </row>
    <row r="461" spans="1:6" x14ac:dyDescent="0.25">
      <c r="A461" s="148">
        <v>46137</v>
      </c>
      <c r="B461" s="151" t="s">
        <v>1666</v>
      </c>
      <c r="C461" s="228">
        <v>1</v>
      </c>
      <c r="D461" s="229" t="s">
        <v>2559</v>
      </c>
      <c r="E461" s="143" t="str">
        <f>VLOOKUP(B461,'Element wise-detail Summary'!$A:$C,3,0)</f>
        <v>Zone-5</v>
      </c>
      <c r="F461" s="143" t="str">
        <f>VLOOKUP(B461,'AFC Data details'!$B:$B,1,0)</f>
        <v>AZ5-V61-T3C5-001</v>
      </c>
    </row>
    <row r="462" spans="1:6" x14ac:dyDescent="0.25">
      <c r="A462" s="148">
        <v>46137</v>
      </c>
      <c r="B462" s="151" t="s">
        <v>1577</v>
      </c>
      <c r="C462" s="228">
        <v>1</v>
      </c>
      <c r="D462" s="229" t="s">
        <v>2559</v>
      </c>
      <c r="E462" s="143" t="str">
        <f>VLOOKUP(B462,'Element wise-detail Summary'!$A:$C,3,0)</f>
        <v>Zone-5</v>
      </c>
      <c r="F462" s="143" t="str">
        <f>VLOOKUP(B462,'AFC Data details'!$B:$B,1,0)</f>
        <v>AZ5-V62-T1C6-002</v>
      </c>
    </row>
    <row r="463" spans="1:6" x14ac:dyDescent="0.25">
      <c r="A463" s="148">
        <v>46137</v>
      </c>
      <c r="B463" s="151" t="s">
        <v>1587</v>
      </c>
      <c r="C463" s="228">
        <v>1</v>
      </c>
      <c r="D463" s="229" t="s">
        <v>2559</v>
      </c>
      <c r="E463" s="143" t="str">
        <f>VLOOKUP(B463,'Element wise-detail Summary'!$A:$C,3,0)</f>
        <v>Zone-5</v>
      </c>
      <c r="F463" s="143" t="str">
        <f>VLOOKUP(B463,'AFC Data details'!$B:$B,1,0)</f>
        <v>AZ5-V63-T1C6-004</v>
      </c>
    </row>
    <row r="464" spans="1:6" x14ac:dyDescent="0.25">
      <c r="A464" s="148">
        <v>46137</v>
      </c>
      <c r="B464" s="151" t="s">
        <v>1600</v>
      </c>
      <c r="C464" s="228">
        <v>1</v>
      </c>
      <c r="D464" s="229" t="s">
        <v>2559</v>
      </c>
      <c r="E464" s="143" t="str">
        <f>VLOOKUP(B464,'Element wise-detail Summary'!$A:$C,3,0)</f>
        <v>Zone-5</v>
      </c>
      <c r="F464" s="143" t="str">
        <f>VLOOKUP(B464,'AFC Data details'!$B:$B,1,0)</f>
        <v>AZ5-V63-T1C6-001</v>
      </c>
    </row>
    <row r="465" spans="1:6" x14ac:dyDescent="0.25">
      <c r="A465" s="148">
        <v>46137</v>
      </c>
      <c r="B465" s="151" t="s">
        <v>1219</v>
      </c>
      <c r="C465" s="228">
        <v>1</v>
      </c>
      <c r="D465" s="229" t="s">
        <v>2560</v>
      </c>
      <c r="E465" s="143" t="str">
        <f>VLOOKUP(B465,'Element wise-detail Summary'!$A:$C,3,0)</f>
        <v>Zone-1</v>
      </c>
      <c r="F465" s="143" t="str">
        <f>VLOOKUP(B465,'AFC Data details'!$B:$B,1,0)</f>
        <v>AZ1-V19-T1C12S-001</v>
      </c>
    </row>
    <row r="466" spans="1:6" x14ac:dyDescent="0.25">
      <c r="A466" s="148">
        <v>46137</v>
      </c>
      <c r="B466" s="151" t="s">
        <v>1195</v>
      </c>
      <c r="C466" s="228">
        <v>1</v>
      </c>
      <c r="D466" s="229" t="s">
        <v>2560</v>
      </c>
      <c r="E466" s="143" t="str">
        <f>VLOOKUP(B466,'Element wise-detail Summary'!$A:$C,3,0)</f>
        <v>Zone-1</v>
      </c>
      <c r="F466" s="143" t="str">
        <f>VLOOKUP(B466,'AFC Data details'!$B:$B,1,0)</f>
        <v>AZ1-V20-T3C5-001</v>
      </c>
    </row>
    <row r="467" spans="1:6" x14ac:dyDescent="0.25">
      <c r="A467" s="148">
        <v>46137</v>
      </c>
      <c r="B467" s="151" t="s">
        <v>1191</v>
      </c>
      <c r="C467" s="228">
        <v>1</v>
      </c>
      <c r="D467" s="229" t="s">
        <v>2560</v>
      </c>
      <c r="E467" s="143" t="str">
        <f>VLOOKUP(B467,'Element wise-detail Summary'!$A:$C,3,0)</f>
        <v>Zone-1</v>
      </c>
      <c r="F467" s="143" t="str">
        <f>VLOOKUP(B467,'AFC Data details'!$B:$B,1,0)</f>
        <v>AZ1-V20-T3C5-002</v>
      </c>
    </row>
    <row r="468" spans="1:6" x14ac:dyDescent="0.25">
      <c r="A468" s="148">
        <v>46137</v>
      </c>
      <c r="B468" s="151" t="s">
        <v>1884</v>
      </c>
      <c r="C468" s="228">
        <v>1</v>
      </c>
      <c r="D468" s="229" t="s">
        <v>2560</v>
      </c>
      <c r="E468" s="143" t="str">
        <f>VLOOKUP(B468,'Element wise-detail Summary'!$A:$C,3,0)</f>
        <v>Zone-6</v>
      </c>
      <c r="F468" s="143" t="str">
        <f>VLOOKUP(B468,'AFC Data details'!$B:$B,1,0)</f>
        <v>AZ6-PV21-T1C6-001</v>
      </c>
    </row>
    <row r="469" spans="1:6" x14ac:dyDescent="0.25">
      <c r="A469" s="148">
        <v>46137</v>
      </c>
      <c r="B469" s="151" t="s">
        <v>2007</v>
      </c>
      <c r="C469" s="228">
        <v>1</v>
      </c>
      <c r="D469" s="229" t="s">
        <v>2561</v>
      </c>
      <c r="E469" s="143" t="str">
        <f>VLOOKUP(B469,'Element wise-detail Summary'!$A:$C,3,0)</f>
        <v>Zone-4</v>
      </c>
      <c r="F469" s="143" t="str">
        <f>VLOOKUP(B469,'AFC Data details'!$B:$B,1,0)</f>
        <v>AZ4-V12-T1C6-004</v>
      </c>
    </row>
    <row r="470" spans="1:6" x14ac:dyDescent="0.25">
      <c r="A470" s="148">
        <v>46137</v>
      </c>
      <c r="B470" s="151" t="s">
        <v>2015</v>
      </c>
      <c r="C470" s="228">
        <v>1</v>
      </c>
      <c r="D470" s="229" t="s">
        <v>2561</v>
      </c>
      <c r="E470" s="143" t="str">
        <f>VLOOKUP(B470,'Element wise-detail Summary'!$A:$C,3,0)</f>
        <v>Zone-4</v>
      </c>
      <c r="F470" s="143" t="str">
        <f>VLOOKUP(B470,'AFC Data details'!$B:$B,1,0)</f>
        <v>AZ4-V15-T1C6-004</v>
      </c>
    </row>
    <row r="471" spans="1:6" x14ac:dyDescent="0.25">
      <c r="A471" s="148">
        <v>46137</v>
      </c>
      <c r="B471" s="151" t="s">
        <v>2016</v>
      </c>
      <c r="C471" s="228">
        <v>1</v>
      </c>
      <c r="D471" s="229" t="s">
        <v>2561</v>
      </c>
      <c r="E471" s="143" t="str">
        <f>VLOOKUP(B471,'Element wise-detail Summary'!$A:$C,3,0)</f>
        <v>Zone-4</v>
      </c>
      <c r="F471" s="143" t="str">
        <f>VLOOKUP(B471,'AFC Data details'!$B:$B,1,0)</f>
        <v>AZ4-V15-T1C6-005</v>
      </c>
    </row>
    <row r="472" spans="1:6" x14ac:dyDescent="0.25">
      <c r="A472" s="148">
        <v>46137</v>
      </c>
      <c r="B472" s="151" t="s">
        <v>2316</v>
      </c>
      <c r="C472" s="228">
        <v>1</v>
      </c>
      <c r="D472" s="229" t="s">
        <v>2561</v>
      </c>
      <c r="E472" s="143" t="str">
        <f>VLOOKUP(B472,'Element wise-detail Summary'!$A:$C,3,0)</f>
        <v>Zone-7</v>
      </c>
      <c r="F472" s="143" t="str">
        <f>VLOOKUP(B472,'AFC Data details'!$B:$B,1,0)</f>
        <v>AZ7-PV15-T1C6-006</v>
      </c>
    </row>
    <row r="473" spans="1:6" x14ac:dyDescent="0.25">
      <c r="A473" s="148">
        <v>46137</v>
      </c>
      <c r="B473" s="151" t="s">
        <v>1981</v>
      </c>
      <c r="C473" s="228">
        <v>1</v>
      </c>
      <c r="D473" s="229" t="s">
        <v>2562</v>
      </c>
      <c r="E473" s="143" t="str">
        <f>VLOOKUP(B473,'Element wise-detail Summary'!$A:$C,3,0)</f>
        <v>Zone-4</v>
      </c>
      <c r="F473" s="143" t="str">
        <f>VLOOKUP(B473,'AFC Data details'!$B:$B,1,0)</f>
        <v>AZ4-V12-T1C6-003</v>
      </c>
    </row>
    <row r="474" spans="1:6" x14ac:dyDescent="0.25">
      <c r="A474" s="148">
        <v>46137</v>
      </c>
      <c r="B474" s="151" t="s">
        <v>2305</v>
      </c>
      <c r="C474" s="228">
        <v>1</v>
      </c>
      <c r="D474" s="229" t="s">
        <v>2562</v>
      </c>
      <c r="E474" s="143" t="str">
        <f>VLOOKUP(B474,'Element wise-detail Summary'!$A:$C,3,0)</f>
        <v>Zone-7</v>
      </c>
      <c r="F474" s="143" t="str">
        <f>VLOOKUP(B474,'AFC Data details'!$B:$B,1,0)</f>
        <v>AZ7-PV13-T1C6-003</v>
      </c>
    </row>
    <row r="475" spans="1:6" x14ac:dyDescent="0.25">
      <c r="A475" s="148">
        <v>46137</v>
      </c>
      <c r="B475" s="151" t="s">
        <v>2306</v>
      </c>
      <c r="C475" s="228">
        <v>1</v>
      </c>
      <c r="D475" s="229" t="s">
        <v>2562</v>
      </c>
      <c r="E475" s="143" t="str">
        <f>VLOOKUP(B475,'Element wise-detail Summary'!$A:$C,3,0)</f>
        <v>Zone-7</v>
      </c>
      <c r="F475" s="143" t="str">
        <f>VLOOKUP(B475,'AFC Data details'!$B:$B,1,0)</f>
        <v>AZ7-PV13-T1C6-004</v>
      </c>
    </row>
    <row r="476" spans="1:6" x14ac:dyDescent="0.25">
      <c r="A476" s="148">
        <v>46137</v>
      </c>
      <c r="B476" s="151" t="s">
        <v>2307</v>
      </c>
      <c r="C476" s="228">
        <v>1</v>
      </c>
      <c r="D476" s="229" t="s">
        <v>2562</v>
      </c>
      <c r="E476" s="143" t="str">
        <f>VLOOKUP(B476,'Element wise-detail Summary'!$A:$C,3,0)</f>
        <v>Zone-7</v>
      </c>
      <c r="F476" s="143" t="str">
        <f>VLOOKUP(B476,'AFC Data details'!$B:$B,1,0)</f>
        <v>AZ7-PV13-T1C6-005</v>
      </c>
    </row>
    <row r="477" spans="1:6" x14ac:dyDescent="0.25">
      <c r="A477" s="148">
        <v>46139</v>
      </c>
      <c r="B477" s="57" t="s">
        <v>1836</v>
      </c>
      <c r="C477" s="228">
        <v>1</v>
      </c>
      <c r="D477" s="229" t="s">
        <v>2571</v>
      </c>
      <c r="E477" s="143" t="str">
        <f>VLOOKUP(B477,'Element wise-detail Summary'!$A:$C,3,0)</f>
        <v>Zone-4</v>
      </c>
      <c r="F477" s="143" t="str">
        <f>VLOOKUP(B477,'AFC Data details'!$B:$B,1,0)</f>
        <v>AZ4-V16-T1C13-002</v>
      </c>
    </row>
    <row r="478" spans="1:6" x14ac:dyDescent="0.25">
      <c r="A478" s="148">
        <v>46139</v>
      </c>
      <c r="B478" s="57" t="s">
        <v>1980</v>
      </c>
      <c r="C478" s="228">
        <v>1</v>
      </c>
      <c r="D478" s="229" t="s">
        <v>2571</v>
      </c>
      <c r="E478" s="143" t="str">
        <f>VLOOKUP(B478,'Element wise-detail Summary'!$A:$C,3,0)</f>
        <v>Zone-4</v>
      </c>
      <c r="F478" s="143" t="str">
        <f>VLOOKUP(B478,'AFC Data details'!$B:$B,1,0)</f>
        <v>AZ4-V13-T1C6-006</v>
      </c>
    </row>
    <row r="479" spans="1:6" x14ac:dyDescent="0.25">
      <c r="A479" s="148">
        <v>46139</v>
      </c>
      <c r="B479" s="57" t="s">
        <v>1861</v>
      </c>
      <c r="C479" s="228">
        <v>1</v>
      </c>
      <c r="D479" s="229" t="s">
        <v>2571</v>
      </c>
      <c r="E479" s="143" t="str">
        <f>VLOOKUP(B479,'Element wise-detail Summary'!$A:$C,3,0)</f>
        <v>Zone-4</v>
      </c>
      <c r="F479" s="143" t="str">
        <f>VLOOKUP(B479,'AFC Data details'!$B:$B,1,0)</f>
        <v>AZ4-V12-T1C6-002</v>
      </c>
    </row>
    <row r="480" spans="1:6" x14ac:dyDescent="0.25">
      <c r="A480" s="148">
        <v>46139</v>
      </c>
      <c r="B480" s="57" t="s">
        <v>2008</v>
      </c>
      <c r="C480" s="228">
        <v>1</v>
      </c>
      <c r="D480" s="229" t="s">
        <v>2571</v>
      </c>
      <c r="E480" s="143" t="str">
        <f>VLOOKUP(B480,'Element wise-detail Summary'!$A:$C,3,0)</f>
        <v>Zone-4</v>
      </c>
      <c r="F480" s="143" t="str">
        <f>VLOOKUP(B480,'AFC Data details'!$B:$B,1,0)</f>
        <v>AZ4-V12-T1C6-005</v>
      </c>
    </row>
    <row r="481" spans="1:6" x14ac:dyDescent="0.25">
      <c r="A481" s="148">
        <v>46139</v>
      </c>
      <c r="B481" s="57" t="s">
        <v>1982</v>
      </c>
      <c r="C481" s="228">
        <v>1</v>
      </c>
      <c r="D481" s="229" t="s">
        <v>2572</v>
      </c>
      <c r="E481" s="143" t="str">
        <f>VLOOKUP(B481,'Element wise-detail Summary'!$A:$C,3,0)</f>
        <v>Zone-4</v>
      </c>
      <c r="F481" s="143" t="str">
        <f>VLOOKUP(B481,'AFC Data details'!$B:$B,1,0)</f>
        <v>AZ4-V12-T1C6-006</v>
      </c>
    </row>
    <row r="482" spans="1:6" x14ac:dyDescent="0.25">
      <c r="A482" s="148">
        <v>46139</v>
      </c>
      <c r="B482" s="57" t="s">
        <v>2017</v>
      </c>
      <c r="C482" s="228">
        <v>1</v>
      </c>
      <c r="D482" s="229" t="s">
        <v>2572</v>
      </c>
      <c r="E482" s="143" t="str">
        <f>VLOOKUP(B482,'Element wise-detail Summary'!$A:$C,3,0)</f>
        <v>Zone-4</v>
      </c>
      <c r="F482" s="143" t="str">
        <f>VLOOKUP(B482,'AFC Data details'!$B:$B,1,0)</f>
        <v>AZ4-V14-T1C6-006</v>
      </c>
    </row>
    <row r="483" spans="1:6" x14ac:dyDescent="0.25">
      <c r="A483" s="148">
        <v>46140</v>
      </c>
      <c r="B483" s="57" t="s">
        <v>1651</v>
      </c>
      <c r="C483" s="228">
        <v>1</v>
      </c>
      <c r="D483" s="229" t="s">
        <v>2573</v>
      </c>
      <c r="E483" s="143" t="str">
        <f>VLOOKUP(B483,'Element wise-detail Summary'!$A:$C,3,0)</f>
        <v>Zone-5</v>
      </c>
      <c r="F483" s="143" t="str">
        <f>VLOOKUP(B483,'AFC Data details'!$B:$B,1,0)</f>
        <v>AZ5-V57-T3C5-002</v>
      </c>
    </row>
    <row r="484" spans="1:6" x14ac:dyDescent="0.25">
      <c r="A484" s="148">
        <v>46140</v>
      </c>
      <c r="B484" s="57" t="s">
        <v>1654</v>
      </c>
      <c r="C484" s="228">
        <v>1</v>
      </c>
      <c r="D484" s="229" t="s">
        <v>2573</v>
      </c>
      <c r="E484" s="143" t="str">
        <f>VLOOKUP(B484,'Element wise-detail Summary'!$A:$C,3,0)</f>
        <v>Zone-5</v>
      </c>
      <c r="F484" s="143" t="str">
        <f>VLOOKUP(B484,'AFC Data details'!$B:$B,1,0)</f>
        <v>AZ5-V59-T1C2-001</v>
      </c>
    </row>
    <row r="485" spans="1:6" x14ac:dyDescent="0.25">
      <c r="A485" s="148">
        <v>46140</v>
      </c>
      <c r="B485" s="57" t="s">
        <v>1658</v>
      </c>
      <c r="C485" s="228">
        <v>1</v>
      </c>
      <c r="D485" s="229" t="s">
        <v>2573</v>
      </c>
      <c r="E485" s="143" t="str">
        <f>VLOOKUP(B485,'Element wise-detail Summary'!$A:$C,3,0)</f>
        <v>Zone-5</v>
      </c>
      <c r="F485" s="143" t="str">
        <f>VLOOKUP(B485,'AFC Data details'!$B:$B,1,0)</f>
        <v>AZ5-V60-T3C5-001</v>
      </c>
    </row>
    <row r="486" spans="1:6" x14ac:dyDescent="0.25">
      <c r="A486" s="148">
        <v>46140</v>
      </c>
      <c r="B486" s="57" t="s">
        <v>1580</v>
      </c>
      <c r="C486" s="228">
        <v>1</v>
      </c>
      <c r="D486" s="229" t="s">
        <v>2573</v>
      </c>
      <c r="E486" s="143" t="str">
        <f>VLOOKUP(B486,'Element wise-detail Summary'!$A:$C,3,0)</f>
        <v>Zone-5</v>
      </c>
      <c r="F486" s="143" t="str">
        <f>VLOOKUP(B486,'AFC Data details'!$B:$B,1,0)</f>
        <v>AZ5-V63-T1C6-003</v>
      </c>
    </row>
    <row r="487" spans="1:6" x14ac:dyDescent="0.25">
      <c r="A487" s="148">
        <v>46140</v>
      </c>
      <c r="B487" s="57" t="s">
        <v>1644</v>
      </c>
      <c r="C487" s="228">
        <v>1</v>
      </c>
      <c r="D487" s="229" t="s">
        <v>2574</v>
      </c>
      <c r="E487" s="143" t="str">
        <f>VLOOKUP(B487,'Element wise-detail Summary'!$A:$C,3,0)</f>
        <v>Zone-5</v>
      </c>
      <c r="F487" s="143" t="str">
        <f>VLOOKUP(B487,'AFC Data details'!$B:$B,1,0)</f>
        <v>AZ5-V55-T2C1-001</v>
      </c>
    </row>
    <row r="488" spans="1:6" x14ac:dyDescent="0.25">
      <c r="A488" s="148">
        <v>46140</v>
      </c>
      <c r="B488" s="57" t="s">
        <v>1545</v>
      </c>
      <c r="C488" s="228">
        <v>1</v>
      </c>
      <c r="D488" s="229" t="s">
        <v>2574</v>
      </c>
      <c r="E488" s="143" t="str">
        <f>VLOOKUP(B488,'Element wise-detail Summary'!$A:$C,3,0)</f>
        <v>Zone-5</v>
      </c>
      <c r="F488" s="143" t="str">
        <f>VLOOKUP(B488,'AFC Data details'!$B:$B,1,0)</f>
        <v>AZ5-V56-T1C6-002</v>
      </c>
    </row>
    <row r="489" spans="1:6" x14ac:dyDescent="0.25">
      <c r="A489" s="148">
        <v>46140</v>
      </c>
      <c r="B489" s="57" t="s">
        <v>1578</v>
      </c>
      <c r="C489" s="228">
        <v>1</v>
      </c>
      <c r="D489" s="229" t="s">
        <v>2574</v>
      </c>
      <c r="E489" s="143" t="str">
        <f>VLOOKUP(B489,'Element wise-detail Summary'!$A:$C,3,0)</f>
        <v>Zone-5</v>
      </c>
      <c r="F489" s="143" t="str">
        <f>VLOOKUP(B489,'AFC Data details'!$B:$B,1,0)</f>
        <v>AZ5-V62-T1C6-003</v>
      </c>
    </row>
    <row r="490" spans="1:6" x14ac:dyDescent="0.25">
      <c r="A490" s="148">
        <v>46140</v>
      </c>
      <c r="B490" s="57" t="s">
        <v>1670</v>
      </c>
      <c r="C490" s="228">
        <v>1</v>
      </c>
      <c r="D490" s="229" t="s">
        <v>2574</v>
      </c>
      <c r="E490" s="143" t="str">
        <f>VLOOKUP(B490,'Element wise-detail Summary'!$A:$C,3,0)</f>
        <v>Zone-5</v>
      </c>
      <c r="F490" s="143" t="str">
        <f>VLOOKUP(B490,'AFC Data details'!$B:$B,1,0)</f>
        <v>AZ5-V62-T3C5-002</v>
      </c>
    </row>
    <row r="491" spans="1:6" x14ac:dyDescent="0.25">
      <c r="A491" s="148">
        <v>46140</v>
      </c>
      <c r="B491" s="57" t="s">
        <v>1549</v>
      </c>
      <c r="C491" s="228">
        <v>1</v>
      </c>
      <c r="D491" s="229" t="s">
        <v>2575</v>
      </c>
      <c r="E491" s="143" t="str">
        <f>VLOOKUP(B491,'Element wise-detail Summary'!$A:$C,3,0)</f>
        <v>Zone-5</v>
      </c>
      <c r="F491" s="143" t="str">
        <f>VLOOKUP(B491,'AFC Data details'!$B:$B,1,0)</f>
        <v>AZ5-V57-T1C6-002</v>
      </c>
    </row>
    <row r="492" spans="1:6" x14ac:dyDescent="0.25">
      <c r="A492" s="148">
        <v>46140</v>
      </c>
      <c r="B492" s="57" t="s">
        <v>1554</v>
      </c>
      <c r="C492" s="228">
        <v>1</v>
      </c>
      <c r="D492" s="229" t="s">
        <v>2575</v>
      </c>
      <c r="E492" s="143" t="str">
        <f>VLOOKUP(B492,'Element wise-detail Summary'!$A:$C,3,0)</f>
        <v>Zone-5</v>
      </c>
      <c r="F492" s="143" t="str">
        <f>VLOOKUP(B492,'AFC Data details'!$B:$B,1,0)</f>
        <v>AZ5-V57-T1C6-001</v>
      </c>
    </row>
    <row r="493" spans="1:6" x14ac:dyDescent="0.25">
      <c r="A493" s="148">
        <v>46140</v>
      </c>
      <c r="B493" s="57" t="s">
        <v>1560</v>
      </c>
      <c r="C493" s="228">
        <v>1</v>
      </c>
      <c r="D493" s="229" t="s">
        <v>2575</v>
      </c>
      <c r="E493" s="143" t="str">
        <f>VLOOKUP(B493,'Element wise-detail Summary'!$A:$C,3,0)</f>
        <v>Zone-5</v>
      </c>
      <c r="F493" s="143" t="str">
        <f>VLOOKUP(B493,'AFC Data details'!$B:$B,1,0)</f>
        <v>AZ5-V58-T1C6-005</v>
      </c>
    </row>
    <row r="494" spans="1:6" x14ac:dyDescent="0.25">
      <c r="A494" s="148">
        <v>46140</v>
      </c>
      <c r="B494" s="57" t="s">
        <v>1561</v>
      </c>
      <c r="C494" s="228">
        <v>1</v>
      </c>
      <c r="D494" s="229" t="s">
        <v>2575</v>
      </c>
      <c r="E494" s="143" t="str">
        <f>VLOOKUP(B494,'Element wise-detail Summary'!$A:$C,3,0)</f>
        <v>Zone-5</v>
      </c>
      <c r="F494" s="143" t="str">
        <f>VLOOKUP(B494,'AFC Data details'!$B:$B,1,0)</f>
        <v>AZ5-V59-T1C6-002</v>
      </c>
    </row>
    <row r="495" spans="1:6" x14ac:dyDescent="0.25">
      <c r="A495" s="148">
        <v>46141</v>
      </c>
      <c r="B495" s="57" t="s">
        <v>1669</v>
      </c>
      <c r="C495" s="228">
        <v>1</v>
      </c>
      <c r="D495" s="229" t="s">
        <v>2576</v>
      </c>
      <c r="E495" s="143" t="str">
        <f>VLOOKUP(B495,'Element wise-detail Summary'!$A:$C,3,0)</f>
        <v>Zone-5</v>
      </c>
      <c r="F495" s="143" t="str">
        <f>VLOOKUP(B495,'AFC Data details'!$B:$B,1,0)</f>
        <v>AZ5-V62-T3C5-001</v>
      </c>
    </row>
    <row r="496" spans="1:6" x14ac:dyDescent="0.25">
      <c r="A496" s="148">
        <v>46141</v>
      </c>
      <c r="B496" s="57" t="s">
        <v>1649</v>
      </c>
      <c r="C496" s="228">
        <v>1</v>
      </c>
      <c r="D496" s="229" t="s">
        <v>2576</v>
      </c>
      <c r="E496" s="143" t="str">
        <f>VLOOKUP(B496,'Element wise-detail Summary'!$A:$C,3,0)</f>
        <v>Zone-5</v>
      </c>
      <c r="F496" s="143" t="str">
        <f>VLOOKUP(B496,'AFC Data details'!$B:$B,1,0)</f>
        <v>AZ5-V57-T2C1-001</v>
      </c>
    </row>
    <row r="497" spans="1:6" x14ac:dyDescent="0.25">
      <c r="A497" s="148">
        <v>46141</v>
      </c>
      <c r="B497" s="57" t="s">
        <v>1668</v>
      </c>
      <c r="C497" s="228">
        <v>1</v>
      </c>
      <c r="D497" s="229" t="s">
        <v>2576</v>
      </c>
      <c r="E497" s="143" t="str">
        <f>VLOOKUP(B497,'Element wise-detail Summary'!$A:$C,3,0)</f>
        <v>Zone-5</v>
      </c>
      <c r="F497" s="143" t="str">
        <f>VLOOKUP(B497,'AFC Data details'!$B:$B,1,0)</f>
        <v>AZ5-V62-T1C2-001</v>
      </c>
    </row>
    <row r="498" spans="1:6" x14ac:dyDescent="0.25">
      <c r="A498" s="148">
        <v>46141</v>
      </c>
      <c r="B498" s="57" t="s">
        <v>1574</v>
      </c>
      <c r="C498" s="228">
        <v>1</v>
      </c>
      <c r="D498" s="229" t="s">
        <v>2576</v>
      </c>
      <c r="E498" s="143" t="str">
        <f>VLOOKUP(B498,'Element wise-detail Summary'!$A:$C,3,0)</f>
        <v>Zone-5</v>
      </c>
      <c r="F498" s="143" t="str">
        <f>VLOOKUP(B498,'AFC Data details'!$B:$B,1,0)</f>
        <v>AZ5-V61-T2C1-001</v>
      </c>
    </row>
    <row r="499" spans="1:6" x14ac:dyDescent="0.25">
      <c r="A499" s="148">
        <v>46141</v>
      </c>
      <c r="B499" s="57" t="s">
        <v>1648</v>
      </c>
      <c r="C499" s="228">
        <v>1</v>
      </c>
      <c r="D499" s="229" t="s">
        <v>2576</v>
      </c>
      <c r="E499" s="143" t="str">
        <f>VLOOKUP(B499,'Element wise-detail Summary'!$A:$C,3,0)</f>
        <v>Zone-5</v>
      </c>
      <c r="F499" s="143" t="str">
        <f>VLOOKUP(B499,'AFC Data details'!$B:$B,1,0)</f>
        <v>AZ5-V57-T1C2-001</v>
      </c>
    </row>
    <row r="500" spans="1:6" x14ac:dyDescent="0.25">
      <c r="A500" s="148">
        <v>46142</v>
      </c>
      <c r="B500" s="151" t="s">
        <v>1929</v>
      </c>
      <c r="C500" s="228">
        <v>1</v>
      </c>
      <c r="D500" s="229" t="s">
        <v>2577</v>
      </c>
      <c r="E500" s="143" t="str">
        <f>VLOOKUP(B500,'Element wise-detail Summary'!$A:$C,3,0)</f>
        <v>Zone-6</v>
      </c>
      <c r="F500" s="143" t="str">
        <f>VLOOKUP(B500,'AFC Data details'!$B:$B,1,0)</f>
        <v>AZ6-PV34-T1C6-002</v>
      </c>
    </row>
    <row r="501" spans="1:6" x14ac:dyDescent="0.25">
      <c r="A501" s="148">
        <v>46142</v>
      </c>
      <c r="B501" s="151" t="s">
        <v>2153</v>
      </c>
      <c r="C501" s="228">
        <v>1</v>
      </c>
      <c r="D501" s="229" t="s">
        <v>2577</v>
      </c>
      <c r="E501" s="143" t="str">
        <f>VLOOKUP(B501,'Element wise-detail Summary'!$A:$C,3,0)</f>
        <v>Zone-6</v>
      </c>
      <c r="F501" s="143" t="str">
        <f>VLOOKUP(B501,'AFC Data details'!$B:$B,1,0)</f>
        <v>AZ6-PV34-T1C6-003</v>
      </c>
    </row>
    <row r="502" spans="1:6" x14ac:dyDescent="0.25">
      <c r="A502" s="148">
        <v>46142</v>
      </c>
      <c r="B502" s="151" t="s">
        <v>2157</v>
      </c>
      <c r="C502" s="228">
        <v>1</v>
      </c>
      <c r="D502" s="229" t="s">
        <v>2577</v>
      </c>
      <c r="E502" s="143" t="str">
        <f>VLOOKUP(B502,'Element wise-detail Summary'!$A:$C,3,0)</f>
        <v>Zone-6</v>
      </c>
      <c r="F502" s="143" t="str">
        <f>VLOOKUP(B502,'AFC Data details'!$B:$B,1,0)</f>
        <v>AZ6-PV35-T1C6-003</v>
      </c>
    </row>
    <row r="503" spans="1:6" x14ac:dyDescent="0.25">
      <c r="A503" s="148">
        <v>46142</v>
      </c>
      <c r="B503" s="151" t="s">
        <v>2158</v>
      </c>
      <c r="C503" s="228">
        <v>1</v>
      </c>
      <c r="D503" s="229" t="s">
        <v>2577</v>
      </c>
      <c r="E503" s="143" t="str">
        <f>VLOOKUP(B503,'Element wise-detail Summary'!$A:$C,3,0)</f>
        <v>Zone-6</v>
      </c>
      <c r="F503" s="143" t="str">
        <f>VLOOKUP(B503,'AFC Data details'!$B:$B,1,0)</f>
        <v>AZ6-PV35-T1C6-004</v>
      </c>
    </row>
    <row r="504" spans="1:6" x14ac:dyDescent="0.25">
      <c r="A504" s="148">
        <v>46142</v>
      </c>
      <c r="B504" s="151" t="s">
        <v>1936</v>
      </c>
      <c r="C504" s="228">
        <v>1</v>
      </c>
      <c r="D504" s="229" t="s">
        <v>2578</v>
      </c>
      <c r="E504" s="143" t="str">
        <f>VLOOKUP(B504,'Element wise-detail Summary'!$A:$C,3,0)</f>
        <v>Zone-6</v>
      </c>
      <c r="F504" s="143" t="str">
        <f>VLOOKUP(B504,'AFC Data details'!$B:$B,1,0)</f>
        <v>AZ6-PV36-T1C13-001</v>
      </c>
    </row>
    <row r="505" spans="1:6" x14ac:dyDescent="0.25">
      <c r="A505" s="148">
        <v>46142</v>
      </c>
      <c r="B505" s="151" t="s">
        <v>2163</v>
      </c>
      <c r="C505" s="228">
        <v>1</v>
      </c>
      <c r="D505" s="229" t="s">
        <v>2578</v>
      </c>
      <c r="E505" s="143" t="str">
        <f>VLOOKUP(B505,'Element wise-detail Summary'!$A:$C,3,0)</f>
        <v>Zone-6</v>
      </c>
      <c r="F505" s="143" t="str">
        <f>VLOOKUP(B505,'AFC Data details'!$B:$B,1,0)</f>
        <v>AZ6-PV36-T1C14-004</v>
      </c>
    </row>
    <row r="506" spans="1:6" x14ac:dyDescent="0.25">
      <c r="A506" s="148">
        <v>46142</v>
      </c>
      <c r="B506" s="151" t="s">
        <v>1939</v>
      </c>
      <c r="C506" s="228">
        <v>1</v>
      </c>
      <c r="D506" s="229" t="s">
        <v>2578</v>
      </c>
      <c r="E506" s="143" t="str">
        <f>VLOOKUP(B506,'Element wise-detail Summary'!$A:$C,3,0)</f>
        <v>Zone-6</v>
      </c>
      <c r="F506" s="143" t="str">
        <f>VLOOKUP(B506,'AFC Data details'!$B:$B,1,0)</f>
        <v>AZ6-PV36-T1C14-005</v>
      </c>
    </row>
    <row r="507" spans="1:6" x14ac:dyDescent="0.25">
      <c r="A507" s="148">
        <v>46142</v>
      </c>
      <c r="B507" s="151" t="s">
        <v>2128</v>
      </c>
      <c r="C507" s="228">
        <v>1</v>
      </c>
      <c r="D507" s="229" t="s">
        <v>2578</v>
      </c>
      <c r="E507" s="143" t="str">
        <f>VLOOKUP(B507,'Element wise-detail Summary'!$A:$C,3,0)</f>
        <v>Zone-6</v>
      </c>
      <c r="F507" s="143" t="str">
        <f>VLOOKUP(B507,'AFC Data details'!$B:$B,1,0)</f>
        <v>AZ6-PV33-T1C6-006</v>
      </c>
    </row>
    <row r="508" spans="1:6" x14ac:dyDescent="0.25">
      <c r="A508" s="148">
        <v>46142</v>
      </c>
      <c r="B508" s="151" t="s">
        <v>1937</v>
      </c>
      <c r="C508" s="228">
        <v>1</v>
      </c>
      <c r="D508" s="229" t="s">
        <v>2579</v>
      </c>
      <c r="E508" s="143" t="str">
        <f>VLOOKUP(B508,'Element wise-detail Summary'!$A:$C,3,0)</f>
        <v>Zone-6</v>
      </c>
      <c r="F508" s="143" t="str">
        <f>VLOOKUP(B508,'AFC Data details'!$B:$B,1,0)</f>
        <v>AZ6-PV36-T1C14-001</v>
      </c>
    </row>
    <row r="509" spans="1:6" x14ac:dyDescent="0.25">
      <c r="A509" s="148">
        <v>46142</v>
      </c>
      <c r="B509" s="151" t="s">
        <v>1938</v>
      </c>
      <c r="C509" s="228">
        <v>1</v>
      </c>
      <c r="D509" s="229" t="s">
        <v>2579</v>
      </c>
      <c r="E509" s="143" t="str">
        <f>VLOOKUP(B509,'Element wise-detail Summary'!$A:$C,3,0)</f>
        <v>Zone-6</v>
      </c>
      <c r="F509" s="143" t="str">
        <f>VLOOKUP(B509,'AFC Data details'!$B:$B,1,0)</f>
        <v>AZ6-PV36-T1C14-002</v>
      </c>
    </row>
    <row r="510" spans="1:6" x14ac:dyDescent="0.25">
      <c r="A510" s="148">
        <v>46142</v>
      </c>
      <c r="B510" s="151" t="s">
        <v>1942</v>
      </c>
      <c r="C510" s="228">
        <v>1</v>
      </c>
      <c r="D510" s="229" t="s">
        <v>2579</v>
      </c>
      <c r="E510" s="143" t="str">
        <f>VLOOKUP(B510,'Element wise-detail Summary'!$A:$C,3,0)</f>
        <v>Zone-6</v>
      </c>
      <c r="F510" s="143" t="str">
        <f>VLOOKUP(B510,'AFC Data details'!$B:$B,1,0)</f>
        <v>AZ6-PV36-T3C2-002</v>
      </c>
    </row>
    <row r="511" spans="1:6" x14ac:dyDescent="0.25">
      <c r="A511" s="148">
        <v>46142</v>
      </c>
      <c r="B511" s="151" t="s">
        <v>1935</v>
      </c>
      <c r="C511" s="228">
        <v>1</v>
      </c>
      <c r="D511" s="229" t="s">
        <v>2579</v>
      </c>
      <c r="E511" s="143" t="str">
        <f>VLOOKUP(B511,'Element wise-detail Summary'!$A:$C,3,0)</f>
        <v>Zone-6</v>
      </c>
      <c r="F511" s="143" t="str">
        <f>VLOOKUP(B511,'AFC Data details'!$B:$B,1,0)</f>
        <v>AZ6-PV35-T3C4-002</v>
      </c>
    </row>
    <row r="512" spans="1:6" x14ac:dyDescent="0.25">
      <c r="A512" s="148">
        <v>46143</v>
      </c>
      <c r="B512" s="151" t="s">
        <v>2140</v>
      </c>
      <c r="C512" s="228">
        <v>1</v>
      </c>
      <c r="D512" s="229" t="s">
        <v>2581</v>
      </c>
      <c r="E512" s="143" t="str">
        <f>VLOOKUP(B512,'Element wise-detail Summary'!$A:$C,3,0)</f>
        <v>Zone-6</v>
      </c>
      <c r="F512" s="143" t="str">
        <f>VLOOKUP(B512,'AFC Data details'!$B:$B,1,0)</f>
        <v>AZ6-PV30-T1C6-003</v>
      </c>
    </row>
    <row r="513" spans="1:6" x14ac:dyDescent="0.25">
      <c r="A513" s="148">
        <v>46143</v>
      </c>
      <c r="B513" s="151" t="s">
        <v>2141</v>
      </c>
      <c r="C513" s="228">
        <v>1</v>
      </c>
      <c r="D513" s="229" t="s">
        <v>2581</v>
      </c>
      <c r="E513" s="143" t="str">
        <f>VLOOKUP(B513,'Element wise-detail Summary'!$A:$C,3,0)</f>
        <v>Zone-6</v>
      </c>
      <c r="F513" s="143" t="str">
        <f>VLOOKUP(B513,'AFC Data details'!$B:$B,1,0)</f>
        <v>AZ6-PV30-T1C6-004</v>
      </c>
    </row>
    <row r="514" spans="1:6" x14ac:dyDescent="0.25">
      <c r="A514" s="148">
        <v>46143</v>
      </c>
      <c r="B514" s="151" t="s">
        <v>2144</v>
      </c>
      <c r="C514" s="228">
        <v>1</v>
      </c>
      <c r="D514" s="229" t="s">
        <v>2581</v>
      </c>
      <c r="E514" s="143" t="str">
        <f>VLOOKUP(B514,'Element wise-detail Summary'!$A:$C,3,0)</f>
        <v>Zone-6</v>
      </c>
      <c r="F514" s="143" t="str">
        <f>VLOOKUP(B514,'AFC Data details'!$B:$B,1,0)</f>
        <v>AZ6-PV31-T1C6-003</v>
      </c>
    </row>
    <row r="515" spans="1:6" x14ac:dyDescent="0.25">
      <c r="A515" s="148">
        <v>46143</v>
      </c>
      <c r="B515" s="151" t="s">
        <v>2145</v>
      </c>
      <c r="C515" s="228">
        <v>1</v>
      </c>
      <c r="D515" s="229" t="s">
        <v>2581</v>
      </c>
      <c r="E515" s="143" t="str">
        <f>VLOOKUP(B515,'Element wise-detail Summary'!$A:$C,3,0)</f>
        <v>Zone-6</v>
      </c>
      <c r="F515" s="143" t="str">
        <f>VLOOKUP(B515,'AFC Data details'!$B:$B,1,0)</f>
        <v>AZ6-PV31-T1C6-004</v>
      </c>
    </row>
    <row r="516" spans="1:6" x14ac:dyDescent="0.25">
      <c r="A516" s="148">
        <v>46143</v>
      </c>
      <c r="B516" s="151" t="s">
        <v>2115</v>
      </c>
      <c r="C516" s="228">
        <v>1</v>
      </c>
      <c r="D516" s="229" t="s">
        <v>2582</v>
      </c>
      <c r="E516" s="143" t="str">
        <f>VLOOKUP(B516,'Element wise-detail Summary'!$A:$C,3,0)</f>
        <v>Zone-6</v>
      </c>
      <c r="F516" s="143" t="str">
        <f>VLOOKUP(B516,'AFC Data details'!$B:$B,1,0)</f>
        <v>AZ6-PV29-T1C6-006</v>
      </c>
    </row>
    <row r="517" spans="1:6" x14ac:dyDescent="0.25">
      <c r="A517" s="148">
        <v>46143</v>
      </c>
      <c r="B517" s="151" t="s">
        <v>2121</v>
      </c>
      <c r="C517" s="228">
        <v>1</v>
      </c>
      <c r="D517" s="229" t="s">
        <v>2582</v>
      </c>
      <c r="E517" s="143" t="str">
        <f>VLOOKUP(B517,'Element wise-detail Summary'!$A:$C,3,0)</f>
        <v>Zone-6</v>
      </c>
      <c r="F517" s="143" t="str">
        <f>VLOOKUP(B517,'AFC Data details'!$B:$B,1,0)</f>
        <v>AZ6-PV29-T1C6-003</v>
      </c>
    </row>
    <row r="518" spans="1:6" x14ac:dyDescent="0.25">
      <c r="A518" s="148">
        <v>46143</v>
      </c>
      <c r="B518" s="151" t="s">
        <v>2122</v>
      </c>
      <c r="C518" s="228">
        <v>1</v>
      </c>
      <c r="D518" s="229" t="s">
        <v>2582</v>
      </c>
      <c r="E518" s="143" t="str">
        <f>VLOOKUP(B518,'Element wise-detail Summary'!$A:$C,3,0)</f>
        <v>Zone-6</v>
      </c>
      <c r="F518" s="143" t="str">
        <f>VLOOKUP(B518,'AFC Data details'!$B:$B,1,0)</f>
        <v>AZ6-PV29-T1C6-004</v>
      </c>
    </row>
    <row r="519" spans="1:6" x14ac:dyDescent="0.25">
      <c r="A519" s="148">
        <v>46143</v>
      </c>
      <c r="B519" s="151" t="s">
        <v>2123</v>
      </c>
      <c r="C519" s="228">
        <v>1</v>
      </c>
      <c r="D519" s="229" t="s">
        <v>2582</v>
      </c>
      <c r="E519" s="143" t="str">
        <f>VLOOKUP(B519,'Element wise-detail Summary'!$A:$C,3,0)</f>
        <v>Zone-6</v>
      </c>
      <c r="F519" s="143" t="str">
        <f>VLOOKUP(B519,'AFC Data details'!$B:$B,1,0)</f>
        <v>AZ6-PV29-T1C6-005</v>
      </c>
    </row>
    <row r="520" spans="1:6" x14ac:dyDescent="0.25">
      <c r="A520" s="148">
        <v>46143</v>
      </c>
      <c r="B520" s="151" t="s">
        <v>2130</v>
      </c>
      <c r="C520" s="228">
        <v>1</v>
      </c>
      <c r="D520" s="229" t="s">
        <v>2583</v>
      </c>
      <c r="E520" s="143" t="str">
        <f>VLOOKUP(B520,'Element wise-detail Summary'!$A:$C,3,0)</f>
        <v>Zone-6</v>
      </c>
      <c r="F520" s="143" t="str">
        <f>VLOOKUP(B520,'AFC Data details'!$B:$B,1,0)</f>
        <v>AZ6-PV30-T1C6-001</v>
      </c>
    </row>
    <row r="521" spans="1:6" x14ac:dyDescent="0.25">
      <c r="A521" s="148">
        <v>46143</v>
      </c>
      <c r="B521" s="151" t="s">
        <v>2139</v>
      </c>
      <c r="C521" s="228">
        <v>1</v>
      </c>
      <c r="D521" s="229" t="s">
        <v>2583</v>
      </c>
      <c r="E521" s="143" t="str">
        <f>VLOOKUP(B521,'Element wise-detail Summary'!$A:$C,3,0)</f>
        <v>Zone-6</v>
      </c>
      <c r="F521" s="143" t="str">
        <f>VLOOKUP(B521,'AFC Data details'!$B:$B,1,0)</f>
        <v>AZ6-PV30-T1C6-002</v>
      </c>
    </row>
    <row r="522" spans="1:6" x14ac:dyDescent="0.25">
      <c r="A522" s="148">
        <v>46143</v>
      </c>
      <c r="B522" s="151" t="s">
        <v>2146</v>
      </c>
      <c r="C522" s="228">
        <v>1</v>
      </c>
      <c r="D522" s="229" t="s">
        <v>2583</v>
      </c>
      <c r="E522" s="143" t="str">
        <f>VLOOKUP(B522,'Element wise-detail Summary'!$A:$C,3,0)</f>
        <v>Zone-6</v>
      </c>
      <c r="F522" s="143" t="str">
        <f>VLOOKUP(B522,'AFC Data details'!$B:$B,1,0)</f>
        <v>AZ6-PV31-T1C6-005</v>
      </c>
    </row>
    <row r="523" spans="1:6" x14ac:dyDescent="0.25">
      <c r="A523" s="148">
        <v>46143</v>
      </c>
      <c r="B523" s="151" t="s">
        <v>2148</v>
      </c>
      <c r="C523" s="228">
        <v>1</v>
      </c>
      <c r="D523" s="229" t="s">
        <v>2583</v>
      </c>
      <c r="E523" s="143" t="str">
        <f>VLOOKUP(B523,'Element wise-detail Summary'!$A:$C,3,0)</f>
        <v>Zone-6</v>
      </c>
      <c r="F523" s="143" t="str">
        <f>VLOOKUP(B523,'AFC Data details'!$B:$B,1,0)</f>
        <v>AZ6-PV31-T1C6-001</v>
      </c>
    </row>
    <row r="524" spans="1:6" x14ac:dyDescent="0.25">
      <c r="A524" s="148">
        <v>46143</v>
      </c>
      <c r="B524" s="151" t="s">
        <v>1940</v>
      </c>
      <c r="C524" s="228">
        <v>1</v>
      </c>
      <c r="D524" s="229" t="s">
        <v>2584</v>
      </c>
      <c r="E524" s="143" t="str">
        <f>VLOOKUP(B524,'Element wise-detail Summary'!$A:$C,3,0)</f>
        <v>Zone-6</v>
      </c>
      <c r="F524" s="143" t="str">
        <f>VLOOKUP(B524,'AFC Data details'!$B:$B,1,0)</f>
        <v>AZ6-PV36-T2C1-001</v>
      </c>
    </row>
    <row r="525" spans="1:6" x14ac:dyDescent="0.25">
      <c r="A525" s="148">
        <v>46143</v>
      </c>
      <c r="B525" s="151" t="s">
        <v>1933</v>
      </c>
      <c r="C525" s="228">
        <v>1</v>
      </c>
      <c r="D525" s="229" t="s">
        <v>2584</v>
      </c>
      <c r="E525" s="143" t="str">
        <f>VLOOKUP(B525,'Element wise-detail Summary'!$A:$C,3,0)</f>
        <v>Zone-6</v>
      </c>
      <c r="F525" s="143" t="str">
        <f>VLOOKUP(B525,'AFC Data details'!$B:$B,1,0)</f>
        <v>AZ6-PV35-T1C6-001</v>
      </c>
    </row>
    <row r="526" spans="1:6" x14ac:dyDescent="0.25">
      <c r="A526" s="148">
        <v>46143</v>
      </c>
      <c r="B526" s="151" t="s">
        <v>1934</v>
      </c>
      <c r="C526" s="228">
        <v>1</v>
      </c>
      <c r="D526" s="229" t="s">
        <v>2584</v>
      </c>
      <c r="E526" s="143" t="str">
        <f>VLOOKUP(B526,'Element wise-detail Summary'!$A:$C,3,0)</f>
        <v>Zone-6</v>
      </c>
      <c r="F526" s="143" t="str">
        <f>VLOOKUP(B526,'AFC Data details'!$B:$B,1,0)</f>
        <v>AZ6-PV35-T3C4-001</v>
      </c>
    </row>
    <row r="527" spans="1:6" x14ac:dyDescent="0.25">
      <c r="A527" s="148">
        <v>46143</v>
      </c>
      <c r="B527" s="151" t="s">
        <v>1928</v>
      </c>
      <c r="C527" s="228">
        <v>1</v>
      </c>
      <c r="D527" s="229" t="s">
        <v>2584</v>
      </c>
      <c r="E527" s="143" t="str">
        <f>VLOOKUP(B527,'Element wise-detail Summary'!$A:$C,3,0)</f>
        <v>Zone-6</v>
      </c>
      <c r="F527" s="143" t="str">
        <f>VLOOKUP(B527,'AFC Data details'!$B:$B,1,0)</f>
        <v>AZ6-PV34-T1C6-001</v>
      </c>
    </row>
    <row r="528" spans="1:6" x14ac:dyDescent="0.25">
      <c r="A528" s="148">
        <v>46143</v>
      </c>
      <c r="B528" s="151" t="s">
        <v>2151</v>
      </c>
      <c r="C528" s="228">
        <v>1</v>
      </c>
      <c r="D528" s="229" t="s">
        <v>2585</v>
      </c>
      <c r="E528" s="143" t="str">
        <f>VLOOKUP(B528,'Element wise-detail Summary'!$A:$C,3,0)</f>
        <v>Zone-6</v>
      </c>
      <c r="F528" s="143" t="str">
        <f>VLOOKUP(B528,'AFC Data details'!$B:$B,1,0)</f>
        <v>AZ6-PV35-T1C6-006</v>
      </c>
    </row>
    <row r="529" spans="1:6" x14ac:dyDescent="0.25">
      <c r="A529" s="148">
        <v>46143</v>
      </c>
      <c r="B529" s="151" t="s">
        <v>2156</v>
      </c>
      <c r="C529" s="228">
        <v>1</v>
      </c>
      <c r="D529" s="229" t="s">
        <v>2585</v>
      </c>
      <c r="E529" s="143" t="str">
        <f>VLOOKUP(B529,'Element wise-detail Summary'!$A:$C,3,0)</f>
        <v>Zone-6</v>
      </c>
      <c r="F529" s="143" t="str">
        <f>VLOOKUP(B529,'AFC Data details'!$B:$B,1,0)</f>
        <v>AZ6-PV35-T1C6-002</v>
      </c>
    </row>
    <row r="530" spans="1:6" x14ac:dyDescent="0.25">
      <c r="A530" s="148">
        <v>46143</v>
      </c>
      <c r="B530" s="151" t="s">
        <v>2159</v>
      </c>
      <c r="C530" s="228">
        <v>1</v>
      </c>
      <c r="D530" s="229" t="s">
        <v>2585</v>
      </c>
      <c r="E530" s="143" t="str">
        <f>VLOOKUP(B530,'Element wise-detail Summary'!$A:$C,3,0)</f>
        <v>Zone-6</v>
      </c>
      <c r="F530" s="143" t="str">
        <f>VLOOKUP(B530,'AFC Data details'!$B:$B,1,0)</f>
        <v>AZ6-PV35-T1C6-005</v>
      </c>
    </row>
    <row r="531" spans="1:6" x14ac:dyDescent="0.25">
      <c r="A531" s="148">
        <v>46143</v>
      </c>
      <c r="B531" s="151" t="s">
        <v>2160</v>
      </c>
      <c r="C531" s="228">
        <v>1</v>
      </c>
      <c r="D531" s="229" t="s">
        <v>2585</v>
      </c>
      <c r="E531" s="143" t="str">
        <f>VLOOKUP(B531,'Element wise-detail Summary'!$A:$C,3,0)</f>
        <v>Zone-6</v>
      </c>
      <c r="F531" s="143" t="str">
        <f>VLOOKUP(B531,'AFC Data details'!$B:$B,1,0)</f>
        <v>AZ6-PV34-T1C6-006</v>
      </c>
    </row>
    <row r="532" spans="1:6" x14ac:dyDescent="0.25">
      <c r="A532" s="148">
        <v>46143</v>
      </c>
      <c r="B532" s="151" t="s">
        <v>2154</v>
      </c>
      <c r="C532" s="228">
        <v>1</v>
      </c>
      <c r="D532" s="229" t="s">
        <v>2586</v>
      </c>
      <c r="E532" s="143" t="str">
        <f>VLOOKUP(B532,'Element wise-detail Summary'!$A:$C,3,0)</f>
        <v>Zone-6</v>
      </c>
      <c r="F532" s="143" t="str">
        <f>VLOOKUP(B532,'AFC Data details'!$B:$B,1,0)</f>
        <v>AZ6-PV34-T1C6-004</v>
      </c>
    </row>
    <row r="533" spans="1:6" x14ac:dyDescent="0.25">
      <c r="A533" s="148">
        <v>46143</v>
      </c>
      <c r="B533" s="151" t="s">
        <v>2155</v>
      </c>
      <c r="C533" s="228">
        <v>1</v>
      </c>
      <c r="D533" s="229" t="s">
        <v>2586</v>
      </c>
      <c r="E533" s="143" t="str">
        <f>VLOOKUP(B533,'Element wise-detail Summary'!$A:$C,3,0)</f>
        <v>Zone-6</v>
      </c>
      <c r="F533" s="143" t="str">
        <f>VLOOKUP(B533,'AFC Data details'!$B:$B,1,0)</f>
        <v>AZ6-PV34-T1C6-005</v>
      </c>
    </row>
    <row r="534" spans="1:6" x14ac:dyDescent="0.25">
      <c r="A534" s="148">
        <v>46143</v>
      </c>
      <c r="B534" s="151" t="s">
        <v>1930</v>
      </c>
      <c r="C534" s="228">
        <v>1</v>
      </c>
      <c r="D534" s="229" t="s">
        <v>2586</v>
      </c>
      <c r="E534" s="143" t="str">
        <f>VLOOKUP(B534,'Element wise-detail Summary'!$A:$C,3,0)</f>
        <v>Zone-6</v>
      </c>
      <c r="F534" s="143" t="str">
        <f>VLOOKUP(B534,'AFC Data details'!$B:$B,1,0)</f>
        <v>AZ6-PV34-T3C4-001</v>
      </c>
    </row>
    <row r="535" spans="1:6" x14ac:dyDescent="0.25">
      <c r="A535" s="148">
        <v>46143</v>
      </c>
      <c r="B535" s="151" t="s">
        <v>1931</v>
      </c>
      <c r="C535" s="228">
        <v>1</v>
      </c>
      <c r="D535" s="229" t="s">
        <v>2586</v>
      </c>
      <c r="E535" s="143" t="str">
        <f>VLOOKUP(B535,'Element wise-detail Summary'!$A:$C,3,0)</f>
        <v>Zone-6</v>
      </c>
      <c r="F535" s="143" t="str">
        <f>VLOOKUP(B535,'AFC Data details'!$B:$B,1,0)</f>
        <v>AZ6-PV34-T3C4-002</v>
      </c>
    </row>
    <row r="536" spans="1:6" x14ac:dyDescent="0.25">
      <c r="A536" s="148">
        <v>46144</v>
      </c>
      <c r="B536" s="229" t="s">
        <v>1914</v>
      </c>
      <c r="C536" s="228">
        <v>1</v>
      </c>
      <c r="D536" s="229" t="s">
        <v>2587</v>
      </c>
      <c r="E536" s="143" t="str">
        <f>VLOOKUP(B536,'Element wise-detail Summary'!$A:$C,3,0)</f>
        <v>Zone-6</v>
      </c>
      <c r="F536" s="143" t="str">
        <f>VLOOKUP(B536,'AFC Data details'!$B:$B,1,0)</f>
        <v>AZ6-PV30-T1C1-001</v>
      </c>
    </row>
    <row r="537" spans="1:6" x14ac:dyDescent="0.25">
      <c r="A537" s="148">
        <v>46144</v>
      </c>
      <c r="B537" s="229" t="s">
        <v>1916</v>
      </c>
      <c r="C537" s="228">
        <v>1</v>
      </c>
      <c r="D537" s="229" t="s">
        <v>2587</v>
      </c>
      <c r="E537" s="143" t="str">
        <f>VLOOKUP(B537,'Element wise-detail Summary'!$A:$C,3,0)</f>
        <v>Zone-6</v>
      </c>
      <c r="F537" s="143" t="str">
        <f>VLOOKUP(B537,'AFC Data details'!$B:$B,1,0)</f>
        <v>AZ6-PV30-T3C4-002</v>
      </c>
    </row>
    <row r="538" spans="1:6" x14ac:dyDescent="0.25">
      <c r="A538" s="148">
        <v>46144</v>
      </c>
      <c r="B538" s="229" t="s">
        <v>2149</v>
      </c>
      <c r="C538" s="228">
        <v>1</v>
      </c>
      <c r="D538" s="229" t="s">
        <v>2587</v>
      </c>
      <c r="E538" s="143" t="str">
        <f>VLOOKUP(B538,'Element wise-detail Summary'!$A:$C,3,0)</f>
        <v>Zone-6</v>
      </c>
      <c r="F538" s="143" t="str">
        <f>VLOOKUP(B538,'AFC Data details'!$B:$B,1,0)</f>
        <v>AZ6-PV30-T1C6-006</v>
      </c>
    </row>
    <row r="539" spans="1:6" x14ac:dyDescent="0.25">
      <c r="A539" s="148">
        <v>46144</v>
      </c>
      <c r="B539" s="229" t="s">
        <v>1915</v>
      </c>
      <c r="C539" s="228">
        <v>1</v>
      </c>
      <c r="D539" s="229" t="s">
        <v>2587</v>
      </c>
      <c r="E539" s="143" t="str">
        <f>VLOOKUP(B539,'Element wise-detail Summary'!$A:$C,3,0)</f>
        <v>Zone-6</v>
      </c>
      <c r="F539" s="143" t="str">
        <f>VLOOKUP(B539,'AFC Data details'!$B:$B,1,0)</f>
        <v>AZ6-PV30-T3C4-001</v>
      </c>
    </row>
    <row r="540" spans="1:6" x14ac:dyDescent="0.25">
      <c r="A540" s="148">
        <v>46144</v>
      </c>
      <c r="B540" s="229" t="s">
        <v>1911</v>
      </c>
      <c r="C540" s="228">
        <v>1</v>
      </c>
      <c r="D540" s="229" t="s">
        <v>2588</v>
      </c>
      <c r="E540" s="143" t="str">
        <f>VLOOKUP(B540,'Element wise-detail Summary'!$A:$C,3,0)</f>
        <v>Zone-6</v>
      </c>
      <c r="F540" s="143" t="str">
        <f>VLOOKUP(B540,'AFC Data details'!$B:$B,1,0)</f>
        <v>AZ6-PV29-T1C6-001</v>
      </c>
    </row>
    <row r="541" spans="1:6" x14ac:dyDescent="0.25">
      <c r="A541" s="148">
        <v>46144</v>
      </c>
      <c r="B541" s="229" t="s">
        <v>1912</v>
      </c>
      <c r="C541" s="228">
        <v>1</v>
      </c>
      <c r="D541" s="229" t="s">
        <v>2588</v>
      </c>
      <c r="E541" s="143" t="str">
        <f>VLOOKUP(B541,'Element wise-detail Summary'!$A:$C,3,0)</f>
        <v>Zone-6</v>
      </c>
      <c r="F541" s="143" t="str">
        <f>VLOOKUP(B541,'AFC Data details'!$B:$B,1,0)</f>
        <v>AZ6-PV29-T3C4-001</v>
      </c>
    </row>
    <row r="542" spans="1:6" x14ac:dyDescent="0.25">
      <c r="A542" s="148">
        <v>46144</v>
      </c>
      <c r="B542" s="229" t="s">
        <v>1913</v>
      </c>
      <c r="C542" s="228">
        <v>1</v>
      </c>
      <c r="D542" s="229" t="s">
        <v>2588</v>
      </c>
      <c r="E542" s="143" t="str">
        <f>VLOOKUP(B542,'Element wise-detail Summary'!$A:$C,3,0)</f>
        <v>Zone-6</v>
      </c>
      <c r="F542" s="143" t="str">
        <f>VLOOKUP(B542,'AFC Data details'!$B:$B,1,0)</f>
        <v>AZ6-PV29-T3C4-002</v>
      </c>
    </row>
    <row r="543" spans="1:6" x14ac:dyDescent="0.25">
      <c r="A543" s="148">
        <v>46144</v>
      </c>
      <c r="B543" s="229" t="s">
        <v>2165</v>
      </c>
      <c r="C543" s="228">
        <v>1</v>
      </c>
      <c r="D543" s="229" t="s">
        <v>2588</v>
      </c>
      <c r="E543" s="143" t="str">
        <f>VLOOKUP(B543,'Element wise-detail Summary'!$A:$C,3,0)</f>
        <v>Zone-6</v>
      </c>
      <c r="F543" s="143" t="str">
        <f>VLOOKUP(B543,'AFC Data details'!$B:$B,1,0)</f>
        <v>AZ6-PV30-T2C1-001</v>
      </c>
    </row>
    <row r="544" spans="1:6" x14ac:dyDescent="0.25">
      <c r="A544" s="148">
        <v>46144</v>
      </c>
      <c r="B544" s="229" t="s">
        <v>1920</v>
      </c>
      <c r="C544" s="228">
        <v>1</v>
      </c>
      <c r="D544" s="229" t="s">
        <v>2589</v>
      </c>
      <c r="E544" s="143" t="str">
        <f>VLOOKUP(B544,'Element wise-detail Summary'!$A:$C,3,0)</f>
        <v>Zone-6</v>
      </c>
      <c r="F544" s="143" t="str">
        <f>VLOOKUP(B544,'AFC Data details'!$B:$B,1,0)</f>
        <v>AZ6-PV32-T1C6-001</v>
      </c>
    </row>
    <row r="545" spans="1:6" x14ac:dyDescent="0.25">
      <c r="A545" s="148">
        <v>46144</v>
      </c>
      <c r="B545" s="229" t="s">
        <v>1921</v>
      </c>
      <c r="C545" s="228">
        <v>1</v>
      </c>
      <c r="D545" s="229" t="s">
        <v>2589</v>
      </c>
      <c r="E545" s="143" t="str">
        <f>VLOOKUP(B545,'Element wise-detail Summary'!$A:$C,3,0)</f>
        <v>Zone-6</v>
      </c>
      <c r="F545" s="143" t="str">
        <f>VLOOKUP(B545,'AFC Data details'!$B:$B,1,0)</f>
        <v>AZ6-PV32-T1C6-002</v>
      </c>
    </row>
    <row r="546" spans="1:6" x14ac:dyDescent="0.25">
      <c r="A546" s="148">
        <v>46144</v>
      </c>
      <c r="B546" s="229" t="s">
        <v>2132</v>
      </c>
      <c r="C546" s="228">
        <v>1</v>
      </c>
      <c r="D546" s="229" t="s">
        <v>2589</v>
      </c>
      <c r="E546" s="143" t="str">
        <f>VLOOKUP(B546,'Element wise-detail Summary'!$A:$C,3,0)</f>
        <v>Zone-6</v>
      </c>
      <c r="F546" s="143" t="str">
        <f>VLOOKUP(B546,'AFC Data details'!$B:$B,1,0)</f>
        <v>AZ6-PV32-T1C6-003</v>
      </c>
    </row>
    <row r="547" spans="1:6" x14ac:dyDescent="0.25">
      <c r="A547" s="148">
        <v>46144</v>
      </c>
      <c r="B547" s="229" t="s">
        <v>2133</v>
      </c>
      <c r="C547" s="228">
        <v>1</v>
      </c>
      <c r="D547" s="229" t="s">
        <v>2589</v>
      </c>
      <c r="E547" s="143" t="str">
        <f>VLOOKUP(B547,'Element wise-detail Summary'!$A:$C,3,0)</f>
        <v>Zone-6</v>
      </c>
      <c r="F547" s="143" t="str">
        <f>VLOOKUP(B547,'AFC Data details'!$B:$B,1,0)</f>
        <v>AZ6-PV32-T1C6-004</v>
      </c>
    </row>
    <row r="548" spans="1:6" x14ac:dyDescent="0.25">
      <c r="A548" s="148">
        <v>46144</v>
      </c>
      <c r="B548" s="229" t="s">
        <v>2134</v>
      </c>
      <c r="C548" s="228">
        <v>1</v>
      </c>
      <c r="D548" s="229" t="s">
        <v>2590</v>
      </c>
      <c r="E548" s="143" t="str">
        <f>VLOOKUP(B548,'Element wise-detail Summary'!$A:$C,3,0)</f>
        <v>Zone-6</v>
      </c>
      <c r="F548" s="143" t="str">
        <f>VLOOKUP(B548,'AFC Data details'!$B:$B,1,0)</f>
        <v>AZ6-PV32-T1C6-005</v>
      </c>
    </row>
    <row r="549" spans="1:6" x14ac:dyDescent="0.25">
      <c r="A549" s="148">
        <v>46144</v>
      </c>
      <c r="B549" s="229" t="s">
        <v>2135</v>
      </c>
      <c r="C549" s="228">
        <v>1</v>
      </c>
      <c r="D549" s="229" t="s">
        <v>2590</v>
      </c>
      <c r="E549" s="143" t="str">
        <f>VLOOKUP(B549,'Element wise-detail Summary'!$A:$C,3,0)</f>
        <v>Zone-6</v>
      </c>
      <c r="F549" s="143" t="str">
        <f>VLOOKUP(B549,'AFC Data details'!$B:$B,1,0)</f>
        <v>AZ6-PV33-T1C6-002</v>
      </c>
    </row>
    <row r="550" spans="1:6" x14ac:dyDescent="0.25">
      <c r="A550" s="148">
        <v>46144</v>
      </c>
      <c r="B550" s="229" t="s">
        <v>2137</v>
      </c>
      <c r="C550" s="228">
        <v>1</v>
      </c>
      <c r="D550" s="229" t="s">
        <v>2590</v>
      </c>
      <c r="E550" s="143" t="str">
        <f>VLOOKUP(B550,'Element wise-detail Summary'!$A:$C,3,0)</f>
        <v>Zone-6</v>
      </c>
      <c r="F550" s="143" t="str">
        <f>VLOOKUP(B550,'AFC Data details'!$B:$B,1,0)</f>
        <v>AZ6-PV33-T1C6-004</v>
      </c>
    </row>
    <row r="551" spans="1:6" x14ac:dyDescent="0.25">
      <c r="A551" s="148">
        <v>46144</v>
      </c>
      <c r="B551" s="229" t="s">
        <v>1924</v>
      </c>
      <c r="C551" s="228">
        <v>1</v>
      </c>
      <c r="D551" s="229" t="s">
        <v>2590</v>
      </c>
      <c r="E551" s="143" t="str">
        <f>VLOOKUP(B551,'Element wise-detail Summary'!$A:$C,3,0)</f>
        <v>Zone-6</v>
      </c>
      <c r="F551" s="143" t="str">
        <f>VLOOKUP(B551,'AFC Data details'!$B:$B,1,0)</f>
        <v>AZ6-PV33-T1C6-001</v>
      </c>
    </row>
    <row r="552" spans="1:6" x14ac:dyDescent="0.25">
      <c r="A552" s="148">
        <v>46144</v>
      </c>
      <c r="B552" s="229" t="s">
        <v>2162</v>
      </c>
      <c r="C552" s="228">
        <v>1</v>
      </c>
      <c r="D552" s="229" t="s">
        <v>2591</v>
      </c>
      <c r="E552" s="143" t="str">
        <f>VLOOKUP(B552,'Element wise-detail Summary'!$A:$C,3,0)</f>
        <v>Zone-6</v>
      </c>
      <c r="F552" s="143" t="str">
        <f>VLOOKUP(B552,'AFC Data details'!$B:$B,1,0)</f>
        <v>AZ6-PV36-T1C14-003</v>
      </c>
    </row>
    <row r="553" spans="1:6" x14ac:dyDescent="0.25">
      <c r="A553" s="148">
        <v>46144</v>
      </c>
      <c r="B553" s="229" t="s">
        <v>1941</v>
      </c>
      <c r="C553" s="228">
        <v>1</v>
      </c>
      <c r="D553" s="229" t="s">
        <v>2591</v>
      </c>
      <c r="E553" s="143" t="str">
        <f>VLOOKUP(B553,'Element wise-detail Summary'!$A:$C,3,0)</f>
        <v>Zone-6</v>
      </c>
      <c r="F553" s="143" t="str">
        <f>VLOOKUP(B553,'AFC Data details'!$B:$B,1,0)</f>
        <v>AZ6-PV36-T3C2-001</v>
      </c>
    </row>
    <row r="554" spans="1:6" x14ac:dyDescent="0.25">
      <c r="A554" s="148">
        <v>46144</v>
      </c>
      <c r="B554" s="229" t="s">
        <v>1932</v>
      </c>
      <c r="C554" s="228">
        <v>1</v>
      </c>
      <c r="D554" s="229" t="s">
        <v>2591</v>
      </c>
      <c r="E554" s="143" t="str">
        <f>VLOOKUP(B554,'Element wise-detail Summary'!$A:$C,3,0)</f>
        <v>Zone-6</v>
      </c>
      <c r="F554" s="143" t="str">
        <f>VLOOKUP(B554,'AFC Data details'!$B:$B,1,0)</f>
        <v>AZ6-PV35-T1C2-001</v>
      </c>
    </row>
    <row r="555" spans="1:6" x14ac:dyDescent="0.25">
      <c r="A555" s="148">
        <v>46144</v>
      </c>
      <c r="B555" s="151" t="s">
        <v>1943</v>
      </c>
      <c r="C555" s="228">
        <v>1</v>
      </c>
      <c r="D555" s="229" t="s">
        <v>2591</v>
      </c>
      <c r="E555" s="143" t="str">
        <f>VLOOKUP(B555,'Element wise-detail Summary'!$A:$C,3,0)</f>
        <v>Zone-6</v>
      </c>
      <c r="F555" s="143" t="str">
        <f>VLOOKUP(B555,'AFC Data details'!$B:$B,1,0)</f>
        <v>AZ6-PV36-T3C5-001</v>
      </c>
    </row>
    <row r="556" spans="1:6" x14ac:dyDescent="0.25">
      <c r="A556" s="148">
        <v>46144</v>
      </c>
      <c r="B556" s="229" t="s">
        <v>1927</v>
      </c>
      <c r="C556" s="228">
        <v>1</v>
      </c>
      <c r="D556" s="229" t="s">
        <v>2592</v>
      </c>
      <c r="E556" s="143" t="str">
        <f>VLOOKUP(B556,'Element wise-detail Summary'!$A:$C,3,0)</f>
        <v>Zone-6</v>
      </c>
      <c r="F556" s="143" t="str">
        <f>VLOOKUP(B556,'AFC Data details'!$B:$B,1,0)</f>
        <v>AZ6-PV34-T1C1-001</v>
      </c>
    </row>
    <row r="557" spans="1:6" x14ac:dyDescent="0.25">
      <c r="A557" s="148">
        <v>46144</v>
      </c>
      <c r="B557" s="229" t="s">
        <v>2042</v>
      </c>
      <c r="C557" s="228">
        <v>1</v>
      </c>
      <c r="D557" s="229" t="s">
        <v>2592</v>
      </c>
      <c r="E557" s="143" t="str">
        <f>VLOOKUP(B557,'Element wise-detail Summary'!$A:$C,3,0)</f>
        <v>Zone-6</v>
      </c>
      <c r="F557" s="143" t="str">
        <f>VLOOKUP(B557,'AFC Data details'!$B:$B,1,0)</f>
        <v>AZ6-PV34-T2C1-001</v>
      </c>
    </row>
    <row r="558" spans="1:6" x14ac:dyDescent="0.25">
      <c r="A558" s="148">
        <v>46144</v>
      </c>
      <c r="B558" s="229" t="s">
        <v>1926</v>
      </c>
      <c r="C558" s="228">
        <v>1</v>
      </c>
      <c r="D558" s="229" t="s">
        <v>2592</v>
      </c>
      <c r="E558" s="143" t="str">
        <f>VLOOKUP(B558,'Element wise-detail Summary'!$A:$C,3,0)</f>
        <v>Zone-6</v>
      </c>
      <c r="F558" s="143" t="str">
        <f>VLOOKUP(B558,'AFC Data details'!$B:$B,1,0)</f>
        <v>AZ6-PV33-T3C4-002</v>
      </c>
    </row>
    <row r="559" spans="1:6" x14ac:dyDescent="0.25">
      <c r="A559" s="148">
        <v>46144</v>
      </c>
      <c r="B559" s="229" t="s">
        <v>2143</v>
      </c>
      <c r="C559" s="228">
        <v>1</v>
      </c>
      <c r="D559" s="229" t="s">
        <v>2592</v>
      </c>
      <c r="E559" s="143" t="str">
        <f>VLOOKUP(B559,'Element wise-detail Summary'!$A:$C,3,0)</f>
        <v>Zone-6</v>
      </c>
      <c r="F559" s="143" t="str">
        <f>VLOOKUP(B559,'AFC Data details'!$B:$B,1,0)</f>
        <v>AZ6-PV31-T1C6-002</v>
      </c>
    </row>
    <row r="560" spans="1:6" x14ac:dyDescent="0.25">
      <c r="A560" s="148">
        <v>46146</v>
      </c>
      <c r="B560" s="151" t="s">
        <v>1909</v>
      </c>
      <c r="C560" s="228">
        <v>1</v>
      </c>
      <c r="D560" s="229" t="s">
        <v>2594</v>
      </c>
      <c r="E560" s="143" t="str">
        <f>VLOOKUP(B560,'Element wise-detail Summary'!$A:$C,3,0)</f>
        <v>Zone-6</v>
      </c>
      <c r="F560" s="143" t="str">
        <f>VLOOKUP(B560,'AFC Data details'!$B:$B,1,0)</f>
        <v>AZ6-PV28-T3C4-001</v>
      </c>
    </row>
    <row r="561" spans="1:6" x14ac:dyDescent="0.25">
      <c r="A561" s="148">
        <v>46146</v>
      </c>
      <c r="B561" s="151" t="s">
        <v>1910</v>
      </c>
      <c r="C561" s="228">
        <v>1</v>
      </c>
      <c r="D561" s="229" t="s">
        <v>2594</v>
      </c>
      <c r="E561" s="143" t="str">
        <f>VLOOKUP(B561,'Element wise-detail Summary'!$A:$C,3,0)</f>
        <v>Zone-6</v>
      </c>
      <c r="F561" s="143" t="str">
        <f>VLOOKUP(B561,'AFC Data details'!$B:$B,1,0)</f>
        <v>AZ6-PV28-T3C4-002</v>
      </c>
    </row>
    <row r="562" spans="1:6" x14ac:dyDescent="0.25">
      <c r="A562" s="148">
        <v>46146</v>
      </c>
      <c r="B562" s="151" t="s">
        <v>2124</v>
      </c>
      <c r="C562" s="228">
        <v>1</v>
      </c>
      <c r="D562" s="229" t="s">
        <v>2594</v>
      </c>
      <c r="E562" s="143" t="str">
        <f>VLOOKUP(B562,'Element wise-detail Summary'!$A:$C,3,0)</f>
        <v>Zone-6</v>
      </c>
      <c r="F562" s="143" t="str">
        <f>VLOOKUP(B562,'AFC Data details'!$B:$B,1,0)</f>
        <v>AZ6-PV28-T1C6-006</v>
      </c>
    </row>
    <row r="563" spans="1:6" x14ac:dyDescent="0.25">
      <c r="A563" s="148">
        <v>46146</v>
      </c>
      <c r="B563" s="151" t="s">
        <v>1903</v>
      </c>
      <c r="C563" s="228">
        <v>1</v>
      </c>
      <c r="D563" s="229" t="s">
        <v>2594</v>
      </c>
      <c r="E563" s="143" t="str">
        <f>VLOOKUP(B563,'Element wise-detail Summary'!$A:$C,3,0)</f>
        <v>Zone-6</v>
      </c>
      <c r="F563" s="143" t="str">
        <f>VLOOKUP(B563,'AFC Data details'!$B:$B,1,0)</f>
        <v>AZ6-PV27-T1C1-001</v>
      </c>
    </row>
    <row r="564" spans="1:6" x14ac:dyDescent="0.25">
      <c r="A564" s="148">
        <v>46146</v>
      </c>
      <c r="B564" s="151" t="s">
        <v>2166</v>
      </c>
      <c r="C564" s="228">
        <v>1</v>
      </c>
      <c r="D564" s="229" t="s">
        <v>2595</v>
      </c>
      <c r="E564" s="143" t="str">
        <f>VLOOKUP(B564,'Element wise-detail Summary'!$A:$C,3,0)</f>
        <v>Zone-6</v>
      </c>
      <c r="F564" s="143" t="str">
        <f>VLOOKUP(B564,'AFC Data details'!$B:$B,1,0)</f>
        <v>AZ6-PV28-T2C1-001</v>
      </c>
    </row>
    <row r="565" spans="1:6" x14ac:dyDescent="0.25">
      <c r="A565" s="148">
        <v>46146</v>
      </c>
      <c r="B565" s="151" t="s">
        <v>1904</v>
      </c>
      <c r="C565" s="228">
        <v>1</v>
      </c>
      <c r="D565" s="229" t="s">
        <v>2595</v>
      </c>
      <c r="E565" s="143" t="str">
        <f>VLOOKUP(B565,'Element wise-detail Summary'!$A:$C,3,0)</f>
        <v>Zone-6</v>
      </c>
      <c r="F565" s="143" t="str">
        <f>VLOOKUP(B565,'AFC Data details'!$B:$B,1,0)</f>
        <v>AZ6-PV27-T1C6-001</v>
      </c>
    </row>
    <row r="566" spans="1:6" x14ac:dyDescent="0.25">
      <c r="A566" s="148">
        <v>46146</v>
      </c>
      <c r="B566" s="151" t="s">
        <v>1905</v>
      </c>
      <c r="C566" s="228">
        <v>1</v>
      </c>
      <c r="D566" s="229" t="s">
        <v>2595</v>
      </c>
      <c r="E566" s="143" t="str">
        <f>VLOOKUP(B566,'Element wise-detail Summary'!$A:$C,3,0)</f>
        <v>Zone-6</v>
      </c>
      <c r="F566" s="143" t="str">
        <f>VLOOKUP(B566,'AFC Data details'!$B:$B,1,0)</f>
        <v>AZ6-PV27-T3C4-001</v>
      </c>
    </row>
    <row r="567" spans="1:6" x14ac:dyDescent="0.25">
      <c r="A567" s="148">
        <v>46146</v>
      </c>
      <c r="B567" s="151" t="s">
        <v>1906</v>
      </c>
      <c r="C567" s="228">
        <v>1</v>
      </c>
      <c r="D567" s="229" t="s">
        <v>2595</v>
      </c>
      <c r="E567" s="143" t="str">
        <f>VLOOKUP(B567,'Element wise-detail Summary'!$A:$C,3,0)</f>
        <v>Zone-6</v>
      </c>
      <c r="F567" s="143" t="str">
        <f>VLOOKUP(B567,'AFC Data details'!$B:$B,1,0)</f>
        <v>AZ6-PV27-T3C4-002</v>
      </c>
    </row>
    <row r="568" spans="1:6" x14ac:dyDescent="0.25">
      <c r="A568" s="148">
        <v>46146</v>
      </c>
      <c r="B568" s="151" t="s">
        <v>1899</v>
      </c>
      <c r="C568" s="228">
        <v>1</v>
      </c>
      <c r="D568" s="229" t="s">
        <v>2596</v>
      </c>
      <c r="E568" s="143" t="str">
        <f>VLOOKUP(B568,'Element wise-detail Summary'!$A:$C,3,0)</f>
        <v>Zone-6</v>
      </c>
      <c r="F568" s="143" t="str">
        <f>VLOOKUP(B568,'AFC Data details'!$B:$B,1,0)</f>
        <v>AZ6-PV26-T1C6-001</v>
      </c>
    </row>
    <row r="569" spans="1:6" x14ac:dyDescent="0.25">
      <c r="A569" s="148">
        <v>46146</v>
      </c>
      <c r="B569" s="151" t="s">
        <v>2096</v>
      </c>
      <c r="C569" s="228">
        <v>1</v>
      </c>
      <c r="D569" s="229" t="s">
        <v>2596</v>
      </c>
      <c r="E569" s="143" t="str">
        <f>VLOOKUP(B569,'Element wise-detail Summary'!$A:$C,3,0)</f>
        <v>Zone-6</v>
      </c>
      <c r="F569" s="143" t="str">
        <f>VLOOKUP(B569,'AFC Data details'!$B:$B,1,0)</f>
        <v>AZ6-PV27-T1C6-002</v>
      </c>
    </row>
    <row r="570" spans="1:6" x14ac:dyDescent="0.25">
      <c r="A570" s="148">
        <v>46146</v>
      </c>
      <c r="B570" s="151" t="s">
        <v>1900</v>
      </c>
      <c r="C570" s="228">
        <v>1</v>
      </c>
      <c r="D570" s="229" t="s">
        <v>2596</v>
      </c>
      <c r="E570" s="143" t="str">
        <f>VLOOKUP(B570,'Element wise-detail Summary'!$A:$C,3,0)</f>
        <v>Zone-6</v>
      </c>
      <c r="F570" s="143" t="str">
        <f>VLOOKUP(B570,'AFC Data details'!$B:$B,1,0)</f>
        <v>AZ6-PV26-T1C6-002</v>
      </c>
    </row>
    <row r="571" spans="1:6" x14ac:dyDescent="0.25">
      <c r="A571" s="148">
        <v>46146</v>
      </c>
      <c r="B571" s="151" t="s">
        <v>2098</v>
      </c>
      <c r="C571" s="228">
        <v>1</v>
      </c>
      <c r="D571" s="229" t="s">
        <v>2596</v>
      </c>
      <c r="E571" s="143" t="str">
        <f>VLOOKUP(B571,'Element wise-detail Summary'!$A:$C,3,0)</f>
        <v>Zone-6</v>
      </c>
      <c r="F571" s="143" t="str">
        <f>VLOOKUP(B571,'AFC Data details'!$B:$B,1,0)</f>
        <v>AZ6-PV27-T1C6-003</v>
      </c>
    </row>
    <row r="572" spans="1:6" x14ac:dyDescent="0.25">
      <c r="A572" s="148">
        <v>46146</v>
      </c>
      <c r="B572" s="151" t="s">
        <v>2093</v>
      </c>
      <c r="C572" s="228">
        <v>1</v>
      </c>
      <c r="D572" s="229" t="s">
        <v>2597</v>
      </c>
      <c r="E572" s="143" t="str">
        <f>VLOOKUP(B572,'Element wise-detail Summary'!$A:$C,3,0)</f>
        <v>Zone-6</v>
      </c>
      <c r="F572" s="143" t="str">
        <f>VLOOKUP(B572,'AFC Data details'!$B:$B,1,0)</f>
        <v>AZ6-PV26-T1C6-003</v>
      </c>
    </row>
    <row r="573" spans="1:6" x14ac:dyDescent="0.25">
      <c r="A573" s="148">
        <v>46146</v>
      </c>
      <c r="B573" s="151" t="s">
        <v>2100</v>
      </c>
      <c r="C573" s="228">
        <v>1</v>
      </c>
      <c r="D573" s="229" t="s">
        <v>2597</v>
      </c>
      <c r="E573" s="143" t="str">
        <f>VLOOKUP(B573,'Element wise-detail Summary'!$A:$C,3,0)</f>
        <v>Zone-6</v>
      </c>
      <c r="F573" s="143" t="str">
        <f>VLOOKUP(B573,'AFC Data details'!$B:$B,1,0)</f>
        <v>AZ6-PV27-T1C6-005</v>
      </c>
    </row>
    <row r="574" spans="1:6" x14ac:dyDescent="0.25">
      <c r="A574" s="148">
        <v>46146</v>
      </c>
      <c r="B574" s="151" t="s">
        <v>2094</v>
      </c>
      <c r="C574" s="228">
        <v>1</v>
      </c>
      <c r="D574" s="229" t="s">
        <v>2597</v>
      </c>
      <c r="E574" s="143" t="str">
        <f>VLOOKUP(B574,'Element wise-detail Summary'!$A:$C,3,0)</f>
        <v>Zone-6</v>
      </c>
      <c r="F574" s="143" t="str">
        <f>VLOOKUP(B574,'AFC Data details'!$B:$B,1,0)</f>
        <v>AZ6-PV26-T1C6-004</v>
      </c>
    </row>
    <row r="575" spans="1:6" x14ac:dyDescent="0.25">
      <c r="A575" s="148">
        <v>46146</v>
      </c>
      <c r="B575" s="151" t="s">
        <v>2099</v>
      </c>
      <c r="C575" s="228">
        <v>1</v>
      </c>
      <c r="D575" s="229" t="s">
        <v>2597</v>
      </c>
      <c r="E575" s="143" t="str">
        <f>VLOOKUP(B575,'Element wise-detail Summary'!$A:$C,3,0)</f>
        <v>Zone-6</v>
      </c>
      <c r="F575" s="143" t="str">
        <f>VLOOKUP(B575,'AFC Data details'!$B:$B,1,0)</f>
        <v>AZ6-PV27-T1C6-004</v>
      </c>
    </row>
    <row r="576" spans="1:6" x14ac:dyDescent="0.25">
      <c r="A576" s="148">
        <v>46146</v>
      </c>
      <c r="B576" s="151" t="s">
        <v>1919</v>
      </c>
      <c r="C576" s="228">
        <v>1</v>
      </c>
      <c r="D576" s="229" t="s">
        <v>2598</v>
      </c>
      <c r="E576" s="143" t="str">
        <f>VLOOKUP(B576,'Element wise-detail Summary'!$A:$C,3,0)</f>
        <v>Zone-6</v>
      </c>
      <c r="F576" s="143" t="str">
        <f>VLOOKUP(B576,'AFC Data details'!$B:$B,1,0)</f>
        <v>AZ6-PV32-T1C1-001</v>
      </c>
    </row>
    <row r="577" spans="1:6" x14ac:dyDescent="0.25">
      <c r="A577" s="148">
        <v>46146</v>
      </c>
      <c r="B577" s="151" t="s">
        <v>1922</v>
      </c>
      <c r="C577" s="228">
        <v>1</v>
      </c>
      <c r="D577" s="229" t="s">
        <v>2598</v>
      </c>
      <c r="E577" s="143" t="str">
        <f>VLOOKUP(B577,'Element wise-detail Summary'!$A:$C,3,0)</f>
        <v>Zone-6</v>
      </c>
      <c r="F577" s="143" t="str">
        <f>VLOOKUP(B577,'AFC Data details'!$B:$B,1,0)</f>
        <v>AZ6-PV32-T3C4-001</v>
      </c>
    </row>
    <row r="578" spans="1:6" x14ac:dyDescent="0.25">
      <c r="A578" s="148">
        <v>46146</v>
      </c>
      <c r="B578" s="151" t="s">
        <v>1923</v>
      </c>
      <c r="C578" s="228">
        <v>1</v>
      </c>
      <c r="D578" s="229" t="s">
        <v>2598</v>
      </c>
      <c r="E578" s="143" t="str">
        <f>VLOOKUP(B578,'Element wise-detail Summary'!$A:$C,3,0)</f>
        <v>Zone-6</v>
      </c>
      <c r="F578" s="143" t="str">
        <f>VLOOKUP(B578,'AFC Data details'!$B:$B,1,0)</f>
        <v>AZ6-PV32-T3C4-002</v>
      </c>
    </row>
    <row r="579" spans="1:6" x14ac:dyDescent="0.25">
      <c r="A579" s="148">
        <v>46146</v>
      </c>
      <c r="B579" s="151" t="s">
        <v>2147</v>
      </c>
      <c r="C579" s="228">
        <v>1</v>
      </c>
      <c r="D579" s="229" t="s">
        <v>2598</v>
      </c>
      <c r="E579" s="143" t="str">
        <f>VLOOKUP(B579,'Element wise-detail Summary'!$A:$C,3,0)</f>
        <v>Zone-6</v>
      </c>
      <c r="F579" s="143" t="str">
        <f>VLOOKUP(B579,'AFC Data details'!$B:$B,1,0)</f>
        <v>AZ6-PV32-T1C6-006</v>
      </c>
    </row>
    <row r="580" spans="1:6" x14ac:dyDescent="0.25">
      <c r="A580" s="148">
        <v>46146</v>
      </c>
      <c r="B580" s="151" t="s">
        <v>2131</v>
      </c>
      <c r="C580" s="228">
        <v>1</v>
      </c>
      <c r="D580" s="229" t="s">
        <v>2599</v>
      </c>
      <c r="E580" s="143" t="str">
        <f>VLOOKUP(B580,'Element wise-detail Summary'!$A:$C,3,0)</f>
        <v>Zone-6</v>
      </c>
      <c r="F580" s="143" t="str">
        <f>VLOOKUP(B580,'AFC Data details'!$B:$B,1,0)</f>
        <v>AZ6-PV31-T1C6-006</v>
      </c>
    </row>
    <row r="581" spans="1:6" x14ac:dyDescent="0.25">
      <c r="A581" s="148">
        <v>46146</v>
      </c>
      <c r="B581" s="151" t="s">
        <v>2120</v>
      </c>
      <c r="C581" s="228">
        <v>1</v>
      </c>
      <c r="D581" s="229" t="s">
        <v>2599</v>
      </c>
      <c r="E581" s="143" t="str">
        <f>VLOOKUP(B581,'Element wise-detail Summary'!$A:$C,3,0)</f>
        <v>Zone-6</v>
      </c>
      <c r="F581" s="143" t="str">
        <f>VLOOKUP(B581,'AFC Data details'!$B:$B,1,0)</f>
        <v>AZ6-PV29-T1C6-002</v>
      </c>
    </row>
    <row r="582" spans="1:6" x14ac:dyDescent="0.25">
      <c r="A582" s="148">
        <v>46146</v>
      </c>
      <c r="B582" s="151" t="s">
        <v>1907</v>
      </c>
      <c r="C582" s="228">
        <v>1</v>
      </c>
      <c r="D582" s="229" t="s">
        <v>2599</v>
      </c>
      <c r="E582" s="143" t="str">
        <f>VLOOKUP(B582,'Element wise-detail Summary'!$A:$C,3,0)</f>
        <v>Zone-6</v>
      </c>
      <c r="F582" s="143" t="str">
        <f>VLOOKUP(B582,'AFC Data details'!$B:$B,1,0)</f>
        <v>AZ6-PV28-T1C6-001</v>
      </c>
    </row>
    <row r="583" spans="1:6" x14ac:dyDescent="0.25">
      <c r="A583" s="148">
        <v>46146</v>
      </c>
      <c r="B583" s="151" t="s">
        <v>1908</v>
      </c>
      <c r="C583" s="228">
        <v>1</v>
      </c>
      <c r="D583" s="229" t="s">
        <v>2600</v>
      </c>
      <c r="E583" s="143" t="str">
        <f>VLOOKUP(B583,'Element wise-detail Summary'!$A:$C,3,0)</f>
        <v>Zone-6</v>
      </c>
      <c r="F583" s="143" t="str">
        <f>VLOOKUP(B583,'AFC Data details'!$B:$B,1,0)</f>
        <v>AZ6-PV28-T1C6-002</v>
      </c>
    </row>
    <row r="584" spans="1:6" x14ac:dyDescent="0.25">
      <c r="A584" s="148">
        <v>46146</v>
      </c>
      <c r="B584" s="151" t="s">
        <v>2117</v>
      </c>
      <c r="C584" s="228">
        <v>1</v>
      </c>
      <c r="D584" s="229" t="s">
        <v>2600</v>
      </c>
      <c r="E584" s="143" t="str">
        <f>VLOOKUP(B584,'Element wise-detail Summary'!$A:$C,3,0)</f>
        <v>Zone-6</v>
      </c>
      <c r="F584" s="143" t="str">
        <f>VLOOKUP(B584,'AFC Data details'!$B:$B,1,0)</f>
        <v>AZ6-PV28-T1C6-003</v>
      </c>
    </row>
    <row r="585" spans="1:6" x14ac:dyDescent="0.25">
      <c r="A585" s="148">
        <v>46146</v>
      </c>
      <c r="B585" s="151" t="s">
        <v>2118</v>
      </c>
      <c r="C585" s="228">
        <v>1</v>
      </c>
      <c r="D585" s="229" t="s">
        <v>2600</v>
      </c>
      <c r="E585" s="143" t="str">
        <f>VLOOKUP(B585,'Element wise-detail Summary'!$A:$C,3,0)</f>
        <v>Zone-6</v>
      </c>
      <c r="F585" s="143" t="str">
        <f>VLOOKUP(B585,'AFC Data details'!$B:$B,1,0)</f>
        <v>AZ6-PV28-T1C6-004</v>
      </c>
    </row>
    <row r="586" spans="1:6" x14ac:dyDescent="0.25">
      <c r="A586" s="148">
        <v>46146</v>
      </c>
      <c r="B586" s="151" t="s">
        <v>2119</v>
      </c>
      <c r="C586" s="228">
        <v>1</v>
      </c>
      <c r="D586" s="229" t="s">
        <v>2600</v>
      </c>
      <c r="E586" s="143" t="str">
        <f>VLOOKUP(B586,'Element wise-detail Summary'!$A:$C,3,0)</f>
        <v>Zone-6</v>
      </c>
      <c r="F586" s="143" t="str">
        <f>VLOOKUP(B586,'AFC Data details'!$B:$B,1,0)</f>
        <v>AZ6-PV28-T1C6-005</v>
      </c>
    </row>
    <row r="587" spans="1:6" x14ac:dyDescent="0.25">
      <c r="A587" s="148">
        <v>46147</v>
      </c>
      <c r="B587" s="151" t="s">
        <v>1901</v>
      </c>
      <c r="C587" s="228">
        <v>1</v>
      </c>
      <c r="D587" s="229" t="s">
        <v>2601</v>
      </c>
      <c r="E587" s="143" t="str">
        <f>VLOOKUP(B587,'Element wise-detail Summary'!$A:$C,3,0)</f>
        <v>Zone-6</v>
      </c>
      <c r="F587" s="143" t="str">
        <f>VLOOKUP(B587,'AFC Data details'!$B:$B,1,0)</f>
        <v>AZ6-PV26-T3C4-001</v>
      </c>
    </row>
    <row r="588" spans="1:6" x14ac:dyDescent="0.25">
      <c r="A588" s="148">
        <v>46147</v>
      </c>
      <c r="B588" s="151" t="s">
        <v>1894</v>
      </c>
      <c r="C588" s="228">
        <v>1</v>
      </c>
      <c r="D588" s="229" t="s">
        <v>2601</v>
      </c>
      <c r="E588" s="143" t="str">
        <f>VLOOKUP(B588,'Element wise-detail Summary'!$A:$C,3,0)</f>
        <v>Zone-6</v>
      </c>
      <c r="F588" s="143" t="str">
        <f>VLOOKUP(B588,'AFC Data details'!$B:$B,1,0)</f>
        <v>AZ6-PV25-T1C1-001</v>
      </c>
    </row>
    <row r="589" spans="1:6" x14ac:dyDescent="0.25">
      <c r="A589" s="148">
        <v>46147</v>
      </c>
      <c r="B589" s="151" t="s">
        <v>1897</v>
      </c>
      <c r="C589" s="228">
        <v>1</v>
      </c>
      <c r="D589" s="229" t="s">
        <v>2601</v>
      </c>
      <c r="E589" s="143" t="str">
        <f>VLOOKUP(B589,'Element wise-detail Summary'!$A:$C,3,0)</f>
        <v>Zone-6</v>
      </c>
      <c r="F589" s="143" t="str">
        <f>VLOOKUP(B589,'AFC Data details'!$B:$B,1,0)</f>
        <v>AZ6-PV25-T3C4-001</v>
      </c>
    </row>
    <row r="590" spans="1:6" x14ac:dyDescent="0.25">
      <c r="A590" s="148">
        <v>46147</v>
      </c>
      <c r="B590" s="151" t="s">
        <v>1898</v>
      </c>
      <c r="C590" s="228">
        <v>1</v>
      </c>
      <c r="D590" s="229" t="s">
        <v>2601</v>
      </c>
      <c r="E590" s="143" t="str">
        <f>VLOOKUP(B590,'Element wise-detail Summary'!$A:$C,3,0)</f>
        <v>Zone-6</v>
      </c>
      <c r="F590" s="143" t="str">
        <f>VLOOKUP(B590,'AFC Data details'!$B:$B,1,0)</f>
        <v>AZ6-PV25-T3C4-002</v>
      </c>
    </row>
    <row r="591" spans="1:6" x14ac:dyDescent="0.25">
      <c r="A591" s="148">
        <v>46147</v>
      </c>
      <c r="B591" s="151" t="s">
        <v>2095</v>
      </c>
      <c r="C591" s="228">
        <v>1</v>
      </c>
      <c r="D591" s="229" t="s">
        <v>2602</v>
      </c>
      <c r="E591" s="143" t="str">
        <f>VLOOKUP(B591,'Element wise-detail Summary'!$A:$C,3,0)</f>
        <v>Zone-6</v>
      </c>
      <c r="F591" s="143" t="str">
        <f>VLOOKUP(B591,'AFC Data details'!$B:$B,1,0)</f>
        <v>AZ6-PV26-T1C6-005</v>
      </c>
    </row>
    <row r="592" spans="1:6" x14ac:dyDescent="0.25">
      <c r="A592" s="148">
        <v>46147</v>
      </c>
      <c r="B592" s="151" t="s">
        <v>1902</v>
      </c>
      <c r="C592" s="228">
        <v>1</v>
      </c>
      <c r="D592" s="229" t="s">
        <v>2602</v>
      </c>
      <c r="E592" s="143" t="str">
        <f>VLOOKUP(B592,'Element wise-detail Summary'!$A:$C,3,0)</f>
        <v>Zone-6</v>
      </c>
      <c r="F592" s="143" t="str">
        <f>VLOOKUP(B592,'AFC Data details'!$B:$B,1,0)</f>
        <v>AZ6-PV26-T3C4-002</v>
      </c>
    </row>
    <row r="593" spans="1:6" x14ac:dyDescent="0.25">
      <c r="A593" s="148">
        <v>46147</v>
      </c>
      <c r="B593" s="151" t="s">
        <v>2109</v>
      </c>
      <c r="C593" s="228">
        <v>1</v>
      </c>
      <c r="D593" s="229" t="s">
        <v>2602</v>
      </c>
      <c r="E593" s="143" t="str">
        <f>VLOOKUP(B593,'Element wise-detail Summary'!$A:$C,3,0)</f>
        <v>Zone-6</v>
      </c>
      <c r="F593" s="143" t="str">
        <f>VLOOKUP(B593,'AFC Data details'!$B:$B,1,0)</f>
        <v>AZ6-PV26-T1C6-006</v>
      </c>
    </row>
    <row r="594" spans="1:6" x14ac:dyDescent="0.25">
      <c r="A594" s="148">
        <v>46147</v>
      </c>
      <c r="B594" s="151" t="s">
        <v>2090</v>
      </c>
      <c r="C594" s="228">
        <v>1</v>
      </c>
      <c r="D594" s="229" t="s">
        <v>2602</v>
      </c>
      <c r="E594" s="143" t="str">
        <f>VLOOKUP(B594,'Element wise-detail Summary'!$A:$C,3,0)</f>
        <v>Zone-6</v>
      </c>
      <c r="F594" s="143" t="str">
        <f>VLOOKUP(B594,'AFC Data details'!$B:$B,1,0)</f>
        <v>AZ6-PV27-T1C6-006</v>
      </c>
    </row>
    <row r="595" spans="1:6" x14ac:dyDescent="0.25">
      <c r="A595" s="148">
        <v>46147</v>
      </c>
      <c r="B595" s="151" t="s">
        <v>2086</v>
      </c>
      <c r="C595" s="228">
        <v>1</v>
      </c>
      <c r="D595" s="229" t="s">
        <v>2603</v>
      </c>
      <c r="E595" s="143" t="str">
        <f>VLOOKUP(B595,'Element wise-detail Summary'!$A:$C,3,0)</f>
        <v>Zone-6</v>
      </c>
      <c r="F595" s="143" t="str">
        <f>VLOOKUP(B595,'AFC Data details'!$B:$B,1,0)</f>
        <v>AZ6-PV25-T1C13-003</v>
      </c>
    </row>
    <row r="596" spans="1:6" x14ac:dyDescent="0.25">
      <c r="A596" s="148">
        <v>46147</v>
      </c>
      <c r="B596" s="151" t="s">
        <v>2087</v>
      </c>
      <c r="C596" s="228">
        <v>1</v>
      </c>
      <c r="D596" s="229" t="s">
        <v>2603</v>
      </c>
      <c r="E596" s="143" t="str">
        <f>VLOOKUP(B596,'Element wise-detail Summary'!$A:$C,3,0)</f>
        <v>Zone-6</v>
      </c>
      <c r="F596" s="143" t="str">
        <f>VLOOKUP(B596,'AFC Data details'!$B:$B,1,0)</f>
        <v>AZ6-PV25-T1C13-004</v>
      </c>
    </row>
    <row r="597" spans="1:6" x14ac:dyDescent="0.25">
      <c r="A597" s="148">
        <v>46147</v>
      </c>
      <c r="B597" s="151" t="s">
        <v>2088</v>
      </c>
      <c r="C597" s="228">
        <v>1</v>
      </c>
      <c r="D597" s="229" t="s">
        <v>2603</v>
      </c>
      <c r="E597" s="143" t="str">
        <f>VLOOKUP(B597,'Element wise-detail Summary'!$A:$C,3,0)</f>
        <v>Zone-6</v>
      </c>
      <c r="F597" s="143" t="str">
        <f>VLOOKUP(B597,'AFC Data details'!$B:$B,1,0)</f>
        <v>AZ6-PV25-T1C13-005</v>
      </c>
    </row>
    <row r="598" spans="1:6" x14ac:dyDescent="0.25">
      <c r="A598" s="148">
        <v>46147</v>
      </c>
      <c r="B598" s="151" t="s">
        <v>1896</v>
      </c>
      <c r="C598" s="228">
        <v>1</v>
      </c>
      <c r="D598" s="229" t="s">
        <v>2603</v>
      </c>
      <c r="E598" s="143" t="str">
        <f>VLOOKUP(B598,'Element wise-detail Summary'!$A:$C,3,0)</f>
        <v>Zone-6</v>
      </c>
      <c r="F598" s="143" t="str">
        <f>VLOOKUP(B598,'AFC Data details'!$B:$B,1,0)</f>
        <v>AZ6-PV25-T1C13-006</v>
      </c>
    </row>
    <row r="599" spans="1:6" x14ac:dyDescent="0.25">
      <c r="A599" s="148">
        <v>46147</v>
      </c>
      <c r="B599" s="151" t="s">
        <v>1917</v>
      </c>
      <c r="C599" s="228">
        <v>1</v>
      </c>
      <c r="D599" s="229" t="s">
        <v>2604</v>
      </c>
      <c r="E599" s="143" t="str">
        <f>VLOOKUP(B599,'Element wise-detail Summary'!$A:$C,3,0)</f>
        <v>Zone-6</v>
      </c>
      <c r="F599" s="143" t="str">
        <f>VLOOKUP(B599,'AFC Data details'!$B:$B,1,0)</f>
        <v>AZ6-PV31-T3C4-001</v>
      </c>
    </row>
    <row r="600" spans="1:6" x14ac:dyDescent="0.25">
      <c r="A600" s="148">
        <v>46147</v>
      </c>
      <c r="B600" s="151" t="s">
        <v>1918</v>
      </c>
      <c r="C600" s="228">
        <v>1</v>
      </c>
      <c r="D600" s="229" t="s">
        <v>2604</v>
      </c>
      <c r="E600" s="143" t="str">
        <f>VLOOKUP(B600,'Element wise-detail Summary'!$A:$C,3,0)</f>
        <v>Zone-6</v>
      </c>
      <c r="F600" s="143" t="str">
        <f>VLOOKUP(B600,'AFC Data details'!$B:$B,1,0)</f>
        <v>AZ6-PV31-T3C4-002</v>
      </c>
    </row>
    <row r="601" spans="1:6" x14ac:dyDescent="0.25">
      <c r="A601" s="148">
        <v>46147</v>
      </c>
      <c r="B601" s="151" t="s">
        <v>2142</v>
      </c>
      <c r="C601" s="228">
        <v>1</v>
      </c>
      <c r="D601" s="229" t="s">
        <v>2604</v>
      </c>
      <c r="E601" s="143" t="str">
        <f>VLOOKUP(B601,'Element wise-detail Summary'!$A:$C,3,0)</f>
        <v>Zone-6</v>
      </c>
      <c r="F601" s="143" t="str">
        <f>VLOOKUP(B601,'AFC Data details'!$B:$B,1,0)</f>
        <v>AZ6-PV30-T1C6-005</v>
      </c>
    </row>
    <row r="602" spans="1:6" x14ac:dyDescent="0.25">
      <c r="A602" s="148">
        <v>46147</v>
      </c>
      <c r="B602" s="151" t="s">
        <v>2164</v>
      </c>
      <c r="C602" s="228">
        <v>1</v>
      </c>
      <c r="D602" s="229" t="s">
        <v>2604</v>
      </c>
      <c r="E602" s="143" t="str">
        <f>VLOOKUP(B602,'Element wise-detail Summary'!$A:$C,3,0)</f>
        <v>Zone-6</v>
      </c>
      <c r="F602" s="143" t="str">
        <f>VLOOKUP(B602,'AFC Data details'!$B:$B,1,0)</f>
        <v>AZ6-PV32-T2C1-001</v>
      </c>
    </row>
    <row r="603" spans="1:6" x14ac:dyDescent="0.25">
      <c r="A603" s="148">
        <v>46148</v>
      </c>
      <c r="B603" s="151" t="s">
        <v>1895</v>
      </c>
      <c r="C603" s="228">
        <v>1</v>
      </c>
      <c r="D603" s="229" t="s">
        <v>2606</v>
      </c>
      <c r="E603" s="143" t="str">
        <f>VLOOKUP(B603,'Element wise-detail Summary'!$A:$C,3,0)</f>
        <v>Zone-6</v>
      </c>
      <c r="F603" s="143" t="str">
        <f>VLOOKUP(B603,'AFC Data details'!$B:$B,1,0)</f>
        <v>AZ6-PV25-T1C13-001</v>
      </c>
    </row>
    <row r="604" spans="1:6" x14ac:dyDescent="0.25">
      <c r="A604" s="148">
        <v>46148</v>
      </c>
      <c r="B604" s="151" t="s">
        <v>2085</v>
      </c>
      <c r="C604" s="228">
        <v>1</v>
      </c>
      <c r="D604" s="229" t="s">
        <v>2606</v>
      </c>
      <c r="E604" s="143" t="str">
        <f>VLOOKUP(B604,'Element wise-detail Summary'!$A:$C,3,0)</f>
        <v>Zone-6</v>
      </c>
      <c r="F604" s="143" t="str">
        <f>VLOOKUP(B604,'AFC Data details'!$B:$B,1,0)</f>
        <v>AZ6-PV25-T1C13-002</v>
      </c>
    </row>
    <row r="605" spans="1:6" x14ac:dyDescent="0.25">
      <c r="A605" s="148">
        <v>46148</v>
      </c>
      <c r="B605" s="151" t="s">
        <v>2083</v>
      </c>
      <c r="C605" s="228">
        <v>1</v>
      </c>
      <c r="D605" s="229" t="s">
        <v>2606</v>
      </c>
      <c r="E605" s="143" t="str">
        <f>VLOOKUP(B605,'Element wise-detail Summary'!$A:$C,3,0)</f>
        <v>Zone-6</v>
      </c>
      <c r="F605" s="143" t="str">
        <f>VLOOKUP(B605,'AFC Data details'!$B:$B,1,0)</f>
        <v>AZ6-PV24-T1C13-005</v>
      </c>
    </row>
    <row r="606" spans="1:6" x14ac:dyDescent="0.25">
      <c r="A606" s="148">
        <v>46148</v>
      </c>
      <c r="B606" s="151" t="s">
        <v>1891</v>
      </c>
      <c r="C606" s="228">
        <v>1</v>
      </c>
      <c r="D606" s="229" t="s">
        <v>2606</v>
      </c>
      <c r="E606" s="143" t="str">
        <f>VLOOKUP(B606,'Element wise-detail Summary'!$A:$C,3,0)</f>
        <v>Zone-6</v>
      </c>
      <c r="F606" s="143" t="str">
        <f>VLOOKUP(B606,'AFC Data details'!$B:$B,1,0)</f>
        <v>AZ6-PV24-T1C13-006</v>
      </c>
    </row>
    <row r="607" spans="1:6" x14ac:dyDescent="0.25">
      <c r="A607" s="148">
        <v>46148</v>
      </c>
      <c r="B607" s="151" t="s">
        <v>2107</v>
      </c>
      <c r="C607" s="228">
        <v>1</v>
      </c>
      <c r="D607" s="229" t="s">
        <v>2607</v>
      </c>
      <c r="E607" s="143" t="str">
        <f>VLOOKUP(B607,'Element wise-detail Summary'!$A:$C,3,0)</f>
        <v>Zone-6</v>
      </c>
      <c r="F607" s="143" t="str">
        <f>VLOOKUP(B607,'AFC Data details'!$B:$B,1,0)</f>
        <v>AZ6-PV23-T1C6-004</v>
      </c>
    </row>
    <row r="608" spans="1:6" x14ac:dyDescent="0.25">
      <c r="A608" s="148">
        <v>46148</v>
      </c>
      <c r="B608" s="151" t="s">
        <v>2108</v>
      </c>
      <c r="C608" s="228">
        <v>1</v>
      </c>
      <c r="D608" s="229" t="s">
        <v>2607</v>
      </c>
      <c r="E608" s="143" t="str">
        <f>VLOOKUP(B608,'Element wise-detail Summary'!$A:$C,3,0)</f>
        <v>Zone-6</v>
      </c>
      <c r="F608" s="143" t="str">
        <f>VLOOKUP(B608,'AFC Data details'!$B:$B,1,0)</f>
        <v>AZ6-PV23-T1C6-005</v>
      </c>
    </row>
    <row r="609" spans="1:6" x14ac:dyDescent="0.25">
      <c r="A609" s="148">
        <v>46148</v>
      </c>
      <c r="B609" s="151" t="s">
        <v>2103</v>
      </c>
      <c r="C609" s="228">
        <v>1</v>
      </c>
      <c r="D609" s="229" t="s">
        <v>2607</v>
      </c>
      <c r="E609" s="143" t="str">
        <f>VLOOKUP(B609,'Element wise-detail Summary'!$A:$C,3,0)</f>
        <v>Zone-6</v>
      </c>
      <c r="F609" s="143" t="str">
        <f>VLOOKUP(B609,'AFC Data details'!$B:$B,1,0)</f>
        <v>AZ6-PV22-T1C6-004</v>
      </c>
    </row>
    <row r="610" spans="1:6" x14ac:dyDescent="0.25">
      <c r="A610" s="148">
        <v>46148</v>
      </c>
      <c r="B610" s="151" t="s">
        <v>2104</v>
      </c>
      <c r="C610" s="228">
        <v>1</v>
      </c>
      <c r="D610" s="229" t="s">
        <v>2607</v>
      </c>
      <c r="E610" s="143" t="str">
        <f>VLOOKUP(B610,'Element wise-detail Summary'!$A:$C,3,0)</f>
        <v>Zone-6</v>
      </c>
      <c r="F610" s="143" t="str">
        <f>VLOOKUP(B610,'AFC Data details'!$B:$B,1,0)</f>
        <v>AZ6-PV22-T1C6-005</v>
      </c>
    </row>
    <row r="611" spans="1:6" x14ac:dyDescent="0.25">
      <c r="A611" s="148">
        <v>46148</v>
      </c>
      <c r="B611" s="151" t="s">
        <v>2101</v>
      </c>
      <c r="C611" s="228">
        <v>1</v>
      </c>
      <c r="D611" s="229" t="s">
        <v>2608</v>
      </c>
      <c r="E611" s="143" t="str">
        <f>VLOOKUP(B611,'Element wise-detail Summary'!$A:$C,3,0)</f>
        <v>Zone-6</v>
      </c>
      <c r="F611" s="143" t="str">
        <f>VLOOKUP(B611,'AFC Data details'!$B:$B,1,0)</f>
        <v>AZ6-PV22-T1C6-002</v>
      </c>
    </row>
    <row r="612" spans="1:6" x14ac:dyDescent="0.25">
      <c r="A612" s="148">
        <v>46148</v>
      </c>
      <c r="B612" s="151" t="s">
        <v>2102</v>
      </c>
      <c r="C612" s="228">
        <v>1</v>
      </c>
      <c r="D612" s="229" t="s">
        <v>2608</v>
      </c>
      <c r="E612" s="143" t="str">
        <f>VLOOKUP(B612,'Element wise-detail Summary'!$A:$C,3,0)</f>
        <v>Zone-6</v>
      </c>
      <c r="F612" s="143" t="str">
        <f>VLOOKUP(B612,'AFC Data details'!$B:$B,1,0)</f>
        <v>AZ6-PV22-T1C6-003</v>
      </c>
    </row>
    <row r="613" spans="1:6" x14ac:dyDescent="0.25">
      <c r="A613" s="148">
        <v>46148</v>
      </c>
      <c r="B613" s="151" t="s">
        <v>2105</v>
      </c>
      <c r="C613" s="228">
        <v>1</v>
      </c>
      <c r="D613" s="229" t="s">
        <v>2608</v>
      </c>
      <c r="E613" s="143" t="str">
        <f>VLOOKUP(B613,'Element wise-detail Summary'!$A:$C,3,0)</f>
        <v>Zone-6</v>
      </c>
      <c r="F613" s="143" t="str">
        <f>VLOOKUP(B613,'AFC Data details'!$B:$B,1,0)</f>
        <v>AZ6-PV23-T1C6-002</v>
      </c>
    </row>
    <row r="614" spans="1:6" x14ac:dyDescent="0.25">
      <c r="A614" s="148">
        <v>46148</v>
      </c>
      <c r="B614" s="151" t="s">
        <v>2106</v>
      </c>
      <c r="C614" s="228">
        <v>1</v>
      </c>
      <c r="D614" s="229" t="s">
        <v>2608</v>
      </c>
      <c r="E614" s="143" t="str">
        <f>VLOOKUP(B614,'Element wise-detail Summary'!$A:$C,3,0)</f>
        <v>Zone-6</v>
      </c>
      <c r="F614" s="143" t="str">
        <f>VLOOKUP(B614,'AFC Data details'!$B:$B,1,0)</f>
        <v>AZ6-PV23-T1C6-003</v>
      </c>
    </row>
    <row r="615" spans="1:6" x14ac:dyDescent="0.25">
      <c r="A615" s="148">
        <v>46241</v>
      </c>
      <c r="B615" s="151" t="s">
        <v>2064</v>
      </c>
      <c r="C615" s="228">
        <v>1</v>
      </c>
      <c r="D615" s="229" t="s">
        <v>2609</v>
      </c>
      <c r="E615" s="143" t="str">
        <f>VLOOKUP(B615,'Element wise-detail Summary'!$A:$C,3,0)</f>
        <v>Zone-6</v>
      </c>
      <c r="F615" s="143" t="str">
        <f>VLOOKUP(B615,'AFC Data details'!$B:$B,1,0)</f>
        <v>AZ6-PV21-T1C6-004</v>
      </c>
    </row>
    <row r="616" spans="1:6" x14ac:dyDescent="0.25">
      <c r="A616" s="148">
        <v>46241</v>
      </c>
      <c r="B616" s="151" t="s">
        <v>2065</v>
      </c>
      <c r="C616" s="228">
        <v>1</v>
      </c>
      <c r="D616" s="229" t="s">
        <v>2609</v>
      </c>
      <c r="E616" s="143" t="str">
        <f>VLOOKUP(B616,'Element wise-detail Summary'!$A:$C,3,0)</f>
        <v>Zone-6</v>
      </c>
      <c r="F616" s="143" t="str">
        <f>VLOOKUP(B616,'AFC Data details'!$B:$B,1,0)</f>
        <v>AZ6-PV21-T1C6-005</v>
      </c>
    </row>
    <row r="617" spans="1:6" x14ac:dyDescent="0.25">
      <c r="A617" s="148">
        <v>46241</v>
      </c>
      <c r="B617" s="151" t="s">
        <v>2076</v>
      </c>
      <c r="C617" s="228">
        <v>1</v>
      </c>
      <c r="D617" s="229" t="s">
        <v>2609</v>
      </c>
      <c r="E617" s="143" t="str">
        <f>VLOOKUP(B617,'Element wise-detail Summary'!$A:$C,3,0)</f>
        <v>Zone-6</v>
      </c>
      <c r="F617" s="143" t="str">
        <f>VLOOKUP(B617,'AFC Data details'!$B:$B,1,0)</f>
        <v>AZ6-PV20-T1C6-006</v>
      </c>
    </row>
    <row r="618" spans="1:6" x14ac:dyDescent="0.25">
      <c r="A618" s="148">
        <v>46241</v>
      </c>
      <c r="B618" s="151" t="s">
        <v>2061</v>
      </c>
      <c r="C618" s="228">
        <v>1</v>
      </c>
      <c r="D618" s="229" t="s">
        <v>2609</v>
      </c>
      <c r="E618" s="143" t="str">
        <f>VLOOKUP(B618,'Element wise-detail Summary'!$A:$C,3,0)</f>
        <v>Zone-6</v>
      </c>
      <c r="F618" s="143" t="str">
        <f>VLOOKUP(B618,'AFC Data details'!$B:$B,1,0)</f>
        <v>AZ6-PV20-T1C6-005</v>
      </c>
    </row>
    <row r="619" spans="1:6" x14ac:dyDescent="0.25">
      <c r="A619" s="148">
        <v>46241</v>
      </c>
      <c r="B619" s="151" t="s">
        <v>1889</v>
      </c>
      <c r="C619" s="228">
        <v>1</v>
      </c>
      <c r="D619" s="229" t="s">
        <v>2610</v>
      </c>
      <c r="E619" s="143" t="str">
        <f>VLOOKUP(B619,'Element wise-detail Summary'!$A:$C,3,0)</f>
        <v>Zone-6</v>
      </c>
      <c r="F619" s="143" t="str">
        <f>VLOOKUP(B619,'AFC Data details'!$B:$B,1,0)</f>
        <v>AZ6-PV24-T1C13-001</v>
      </c>
    </row>
    <row r="620" spans="1:6" x14ac:dyDescent="0.25">
      <c r="A620" s="148">
        <v>46241</v>
      </c>
      <c r="B620" s="151" t="s">
        <v>1890</v>
      </c>
      <c r="C620" s="228">
        <v>1</v>
      </c>
      <c r="D620" s="229" t="s">
        <v>2610</v>
      </c>
      <c r="E620" s="143" t="str">
        <f>VLOOKUP(B620,'Element wise-detail Summary'!$A:$C,3,0)</f>
        <v>Zone-6</v>
      </c>
      <c r="F620" s="143" t="str">
        <f>VLOOKUP(B620,'AFC Data details'!$B:$B,1,0)</f>
        <v>AZ6-PV24-T1C13-002</v>
      </c>
    </row>
    <row r="621" spans="1:6" x14ac:dyDescent="0.25">
      <c r="A621" s="148">
        <v>46241</v>
      </c>
      <c r="B621" s="151" t="s">
        <v>2081</v>
      </c>
      <c r="C621" s="228">
        <v>1</v>
      </c>
      <c r="D621" s="229" t="s">
        <v>2610</v>
      </c>
      <c r="E621" s="143" t="str">
        <f>VLOOKUP(B621,'Element wise-detail Summary'!$A:$C,3,0)</f>
        <v>Zone-6</v>
      </c>
      <c r="F621" s="143" t="str">
        <f>VLOOKUP(B621,'AFC Data details'!$B:$B,1,0)</f>
        <v>AZ6-PV24-T1C13-003</v>
      </c>
    </row>
    <row r="622" spans="1:6" x14ac:dyDescent="0.25">
      <c r="A622" s="148">
        <v>46241</v>
      </c>
      <c r="B622" s="151" t="s">
        <v>1893</v>
      </c>
      <c r="C622" s="228">
        <v>1</v>
      </c>
      <c r="D622" s="229" t="s">
        <v>2610</v>
      </c>
      <c r="E622" s="143" t="str">
        <f>VLOOKUP(B622,'Element wise-detail Summary'!$A:$C,3,0)</f>
        <v>Zone-6</v>
      </c>
      <c r="F622" s="143" t="str">
        <f>VLOOKUP(B622,'AFC Data details'!$B:$B,1,0)</f>
        <v>AZ6-PV24-T3C4-002</v>
      </c>
    </row>
    <row r="623" spans="1:6" x14ac:dyDescent="0.25">
      <c r="A623" s="148">
        <v>46241</v>
      </c>
      <c r="B623" s="151" t="s">
        <v>1892</v>
      </c>
      <c r="C623" s="228">
        <v>1</v>
      </c>
      <c r="D623" s="229" t="s">
        <v>2611</v>
      </c>
      <c r="E623" s="143" t="str">
        <f>VLOOKUP(B623,'Element wise-detail Summary'!$A:$C,3,0)</f>
        <v>Zone-6</v>
      </c>
      <c r="F623" s="143" t="str">
        <f>VLOOKUP(B623,'AFC Data details'!$B:$B,1,0)</f>
        <v>AZ6-PV24-T3C4-001</v>
      </c>
    </row>
    <row r="624" spans="1:6" x14ac:dyDescent="0.25">
      <c r="A624" s="148">
        <v>46241</v>
      </c>
      <c r="B624" s="151" t="s">
        <v>2074</v>
      </c>
      <c r="C624" s="228">
        <v>1</v>
      </c>
      <c r="D624" s="229" t="s">
        <v>2611</v>
      </c>
      <c r="E624" s="143" t="str">
        <f>VLOOKUP(B624,'Element wise-detail Summary'!$A:$C,3,0)</f>
        <v>Zone-6</v>
      </c>
      <c r="F624" s="143" t="str">
        <f>VLOOKUP(B624,'AFC Data details'!$B:$B,1,0)</f>
        <v>AZ6-PV23-T1C1-001</v>
      </c>
    </row>
    <row r="625" spans="1:6" x14ac:dyDescent="0.25">
      <c r="A625" s="148">
        <v>46241</v>
      </c>
      <c r="B625" s="151" t="s">
        <v>2110</v>
      </c>
      <c r="C625" s="228">
        <v>1</v>
      </c>
      <c r="D625" s="229" t="s">
        <v>2611</v>
      </c>
      <c r="E625" s="143" t="str">
        <f>VLOOKUP(B625,'Element wise-detail Summary'!$A:$C,3,0)</f>
        <v>Zone-6</v>
      </c>
      <c r="F625" s="143" t="str">
        <f>VLOOKUP(B625,'AFC Data details'!$B:$B,1,0)</f>
        <v>AZ6-PV23-T1C6-001</v>
      </c>
    </row>
    <row r="626" spans="1:6" x14ac:dyDescent="0.25">
      <c r="A626" s="148">
        <v>46241</v>
      </c>
      <c r="B626" s="151" t="s">
        <v>2113</v>
      </c>
      <c r="C626" s="228">
        <v>1</v>
      </c>
      <c r="D626" s="229" t="s">
        <v>2611</v>
      </c>
      <c r="E626" s="143" t="str">
        <f>VLOOKUP(B626,'Element wise-detail Summary'!$A:$C,3,0)</f>
        <v>Zone-6</v>
      </c>
      <c r="F626" s="143" t="str">
        <f>VLOOKUP(B626,'AFC Data details'!$B:$B,1,0)</f>
        <v>AZ6-PV21-T3C4-002</v>
      </c>
    </row>
    <row r="627" spans="1:6" x14ac:dyDescent="0.25">
      <c r="A627" s="148">
        <v>46150</v>
      </c>
      <c r="B627" s="239" t="s">
        <v>1879</v>
      </c>
      <c r="C627" s="228">
        <v>1</v>
      </c>
      <c r="D627" s="229" t="s">
        <v>2612</v>
      </c>
      <c r="E627" s="143" t="str">
        <f>VLOOKUP(B627,'Element wise-detail Summary'!$A:$C,3,0)</f>
        <v>Zone-6</v>
      </c>
      <c r="F627" s="143" t="str">
        <f>VLOOKUP(B627,'AFC Data details'!$B:$B,1,0)</f>
        <v>AZ6-PV20-T1C6-001</v>
      </c>
    </row>
    <row r="628" spans="1:6" x14ac:dyDescent="0.25">
      <c r="A628" s="148">
        <v>46150</v>
      </c>
      <c r="B628" s="239" t="s">
        <v>1880</v>
      </c>
      <c r="C628" s="228">
        <v>1</v>
      </c>
      <c r="D628" s="229" t="s">
        <v>2612</v>
      </c>
      <c r="E628" s="143" t="str">
        <f>VLOOKUP(B628,'Element wise-detail Summary'!$A:$C,3,0)</f>
        <v>Zone-6</v>
      </c>
      <c r="F628" s="143" t="str">
        <f>VLOOKUP(B628,'AFC Data details'!$B:$B,1,0)</f>
        <v>AZ6-PV20-T1C6-002</v>
      </c>
    </row>
    <row r="629" spans="1:6" x14ac:dyDescent="0.25">
      <c r="A629" s="148">
        <v>46150</v>
      </c>
      <c r="B629" s="239" t="s">
        <v>2062</v>
      </c>
      <c r="C629" s="228">
        <v>1</v>
      </c>
      <c r="D629" s="229" t="s">
        <v>2612</v>
      </c>
      <c r="E629" s="143" t="str">
        <f>VLOOKUP(B629,'Element wise-detail Summary'!$A:$C,3,0)</f>
        <v>Zone-6</v>
      </c>
      <c r="F629" s="143" t="str">
        <f>VLOOKUP(B629,'AFC Data details'!$B:$B,1,0)</f>
        <v>AZ6-PV21-T1C6-002</v>
      </c>
    </row>
    <row r="630" spans="1:6" x14ac:dyDescent="0.25">
      <c r="A630" s="148">
        <v>46150</v>
      </c>
      <c r="B630" s="239" t="s">
        <v>1884</v>
      </c>
      <c r="C630" s="228">
        <v>1</v>
      </c>
      <c r="D630" s="229" t="s">
        <v>2612</v>
      </c>
      <c r="E630" s="143" t="str">
        <f>VLOOKUP(B630,'Element wise-detail Summary'!$A:$C,3,0)</f>
        <v>Zone-6</v>
      </c>
      <c r="F630" s="143" t="str">
        <f>VLOOKUP(B630,'AFC Data details'!$B:$B,1,0)</f>
        <v>AZ6-PV21-T1C6-001</v>
      </c>
    </row>
    <row r="631" spans="1:6" x14ac:dyDescent="0.25">
      <c r="A631" s="148">
        <v>46150</v>
      </c>
      <c r="B631" s="239" t="s">
        <v>1877</v>
      </c>
      <c r="C631" s="228">
        <v>1</v>
      </c>
      <c r="D631" s="229" t="s">
        <v>2613</v>
      </c>
      <c r="E631" s="143" t="str">
        <f>VLOOKUP(B631,'Element wise-detail Summary'!$A:$C,3,0)</f>
        <v>Zone-6</v>
      </c>
      <c r="F631" s="143" t="str">
        <f>VLOOKUP(B631,'AFC Data details'!$B:$B,1,0)</f>
        <v>AZ6-PV19-T3C4-001</v>
      </c>
    </row>
    <row r="632" spans="1:6" x14ac:dyDescent="0.25">
      <c r="A632" s="148">
        <v>46150</v>
      </c>
      <c r="B632" s="239" t="s">
        <v>2070</v>
      </c>
      <c r="C632" s="228">
        <v>1</v>
      </c>
      <c r="D632" s="229" t="s">
        <v>2613</v>
      </c>
      <c r="E632" s="143" t="str">
        <f>VLOOKUP(B632,'Element wise-detail Summary'!$A:$C,3,0)</f>
        <v>Zone-6</v>
      </c>
      <c r="F632" s="143" t="str">
        <f>VLOOKUP(B632,'AFC Data details'!$B:$B,1,0)</f>
        <v>AZ6-PV19-T1C6-002</v>
      </c>
    </row>
    <row r="633" spans="1:6" x14ac:dyDescent="0.25">
      <c r="A633" s="148">
        <v>46150</v>
      </c>
      <c r="B633" s="239" t="s">
        <v>2077</v>
      </c>
      <c r="C633" s="228">
        <v>1</v>
      </c>
      <c r="D633" s="229" t="s">
        <v>2613</v>
      </c>
      <c r="E633" s="143" t="str">
        <f>VLOOKUP(B633,'Element wise-detail Summary'!$A:$C,3,0)</f>
        <v>Zone-6</v>
      </c>
      <c r="F633" s="143" t="str">
        <f>VLOOKUP(B633,'AFC Data details'!$B:$B,1,0)</f>
        <v>AZ6-PV19-T1C6-001</v>
      </c>
    </row>
    <row r="634" spans="1:6" x14ac:dyDescent="0.25">
      <c r="A634" s="148">
        <v>46150</v>
      </c>
      <c r="B634" s="239" t="s">
        <v>2170</v>
      </c>
      <c r="C634" s="228">
        <v>1</v>
      </c>
      <c r="D634" s="229" t="s">
        <v>2613</v>
      </c>
      <c r="E634" s="143" t="str">
        <f>VLOOKUP(B634,'Element wise-detail Summary'!$A:$C,3,0)</f>
        <v>Zone-6</v>
      </c>
      <c r="F634" s="143" t="str">
        <f>VLOOKUP(B634,'AFC Data details'!$B:$B,1,0)</f>
        <v>AZ6-PV20-T2C1-001</v>
      </c>
    </row>
    <row r="635" spans="1:6" x14ac:dyDescent="0.25">
      <c r="A635" s="148">
        <v>46150</v>
      </c>
      <c r="B635" s="239" t="s">
        <v>2058</v>
      </c>
      <c r="C635" s="228">
        <v>1</v>
      </c>
      <c r="D635" s="229" t="s">
        <v>2614</v>
      </c>
      <c r="E635" s="143" t="str">
        <f>VLOOKUP(B635,'Element wise-detail Summary'!$A:$C,3,0)</f>
        <v>Zone-6</v>
      </c>
      <c r="F635" s="143" t="str">
        <f>VLOOKUP(B635,'AFC Data details'!$B:$B,1,0)</f>
        <v>AZ6-PV19-T1C6-006</v>
      </c>
    </row>
    <row r="636" spans="1:6" x14ac:dyDescent="0.25">
      <c r="A636" s="148">
        <v>46150</v>
      </c>
      <c r="B636" s="239" t="s">
        <v>2071</v>
      </c>
      <c r="C636" s="228">
        <v>1</v>
      </c>
      <c r="D636" s="229" t="s">
        <v>2614</v>
      </c>
      <c r="E636" s="143" t="str">
        <f>VLOOKUP(B636,'Element wise-detail Summary'!$A:$C,3,0)</f>
        <v>Zone-6</v>
      </c>
      <c r="F636" s="143" t="str">
        <f>VLOOKUP(B636,'AFC Data details'!$B:$B,1,0)</f>
        <v>AZ6-PV19-T1C6-003</v>
      </c>
    </row>
    <row r="637" spans="1:6" x14ac:dyDescent="0.25">
      <c r="A637" s="148">
        <v>46150</v>
      </c>
      <c r="B637" s="239" t="s">
        <v>2072</v>
      </c>
      <c r="C637" s="228">
        <v>1</v>
      </c>
      <c r="D637" s="229" t="s">
        <v>2614</v>
      </c>
      <c r="E637" s="143" t="str">
        <f>VLOOKUP(B637,'Element wise-detail Summary'!$A:$C,3,0)</f>
        <v>Zone-6</v>
      </c>
      <c r="F637" s="143" t="str">
        <f>VLOOKUP(B637,'AFC Data details'!$B:$B,1,0)</f>
        <v>AZ6-PV19-T1C6-004</v>
      </c>
    </row>
    <row r="638" spans="1:6" x14ac:dyDescent="0.25">
      <c r="A638" s="148">
        <v>46150</v>
      </c>
      <c r="B638" s="239" t="s">
        <v>2073</v>
      </c>
      <c r="C638" s="228">
        <v>1</v>
      </c>
      <c r="D638" s="229" t="s">
        <v>2614</v>
      </c>
      <c r="E638" s="143" t="str">
        <f>VLOOKUP(B638,'Element wise-detail Summary'!$A:$C,3,0)</f>
        <v>Zone-6</v>
      </c>
      <c r="F638" s="143" t="str">
        <f>VLOOKUP(B638,'AFC Data details'!$B:$B,1,0)</f>
        <v>AZ6-PV19-T1C6-005</v>
      </c>
    </row>
    <row r="639" spans="1:6" x14ac:dyDescent="0.25">
      <c r="A639" s="148">
        <v>46150</v>
      </c>
      <c r="B639" s="239" t="s">
        <v>2136</v>
      </c>
      <c r="C639" s="228">
        <v>1</v>
      </c>
      <c r="D639" s="229" t="s">
        <v>2615</v>
      </c>
      <c r="E639" s="143" t="str">
        <f>VLOOKUP(B639,'Element wise-detail Summary'!$A:$C,3,0)</f>
        <v>Zone-6</v>
      </c>
      <c r="F639" s="143" t="str">
        <f>VLOOKUP(B639,'AFC Data details'!$B:$B,1,0)</f>
        <v>AZ6-PV33-T1C6-003</v>
      </c>
    </row>
    <row r="640" spans="1:6" x14ac:dyDescent="0.25">
      <c r="A640" s="148">
        <v>46150</v>
      </c>
      <c r="B640" s="239" t="s">
        <v>2138</v>
      </c>
      <c r="C640" s="228">
        <v>1</v>
      </c>
      <c r="D640" s="229" t="s">
        <v>2615</v>
      </c>
      <c r="E640" s="143" t="str">
        <f>VLOOKUP(B640,'Element wise-detail Summary'!$A:$C,3,0)</f>
        <v>Zone-6</v>
      </c>
      <c r="F640" s="143" t="str">
        <f>VLOOKUP(B640,'AFC Data details'!$B:$B,1,0)</f>
        <v>AZ6-PV33-T1C6-005</v>
      </c>
    </row>
    <row r="641" spans="1:6" x14ac:dyDescent="0.25">
      <c r="A641" s="148">
        <v>46150</v>
      </c>
      <c r="B641" s="239" t="s">
        <v>1925</v>
      </c>
      <c r="C641" s="228">
        <v>1</v>
      </c>
      <c r="D641" s="229" t="s">
        <v>2615</v>
      </c>
      <c r="E641" s="143" t="str">
        <f>VLOOKUP(B641,'Element wise-detail Summary'!$A:$C,3,0)</f>
        <v>Zone-6</v>
      </c>
      <c r="F641" s="143" t="str">
        <f>VLOOKUP(B641,'AFC Data details'!$B:$B,1,0)</f>
        <v>AZ6-PV33-T3C4-001</v>
      </c>
    </row>
    <row r="642" spans="1:6" x14ac:dyDescent="0.25">
      <c r="A642" s="148">
        <v>46150</v>
      </c>
      <c r="B642" s="239" t="s">
        <v>2167</v>
      </c>
      <c r="C642" s="228">
        <v>1</v>
      </c>
      <c r="D642" s="229" t="s">
        <v>2615</v>
      </c>
      <c r="E642" s="143" t="str">
        <f>VLOOKUP(B642,'Element wise-detail Summary'!$A:$C,3,0)</f>
        <v>Zone-6</v>
      </c>
      <c r="F642" s="143" t="str">
        <f>VLOOKUP(B642,'AFC Data details'!$B:$B,1,0)</f>
        <v>AZ6-PV26-T2C1-001</v>
      </c>
    </row>
  </sheetData>
  <autoFilter ref="A1:F424" xr:uid="{AC391E29-5172-4EBF-947F-EBCCE34BE593}"/>
  <phoneticPr fontId="3" type="noConversion"/>
  <conditionalFormatting sqref="B1">
    <cfRule type="duplicateValues" dxfId="407" priority="454"/>
  </conditionalFormatting>
  <conditionalFormatting sqref="B215:B218">
    <cfRule type="duplicateValues" dxfId="406" priority="453"/>
  </conditionalFormatting>
  <conditionalFormatting sqref="B361">
    <cfRule type="duplicateValues" dxfId="405" priority="450"/>
    <cfRule type="duplicateValues" dxfId="404" priority="449"/>
    <cfRule type="duplicateValues" dxfId="403" priority="448"/>
  </conditionalFormatting>
  <conditionalFormatting sqref="B362:B363">
    <cfRule type="duplicateValues" dxfId="402" priority="445"/>
    <cfRule type="duplicateValues" dxfId="401" priority="447"/>
    <cfRule type="duplicateValues" dxfId="400" priority="446"/>
  </conditionalFormatting>
  <conditionalFormatting sqref="B364">
    <cfRule type="duplicateValues" dxfId="399" priority="442"/>
    <cfRule type="duplicateValues" dxfId="398" priority="444"/>
    <cfRule type="duplicateValues" dxfId="397" priority="443"/>
  </conditionalFormatting>
  <conditionalFormatting sqref="B365:B366">
    <cfRule type="duplicateValues" dxfId="396" priority="441"/>
    <cfRule type="duplicateValues" dxfId="395" priority="440"/>
    <cfRule type="duplicateValues" dxfId="394" priority="439"/>
  </conditionalFormatting>
  <conditionalFormatting sqref="B367:B368">
    <cfRule type="duplicateValues" dxfId="393" priority="436"/>
    <cfRule type="duplicateValues" dxfId="392" priority="438"/>
    <cfRule type="duplicateValues" dxfId="391" priority="437"/>
  </conditionalFormatting>
  <conditionalFormatting sqref="B369:B371">
    <cfRule type="duplicateValues" dxfId="390" priority="434"/>
    <cfRule type="duplicateValues" dxfId="389" priority="435"/>
    <cfRule type="duplicateValues" dxfId="388" priority="433"/>
  </conditionalFormatting>
  <conditionalFormatting sqref="B372">
    <cfRule type="duplicateValues" dxfId="387" priority="432"/>
    <cfRule type="duplicateValues" dxfId="386" priority="431"/>
    <cfRule type="duplicateValues" dxfId="385" priority="430"/>
  </conditionalFormatting>
  <conditionalFormatting sqref="B373">
    <cfRule type="duplicateValues" dxfId="384" priority="429"/>
    <cfRule type="duplicateValues" dxfId="383" priority="428"/>
    <cfRule type="duplicateValues" dxfId="382" priority="427"/>
  </conditionalFormatting>
  <conditionalFormatting sqref="B374:B375">
    <cfRule type="duplicateValues" dxfId="381" priority="426"/>
    <cfRule type="duplicateValues" dxfId="380" priority="425"/>
    <cfRule type="duplicateValues" dxfId="379" priority="424"/>
  </conditionalFormatting>
  <conditionalFormatting sqref="B376">
    <cfRule type="duplicateValues" dxfId="378" priority="423"/>
    <cfRule type="duplicateValues" dxfId="377" priority="422"/>
    <cfRule type="duplicateValues" dxfId="376" priority="421"/>
  </conditionalFormatting>
  <conditionalFormatting sqref="B377:B378">
    <cfRule type="duplicateValues" dxfId="375" priority="420"/>
    <cfRule type="duplicateValues" dxfId="374" priority="419"/>
    <cfRule type="duplicateValues" dxfId="373" priority="418"/>
  </conditionalFormatting>
  <conditionalFormatting sqref="B379">
    <cfRule type="duplicateValues" dxfId="372" priority="415"/>
    <cfRule type="duplicateValues" dxfId="371" priority="417"/>
    <cfRule type="duplicateValues" dxfId="370" priority="416"/>
  </conditionalFormatting>
  <conditionalFormatting sqref="B380">
    <cfRule type="duplicateValues" dxfId="369" priority="414"/>
    <cfRule type="duplicateValues" dxfId="368" priority="413"/>
    <cfRule type="duplicateValues" dxfId="367" priority="412"/>
  </conditionalFormatting>
  <conditionalFormatting sqref="B381:B382">
    <cfRule type="duplicateValues" dxfId="366" priority="409"/>
    <cfRule type="duplicateValues" dxfId="365" priority="411"/>
    <cfRule type="duplicateValues" dxfId="364" priority="410"/>
  </conditionalFormatting>
  <conditionalFormatting sqref="B383:B384">
    <cfRule type="duplicateValues" dxfId="363" priority="408"/>
    <cfRule type="duplicateValues" dxfId="362" priority="407"/>
    <cfRule type="duplicateValues" dxfId="361" priority="406"/>
  </conditionalFormatting>
  <conditionalFormatting sqref="B401:B402">
    <cfRule type="duplicateValues" dxfId="360" priority="404"/>
    <cfRule type="duplicateValues" dxfId="359" priority="405"/>
    <cfRule type="duplicateValues" dxfId="358" priority="403"/>
  </conditionalFormatting>
  <conditionalFormatting sqref="B403">
    <cfRule type="duplicateValues" dxfId="357" priority="400"/>
    <cfRule type="duplicateValues" dxfId="356" priority="402"/>
    <cfRule type="duplicateValues" dxfId="355" priority="401"/>
  </conditionalFormatting>
  <conditionalFormatting sqref="B404">
    <cfRule type="duplicateValues" dxfId="354" priority="399"/>
    <cfRule type="duplicateValues" dxfId="353" priority="398"/>
    <cfRule type="duplicateValues" dxfId="352" priority="397"/>
  </conditionalFormatting>
  <conditionalFormatting sqref="B405">
    <cfRule type="duplicateValues" dxfId="351" priority="396"/>
  </conditionalFormatting>
  <conditionalFormatting sqref="B406">
    <cfRule type="duplicateValues" dxfId="350" priority="395"/>
  </conditionalFormatting>
  <conditionalFormatting sqref="B407">
    <cfRule type="duplicateValues" dxfId="349" priority="394"/>
  </conditionalFormatting>
  <conditionalFormatting sqref="B409:B410">
    <cfRule type="duplicateValues" dxfId="348" priority="391"/>
    <cfRule type="duplicateValues" dxfId="347" priority="393"/>
    <cfRule type="duplicateValues" dxfId="346" priority="392"/>
  </conditionalFormatting>
  <conditionalFormatting sqref="B411">
    <cfRule type="duplicateValues" dxfId="345" priority="390"/>
    <cfRule type="duplicateValues" dxfId="344" priority="389"/>
    <cfRule type="duplicateValues" dxfId="343" priority="388"/>
  </conditionalFormatting>
  <conditionalFormatting sqref="B412">
    <cfRule type="duplicateValues" dxfId="342" priority="385"/>
    <cfRule type="duplicateValues" dxfId="341" priority="387"/>
    <cfRule type="duplicateValues" dxfId="340" priority="386"/>
  </conditionalFormatting>
  <conditionalFormatting sqref="B413:B415">
    <cfRule type="duplicateValues" dxfId="339" priority="384"/>
    <cfRule type="duplicateValues" dxfId="338" priority="383"/>
    <cfRule type="duplicateValues" dxfId="337" priority="382"/>
  </conditionalFormatting>
  <conditionalFormatting sqref="B416">
    <cfRule type="duplicateValues" dxfId="336" priority="381"/>
    <cfRule type="duplicateValues" dxfId="335" priority="380"/>
    <cfRule type="duplicateValues" dxfId="334" priority="379"/>
  </conditionalFormatting>
  <conditionalFormatting sqref="B429">
    <cfRule type="duplicateValues" dxfId="333" priority="378"/>
    <cfRule type="duplicateValues" dxfId="332" priority="377"/>
    <cfRule type="duplicateValues" dxfId="331" priority="376"/>
  </conditionalFormatting>
  <conditionalFormatting sqref="B430">
    <cfRule type="duplicateValues" dxfId="330" priority="375"/>
    <cfRule type="duplicateValues" dxfId="329" priority="374"/>
    <cfRule type="duplicateValues" dxfId="328" priority="373"/>
  </conditionalFormatting>
  <conditionalFormatting sqref="B431">
    <cfRule type="duplicateValues" dxfId="327" priority="372"/>
    <cfRule type="duplicateValues" dxfId="326" priority="371"/>
    <cfRule type="duplicateValues" dxfId="325" priority="370"/>
  </conditionalFormatting>
  <conditionalFormatting sqref="B432">
    <cfRule type="duplicateValues" dxfId="324" priority="369"/>
    <cfRule type="duplicateValues" dxfId="323" priority="368"/>
    <cfRule type="duplicateValues" dxfId="322" priority="367"/>
  </conditionalFormatting>
  <conditionalFormatting sqref="B433:B434">
    <cfRule type="duplicateValues" dxfId="321" priority="366"/>
    <cfRule type="duplicateValues" dxfId="320" priority="365"/>
    <cfRule type="duplicateValues" dxfId="319" priority="364"/>
  </conditionalFormatting>
  <conditionalFormatting sqref="B435:B436">
    <cfRule type="duplicateValues" dxfId="318" priority="361"/>
    <cfRule type="duplicateValues" dxfId="317" priority="363"/>
    <cfRule type="duplicateValues" dxfId="316" priority="362"/>
  </conditionalFormatting>
  <conditionalFormatting sqref="B437:B439">
    <cfRule type="duplicateValues" dxfId="315" priority="360"/>
    <cfRule type="duplicateValues" dxfId="314" priority="359"/>
    <cfRule type="duplicateValues" dxfId="313" priority="358"/>
  </conditionalFormatting>
  <conditionalFormatting sqref="B440">
    <cfRule type="duplicateValues" dxfId="312" priority="355"/>
    <cfRule type="duplicateValues" dxfId="311" priority="357"/>
    <cfRule type="duplicateValues" dxfId="310" priority="356"/>
  </conditionalFormatting>
  <conditionalFormatting sqref="B441:B444">
    <cfRule type="duplicateValues" dxfId="309" priority="353"/>
    <cfRule type="duplicateValues" dxfId="308" priority="354"/>
    <cfRule type="duplicateValues" dxfId="307" priority="352"/>
  </conditionalFormatting>
  <conditionalFormatting sqref="B445:B448 B1:B124 B129:B356 B385:B392 B643:B1048576">
    <cfRule type="duplicateValues" dxfId="306" priority="468"/>
    <cfRule type="duplicateValues" dxfId="305" priority="451"/>
  </conditionalFormatting>
  <conditionalFormatting sqref="B453">
    <cfRule type="duplicateValues" dxfId="304" priority="351"/>
    <cfRule type="duplicateValues" dxfId="303" priority="350"/>
    <cfRule type="duplicateValues" dxfId="302" priority="349"/>
  </conditionalFormatting>
  <conditionalFormatting sqref="B454">
    <cfRule type="duplicateValues" dxfId="301" priority="346"/>
    <cfRule type="duplicateValues" dxfId="300" priority="348"/>
    <cfRule type="duplicateValues" dxfId="299" priority="347"/>
  </conditionalFormatting>
  <conditionalFormatting sqref="B455">
    <cfRule type="duplicateValues" dxfId="298" priority="345"/>
    <cfRule type="duplicateValues" dxfId="297" priority="344"/>
    <cfRule type="duplicateValues" dxfId="296" priority="343"/>
  </conditionalFormatting>
  <conditionalFormatting sqref="B456">
    <cfRule type="duplicateValues" dxfId="295" priority="342"/>
    <cfRule type="duplicateValues" dxfId="294" priority="341"/>
    <cfRule type="duplicateValues" dxfId="293" priority="340"/>
  </conditionalFormatting>
  <conditionalFormatting sqref="B457:B459">
    <cfRule type="duplicateValues" dxfId="292" priority="338"/>
    <cfRule type="duplicateValues" dxfId="291" priority="337"/>
    <cfRule type="duplicateValues" dxfId="290" priority="339"/>
  </conditionalFormatting>
  <conditionalFormatting sqref="B460">
    <cfRule type="duplicateValues" dxfId="289" priority="335"/>
    <cfRule type="duplicateValues" dxfId="288" priority="334"/>
    <cfRule type="duplicateValues" dxfId="287" priority="336"/>
  </conditionalFormatting>
  <conditionalFormatting sqref="B461">
    <cfRule type="duplicateValues" dxfId="286" priority="333"/>
    <cfRule type="duplicateValues" dxfId="285" priority="332"/>
    <cfRule type="duplicateValues" dxfId="284" priority="331"/>
  </conditionalFormatting>
  <conditionalFormatting sqref="B462">
    <cfRule type="duplicateValues" dxfId="283" priority="330"/>
    <cfRule type="duplicateValues" dxfId="282" priority="329"/>
    <cfRule type="duplicateValues" dxfId="281" priority="328"/>
  </conditionalFormatting>
  <conditionalFormatting sqref="B463:B464">
    <cfRule type="duplicateValues" dxfId="280" priority="327"/>
    <cfRule type="duplicateValues" dxfId="279" priority="326"/>
    <cfRule type="duplicateValues" dxfId="278" priority="325"/>
  </conditionalFormatting>
  <conditionalFormatting sqref="B465">
    <cfRule type="duplicateValues" dxfId="277" priority="324"/>
    <cfRule type="duplicateValues" dxfId="276" priority="323"/>
    <cfRule type="duplicateValues" dxfId="275" priority="322"/>
  </conditionalFormatting>
  <conditionalFormatting sqref="B466:B467">
    <cfRule type="duplicateValues" dxfId="274" priority="321"/>
    <cfRule type="duplicateValues" dxfId="273" priority="320"/>
    <cfRule type="duplicateValues" dxfId="272" priority="319"/>
  </conditionalFormatting>
  <conditionalFormatting sqref="B468">
    <cfRule type="duplicateValues" dxfId="271" priority="318"/>
    <cfRule type="duplicateValues" dxfId="270" priority="317"/>
    <cfRule type="duplicateValues" dxfId="269" priority="316"/>
  </conditionalFormatting>
  <conditionalFormatting sqref="B469">
    <cfRule type="duplicateValues" dxfId="268" priority="315"/>
    <cfRule type="duplicateValues" dxfId="267" priority="314"/>
    <cfRule type="duplicateValues" dxfId="266" priority="313"/>
  </conditionalFormatting>
  <conditionalFormatting sqref="B470:B472">
    <cfRule type="duplicateValues" dxfId="265" priority="311"/>
    <cfRule type="duplicateValues" dxfId="264" priority="310"/>
    <cfRule type="duplicateValues" dxfId="263" priority="312"/>
  </conditionalFormatting>
  <conditionalFormatting sqref="B473">
    <cfRule type="duplicateValues" dxfId="262" priority="308"/>
    <cfRule type="duplicateValues" dxfId="261" priority="307"/>
    <cfRule type="duplicateValues" dxfId="260" priority="309"/>
  </conditionalFormatting>
  <conditionalFormatting sqref="B474:B476">
    <cfRule type="duplicateValues" dxfId="259" priority="306"/>
    <cfRule type="duplicateValues" dxfId="258" priority="305"/>
    <cfRule type="duplicateValues" dxfId="257" priority="304"/>
  </conditionalFormatting>
  <conditionalFormatting sqref="B477">
    <cfRule type="duplicateValues" dxfId="256" priority="302"/>
    <cfRule type="duplicateValues" dxfId="255" priority="303"/>
    <cfRule type="duplicateValues" dxfId="254" priority="301"/>
  </conditionalFormatting>
  <conditionalFormatting sqref="B478">
    <cfRule type="duplicateValues" dxfId="253" priority="300"/>
    <cfRule type="duplicateValues" dxfId="252" priority="299"/>
    <cfRule type="duplicateValues" dxfId="251" priority="298"/>
  </conditionalFormatting>
  <conditionalFormatting sqref="B479">
    <cfRule type="duplicateValues" dxfId="250" priority="296"/>
    <cfRule type="duplicateValues" dxfId="249" priority="297"/>
    <cfRule type="duplicateValues" dxfId="248" priority="295"/>
  </conditionalFormatting>
  <conditionalFormatting sqref="B480">
    <cfRule type="duplicateValues" dxfId="247" priority="294"/>
    <cfRule type="duplicateValues" dxfId="246" priority="293"/>
    <cfRule type="duplicateValues" dxfId="245" priority="292"/>
  </conditionalFormatting>
  <conditionalFormatting sqref="B481">
    <cfRule type="duplicateValues" dxfId="244" priority="291"/>
    <cfRule type="duplicateValues" dxfId="243" priority="290"/>
    <cfRule type="duplicateValues" dxfId="242" priority="289"/>
  </conditionalFormatting>
  <conditionalFormatting sqref="B482">
    <cfRule type="duplicateValues" dxfId="241" priority="287"/>
    <cfRule type="duplicateValues" dxfId="240" priority="286"/>
    <cfRule type="duplicateValues" dxfId="239" priority="288"/>
  </conditionalFormatting>
  <conditionalFormatting sqref="B483">
    <cfRule type="duplicateValues" dxfId="238" priority="272"/>
    <cfRule type="duplicateValues" dxfId="237" priority="271"/>
    <cfRule type="duplicateValues" dxfId="236" priority="273"/>
  </conditionalFormatting>
  <conditionalFormatting sqref="B484">
    <cfRule type="duplicateValues" dxfId="235" priority="270"/>
    <cfRule type="duplicateValues" dxfId="234" priority="269"/>
    <cfRule type="duplicateValues" dxfId="233" priority="268"/>
  </conditionalFormatting>
  <conditionalFormatting sqref="B485">
    <cfRule type="duplicateValues" dxfId="232" priority="267"/>
    <cfRule type="duplicateValues" dxfId="231" priority="266"/>
    <cfRule type="duplicateValues" dxfId="230" priority="265"/>
  </conditionalFormatting>
  <conditionalFormatting sqref="B486">
    <cfRule type="duplicateValues" dxfId="229" priority="264"/>
    <cfRule type="duplicateValues" dxfId="228" priority="263"/>
    <cfRule type="duplicateValues" dxfId="227" priority="262"/>
  </conditionalFormatting>
  <conditionalFormatting sqref="B487">
    <cfRule type="duplicateValues" dxfId="226" priority="261"/>
    <cfRule type="duplicateValues" dxfId="225" priority="260"/>
    <cfRule type="duplicateValues" dxfId="224" priority="259"/>
  </conditionalFormatting>
  <conditionalFormatting sqref="B488">
    <cfRule type="duplicateValues" dxfId="223" priority="258"/>
    <cfRule type="duplicateValues" dxfId="222" priority="257"/>
    <cfRule type="duplicateValues" dxfId="221" priority="256"/>
  </conditionalFormatting>
  <conditionalFormatting sqref="B489:B490">
    <cfRule type="duplicateValues" dxfId="220" priority="255"/>
    <cfRule type="duplicateValues" dxfId="219" priority="254"/>
    <cfRule type="duplicateValues" dxfId="218" priority="253"/>
  </conditionalFormatting>
  <conditionalFormatting sqref="B491:B492">
    <cfRule type="duplicateValues" dxfId="217" priority="252"/>
    <cfRule type="duplicateValues" dxfId="216" priority="251"/>
    <cfRule type="duplicateValues" dxfId="215" priority="250"/>
  </conditionalFormatting>
  <conditionalFormatting sqref="B493">
    <cfRule type="duplicateValues" dxfId="214" priority="249"/>
    <cfRule type="duplicateValues" dxfId="213" priority="248"/>
    <cfRule type="duplicateValues" dxfId="212" priority="247"/>
  </conditionalFormatting>
  <conditionalFormatting sqref="B494">
    <cfRule type="duplicateValues" dxfId="211" priority="244"/>
    <cfRule type="duplicateValues" dxfId="210" priority="245"/>
    <cfRule type="duplicateValues" dxfId="209" priority="246"/>
  </conditionalFormatting>
  <conditionalFormatting sqref="B495">
    <cfRule type="duplicateValues" dxfId="208" priority="242"/>
    <cfRule type="duplicateValues" dxfId="207" priority="243"/>
    <cfRule type="duplicateValues" dxfId="206" priority="241"/>
  </conditionalFormatting>
  <conditionalFormatting sqref="B496">
    <cfRule type="duplicateValues" dxfId="205" priority="240"/>
    <cfRule type="duplicateValues" dxfId="204" priority="239"/>
    <cfRule type="duplicateValues" dxfId="203" priority="238"/>
  </conditionalFormatting>
  <conditionalFormatting sqref="B497">
    <cfRule type="duplicateValues" dxfId="202" priority="237"/>
    <cfRule type="duplicateValues" dxfId="201" priority="236"/>
    <cfRule type="duplicateValues" dxfId="200" priority="235"/>
  </conditionalFormatting>
  <conditionalFormatting sqref="B498">
    <cfRule type="duplicateValues" dxfId="199" priority="232"/>
    <cfRule type="duplicateValues" dxfId="198" priority="234"/>
    <cfRule type="duplicateValues" dxfId="197" priority="233"/>
  </conditionalFormatting>
  <conditionalFormatting sqref="B499">
    <cfRule type="duplicateValues" dxfId="196" priority="231"/>
    <cfRule type="duplicateValues" dxfId="195" priority="230"/>
    <cfRule type="duplicateValues" dxfId="194" priority="229"/>
  </conditionalFormatting>
  <conditionalFormatting sqref="B500:B501">
    <cfRule type="duplicateValues" dxfId="193" priority="227"/>
    <cfRule type="duplicateValues" dxfId="192" priority="226"/>
    <cfRule type="duplicateValues" dxfId="191" priority="228"/>
  </conditionalFormatting>
  <conditionalFormatting sqref="B502:B503">
    <cfRule type="duplicateValues" dxfId="190" priority="224"/>
    <cfRule type="duplicateValues" dxfId="189" priority="223"/>
    <cfRule type="duplicateValues" dxfId="188" priority="225"/>
  </conditionalFormatting>
  <conditionalFormatting sqref="B504:B507">
    <cfRule type="duplicateValues" dxfId="187" priority="222"/>
    <cfRule type="duplicateValues" dxfId="186" priority="221"/>
    <cfRule type="duplicateValues" dxfId="185" priority="220"/>
  </conditionalFormatting>
  <conditionalFormatting sqref="B508:B511">
    <cfRule type="duplicateValues" dxfId="184" priority="217"/>
    <cfRule type="duplicateValues" dxfId="183" priority="219"/>
    <cfRule type="duplicateValues" dxfId="182" priority="218"/>
  </conditionalFormatting>
  <conditionalFormatting sqref="B512:B513">
    <cfRule type="duplicateValues" dxfId="181" priority="216"/>
    <cfRule type="duplicateValues" dxfId="180" priority="215"/>
    <cfRule type="duplicateValues" dxfId="179" priority="214"/>
  </conditionalFormatting>
  <conditionalFormatting sqref="B514:B515">
    <cfRule type="duplicateValues" dxfId="178" priority="213"/>
    <cfRule type="duplicateValues" dxfId="177" priority="212"/>
    <cfRule type="duplicateValues" dxfId="176" priority="211"/>
  </conditionalFormatting>
  <conditionalFormatting sqref="B516:B519">
    <cfRule type="duplicateValues" dxfId="175" priority="210"/>
    <cfRule type="duplicateValues" dxfId="174" priority="209"/>
    <cfRule type="duplicateValues" dxfId="173" priority="208"/>
  </conditionalFormatting>
  <conditionalFormatting sqref="B520:B521">
    <cfRule type="duplicateValues" dxfId="172" priority="207"/>
    <cfRule type="duplicateValues" dxfId="171" priority="206"/>
    <cfRule type="duplicateValues" dxfId="170" priority="205"/>
  </conditionalFormatting>
  <conditionalFormatting sqref="B522:B523">
    <cfRule type="duplicateValues" dxfId="169" priority="203"/>
    <cfRule type="duplicateValues" dxfId="168" priority="202"/>
    <cfRule type="duplicateValues" dxfId="167" priority="204"/>
  </conditionalFormatting>
  <conditionalFormatting sqref="B524">
    <cfRule type="duplicateValues" dxfId="166" priority="200"/>
    <cfRule type="duplicateValues" dxfId="165" priority="199"/>
    <cfRule type="duplicateValues" dxfId="164" priority="201"/>
  </conditionalFormatting>
  <conditionalFormatting sqref="B525:B526">
    <cfRule type="duplicateValues" dxfId="163" priority="198"/>
    <cfRule type="duplicateValues" dxfId="162" priority="197"/>
    <cfRule type="duplicateValues" dxfId="161" priority="196"/>
  </conditionalFormatting>
  <conditionalFormatting sqref="B527">
    <cfRule type="duplicateValues" dxfId="160" priority="195"/>
    <cfRule type="duplicateValues" dxfId="159" priority="193"/>
    <cfRule type="duplicateValues" dxfId="158" priority="194"/>
  </conditionalFormatting>
  <conditionalFormatting sqref="B528:B530">
    <cfRule type="duplicateValues" dxfId="157" priority="190"/>
    <cfRule type="duplicateValues" dxfId="156" priority="191"/>
    <cfRule type="duplicateValues" dxfId="155" priority="192"/>
  </conditionalFormatting>
  <conditionalFormatting sqref="B531">
    <cfRule type="duplicateValues" dxfId="154" priority="189"/>
    <cfRule type="duplicateValues" dxfId="153" priority="188"/>
    <cfRule type="duplicateValues" dxfId="152" priority="187"/>
  </conditionalFormatting>
  <conditionalFormatting sqref="B532:B535">
    <cfRule type="duplicateValues" dxfId="151" priority="186"/>
    <cfRule type="duplicateValues" dxfId="150" priority="185"/>
    <cfRule type="duplicateValues" dxfId="149" priority="184"/>
  </conditionalFormatting>
  <conditionalFormatting sqref="B536:B539">
    <cfRule type="duplicateValues" dxfId="148" priority="143"/>
    <cfRule type="duplicateValues" dxfId="147" priority="142"/>
    <cfRule type="duplicateValues" dxfId="146" priority="144"/>
  </conditionalFormatting>
  <conditionalFormatting sqref="B540:B542">
    <cfRule type="duplicateValues" dxfId="145" priority="140"/>
    <cfRule type="duplicateValues" dxfId="144" priority="139"/>
    <cfRule type="duplicateValues" dxfId="143" priority="141"/>
  </conditionalFormatting>
  <conditionalFormatting sqref="B543">
    <cfRule type="duplicateValues" dxfId="142" priority="138"/>
    <cfRule type="duplicateValues" dxfId="141" priority="137"/>
    <cfRule type="duplicateValues" dxfId="140" priority="136"/>
  </conditionalFormatting>
  <conditionalFormatting sqref="B544:B547">
    <cfRule type="duplicateValues" dxfId="139" priority="135"/>
    <cfRule type="duplicateValues" dxfId="138" priority="134"/>
    <cfRule type="duplicateValues" dxfId="137" priority="133"/>
  </conditionalFormatting>
  <conditionalFormatting sqref="B548">
    <cfRule type="duplicateValues" dxfId="136" priority="132"/>
    <cfRule type="duplicateValues" dxfId="135" priority="131"/>
    <cfRule type="duplicateValues" dxfId="134" priority="130"/>
  </conditionalFormatting>
  <conditionalFormatting sqref="B549:B551">
    <cfRule type="duplicateValues" dxfId="133" priority="129"/>
    <cfRule type="duplicateValues" dxfId="132" priority="128"/>
    <cfRule type="duplicateValues" dxfId="131" priority="127"/>
  </conditionalFormatting>
  <conditionalFormatting sqref="B552">
    <cfRule type="duplicateValues" dxfId="130" priority="126"/>
    <cfRule type="duplicateValues" dxfId="129" priority="125"/>
    <cfRule type="duplicateValues" dxfId="128" priority="124"/>
  </conditionalFormatting>
  <conditionalFormatting sqref="B553">
    <cfRule type="duplicateValues" dxfId="127" priority="123"/>
    <cfRule type="duplicateValues" dxfId="126" priority="122"/>
    <cfRule type="duplicateValues" dxfId="125" priority="121"/>
  </conditionalFormatting>
  <conditionalFormatting sqref="B554">
    <cfRule type="duplicateValues" dxfId="124" priority="118"/>
    <cfRule type="duplicateValues" dxfId="123" priority="119"/>
    <cfRule type="duplicateValues" dxfId="122" priority="120"/>
  </conditionalFormatting>
  <conditionalFormatting sqref="B555">
    <cfRule type="duplicateValues" dxfId="121" priority="104"/>
    <cfRule type="duplicateValues" dxfId="120" priority="103"/>
    <cfRule type="duplicateValues" dxfId="119" priority="105"/>
  </conditionalFormatting>
  <conditionalFormatting sqref="B556">
    <cfRule type="duplicateValues" dxfId="118" priority="117"/>
    <cfRule type="duplicateValues" dxfId="117" priority="116"/>
    <cfRule type="duplicateValues" dxfId="116" priority="115"/>
  </conditionalFormatting>
  <conditionalFormatting sqref="B557">
    <cfRule type="duplicateValues" dxfId="115" priority="113"/>
    <cfRule type="duplicateValues" dxfId="114" priority="114"/>
    <cfRule type="duplicateValues" dxfId="113" priority="112"/>
  </conditionalFormatting>
  <conditionalFormatting sqref="B558">
    <cfRule type="duplicateValues" dxfId="112" priority="111"/>
    <cfRule type="duplicateValues" dxfId="111" priority="110"/>
    <cfRule type="duplicateValues" dxfId="110" priority="109"/>
  </conditionalFormatting>
  <conditionalFormatting sqref="B559">
    <cfRule type="duplicateValues" dxfId="109" priority="107"/>
    <cfRule type="duplicateValues" dxfId="108" priority="108"/>
    <cfRule type="duplicateValues" dxfId="107" priority="106"/>
  </conditionalFormatting>
  <conditionalFormatting sqref="B560:B563">
    <cfRule type="duplicateValues" dxfId="106" priority="101"/>
    <cfRule type="duplicateValues" dxfId="105" priority="102"/>
    <cfRule type="duplicateValues" dxfId="104" priority="100"/>
  </conditionalFormatting>
  <conditionalFormatting sqref="B564:B567">
    <cfRule type="duplicateValues" dxfId="103" priority="99"/>
    <cfRule type="duplicateValues" dxfId="102" priority="98"/>
    <cfRule type="duplicateValues" dxfId="101" priority="97"/>
  </conditionalFormatting>
  <conditionalFormatting sqref="B568">
    <cfRule type="duplicateValues" dxfId="100" priority="96"/>
    <cfRule type="duplicateValues" dxfId="99" priority="95"/>
    <cfRule type="duplicateValues" dxfId="98" priority="94"/>
  </conditionalFormatting>
  <conditionalFormatting sqref="B569">
    <cfRule type="duplicateValues" dxfId="97" priority="92"/>
    <cfRule type="duplicateValues" dxfId="96" priority="91"/>
    <cfRule type="duplicateValues" dxfId="95" priority="93"/>
  </conditionalFormatting>
  <conditionalFormatting sqref="B570">
    <cfRule type="duplicateValues" dxfId="94" priority="88"/>
    <cfRule type="duplicateValues" dxfId="93" priority="89"/>
    <cfRule type="duplicateValues" dxfId="92" priority="90"/>
  </conditionalFormatting>
  <conditionalFormatting sqref="B571">
    <cfRule type="duplicateValues" dxfId="91" priority="87"/>
    <cfRule type="duplicateValues" dxfId="90" priority="86"/>
    <cfRule type="duplicateValues" dxfId="89" priority="85"/>
  </conditionalFormatting>
  <conditionalFormatting sqref="B572">
    <cfRule type="duplicateValues" dxfId="88" priority="84"/>
    <cfRule type="duplicateValues" dxfId="87" priority="83"/>
    <cfRule type="duplicateValues" dxfId="86" priority="82"/>
  </conditionalFormatting>
  <conditionalFormatting sqref="B573">
    <cfRule type="duplicateValues" dxfId="85" priority="81"/>
    <cfRule type="duplicateValues" dxfId="84" priority="80"/>
    <cfRule type="duplicateValues" dxfId="83" priority="79"/>
  </conditionalFormatting>
  <conditionalFormatting sqref="B574">
    <cfRule type="duplicateValues" dxfId="82" priority="78"/>
    <cfRule type="duplicateValues" dxfId="81" priority="77"/>
    <cfRule type="duplicateValues" dxfId="80" priority="76"/>
  </conditionalFormatting>
  <conditionalFormatting sqref="B575">
    <cfRule type="duplicateValues" dxfId="79" priority="75"/>
    <cfRule type="duplicateValues" dxfId="78" priority="74"/>
    <cfRule type="duplicateValues" dxfId="77" priority="73"/>
  </conditionalFormatting>
  <conditionalFormatting sqref="B576:B579">
    <cfRule type="duplicateValues" dxfId="76" priority="72"/>
    <cfRule type="duplicateValues" dxfId="75" priority="71"/>
    <cfRule type="duplicateValues" dxfId="74" priority="70"/>
  </conditionalFormatting>
  <conditionalFormatting sqref="B580">
    <cfRule type="duplicateValues" dxfId="73" priority="69"/>
    <cfRule type="duplicateValues" dxfId="72" priority="68"/>
    <cfRule type="duplicateValues" dxfId="71" priority="67"/>
  </conditionalFormatting>
  <conditionalFormatting sqref="B581">
    <cfRule type="duplicateValues" dxfId="70" priority="66"/>
    <cfRule type="duplicateValues" dxfId="69" priority="65"/>
    <cfRule type="duplicateValues" dxfId="68" priority="64"/>
  </conditionalFormatting>
  <conditionalFormatting sqref="B582">
    <cfRule type="duplicateValues" dxfId="67" priority="62"/>
    <cfRule type="duplicateValues" dxfId="66" priority="61"/>
    <cfRule type="duplicateValues" dxfId="65" priority="63"/>
  </conditionalFormatting>
  <conditionalFormatting sqref="B583:B586">
    <cfRule type="duplicateValues" dxfId="64" priority="59"/>
    <cfRule type="duplicateValues" dxfId="63" priority="58"/>
    <cfRule type="duplicateValues" dxfId="62" priority="60"/>
  </conditionalFormatting>
  <conditionalFormatting sqref="B587">
    <cfRule type="duplicateValues" dxfId="61" priority="57"/>
    <cfRule type="duplicateValues" dxfId="60" priority="56"/>
    <cfRule type="duplicateValues" dxfId="59" priority="55"/>
  </conditionalFormatting>
  <conditionalFormatting sqref="B588:B590">
    <cfRule type="duplicateValues" dxfId="58" priority="53"/>
    <cfRule type="duplicateValues" dxfId="57" priority="54"/>
    <cfRule type="duplicateValues" dxfId="56" priority="52"/>
  </conditionalFormatting>
  <conditionalFormatting sqref="B591:B593">
    <cfRule type="duplicateValues" dxfId="55" priority="51"/>
    <cfRule type="duplicateValues" dxfId="54" priority="50"/>
    <cfRule type="duplicateValues" dxfId="53" priority="49"/>
  </conditionalFormatting>
  <conditionalFormatting sqref="B594">
    <cfRule type="duplicateValues" dxfId="52" priority="48"/>
    <cfRule type="duplicateValues" dxfId="51" priority="47"/>
    <cfRule type="duplicateValues" dxfId="50" priority="46"/>
  </conditionalFormatting>
  <conditionalFormatting sqref="B595:B598">
    <cfRule type="duplicateValues" dxfId="49" priority="45"/>
    <cfRule type="duplicateValues" dxfId="48" priority="44"/>
    <cfRule type="duplicateValues" dxfId="47" priority="43"/>
  </conditionalFormatting>
  <conditionalFormatting sqref="B599:B600">
    <cfRule type="duplicateValues" dxfId="46" priority="42"/>
    <cfRule type="duplicateValues" dxfId="45" priority="41"/>
    <cfRule type="duplicateValues" dxfId="44" priority="40"/>
  </conditionalFormatting>
  <conditionalFormatting sqref="B601">
    <cfRule type="duplicateValues" dxfId="43" priority="39"/>
    <cfRule type="duplicateValues" dxfId="42" priority="38"/>
    <cfRule type="duplicateValues" dxfId="41" priority="37"/>
  </conditionalFormatting>
  <conditionalFormatting sqref="B602">
    <cfRule type="duplicateValues" dxfId="40" priority="35"/>
    <cfRule type="duplicateValues" dxfId="39" priority="34"/>
    <cfRule type="duplicateValues" dxfId="38" priority="36"/>
  </conditionalFormatting>
  <conditionalFormatting sqref="B603:B604">
    <cfRule type="duplicateValues" dxfId="37" priority="32"/>
    <cfRule type="duplicateValues" dxfId="36" priority="31"/>
    <cfRule type="duplicateValues" dxfId="35" priority="33"/>
  </conditionalFormatting>
  <conditionalFormatting sqref="B605:B606">
    <cfRule type="duplicateValues" dxfId="34" priority="30"/>
    <cfRule type="duplicateValues" dxfId="33" priority="29"/>
    <cfRule type="duplicateValues" dxfId="32" priority="28"/>
  </conditionalFormatting>
  <conditionalFormatting sqref="B607:B608">
    <cfRule type="duplicateValues" dxfId="31" priority="27"/>
    <cfRule type="duplicateValues" dxfId="30" priority="26"/>
    <cfRule type="duplicateValues" dxfId="29" priority="25"/>
  </conditionalFormatting>
  <conditionalFormatting sqref="B609:B610">
    <cfRule type="duplicateValues" dxfId="28" priority="24"/>
    <cfRule type="duplicateValues" dxfId="27" priority="23"/>
    <cfRule type="duplicateValues" dxfId="26" priority="22"/>
  </conditionalFormatting>
  <conditionalFormatting sqref="B611:B612">
    <cfRule type="duplicateValues" dxfId="25" priority="21"/>
    <cfRule type="duplicateValues" dxfId="24" priority="20"/>
    <cfRule type="duplicateValues" dxfId="23" priority="19"/>
  </conditionalFormatting>
  <conditionalFormatting sqref="B613:B614">
    <cfRule type="duplicateValues" dxfId="22" priority="18"/>
    <cfRule type="duplicateValues" dxfId="21" priority="17"/>
    <cfRule type="duplicateValues" dxfId="20" priority="16"/>
  </conditionalFormatting>
  <conditionalFormatting sqref="B615:B616">
    <cfRule type="duplicateValues" dxfId="19" priority="15"/>
    <cfRule type="duplicateValues" dxfId="18" priority="14"/>
    <cfRule type="duplicateValues" dxfId="17" priority="13"/>
  </conditionalFormatting>
  <conditionalFormatting sqref="B617:B618">
    <cfRule type="duplicateValues" dxfId="16" priority="12"/>
    <cfRule type="duplicateValues" dxfId="15" priority="11"/>
    <cfRule type="duplicateValues" dxfId="14" priority="10"/>
  </conditionalFormatting>
  <conditionalFormatting sqref="B619:B622">
    <cfRule type="duplicateValues" dxfId="13" priority="9"/>
    <cfRule type="duplicateValues" dxfId="12" priority="8"/>
    <cfRule type="duplicateValues" dxfId="11" priority="7"/>
  </conditionalFormatting>
  <conditionalFormatting sqref="B623">
    <cfRule type="duplicateValues" dxfId="10" priority="6"/>
    <cfRule type="duplicateValues" dxfId="9" priority="5"/>
    <cfRule type="duplicateValues" dxfId="8" priority="4"/>
  </conditionalFormatting>
  <conditionalFormatting sqref="B624:B626">
    <cfRule type="duplicateValues" dxfId="7" priority="2"/>
    <cfRule type="duplicateValues" dxfId="6" priority="1"/>
    <cfRule type="duplicateValues" dxfId="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AD59-039E-4644-9D49-D654BC089FDF}">
  <dimension ref="A1:G605"/>
  <sheetViews>
    <sheetView workbookViewId="0">
      <pane xSplit="1" ySplit="1" topLeftCell="B592" activePane="bottomRight" state="frozen"/>
      <selection pane="topRight" activeCell="B1" sqref="B1"/>
      <selection pane="bottomLeft" activeCell="A2" sqref="A2"/>
      <selection pane="bottomRight" activeCell="C607" sqref="C607"/>
    </sheetView>
  </sheetViews>
  <sheetFormatPr defaultRowHeight="15" x14ac:dyDescent="0.25"/>
  <cols>
    <col min="1" max="1" width="10.28515625" style="3" bestFit="1" customWidth="1"/>
    <col min="2" max="2" width="20.7109375" style="3" bestFit="1" customWidth="1"/>
    <col min="3" max="4" width="8.85546875" style="3"/>
    <col min="5" max="5" width="11.28515625" style="143" bestFit="1" customWidth="1"/>
    <col min="6" max="6" width="20.7109375" style="143" bestFit="1" customWidth="1"/>
    <col min="7" max="7" width="25.7109375" customWidth="1"/>
  </cols>
  <sheetData>
    <row r="1" spans="1:7" x14ac:dyDescent="0.25">
      <c r="A1" s="57" t="s">
        <v>1151</v>
      </c>
      <c r="B1" s="57" t="s">
        <v>1141</v>
      </c>
      <c r="C1" s="57" t="s">
        <v>1162</v>
      </c>
      <c r="D1" s="57" t="s">
        <v>1708</v>
      </c>
      <c r="E1" s="142" t="s">
        <v>1140</v>
      </c>
      <c r="F1" s="142" t="s">
        <v>1160</v>
      </c>
      <c r="G1" s="141">
        <f>SUBTOTAL(9,C:C)</f>
        <v>581</v>
      </c>
    </row>
    <row r="2" spans="1:7" x14ac:dyDescent="0.25">
      <c r="A2" s="129">
        <v>45927</v>
      </c>
      <c r="B2" s="3" t="s">
        <v>1181</v>
      </c>
      <c r="C2" s="3">
        <v>1</v>
      </c>
      <c r="D2" s="3" t="str">
        <f>VLOOKUP(B2,'Element wise-detail Summary'!$A:$D,2,0)</f>
        <v>V17</v>
      </c>
      <c r="E2" s="143" t="str">
        <f>VLOOKUP(B2,'Element wise-detail Summary'!$A:$D,3,0)</f>
        <v>MOCKUP</v>
      </c>
      <c r="F2" s="143" t="str">
        <f>VLOOKUP(B2,'AFC Data details'!$B:$B,1,0)</f>
        <v>AMR-V17-T1C10-003</v>
      </c>
    </row>
    <row r="3" spans="1:7" x14ac:dyDescent="0.25">
      <c r="A3" s="129">
        <v>45927</v>
      </c>
      <c r="B3" s="3" t="s">
        <v>1180</v>
      </c>
      <c r="C3" s="3">
        <v>1</v>
      </c>
      <c r="D3" s="3" t="str">
        <f>VLOOKUP(B3,'Element wise-detail Summary'!$A:$D,2,0)</f>
        <v>V17</v>
      </c>
      <c r="E3" s="143" t="str">
        <f>VLOOKUP(B3,'Element wise-detail Summary'!$A:$D,3,0)</f>
        <v>MOCKUP</v>
      </c>
      <c r="F3" s="143" t="str">
        <f>VLOOKUP(B3,'AFC Data details'!$B:$B,1,0)</f>
        <v>AMR-V17-T1C11-001</v>
      </c>
    </row>
    <row r="4" spans="1:7" x14ac:dyDescent="0.25">
      <c r="A4" s="129">
        <v>45931</v>
      </c>
      <c r="B4" s="3" t="s">
        <v>1178</v>
      </c>
      <c r="C4" s="3">
        <v>1</v>
      </c>
      <c r="D4" s="3" t="str">
        <f>VLOOKUP(B4,'Element wise-detail Summary'!$A:$D,2,0)</f>
        <v>V17</v>
      </c>
      <c r="E4" s="143" t="str">
        <f>VLOOKUP(B4,'Element wise-detail Summary'!$A:$D,3,0)</f>
        <v>MOCKUP</v>
      </c>
      <c r="F4" s="143" t="str">
        <f>VLOOKUP(B4,'AFC Data details'!$B:$B,1,0)</f>
        <v>AMR-V17-T1C11-002</v>
      </c>
    </row>
    <row r="5" spans="1:7" x14ac:dyDescent="0.25">
      <c r="A5" s="129">
        <v>45931</v>
      </c>
      <c r="B5" s="3" t="s">
        <v>1168</v>
      </c>
      <c r="C5" s="3">
        <v>1</v>
      </c>
      <c r="D5" s="3" t="str">
        <f>VLOOKUP(B5,'Element wise-detail Summary'!$A:$D,2,0)</f>
        <v>V17</v>
      </c>
      <c r="E5" s="143" t="str">
        <f>VLOOKUP(B5,'Element wise-detail Summary'!$A:$D,3,0)</f>
        <v>MOCKUP</v>
      </c>
      <c r="F5" s="143" t="str">
        <f>VLOOKUP(B5,'AFC Data details'!$B:$B,1,0)</f>
        <v>AMR-V17-T1C11-003</v>
      </c>
    </row>
    <row r="6" spans="1:7" x14ac:dyDescent="0.25">
      <c r="A6" s="129">
        <v>45931</v>
      </c>
      <c r="B6" s="3" t="s">
        <v>1172</v>
      </c>
      <c r="C6" s="3">
        <v>1</v>
      </c>
      <c r="D6" s="3" t="str">
        <f>VLOOKUP(B6,'Element wise-detail Summary'!$A:$D,2,0)</f>
        <v>V17</v>
      </c>
      <c r="E6" s="143" t="str">
        <f>VLOOKUP(B6,'Element wise-detail Summary'!$A:$D,3,0)</f>
        <v>MOCKUP</v>
      </c>
      <c r="F6" s="143" t="str">
        <f>VLOOKUP(B6,'AFC Data details'!$B:$B,1,0)</f>
        <v>AMR-V17-T2C1-001</v>
      </c>
    </row>
    <row r="7" spans="1:7" x14ac:dyDescent="0.25">
      <c r="A7" s="129">
        <v>45931</v>
      </c>
      <c r="B7" s="3" t="s">
        <v>1177</v>
      </c>
      <c r="C7" s="3">
        <v>1</v>
      </c>
      <c r="D7" s="3" t="str">
        <f>VLOOKUP(B7,'Element wise-detail Summary'!$A:$D,2,0)</f>
        <v>V17</v>
      </c>
      <c r="E7" s="143" t="str">
        <f>VLOOKUP(B7,'Element wise-detail Summary'!$A:$D,3,0)</f>
        <v>MOCKUP</v>
      </c>
      <c r="F7" s="143" t="str">
        <f>VLOOKUP(B7,'AFC Data details'!$B:$B,1,0)</f>
        <v>AMR-V17-T3C6-001</v>
      </c>
    </row>
    <row r="8" spans="1:7" x14ac:dyDescent="0.25">
      <c r="A8" s="129">
        <v>45927</v>
      </c>
      <c r="B8" s="3" t="s">
        <v>1175</v>
      </c>
      <c r="C8" s="3">
        <v>1</v>
      </c>
      <c r="D8" s="3" t="str">
        <f>VLOOKUP(B8,'Element wise-detail Summary'!$A:$D,2,0)</f>
        <v>V17</v>
      </c>
      <c r="E8" s="143" t="str">
        <f>VLOOKUP(B8,'Element wise-detail Summary'!$A:$D,3,0)</f>
        <v>MOCKUP</v>
      </c>
      <c r="F8" s="143" t="str">
        <f>VLOOKUP(B8,'AFC Data details'!$B:$B,1,0)</f>
        <v>AMR-V17-T3C6-002</v>
      </c>
    </row>
    <row r="9" spans="1:7" x14ac:dyDescent="0.25">
      <c r="A9" s="129">
        <v>45927</v>
      </c>
      <c r="B9" s="3" t="s">
        <v>1185</v>
      </c>
      <c r="C9" s="3">
        <v>1</v>
      </c>
      <c r="D9" s="3" t="str">
        <f>VLOOKUP(B9,'Element wise-detail Summary'!$A:$D,2,0)</f>
        <v>V17</v>
      </c>
      <c r="E9" s="143" t="str">
        <f>VLOOKUP(B9,'Element wise-detail Summary'!$A:$D,3,0)</f>
        <v>MOCKUP</v>
      </c>
      <c r="F9" s="143" t="str">
        <f>VLOOKUP(B9,'AFC Data details'!$B:$B,1,0)</f>
        <v>AMR-V17-T3C6-003</v>
      </c>
    </row>
    <row r="10" spans="1:7" x14ac:dyDescent="0.25">
      <c r="A10" s="129">
        <v>45927</v>
      </c>
      <c r="B10" s="3" t="s">
        <v>1184</v>
      </c>
      <c r="C10" s="3">
        <v>1</v>
      </c>
      <c r="D10" s="3" t="str">
        <f>VLOOKUP(B10,'Element wise-detail Summary'!$A:$D,2,0)</f>
        <v>V18</v>
      </c>
      <c r="E10" s="143" t="str">
        <f>VLOOKUP(B10,'Element wise-detail Summary'!$A:$D,3,0)</f>
        <v>MOCKUP</v>
      </c>
      <c r="F10" s="143" t="str">
        <f>VLOOKUP(B10,'AFC Data details'!$B:$B,1,0)</f>
        <v>AMR-V18-T1C10-003</v>
      </c>
    </row>
    <row r="11" spans="1:7" x14ac:dyDescent="0.25">
      <c r="A11" s="129">
        <v>45927</v>
      </c>
      <c r="B11" s="3" t="s">
        <v>1183</v>
      </c>
      <c r="C11" s="3">
        <v>1</v>
      </c>
      <c r="D11" s="3" t="str">
        <f>VLOOKUP(B11,'Element wise-detail Summary'!$A:$D,2,0)</f>
        <v>V18</v>
      </c>
      <c r="E11" s="143" t="str">
        <f>VLOOKUP(B11,'Element wise-detail Summary'!$A:$D,3,0)</f>
        <v>MOCKUP</v>
      </c>
      <c r="F11" s="143" t="str">
        <f>VLOOKUP(B11,'AFC Data details'!$B:$B,1,0)</f>
        <v>AMR-V18-T1C10-007</v>
      </c>
    </row>
    <row r="12" spans="1:7" x14ac:dyDescent="0.25">
      <c r="A12" s="129">
        <v>45931</v>
      </c>
      <c r="B12" s="3" t="s">
        <v>1170</v>
      </c>
      <c r="C12" s="3">
        <v>1</v>
      </c>
      <c r="D12" s="3" t="str">
        <f>VLOOKUP(B12,'Element wise-detail Summary'!$A:$D,2,0)</f>
        <v>V18</v>
      </c>
      <c r="E12" s="143" t="str">
        <f>VLOOKUP(B12,'Element wise-detail Summary'!$A:$D,3,0)</f>
        <v>MOCKUP</v>
      </c>
      <c r="F12" s="143" t="str">
        <f>VLOOKUP(B12,'AFC Data details'!$B:$B,1,0)</f>
        <v>AMR-V18-T3C3-002</v>
      </c>
    </row>
    <row r="13" spans="1:7" x14ac:dyDescent="0.25">
      <c r="A13" s="129">
        <v>45931</v>
      </c>
      <c r="B13" s="3" t="s">
        <v>1171</v>
      </c>
      <c r="C13" s="3">
        <v>1</v>
      </c>
      <c r="D13" s="3" t="str">
        <f>VLOOKUP(B13,'Element wise-detail Summary'!$A:$D,2,0)</f>
        <v>V18</v>
      </c>
      <c r="E13" s="143" t="str">
        <f>VLOOKUP(B13,'Element wise-detail Summary'!$A:$D,3,0)</f>
        <v>MOCKUP</v>
      </c>
      <c r="F13" s="143" t="str">
        <f>VLOOKUP(B13,'AFC Data details'!$B:$B,1,0)</f>
        <v>AMR-V18-T3C3-003</v>
      </c>
    </row>
    <row r="14" spans="1:7" x14ac:dyDescent="0.25">
      <c r="A14" s="129">
        <v>45933</v>
      </c>
      <c r="B14" s="3" t="s">
        <v>1176</v>
      </c>
      <c r="C14" s="3">
        <v>1</v>
      </c>
      <c r="D14" s="3" t="str">
        <f>VLOOKUP(B14,'Element wise-detail Summary'!$A:$D,2,0)</f>
        <v>V17</v>
      </c>
      <c r="E14" s="143" t="str">
        <f>VLOOKUP(B14,'Element wise-detail Summary'!$A:$D,3,0)</f>
        <v>MOCKUP</v>
      </c>
      <c r="F14" s="143" t="str">
        <f>VLOOKUP(B14,'AFC Data details'!$B:$B,1,0)</f>
        <v>AMR-V17-T1C10-002</v>
      </c>
    </row>
    <row r="15" spans="1:7" x14ac:dyDescent="0.25">
      <c r="A15" s="129">
        <v>45933</v>
      </c>
      <c r="B15" s="3" t="s">
        <v>1174</v>
      </c>
      <c r="C15" s="3">
        <v>1</v>
      </c>
      <c r="D15" s="3" t="str">
        <f>VLOOKUP(B15,'Element wise-detail Summary'!$A:$D,2,0)</f>
        <v>V18</v>
      </c>
      <c r="E15" s="143" t="str">
        <f>VLOOKUP(B15,'Element wise-detail Summary'!$A:$D,3,0)</f>
        <v>MOCKUP</v>
      </c>
      <c r="F15" s="143" t="str">
        <f>VLOOKUP(B15,'AFC Data details'!$B:$B,1,0)</f>
        <v>AMR-V18-T1C3-001</v>
      </c>
    </row>
    <row r="16" spans="1:7" x14ac:dyDescent="0.25">
      <c r="A16" s="129">
        <v>45933</v>
      </c>
      <c r="B16" s="3" t="s">
        <v>1197</v>
      </c>
      <c r="C16" s="3">
        <v>1</v>
      </c>
      <c r="D16" s="3" t="str">
        <f>VLOOKUP(B16,'Element wise-detail Summary'!$A:$D,2,0)</f>
        <v>V18</v>
      </c>
      <c r="E16" s="143" t="str">
        <f>VLOOKUP(B16,'Element wise-detail Summary'!$A:$D,3,0)</f>
        <v>MOCKUP</v>
      </c>
      <c r="F16" s="143" t="str">
        <f>VLOOKUP(B16,'AFC Data details'!$B:$B,1,0)</f>
        <v>AMR-V18-T1C10-001</v>
      </c>
    </row>
    <row r="17" spans="1:6" x14ac:dyDescent="0.25">
      <c r="A17" s="129">
        <v>45933</v>
      </c>
      <c r="B17" s="3" t="s">
        <v>1192</v>
      </c>
      <c r="C17" s="3">
        <v>1</v>
      </c>
      <c r="D17" s="3" t="str">
        <f>VLOOKUP(B17,'Element wise-detail Summary'!$A:$D,2,0)</f>
        <v>V18</v>
      </c>
      <c r="E17" s="143" t="str">
        <f>VLOOKUP(B17,'Element wise-detail Summary'!$A:$D,3,0)</f>
        <v>MOCKUP</v>
      </c>
      <c r="F17" s="143" t="str">
        <f>VLOOKUP(B17,'AFC Data details'!$B:$B,1,0)</f>
        <v>AMR-V18-T1C10-006</v>
      </c>
    </row>
    <row r="18" spans="1:6" x14ac:dyDescent="0.25">
      <c r="A18" s="129">
        <v>45933</v>
      </c>
      <c r="B18" s="3" t="s">
        <v>1169</v>
      </c>
      <c r="C18" s="3">
        <v>1</v>
      </c>
      <c r="D18" s="3" t="str">
        <f>VLOOKUP(B18,'Element wise-detail Summary'!$A:$D,2,0)</f>
        <v>V18</v>
      </c>
      <c r="E18" s="143" t="str">
        <f>VLOOKUP(B18,'Element wise-detail Summary'!$A:$D,3,0)</f>
        <v>MOCKUP</v>
      </c>
      <c r="F18" s="143" t="str">
        <f>VLOOKUP(B18,'AFC Data details'!$B:$B,1,0)</f>
        <v>AMR-V18-T3C3-001</v>
      </c>
    </row>
    <row r="19" spans="1:6" x14ac:dyDescent="0.25">
      <c r="A19" s="129">
        <v>45936</v>
      </c>
      <c r="B19" s="3" t="s">
        <v>1166</v>
      </c>
      <c r="C19" s="3">
        <v>1</v>
      </c>
      <c r="D19" s="3" t="str">
        <f>VLOOKUP(B19,'Element wise-detail Summary'!$A:$D,2,0)</f>
        <v>V17</v>
      </c>
      <c r="E19" s="143" t="str">
        <f>VLOOKUP(B19,'Element wise-detail Summary'!$A:$D,3,0)</f>
        <v>MOCKUP</v>
      </c>
      <c r="F19" s="143" t="str">
        <f>VLOOKUP(B19,'AFC Data details'!$B:$B,1,0)</f>
        <v>AMR-V17-T1C10-001</v>
      </c>
    </row>
    <row r="20" spans="1:6" x14ac:dyDescent="0.25">
      <c r="A20" s="129">
        <v>45936</v>
      </c>
      <c r="B20" s="3" t="s">
        <v>1187</v>
      </c>
      <c r="C20" s="3">
        <v>1</v>
      </c>
      <c r="D20" s="3" t="str">
        <f>VLOOKUP(B20,'Element wise-detail Summary'!$A:$D,2,0)</f>
        <v>V17</v>
      </c>
      <c r="E20" s="143" t="str">
        <f>VLOOKUP(B20,'Element wise-detail Summary'!$A:$D,3,0)</f>
        <v>MOCKUP</v>
      </c>
      <c r="F20" s="143" t="str">
        <f>VLOOKUP(B20,'AFC Data details'!$B:$B,1,0)</f>
        <v>AMR-V17-T1C12-001</v>
      </c>
    </row>
    <row r="21" spans="1:6" x14ac:dyDescent="0.25">
      <c r="A21" s="129">
        <v>45936</v>
      </c>
      <c r="B21" s="3" t="s">
        <v>1194</v>
      </c>
      <c r="C21" s="3">
        <v>1</v>
      </c>
      <c r="D21" s="3" t="str">
        <f>VLOOKUP(B21,'Element wise-detail Summary'!$A:$D,2,0)</f>
        <v>V17</v>
      </c>
      <c r="E21" s="143" t="str">
        <f>VLOOKUP(B21,'Element wise-detail Summary'!$A:$D,3,0)</f>
        <v>MOCKUP</v>
      </c>
      <c r="F21" s="143" t="str">
        <f>VLOOKUP(B21,'AFC Data details'!$B:$B,1,0)</f>
        <v>AMR-V17-T1C13-001</v>
      </c>
    </row>
    <row r="22" spans="1:6" x14ac:dyDescent="0.25">
      <c r="A22" s="129">
        <v>45936</v>
      </c>
      <c r="B22" s="3" t="s">
        <v>1190</v>
      </c>
      <c r="C22" s="3">
        <v>1</v>
      </c>
      <c r="D22" s="3" t="str">
        <f>VLOOKUP(B22,'Element wise-detail Summary'!$A:$D,2,0)</f>
        <v>V17</v>
      </c>
      <c r="E22" s="143" t="str">
        <f>VLOOKUP(B22,'Element wise-detail Summary'!$A:$D,3,0)</f>
        <v>MOCKUP</v>
      </c>
      <c r="F22" s="143" t="str">
        <f>VLOOKUP(B22,'AFC Data details'!$B:$B,1,0)</f>
        <v>AMR-V17-T1C16-001</v>
      </c>
    </row>
    <row r="23" spans="1:6" x14ac:dyDescent="0.25">
      <c r="A23" s="129">
        <v>45936</v>
      </c>
      <c r="B23" s="3" t="s">
        <v>1167</v>
      </c>
      <c r="C23" s="3">
        <v>1</v>
      </c>
      <c r="D23" s="3" t="str">
        <f>VLOOKUP(B23,'Element wise-detail Summary'!$A:$D,2,0)</f>
        <v>V18</v>
      </c>
      <c r="E23" s="143" t="str">
        <f>VLOOKUP(B23,'Element wise-detail Summary'!$A:$D,3,0)</f>
        <v>MOCKUP</v>
      </c>
      <c r="F23" s="143" t="str">
        <f>VLOOKUP(B23,'AFC Data details'!$B:$B,1,0)</f>
        <v>AMR-V18-T1C10-002</v>
      </c>
    </row>
    <row r="24" spans="1:6" x14ac:dyDescent="0.25">
      <c r="A24" s="129">
        <v>45936</v>
      </c>
      <c r="B24" s="3" t="s">
        <v>1189</v>
      </c>
      <c r="C24" s="3">
        <v>1</v>
      </c>
      <c r="D24" s="3" t="str">
        <f>VLOOKUP(B24,'Element wise-detail Summary'!$A:$D,2,0)</f>
        <v>V18</v>
      </c>
      <c r="E24" s="143" t="str">
        <f>VLOOKUP(B24,'Element wise-detail Summary'!$A:$D,3,0)</f>
        <v>MOCKUP</v>
      </c>
      <c r="F24" s="143" t="str">
        <f>VLOOKUP(B24,'AFC Data details'!$B:$B,1,0)</f>
        <v>AMR-V18-T1C10-004</v>
      </c>
    </row>
    <row r="25" spans="1:6" x14ac:dyDescent="0.25">
      <c r="A25" s="129">
        <v>45936</v>
      </c>
      <c r="B25" s="3" t="s">
        <v>1196</v>
      </c>
      <c r="C25" s="3">
        <v>1</v>
      </c>
      <c r="D25" s="3" t="str">
        <f>VLOOKUP(B25,'Element wise-detail Summary'!$A:$D,2,0)</f>
        <v>V18</v>
      </c>
      <c r="E25" s="143" t="str">
        <f>VLOOKUP(B25,'Element wise-detail Summary'!$A:$D,3,0)</f>
        <v>MOCKUP</v>
      </c>
      <c r="F25" s="143" t="str">
        <f>VLOOKUP(B25,'AFC Data details'!$B:$B,1,0)</f>
        <v>AMR-V18-T1C10-005</v>
      </c>
    </row>
    <row r="26" spans="1:6" x14ac:dyDescent="0.25">
      <c r="A26" s="129">
        <v>45936</v>
      </c>
      <c r="B26" s="3" t="s">
        <v>1188</v>
      </c>
      <c r="C26" s="3">
        <v>1</v>
      </c>
      <c r="D26" s="3" t="str">
        <f>VLOOKUP(B26,'Element wise-detail Summary'!$A:$D,2,0)</f>
        <v>V18</v>
      </c>
      <c r="E26" s="143" t="str">
        <f>VLOOKUP(B26,'Element wise-detail Summary'!$A:$D,3,0)</f>
        <v>MOCKUP</v>
      </c>
      <c r="F26" s="143" t="str">
        <f>VLOOKUP(B26,'AFC Data details'!$B:$B,1,0)</f>
        <v>AMR-V18-T1C10-008</v>
      </c>
    </row>
    <row r="27" spans="1:6" x14ac:dyDescent="0.25">
      <c r="A27" s="129">
        <v>45936</v>
      </c>
      <c r="B27" s="3" t="s">
        <v>1193</v>
      </c>
      <c r="C27" s="3">
        <v>1</v>
      </c>
      <c r="D27" s="3" t="str">
        <f>VLOOKUP(B27,'Element wise-detail Summary'!$A:$D,2,0)</f>
        <v>V18</v>
      </c>
      <c r="E27" s="143" t="str">
        <f>VLOOKUP(B27,'Element wise-detail Summary'!$A:$D,3,0)</f>
        <v>MOCKUP</v>
      </c>
      <c r="F27" s="143" t="str">
        <f>VLOOKUP(B27,'AFC Data details'!$B:$B,1,0)</f>
        <v>AMR-V18-T1C10-009</v>
      </c>
    </row>
    <row r="28" spans="1:6" x14ac:dyDescent="0.25">
      <c r="A28" s="129">
        <v>45936</v>
      </c>
      <c r="B28" s="3" t="s">
        <v>1165</v>
      </c>
      <c r="C28" s="3">
        <v>1</v>
      </c>
      <c r="D28" s="3" t="str">
        <f>VLOOKUP(B28,'Element wise-detail Summary'!$A:$D,2,0)</f>
        <v>V18</v>
      </c>
      <c r="E28" s="143" t="str">
        <f>VLOOKUP(B28,'Element wise-detail Summary'!$A:$D,3,0)</f>
        <v>MOCKUP</v>
      </c>
      <c r="F28" s="143" t="str">
        <f>VLOOKUP(B28,'AFC Data details'!$B:$B,1,0)</f>
        <v>AMR-V18-T1C16-001</v>
      </c>
    </row>
    <row r="29" spans="1:6" x14ac:dyDescent="0.25">
      <c r="A29" s="129">
        <v>45936</v>
      </c>
      <c r="B29" s="3" t="s">
        <v>1173</v>
      </c>
      <c r="C29" s="3">
        <v>1</v>
      </c>
      <c r="D29" s="3" t="str">
        <f>VLOOKUP(B29,'Element wise-detail Summary'!$A:$D,2,0)</f>
        <v>V18</v>
      </c>
      <c r="E29" s="143" t="str">
        <f>VLOOKUP(B29,'Element wise-detail Summary'!$A:$D,3,0)</f>
        <v>MOCKUP</v>
      </c>
      <c r="F29" s="143" t="str">
        <f>VLOOKUP(B29,'AFC Data details'!$B:$B,1,0)</f>
        <v>AMR-V18-T3C6-001</v>
      </c>
    </row>
    <row r="30" spans="1:6" x14ac:dyDescent="0.25">
      <c r="A30" s="129">
        <v>45951</v>
      </c>
      <c r="B30" s="3" t="s">
        <v>1239</v>
      </c>
      <c r="C30" s="3">
        <v>1</v>
      </c>
      <c r="D30" s="3" t="str">
        <f>VLOOKUP(B30,'Element wise-detail Summary'!$A:$D,2,0)</f>
        <v>V21</v>
      </c>
      <c r="E30" s="143" t="str">
        <f>VLOOKUP(B30,'Element wise-detail Summary'!$A:$D,3,0)</f>
        <v>Zone-1</v>
      </c>
      <c r="F30" s="143" t="str">
        <f>VLOOKUP(B30,'AFC Data details'!$B:$B,1,0)</f>
        <v>AZ1-V21-T1C1-001</v>
      </c>
    </row>
    <row r="31" spans="1:6" x14ac:dyDescent="0.25">
      <c r="A31" s="129">
        <v>45951</v>
      </c>
      <c r="B31" s="3" t="s">
        <v>1254</v>
      </c>
      <c r="C31" s="3">
        <v>1</v>
      </c>
      <c r="D31" s="3" t="str">
        <f>VLOOKUP(B31,'Element wise-detail Summary'!$A:$D,2,0)</f>
        <v>V21</v>
      </c>
      <c r="E31" s="143" t="str">
        <f>VLOOKUP(B31,'Element wise-detail Summary'!$A:$D,3,0)</f>
        <v>Zone-1</v>
      </c>
      <c r="F31" s="143" t="str">
        <f>VLOOKUP(B31,'AFC Data details'!$B:$B,1,0)</f>
        <v>AZ1-V21-T1C6-005</v>
      </c>
    </row>
    <row r="32" spans="1:6" x14ac:dyDescent="0.25">
      <c r="A32" s="129">
        <v>45951</v>
      </c>
      <c r="B32" s="3" t="s">
        <v>1263</v>
      </c>
      <c r="C32" s="3">
        <v>1</v>
      </c>
      <c r="D32" s="3" t="str">
        <f>VLOOKUP(B32,'Element wise-detail Summary'!$A:$D,2,0)</f>
        <v>V21</v>
      </c>
      <c r="E32" s="143" t="str">
        <f>VLOOKUP(B32,'Element wise-detail Summary'!$A:$D,3,0)</f>
        <v>Zone-1</v>
      </c>
      <c r="F32" s="143" t="str">
        <f>VLOOKUP(B32,'AFC Data details'!$B:$B,1,0)</f>
        <v>AZ1-V21-T1C6-006</v>
      </c>
    </row>
    <row r="33" spans="1:6" x14ac:dyDescent="0.25">
      <c r="A33" s="129">
        <v>45951</v>
      </c>
      <c r="B33" s="3" t="s">
        <v>1241</v>
      </c>
      <c r="C33" s="3">
        <v>1</v>
      </c>
      <c r="D33" s="3" t="str">
        <f>VLOOKUP(B33,'Element wise-detail Summary'!$A:$D,2,0)</f>
        <v>V21</v>
      </c>
      <c r="E33" s="143" t="str">
        <f>VLOOKUP(B33,'Element wise-detail Summary'!$A:$D,3,0)</f>
        <v>Zone-1</v>
      </c>
      <c r="F33" s="143" t="str">
        <f>VLOOKUP(B33,'AFC Data details'!$B:$B,1,0)</f>
        <v>AZ1-V21-T2C1-001</v>
      </c>
    </row>
    <row r="34" spans="1:6" x14ac:dyDescent="0.25">
      <c r="A34" s="129">
        <v>45951</v>
      </c>
      <c r="B34" s="3" t="s">
        <v>1242</v>
      </c>
      <c r="C34" s="3">
        <v>1</v>
      </c>
      <c r="D34" s="3" t="str">
        <f>VLOOKUP(B34,'Element wise-detail Summary'!$A:$D,2,0)</f>
        <v>V21</v>
      </c>
      <c r="E34" s="143" t="str">
        <f>VLOOKUP(B34,'Element wise-detail Summary'!$A:$D,3,0)</f>
        <v>Zone-1</v>
      </c>
      <c r="F34" s="143" t="str">
        <f>VLOOKUP(B34,'AFC Data details'!$B:$B,1,0)</f>
        <v>AZ1-V21-T3C4-001</v>
      </c>
    </row>
    <row r="35" spans="1:6" x14ac:dyDescent="0.25">
      <c r="A35" s="129">
        <v>45951</v>
      </c>
      <c r="B35" s="3" t="s">
        <v>1244</v>
      </c>
      <c r="C35" s="3">
        <v>1</v>
      </c>
      <c r="D35" s="3" t="str">
        <f>VLOOKUP(B35,'Element wise-detail Summary'!$A:$D,2,0)</f>
        <v>V21</v>
      </c>
      <c r="E35" s="143" t="str">
        <f>VLOOKUP(B35,'Element wise-detail Summary'!$A:$D,3,0)</f>
        <v>Zone-1</v>
      </c>
      <c r="F35" s="143" t="str">
        <f>VLOOKUP(B35,'AFC Data details'!$B:$B,1,0)</f>
        <v>AZ1-V21-T3C4-002</v>
      </c>
    </row>
    <row r="36" spans="1:6" x14ac:dyDescent="0.25">
      <c r="A36" s="129">
        <v>45951</v>
      </c>
      <c r="B36" s="3" t="s">
        <v>1257</v>
      </c>
      <c r="C36" s="3">
        <v>1</v>
      </c>
      <c r="D36" s="3" t="str">
        <f>VLOOKUP(B36,'Element wise-detail Summary'!$A:$D,2,0)</f>
        <v>V22</v>
      </c>
      <c r="E36" s="143" t="str">
        <f>VLOOKUP(B36,'Element wise-detail Summary'!$A:$D,3,0)</f>
        <v>Zone-1</v>
      </c>
      <c r="F36" s="143" t="str">
        <f>VLOOKUP(B36,'AFC Data details'!$B:$B,1,0)</f>
        <v>AZ1-V22-T1C6-006</v>
      </c>
    </row>
    <row r="37" spans="1:6" x14ac:dyDescent="0.25">
      <c r="A37" s="129">
        <v>45951</v>
      </c>
      <c r="B37" s="3" t="s">
        <v>1260</v>
      </c>
      <c r="C37" s="3">
        <v>1</v>
      </c>
      <c r="D37" s="3" t="str">
        <f>VLOOKUP(B37,'Element wise-detail Summary'!$A:$D,2,0)</f>
        <v>V22</v>
      </c>
      <c r="E37" s="143" t="str">
        <f>VLOOKUP(B37,'Element wise-detail Summary'!$A:$D,3,0)</f>
        <v>Zone-1</v>
      </c>
      <c r="F37" s="143" t="str">
        <f>VLOOKUP(B37,'AFC Data details'!$B:$B,1,0)</f>
        <v>AZ1-V22-T3C4-002</v>
      </c>
    </row>
    <row r="38" spans="1:6" x14ac:dyDescent="0.25">
      <c r="A38" s="129">
        <v>45958</v>
      </c>
      <c r="B38" s="3" t="s">
        <v>1250</v>
      </c>
      <c r="C38" s="3">
        <v>1</v>
      </c>
      <c r="D38" s="3" t="str">
        <f>VLOOKUP(B38,'Element wise-detail Summary'!$A:$D,2,0)</f>
        <v>V22</v>
      </c>
      <c r="E38" s="143" t="str">
        <f>VLOOKUP(B38,'Element wise-detail Summary'!$A:$D,3,0)</f>
        <v>Zone-1</v>
      </c>
      <c r="F38" s="143" t="str">
        <f>VLOOKUP(B38,'AFC Data details'!$B:$B,1,0)</f>
        <v>AZ1-V22-T1C6-005</v>
      </c>
    </row>
    <row r="39" spans="1:6" x14ac:dyDescent="0.25">
      <c r="A39" s="129">
        <v>45958</v>
      </c>
      <c r="B39" s="3" t="s">
        <v>1259</v>
      </c>
      <c r="C39" s="3">
        <v>1</v>
      </c>
      <c r="D39" s="3" t="str">
        <f>VLOOKUP(B39,'Element wise-detail Summary'!$A:$D,2,0)</f>
        <v>V22</v>
      </c>
      <c r="E39" s="143" t="str">
        <f>VLOOKUP(B39,'Element wise-detail Summary'!$A:$D,3,0)</f>
        <v>Zone-1</v>
      </c>
      <c r="F39" s="143" t="str">
        <f>VLOOKUP(B39,'AFC Data details'!$B:$B,1,0)</f>
        <v>AZ1-V22-T3C4-001</v>
      </c>
    </row>
    <row r="40" spans="1:6" x14ac:dyDescent="0.25">
      <c r="A40" s="129">
        <v>45958</v>
      </c>
      <c r="B40" s="3" t="s">
        <v>1251</v>
      </c>
      <c r="C40" s="3">
        <v>1</v>
      </c>
      <c r="D40" s="3" t="str">
        <f>VLOOKUP(B40,'Element wise-detail Summary'!$A:$D,2,0)</f>
        <v>V23</v>
      </c>
      <c r="E40" s="143" t="str">
        <f>VLOOKUP(B40,'Element wise-detail Summary'!$A:$D,3,0)</f>
        <v>Zone-1</v>
      </c>
      <c r="F40" s="143" t="str">
        <f>VLOOKUP(B40,'AFC Data details'!$B:$B,1,0)</f>
        <v>AZ1-V23-T1C6-005</v>
      </c>
    </row>
    <row r="41" spans="1:6" x14ac:dyDescent="0.25">
      <c r="A41" s="129">
        <v>45958</v>
      </c>
      <c r="B41" s="3" t="s">
        <v>1262</v>
      </c>
      <c r="C41" s="3">
        <v>1</v>
      </c>
      <c r="D41" s="3" t="str">
        <f>VLOOKUP(B41,'Element wise-detail Summary'!$A:$D,2,0)</f>
        <v>V23</v>
      </c>
      <c r="E41" s="143" t="str">
        <f>VLOOKUP(B41,'Element wise-detail Summary'!$A:$D,3,0)</f>
        <v>Zone-1</v>
      </c>
      <c r="F41" s="143" t="str">
        <f>VLOOKUP(B41,'AFC Data details'!$B:$B,1,0)</f>
        <v>AZ1-V23-T1C6-006</v>
      </c>
    </row>
    <row r="42" spans="1:6" x14ac:dyDescent="0.25">
      <c r="A42" s="129">
        <v>45958</v>
      </c>
      <c r="B42" s="3" t="s">
        <v>1200</v>
      </c>
      <c r="C42" s="3">
        <v>1</v>
      </c>
      <c r="D42" s="3" t="str">
        <f>VLOOKUP(B42,'Element wise-detail Summary'!$A:$D,2,0)</f>
        <v>V23</v>
      </c>
      <c r="E42" s="143" t="str">
        <f>VLOOKUP(B42,'Element wise-detail Summary'!$A:$D,3,0)</f>
        <v>Zone-1</v>
      </c>
      <c r="F42" s="143" t="str">
        <f>VLOOKUP(B42,'AFC Data details'!$B:$B,1,0)</f>
        <v>AZ1-V23-T3C4-001</v>
      </c>
    </row>
    <row r="43" spans="1:6" x14ac:dyDescent="0.25">
      <c r="A43" s="129">
        <v>45958</v>
      </c>
      <c r="B43" s="3" t="s">
        <v>1201</v>
      </c>
      <c r="C43" s="3">
        <v>1</v>
      </c>
      <c r="D43" s="3" t="str">
        <f>VLOOKUP(B43,'Element wise-detail Summary'!$A:$D,2,0)</f>
        <v>V23</v>
      </c>
      <c r="E43" s="143" t="str">
        <f>VLOOKUP(B43,'Element wise-detail Summary'!$A:$D,3,0)</f>
        <v>Zone-1</v>
      </c>
      <c r="F43" s="143" t="str">
        <f>VLOOKUP(B43,'AFC Data details'!$B:$B,1,0)</f>
        <v>AZ1-V23-T3C4-002</v>
      </c>
    </row>
    <row r="44" spans="1:6" x14ac:dyDescent="0.25">
      <c r="A44" s="129">
        <v>45958</v>
      </c>
      <c r="B44" s="3" t="s">
        <v>1203</v>
      </c>
      <c r="C44" s="3">
        <v>1</v>
      </c>
      <c r="D44" s="3" t="str">
        <f>VLOOKUP(B44,'Element wise-detail Summary'!$A:$D,2,0)</f>
        <v>V24</v>
      </c>
      <c r="E44" s="143" t="str">
        <f>VLOOKUP(B44,'Element wise-detail Summary'!$A:$D,3,0)</f>
        <v>Zone-1</v>
      </c>
      <c r="F44" s="143" t="str">
        <f>VLOOKUP(B44,'AFC Data details'!$B:$B,1,0)</f>
        <v>AZ1-V24-T1C1-001</v>
      </c>
    </row>
    <row r="45" spans="1:6" x14ac:dyDescent="0.25">
      <c r="A45" s="129">
        <v>45958</v>
      </c>
      <c r="B45" s="3" t="s">
        <v>1279</v>
      </c>
      <c r="C45" s="3">
        <v>1</v>
      </c>
      <c r="D45" s="3" t="str">
        <f>VLOOKUP(B45,'Element wise-detail Summary'!$A:$D,2,0)</f>
        <v>V24</v>
      </c>
      <c r="E45" s="143" t="str">
        <f>VLOOKUP(B45,'Element wise-detail Summary'!$A:$D,3,0)</f>
        <v>Zone-1</v>
      </c>
      <c r="F45" s="143" t="str">
        <f>VLOOKUP(B45,'AFC Data details'!$B:$B,1,0)</f>
        <v>AZ1-V24-T3C4-002</v>
      </c>
    </row>
    <row r="46" spans="1:6" x14ac:dyDescent="0.25">
      <c r="A46" s="129">
        <v>45958</v>
      </c>
      <c r="B46" s="3" t="s">
        <v>1273</v>
      </c>
      <c r="C46" s="3">
        <v>1</v>
      </c>
      <c r="D46" s="3" t="str">
        <f>VLOOKUP(B46,'Element wise-detail Summary'!$A:$D,2,0)</f>
        <v>V25</v>
      </c>
      <c r="E46" s="143" t="str">
        <f>VLOOKUP(B46,'Element wise-detail Summary'!$A:$D,3,0)</f>
        <v>Zone-1</v>
      </c>
      <c r="F46" s="143" t="str">
        <f>VLOOKUP(B46,'AFC Data details'!$B:$B,1,0)</f>
        <v>AZ1-V25-T1C6-005</v>
      </c>
    </row>
    <row r="47" spans="1:6" x14ac:dyDescent="0.25">
      <c r="A47" s="129">
        <v>45958</v>
      </c>
      <c r="B47" s="3" t="s">
        <v>1283</v>
      </c>
      <c r="C47" s="3">
        <v>1</v>
      </c>
      <c r="D47" s="3" t="str">
        <f>VLOOKUP(B47,'Element wise-detail Summary'!$A:$D,2,0)</f>
        <v>V25</v>
      </c>
      <c r="E47" s="143" t="str">
        <f>VLOOKUP(B47,'Element wise-detail Summary'!$A:$D,3,0)</f>
        <v>Zone-1</v>
      </c>
      <c r="F47" s="143" t="str">
        <f>VLOOKUP(B47,'AFC Data details'!$B:$B,1,0)</f>
        <v>AZ1-V25-T1C6-006</v>
      </c>
    </row>
    <row r="48" spans="1:6" x14ac:dyDescent="0.25">
      <c r="A48" s="129">
        <v>45958</v>
      </c>
      <c r="B48" s="3" t="s">
        <v>1284</v>
      </c>
      <c r="C48" s="3">
        <v>1</v>
      </c>
      <c r="D48" s="3" t="str">
        <f>VLOOKUP(B48,'Element wise-detail Summary'!$A:$D,2,0)</f>
        <v>V25</v>
      </c>
      <c r="E48" s="143" t="str">
        <f>VLOOKUP(B48,'Element wise-detail Summary'!$A:$D,3,0)</f>
        <v>Zone-1</v>
      </c>
      <c r="F48" s="143" t="str">
        <f>VLOOKUP(B48,'AFC Data details'!$B:$B,1,0)</f>
        <v>AZ1-V25-T3C4-001</v>
      </c>
    </row>
    <row r="49" spans="1:6" x14ac:dyDescent="0.25">
      <c r="A49" s="129">
        <v>45958</v>
      </c>
      <c r="B49" s="3" t="s">
        <v>1285</v>
      </c>
      <c r="C49" s="3">
        <v>1</v>
      </c>
      <c r="D49" s="3" t="str">
        <f>VLOOKUP(B49,'Element wise-detail Summary'!$A:$D,2,0)</f>
        <v>V25</v>
      </c>
      <c r="E49" s="143" t="str">
        <f>VLOOKUP(B49,'Element wise-detail Summary'!$A:$D,3,0)</f>
        <v>Zone-1</v>
      </c>
      <c r="F49" s="143" t="str">
        <f>VLOOKUP(B49,'AFC Data details'!$B:$B,1,0)</f>
        <v>AZ1-V25-T3C4-002</v>
      </c>
    </row>
    <row r="50" spans="1:6" x14ac:dyDescent="0.25">
      <c r="A50" s="129">
        <v>45962</v>
      </c>
      <c r="B50" s="3" t="s">
        <v>1286</v>
      </c>
      <c r="C50" s="3">
        <v>1</v>
      </c>
      <c r="D50" s="3" t="str">
        <f>VLOOKUP(B50,'Element wise-detail Summary'!$A:$D,2,0)</f>
        <v>V26</v>
      </c>
      <c r="E50" s="143" t="str">
        <f>VLOOKUP(B50,'Element wise-detail Summary'!$A:$D,3,0)</f>
        <v>Zone-1</v>
      </c>
      <c r="F50" s="143" t="str">
        <f>VLOOKUP(B50,'AFC Data details'!$B:$B,1,0)</f>
        <v>AZ1-V26-T1C6-005</v>
      </c>
    </row>
    <row r="51" spans="1:6" x14ac:dyDescent="0.25">
      <c r="A51" s="129">
        <v>45962</v>
      </c>
      <c r="B51" s="3" t="s">
        <v>1290</v>
      </c>
      <c r="C51" s="3">
        <v>1</v>
      </c>
      <c r="D51" s="3" t="str">
        <f>VLOOKUP(B51,'Element wise-detail Summary'!$A:$D,2,0)</f>
        <v>V26</v>
      </c>
      <c r="E51" s="143" t="str">
        <f>VLOOKUP(B51,'Element wise-detail Summary'!$A:$D,3,0)</f>
        <v>Zone-1</v>
      </c>
      <c r="F51" s="143" t="str">
        <f>VLOOKUP(B51,'AFC Data details'!$B:$B,1,0)</f>
        <v>AZ1-V26-T1C6-006</v>
      </c>
    </row>
    <row r="52" spans="1:6" x14ac:dyDescent="0.25">
      <c r="A52" s="129">
        <v>45962</v>
      </c>
      <c r="B52" s="3" t="s">
        <v>1291</v>
      </c>
      <c r="C52" s="3">
        <v>1</v>
      </c>
      <c r="D52" s="3" t="str">
        <f>VLOOKUP(B52,'Element wise-detail Summary'!$A:$D,2,0)</f>
        <v>V27</v>
      </c>
      <c r="E52" s="143" t="str">
        <f>VLOOKUP(B52,'Element wise-detail Summary'!$A:$D,3,0)</f>
        <v>Zone-1</v>
      </c>
      <c r="F52" s="143" t="str">
        <f>VLOOKUP(B52,'AFC Data details'!$B:$B,1,0)</f>
        <v>AZ1-V27-T1C2-001</v>
      </c>
    </row>
    <row r="53" spans="1:6" x14ac:dyDescent="0.25">
      <c r="A53" s="129">
        <v>45962</v>
      </c>
      <c r="B53" s="3" t="s">
        <v>1287</v>
      </c>
      <c r="C53" s="3">
        <v>1</v>
      </c>
      <c r="D53" s="3" t="str">
        <f>VLOOKUP(B53,'Element wise-detail Summary'!$A:$D,2,0)</f>
        <v>V27</v>
      </c>
      <c r="E53" s="143" t="str">
        <f>VLOOKUP(B53,'Element wise-detail Summary'!$A:$D,3,0)</f>
        <v>Zone-1</v>
      </c>
      <c r="F53" s="143" t="str">
        <f>VLOOKUP(B53,'AFC Data details'!$B:$B,1,0)</f>
        <v>AZ1-V27-T1C6-005</v>
      </c>
    </row>
    <row r="54" spans="1:6" x14ac:dyDescent="0.25">
      <c r="A54" s="129">
        <v>45962</v>
      </c>
      <c r="B54" s="3" t="s">
        <v>1199</v>
      </c>
      <c r="C54" s="3">
        <v>1</v>
      </c>
      <c r="D54" s="3" t="str">
        <f>VLOOKUP(B54,'Element wise-detail Summary'!$A:$D,2,0)</f>
        <v>V27</v>
      </c>
      <c r="E54" s="143" t="str">
        <f>VLOOKUP(B54,'Element wise-detail Summary'!$A:$D,3,0)</f>
        <v>Zone-1</v>
      </c>
      <c r="F54" s="143" t="str">
        <f>VLOOKUP(B54,'AFC Data details'!$B:$B,1,0)</f>
        <v>AZ1-V27-T1C6-006</v>
      </c>
    </row>
    <row r="55" spans="1:6" x14ac:dyDescent="0.25">
      <c r="A55" s="129">
        <v>45962</v>
      </c>
      <c r="B55" s="3" t="s">
        <v>1265</v>
      </c>
      <c r="C55" s="3">
        <v>1</v>
      </c>
      <c r="D55" s="3" t="str">
        <f>VLOOKUP(B55,'Element wise-detail Summary'!$A:$D,2,0)</f>
        <v>V27</v>
      </c>
      <c r="E55" s="143" t="str">
        <f>VLOOKUP(B55,'Element wise-detail Summary'!$A:$D,3,0)</f>
        <v>Zone-1</v>
      </c>
      <c r="F55" s="143" t="str">
        <f>VLOOKUP(B55,'AFC Data details'!$B:$B,1,0)</f>
        <v>AZ1-V27-T2C1-001</v>
      </c>
    </row>
    <row r="56" spans="1:6" x14ac:dyDescent="0.25">
      <c r="A56" s="129">
        <v>45962</v>
      </c>
      <c r="B56" s="3" t="s">
        <v>1292</v>
      </c>
      <c r="C56" s="3">
        <v>1</v>
      </c>
      <c r="D56" s="3" t="str">
        <f>VLOOKUP(B56,'Element wise-detail Summary'!$A:$D,2,0)</f>
        <v>V27</v>
      </c>
      <c r="E56" s="143" t="str">
        <f>VLOOKUP(B56,'Element wise-detail Summary'!$A:$D,3,0)</f>
        <v>Zone-1</v>
      </c>
      <c r="F56" s="143" t="str">
        <f>VLOOKUP(B56,'AFC Data details'!$B:$B,1,0)</f>
        <v>AZ1-V27-T3C5-001</v>
      </c>
    </row>
    <row r="57" spans="1:6" x14ac:dyDescent="0.25">
      <c r="A57" s="129">
        <v>45962</v>
      </c>
      <c r="B57" s="3" t="s">
        <v>1293</v>
      </c>
      <c r="C57" s="3">
        <v>1</v>
      </c>
      <c r="D57" s="3" t="str">
        <f>VLOOKUP(B57,'Element wise-detail Summary'!$A:$D,2,0)</f>
        <v>V27</v>
      </c>
      <c r="E57" s="143" t="str">
        <f>VLOOKUP(B57,'Element wise-detail Summary'!$A:$D,3,0)</f>
        <v>Zone-1</v>
      </c>
      <c r="F57" s="143" t="str">
        <f>VLOOKUP(B57,'AFC Data details'!$B:$B,1,0)</f>
        <v>AZ1-V27-T3C5-002</v>
      </c>
    </row>
    <row r="58" spans="1:6" x14ac:dyDescent="0.25">
      <c r="A58" s="129">
        <v>45962</v>
      </c>
      <c r="B58" s="3" t="s">
        <v>1320</v>
      </c>
      <c r="C58" s="3">
        <v>1</v>
      </c>
      <c r="D58" s="3" t="str">
        <f>VLOOKUP(B58,'Element wise-detail Summary'!$A:$D,2,0)</f>
        <v>V28</v>
      </c>
      <c r="E58" s="143" t="str">
        <f>VLOOKUP(B58,'Element wise-detail Summary'!$A:$D,3,0)</f>
        <v>Zone-1</v>
      </c>
      <c r="F58" s="143" t="str">
        <f>VLOOKUP(B58,'AFC Data details'!$B:$B,1,0)</f>
        <v>AZ1-V28-T1C6-005</v>
      </c>
    </row>
    <row r="59" spans="1:6" x14ac:dyDescent="0.25">
      <c r="A59" s="129">
        <v>45962</v>
      </c>
      <c r="B59" s="3" t="s">
        <v>1325</v>
      </c>
      <c r="C59" s="3">
        <v>1</v>
      </c>
      <c r="D59" s="3" t="str">
        <f>VLOOKUP(B59,'Element wise-detail Summary'!$A:$D,2,0)</f>
        <v>V28</v>
      </c>
      <c r="E59" s="143" t="str">
        <f>VLOOKUP(B59,'Element wise-detail Summary'!$A:$D,3,0)</f>
        <v>Zone-1</v>
      </c>
      <c r="F59" s="143" t="str">
        <f>VLOOKUP(B59,'AFC Data details'!$B:$B,1,0)</f>
        <v>AZ1-V28-T1C6-006</v>
      </c>
    </row>
    <row r="60" spans="1:6" x14ac:dyDescent="0.25">
      <c r="A60" s="129">
        <v>45962</v>
      </c>
      <c r="B60" s="3" t="s">
        <v>1299</v>
      </c>
      <c r="C60" s="3">
        <v>1</v>
      </c>
      <c r="D60" s="3" t="str">
        <f>VLOOKUP(B60,'Element wise-detail Summary'!$A:$D,2,0)</f>
        <v>V28</v>
      </c>
      <c r="E60" s="143" t="str">
        <f>VLOOKUP(B60,'Element wise-detail Summary'!$A:$D,3,0)</f>
        <v>Zone-1</v>
      </c>
      <c r="F60" s="143" t="str">
        <f>VLOOKUP(B60,'AFC Data details'!$B:$B,1,0)</f>
        <v>AZ1-V28-T3C5-001</v>
      </c>
    </row>
    <row r="61" spans="1:6" x14ac:dyDescent="0.25">
      <c r="A61" s="129">
        <v>45962</v>
      </c>
      <c r="B61" s="3" t="s">
        <v>1300</v>
      </c>
      <c r="C61" s="3">
        <v>1</v>
      </c>
      <c r="D61" s="3" t="str">
        <f>VLOOKUP(B61,'Element wise-detail Summary'!$A:$D,2,0)</f>
        <v>V28</v>
      </c>
      <c r="E61" s="143" t="str">
        <f>VLOOKUP(B61,'Element wise-detail Summary'!$A:$D,3,0)</f>
        <v>Zone-1</v>
      </c>
      <c r="F61" s="143" t="str">
        <f>VLOOKUP(B61,'AFC Data details'!$B:$B,1,0)</f>
        <v>AZ1-V28-T3C5-002</v>
      </c>
    </row>
    <row r="62" spans="1:6" x14ac:dyDescent="0.25">
      <c r="A62" s="129">
        <v>45962</v>
      </c>
      <c r="B62" s="3" t="s">
        <v>1316</v>
      </c>
      <c r="C62" s="3">
        <v>1</v>
      </c>
      <c r="D62" s="3" t="str">
        <f>VLOOKUP(B62,'Element wise-detail Summary'!$A:$D,2,0)</f>
        <v>V30</v>
      </c>
      <c r="E62" s="143" t="str">
        <f>VLOOKUP(B62,'Element wise-detail Summary'!$A:$D,3,0)</f>
        <v>Zone-1</v>
      </c>
      <c r="F62" s="143" t="str">
        <f>VLOOKUP(B62,'AFC Data details'!$B:$B,1,0)</f>
        <v>AZ1-V30-T1C6-005</v>
      </c>
    </row>
    <row r="63" spans="1:6" x14ac:dyDescent="0.25">
      <c r="A63" s="129">
        <v>45962</v>
      </c>
      <c r="B63" s="3" t="s">
        <v>1324</v>
      </c>
      <c r="C63" s="3">
        <v>1</v>
      </c>
      <c r="D63" s="3" t="str">
        <f>VLOOKUP(B63,'Element wise-detail Summary'!$A:$D,2,0)</f>
        <v>V30</v>
      </c>
      <c r="E63" s="143" t="str">
        <f>VLOOKUP(B63,'Element wise-detail Summary'!$A:$D,3,0)</f>
        <v>Zone-1</v>
      </c>
      <c r="F63" s="143" t="str">
        <f>VLOOKUP(B63,'AFC Data details'!$B:$B,1,0)</f>
        <v>AZ1-V30-T1C6-006</v>
      </c>
    </row>
    <row r="64" spans="1:6" x14ac:dyDescent="0.25">
      <c r="A64" s="129">
        <v>45962</v>
      </c>
      <c r="B64" s="3" t="s">
        <v>1317</v>
      </c>
      <c r="C64" s="3">
        <v>1</v>
      </c>
      <c r="D64" s="3" t="str">
        <f>VLOOKUP(B64,'Element wise-detail Summary'!$A:$D,2,0)</f>
        <v>V31</v>
      </c>
      <c r="E64" s="143" t="str">
        <f>VLOOKUP(B64,'Element wise-detail Summary'!$A:$D,3,0)</f>
        <v>Zone-1</v>
      </c>
      <c r="F64" s="143" t="str">
        <f>VLOOKUP(B64,'AFC Data details'!$B:$B,1,0)</f>
        <v>AZ1-V31-T1C6-005</v>
      </c>
    </row>
    <row r="65" spans="1:6" x14ac:dyDescent="0.25">
      <c r="A65" s="129">
        <v>45962</v>
      </c>
      <c r="B65" s="3" t="s">
        <v>1330</v>
      </c>
      <c r="C65" s="3">
        <v>1</v>
      </c>
      <c r="D65" s="3" t="str">
        <f>VLOOKUP(B65,'Element wise-detail Summary'!$A:$D,2,0)</f>
        <v>V31</v>
      </c>
      <c r="E65" s="143" t="str">
        <f>VLOOKUP(B65,'Element wise-detail Summary'!$A:$D,3,0)</f>
        <v>Zone-1</v>
      </c>
      <c r="F65" s="143" t="str">
        <f>VLOOKUP(B65,'AFC Data details'!$B:$B,1,0)</f>
        <v>AZ1-V31-T1C6-006</v>
      </c>
    </row>
    <row r="66" spans="1:6" x14ac:dyDescent="0.25">
      <c r="A66" s="129">
        <v>45966</v>
      </c>
      <c r="B66" s="3" t="s">
        <v>1264</v>
      </c>
      <c r="C66" s="3">
        <v>1</v>
      </c>
      <c r="D66" s="3" t="str">
        <f>VLOOKUP(B66,'Element wise-detail Summary'!$A:$D,2,0)</f>
        <v>V23</v>
      </c>
      <c r="E66" s="143" t="str">
        <f>VLOOKUP(B66,'Element wise-detail Summary'!$A:$D,3,0)</f>
        <v>Zone-1</v>
      </c>
      <c r="F66" s="143" t="str">
        <f>VLOOKUP(B66,'AFC Data details'!$B:$B,1,0)</f>
        <v>AZ1-V23-T2C1-001</v>
      </c>
    </row>
    <row r="67" spans="1:6" x14ac:dyDescent="0.25">
      <c r="A67" s="129">
        <v>45966</v>
      </c>
      <c r="B67" s="3" t="s">
        <v>1272</v>
      </c>
      <c r="C67" s="3">
        <v>1</v>
      </c>
      <c r="D67" s="3" t="str">
        <f>VLOOKUP(B67,'Element wise-detail Summary'!$A:$D,2,0)</f>
        <v>V24</v>
      </c>
      <c r="E67" s="143" t="str">
        <f>VLOOKUP(B67,'Element wise-detail Summary'!$A:$D,3,0)</f>
        <v>Zone-1</v>
      </c>
      <c r="F67" s="143" t="str">
        <f>VLOOKUP(B67,'AFC Data details'!$B:$B,1,0)</f>
        <v>AZ1-V24-T1C6-005</v>
      </c>
    </row>
    <row r="68" spans="1:6" x14ac:dyDescent="0.25">
      <c r="A68" s="129">
        <v>45966</v>
      </c>
      <c r="B68" s="3" t="s">
        <v>1276</v>
      </c>
      <c r="C68" s="3">
        <v>1</v>
      </c>
      <c r="D68" s="3" t="str">
        <f>VLOOKUP(B68,'Element wise-detail Summary'!$A:$D,2,0)</f>
        <v>V24</v>
      </c>
      <c r="E68" s="143" t="str">
        <f>VLOOKUP(B68,'Element wise-detail Summary'!$A:$D,3,0)</f>
        <v>Zone-1</v>
      </c>
      <c r="F68" s="143" t="str">
        <f>VLOOKUP(B68,'AFC Data details'!$B:$B,1,0)</f>
        <v>AZ1-V24-T1C6-006</v>
      </c>
    </row>
    <row r="69" spans="1:6" x14ac:dyDescent="0.25">
      <c r="A69" s="129">
        <v>45966</v>
      </c>
      <c r="B69" s="3" t="s">
        <v>1278</v>
      </c>
      <c r="C69" s="3">
        <v>1</v>
      </c>
      <c r="D69" s="3" t="str">
        <f>VLOOKUP(B69,'Element wise-detail Summary'!$A:$D,2,0)</f>
        <v>V24</v>
      </c>
      <c r="E69" s="143" t="str">
        <f>VLOOKUP(B69,'Element wise-detail Summary'!$A:$D,3,0)</f>
        <v>Zone-1</v>
      </c>
      <c r="F69" s="143" t="str">
        <f>VLOOKUP(B69,'AFC Data details'!$B:$B,1,0)</f>
        <v>AZ1-V24-T3C4-001</v>
      </c>
    </row>
    <row r="70" spans="1:6" x14ac:dyDescent="0.25">
      <c r="A70" s="129">
        <v>45966</v>
      </c>
      <c r="B70" s="3" t="s">
        <v>1281</v>
      </c>
      <c r="C70" s="3">
        <v>1</v>
      </c>
      <c r="D70" s="3" t="str">
        <f>VLOOKUP(B70,'Element wise-detail Summary'!$A:$D,2,0)</f>
        <v>V25</v>
      </c>
      <c r="E70" s="143" t="str">
        <f>VLOOKUP(B70,'Element wise-detail Summary'!$A:$D,3,0)</f>
        <v>Zone-1</v>
      </c>
      <c r="F70" s="143" t="str">
        <f>VLOOKUP(B70,'AFC Data details'!$B:$B,1,0)</f>
        <v>AZ1-V25-T1C1-001</v>
      </c>
    </row>
    <row r="71" spans="1:6" x14ac:dyDescent="0.25">
      <c r="A71" s="129">
        <v>45966</v>
      </c>
      <c r="B71" s="3" t="s">
        <v>1231</v>
      </c>
      <c r="C71" s="3">
        <v>1</v>
      </c>
      <c r="D71" s="3" t="str">
        <f>VLOOKUP(B71,'Element wise-detail Summary'!$A:$D,2,0)</f>
        <v>V25</v>
      </c>
      <c r="E71" s="143" t="str">
        <f>VLOOKUP(B71,'Element wise-detail Summary'!$A:$D,3,0)</f>
        <v>Zone-1</v>
      </c>
      <c r="F71" s="143" t="str">
        <f>VLOOKUP(B71,'AFC Data details'!$B:$B,1,0)</f>
        <v>AZ1-V25-T2C1-001</v>
      </c>
    </row>
    <row r="72" spans="1:6" x14ac:dyDescent="0.25">
      <c r="A72" s="129">
        <v>45966</v>
      </c>
      <c r="B72" s="3" t="s">
        <v>1277</v>
      </c>
      <c r="C72" s="3">
        <v>1</v>
      </c>
      <c r="D72" s="3" t="str">
        <f>VLOOKUP(B72,'Element wise-detail Summary'!$A:$D,2,0)</f>
        <v>V26</v>
      </c>
      <c r="E72" s="143" t="str">
        <f>VLOOKUP(B72,'Element wise-detail Summary'!$A:$D,3,0)</f>
        <v>Zone-1</v>
      </c>
      <c r="F72" s="143" t="str">
        <f>VLOOKUP(B72,'AFC Data details'!$B:$B,1,0)</f>
        <v>AZ1-V26-T3C4-001</v>
      </c>
    </row>
    <row r="73" spans="1:6" x14ac:dyDescent="0.25">
      <c r="A73" s="129">
        <v>45966</v>
      </c>
      <c r="B73" s="3" t="s">
        <v>1280</v>
      </c>
      <c r="C73" s="3">
        <v>1</v>
      </c>
      <c r="D73" s="3" t="str">
        <f>VLOOKUP(B73,'Element wise-detail Summary'!$A:$D,2,0)</f>
        <v>V26</v>
      </c>
      <c r="E73" s="143" t="str">
        <f>VLOOKUP(B73,'Element wise-detail Summary'!$A:$D,3,0)</f>
        <v>Zone-1</v>
      </c>
      <c r="F73" s="143" t="str">
        <f>VLOOKUP(B73,'AFC Data details'!$B:$B,1,0)</f>
        <v>AZ1-V26-T3C4-002</v>
      </c>
    </row>
    <row r="74" spans="1:6" x14ac:dyDescent="0.25">
      <c r="A74" s="129">
        <v>45969</v>
      </c>
      <c r="B74" s="3" t="s">
        <v>1301</v>
      </c>
      <c r="C74" s="3">
        <v>1</v>
      </c>
      <c r="D74" s="3" t="str">
        <f>VLOOKUP(B74,'Element wise-detail Summary'!$A:$D,2,0)</f>
        <v>V29</v>
      </c>
      <c r="E74" s="143" t="str">
        <f>VLOOKUP(B74,'Element wise-detail Summary'!$A:$D,3,0)</f>
        <v>Zone-1</v>
      </c>
      <c r="F74" s="143" t="str">
        <f>VLOOKUP(B74,'AFC Data details'!$B:$B,1,0)</f>
        <v>AZ1-V29-T1C2-001</v>
      </c>
    </row>
    <row r="75" spans="1:6" x14ac:dyDescent="0.25">
      <c r="A75" s="129">
        <v>45969</v>
      </c>
      <c r="B75" s="3" t="s">
        <v>1343</v>
      </c>
      <c r="C75" s="3">
        <v>1</v>
      </c>
      <c r="D75" s="3" t="str">
        <f>VLOOKUP(B75,'Element wise-detail Summary'!$A:$D,2,0)</f>
        <v>V32</v>
      </c>
      <c r="E75" s="143" t="str">
        <f>VLOOKUP(B75,'Element wise-detail Summary'!$A:$D,3,0)</f>
        <v>Zone-1</v>
      </c>
      <c r="F75" s="143" t="str">
        <f>VLOOKUP(B75,'AFC Data details'!$B:$B,1,0)</f>
        <v>AZ1-V32-T1C6-006</v>
      </c>
    </row>
    <row r="76" spans="1:6" x14ac:dyDescent="0.25">
      <c r="A76" s="129">
        <v>45969</v>
      </c>
      <c r="B76" s="3" t="s">
        <v>1345</v>
      </c>
      <c r="C76" s="3">
        <v>1</v>
      </c>
      <c r="D76" s="3" t="str">
        <f>VLOOKUP(B76,'Element wise-detail Summary'!$A:$D,2,0)</f>
        <v>V32</v>
      </c>
      <c r="E76" s="143" t="str">
        <f>VLOOKUP(B76,'Element wise-detail Summary'!$A:$D,3,0)</f>
        <v>Zone-1</v>
      </c>
      <c r="F76" s="143" t="str">
        <f>VLOOKUP(B76,'AFC Data details'!$B:$B,1,0)</f>
        <v>AZ1-V32-T3C5-001</v>
      </c>
    </row>
    <row r="77" spans="1:6" x14ac:dyDescent="0.25">
      <c r="A77" s="129">
        <v>45969</v>
      </c>
      <c r="B77" s="3" t="s">
        <v>1346</v>
      </c>
      <c r="C77" s="3">
        <v>1</v>
      </c>
      <c r="D77" s="3" t="str">
        <f>VLOOKUP(B77,'Element wise-detail Summary'!$A:$D,2,0)</f>
        <v>V32</v>
      </c>
      <c r="E77" s="143" t="str">
        <f>VLOOKUP(B77,'Element wise-detail Summary'!$A:$D,3,0)</f>
        <v>Zone-1</v>
      </c>
      <c r="F77" s="143" t="str">
        <f>VLOOKUP(B77,'AFC Data details'!$B:$B,1,0)</f>
        <v>AZ1-V32-T3C5-002</v>
      </c>
    </row>
    <row r="78" spans="1:6" x14ac:dyDescent="0.25">
      <c r="A78" s="129">
        <v>45969</v>
      </c>
      <c r="B78" s="3" t="s">
        <v>1336</v>
      </c>
      <c r="C78" s="3">
        <v>1</v>
      </c>
      <c r="D78" s="3" t="str">
        <f>VLOOKUP(B78,'Element wise-detail Summary'!$A:$D,2,0)</f>
        <v>V33</v>
      </c>
      <c r="E78" s="143" t="str">
        <f>VLOOKUP(B78,'Element wise-detail Summary'!$A:$D,3,0)</f>
        <v>Zone-1</v>
      </c>
      <c r="F78" s="143" t="str">
        <f>VLOOKUP(B78,'AFC Data details'!$B:$B,1,0)</f>
        <v>AZ1-V33-T1C6-005</v>
      </c>
    </row>
    <row r="79" spans="1:6" x14ac:dyDescent="0.25">
      <c r="A79" s="129">
        <v>45969</v>
      </c>
      <c r="B79" s="3" t="s">
        <v>1347</v>
      </c>
      <c r="C79" s="3">
        <v>1</v>
      </c>
      <c r="D79" s="3" t="str">
        <f>VLOOKUP(B79,'Element wise-detail Summary'!$A:$D,2,0)</f>
        <v>V33</v>
      </c>
      <c r="E79" s="143" t="str">
        <f>VLOOKUP(B79,'Element wise-detail Summary'!$A:$D,3,0)</f>
        <v>Zone-1</v>
      </c>
      <c r="F79" s="143" t="str">
        <f>VLOOKUP(B79,'AFC Data details'!$B:$B,1,0)</f>
        <v>AZ1-V33-T1C6-006</v>
      </c>
    </row>
    <row r="80" spans="1:6" x14ac:dyDescent="0.25">
      <c r="A80" s="129">
        <v>45969</v>
      </c>
      <c r="B80" s="3" t="s">
        <v>1349</v>
      </c>
      <c r="C80" s="3">
        <v>1</v>
      </c>
      <c r="D80" s="3" t="str">
        <f>VLOOKUP(B80,'Element wise-detail Summary'!$A:$D,2,0)</f>
        <v>V33</v>
      </c>
      <c r="E80" s="143" t="str">
        <f>VLOOKUP(B80,'Element wise-detail Summary'!$A:$D,3,0)</f>
        <v>Zone-1</v>
      </c>
      <c r="F80" s="143" t="str">
        <f>VLOOKUP(B80,'AFC Data details'!$B:$B,1,0)</f>
        <v>AZ1-V33-T3C5-001</v>
      </c>
    </row>
    <row r="81" spans="1:6" x14ac:dyDescent="0.25">
      <c r="A81" s="129">
        <v>45969</v>
      </c>
      <c r="B81" s="3" t="s">
        <v>1350</v>
      </c>
      <c r="C81" s="3">
        <v>1</v>
      </c>
      <c r="D81" s="3" t="str">
        <f>VLOOKUP(B81,'Element wise-detail Summary'!$A:$D,2,0)</f>
        <v>V33</v>
      </c>
      <c r="E81" s="143" t="str">
        <f>VLOOKUP(B81,'Element wise-detail Summary'!$A:$D,3,0)</f>
        <v>Zone-1</v>
      </c>
      <c r="F81" s="143" t="str">
        <f>VLOOKUP(B81,'AFC Data details'!$B:$B,1,0)</f>
        <v>AZ1-V33-T3C5-002</v>
      </c>
    </row>
    <row r="82" spans="1:6" x14ac:dyDescent="0.25">
      <c r="A82" s="129">
        <v>45971</v>
      </c>
      <c r="B82" s="3" t="s">
        <v>1303</v>
      </c>
      <c r="C82" s="3">
        <v>1</v>
      </c>
      <c r="D82" s="3" t="str">
        <f>VLOOKUP(B82,'Element wise-detail Summary'!$A:$D,2,0)</f>
        <v>V29</v>
      </c>
      <c r="E82" s="143" t="str">
        <f>VLOOKUP(B82,'Element wise-detail Summary'!$A:$D,3,0)</f>
        <v>Zone-1</v>
      </c>
      <c r="F82" s="143" t="str">
        <f>VLOOKUP(B82,'AFC Data details'!$B:$B,1,0)</f>
        <v>AZ1-V29-T2C1-001</v>
      </c>
    </row>
    <row r="83" spans="1:6" x14ac:dyDescent="0.25">
      <c r="A83" s="129">
        <v>45971</v>
      </c>
      <c r="B83" s="3" t="s">
        <v>1321</v>
      </c>
      <c r="C83" s="3">
        <v>1</v>
      </c>
      <c r="D83" s="3" t="str">
        <f>VLOOKUP(B83,'Element wise-detail Summary'!$A:$D,2,0)</f>
        <v>V29</v>
      </c>
      <c r="E83" s="143" t="str">
        <f>VLOOKUP(B83,'Element wise-detail Summary'!$A:$D,3,0)</f>
        <v>Zone-1</v>
      </c>
      <c r="F83" s="143" t="str">
        <f>VLOOKUP(B83,'AFC Data details'!$B:$B,1,0)</f>
        <v>AZ1-V29-T1C6-005</v>
      </c>
    </row>
    <row r="84" spans="1:6" x14ac:dyDescent="0.25">
      <c r="A84" s="129">
        <v>45971</v>
      </c>
      <c r="B84" s="3" t="s">
        <v>1331</v>
      </c>
      <c r="C84" s="3">
        <v>1</v>
      </c>
      <c r="D84" s="3" t="str">
        <f>VLOOKUP(B84,'Element wise-detail Summary'!$A:$D,2,0)</f>
        <v>V29</v>
      </c>
      <c r="E84" s="143" t="str">
        <f>VLOOKUP(B84,'Element wise-detail Summary'!$A:$D,3,0)</f>
        <v>Zone-1</v>
      </c>
      <c r="F84" s="143" t="str">
        <f>VLOOKUP(B84,'AFC Data details'!$B:$B,1,0)</f>
        <v>AZ1-V29-T1C6-006</v>
      </c>
    </row>
    <row r="85" spans="1:6" x14ac:dyDescent="0.25">
      <c r="A85" s="129">
        <v>45971</v>
      </c>
      <c r="B85" s="3" t="s">
        <v>1326</v>
      </c>
      <c r="C85" s="3">
        <v>1</v>
      </c>
      <c r="D85" s="3" t="str">
        <f>VLOOKUP(B85,'Element wise-detail Summary'!$A:$D,2,0)</f>
        <v>V30</v>
      </c>
      <c r="E85" s="143" t="str">
        <f>VLOOKUP(B85,'Element wise-detail Summary'!$A:$D,3,0)</f>
        <v>Zone-1</v>
      </c>
      <c r="F85" s="143" t="str">
        <f>VLOOKUP(B85,'AFC Data details'!$B:$B,1,0)</f>
        <v>AZ1-V30-T3C5-001</v>
      </c>
    </row>
    <row r="86" spans="1:6" x14ac:dyDescent="0.25">
      <c r="A86" s="129">
        <v>45971</v>
      </c>
      <c r="B86" s="3" t="s">
        <v>1327</v>
      </c>
      <c r="C86" s="3">
        <v>1</v>
      </c>
      <c r="D86" s="3" t="str">
        <f>VLOOKUP(B86,'Element wise-detail Summary'!$A:$D,2,0)</f>
        <v>V30</v>
      </c>
      <c r="E86" s="143" t="str">
        <f>VLOOKUP(B86,'Element wise-detail Summary'!$A:$D,3,0)</f>
        <v>Zone-1</v>
      </c>
      <c r="F86" s="143" t="str">
        <f>VLOOKUP(B86,'AFC Data details'!$B:$B,1,0)</f>
        <v>AZ1-V30-T3C5-002</v>
      </c>
    </row>
    <row r="87" spans="1:6" x14ac:dyDescent="0.25">
      <c r="A87" s="129">
        <v>45971</v>
      </c>
      <c r="B87" s="3" t="s">
        <v>1304</v>
      </c>
      <c r="C87" s="3">
        <v>1</v>
      </c>
      <c r="D87" s="3" t="str">
        <f>VLOOKUP(B87,'Element wise-detail Summary'!$A:$D,2,0)</f>
        <v>V29</v>
      </c>
      <c r="E87" s="143" t="str">
        <f>VLOOKUP(B87,'Element wise-detail Summary'!$A:$D,3,0)</f>
        <v>Zone-1</v>
      </c>
      <c r="F87" s="143" t="str">
        <f>VLOOKUP(B87,'AFC Data details'!$B:$B,1,0)</f>
        <v>AZ1-V29-T3C5-001</v>
      </c>
    </row>
    <row r="88" spans="1:6" x14ac:dyDescent="0.25">
      <c r="A88" s="129">
        <v>45971</v>
      </c>
      <c r="B88" s="3" t="s">
        <v>1305</v>
      </c>
      <c r="C88" s="3">
        <v>1</v>
      </c>
      <c r="D88" s="3" t="str">
        <f>VLOOKUP(B88,'Element wise-detail Summary'!$A:$D,2,0)</f>
        <v>V29</v>
      </c>
      <c r="E88" s="143" t="str">
        <f>VLOOKUP(B88,'Element wise-detail Summary'!$A:$D,3,0)</f>
        <v>Zone-1</v>
      </c>
      <c r="F88" s="143" t="str">
        <f>VLOOKUP(B88,'AFC Data details'!$B:$B,1,0)</f>
        <v>AZ1-V29-T3C5-002</v>
      </c>
    </row>
    <row r="89" spans="1:6" x14ac:dyDescent="0.25">
      <c r="A89" s="129">
        <v>45971</v>
      </c>
      <c r="B89" s="3" t="s">
        <v>1335</v>
      </c>
      <c r="C89" s="3">
        <v>1</v>
      </c>
      <c r="D89" s="3" t="str">
        <f>VLOOKUP(B89,'Element wise-detail Summary'!$A:$D,2,0)</f>
        <v>V32</v>
      </c>
      <c r="E89" s="143" t="str">
        <f>VLOOKUP(B89,'Element wise-detail Summary'!$A:$D,3,0)</f>
        <v>Zone-1</v>
      </c>
      <c r="F89" s="143" t="str">
        <f>VLOOKUP(B89,'AFC Data details'!$B:$B,1,0)</f>
        <v>AZ1-V32-T1C6-005</v>
      </c>
    </row>
    <row r="90" spans="1:6" x14ac:dyDescent="0.25">
      <c r="A90" s="129">
        <v>45972</v>
      </c>
      <c r="B90" s="3" t="s">
        <v>1332</v>
      </c>
      <c r="C90" s="3">
        <v>1</v>
      </c>
      <c r="D90" s="3" t="str">
        <f>VLOOKUP(B90,'Element wise-detail Summary'!$A:$D,2,0)</f>
        <v>V31</v>
      </c>
      <c r="E90" s="143" t="str">
        <f>VLOOKUP(B90,'Element wise-detail Summary'!$A:$D,3,0)</f>
        <v>Zone-1</v>
      </c>
      <c r="F90" s="143" t="str">
        <f>VLOOKUP(B90,'AFC Data details'!$B:$B,1,0)</f>
        <v>AZ1-V31-T3C5-001</v>
      </c>
    </row>
    <row r="91" spans="1:6" x14ac:dyDescent="0.25">
      <c r="A91" s="129">
        <v>45972</v>
      </c>
      <c r="B91" s="3" t="s">
        <v>1333</v>
      </c>
      <c r="C91" s="3">
        <v>1</v>
      </c>
      <c r="D91" s="3" t="str">
        <f>VLOOKUP(B91,'Element wise-detail Summary'!$A:$D,2,0)</f>
        <v>V31</v>
      </c>
      <c r="E91" s="143" t="str">
        <f>VLOOKUP(B91,'Element wise-detail Summary'!$A:$D,3,0)</f>
        <v>Zone-1</v>
      </c>
      <c r="F91" s="143" t="str">
        <f>VLOOKUP(B91,'AFC Data details'!$B:$B,1,0)</f>
        <v>AZ1-V31-T3C5-002</v>
      </c>
    </row>
    <row r="92" spans="1:6" x14ac:dyDescent="0.25">
      <c r="A92" s="129">
        <v>45972</v>
      </c>
      <c r="B92" s="3" t="s">
        <v>1266</v>
      </c>
      <c r="C92" s="3">
        <v>1</v>
      </c>
      <c r="D92" s="3" t="str">
        <f>VLOOKUP(B92,'Element wise-detail Summary'!$A:$D,2,0)</f>
        <v>V33</v>
      </c>
      <c r="E92" s="143" t="str">
        <f>VLOOKUP(B92,'Element wise-detail Summary'!$A:$D,3,0)</f>
        <v>Zone-1</v>
      </c>
      <c r="F92" s="143" t="str">
        <f>VLOOKUP(B92,'AFC Data details'!$B:$B,1,0)</f>
        <v>AZ1-V33-T2C1-001</v>
      </c>
    </row>
    <row r="93" spans="1:6" x14ac:dyDescent="0.25">
      <c r="A93" s="129">
        <v>45972</v>
      </c>
      <c r="B93" s="3" t="s">
        <v>1354</v>
      </c>
      <c r="C93" s="3">
        <v>1</v>
      </c>
      <c r="D93" s="3" t="str">
        <f>VLOOKUP(B93,'Element wise-detail Summary'!$A:$D,2,0)</f>
        <v>V34</v>
      </c>
      <c r="E93" s="143" t="str">
        <f>VLOOKUP(B93,'Element wise-detail Summary'!$A:$D,3,0)</f>
        <v>Zone-1</v>
      </c>
      <c r="F93" s="143" t="str">
        <f>VLOOKUP(B93,'AFC Data details'!$B:$B,1,0)</f>
        <v>AZ1-V34-T1C13-004</v>
      </c>
    </row>
    <row r="94" spans="1:6" x14ac:dyDescent="0.25">
      <c r="A94" s="129">
        <v>45972</v>
      </c>
      <c r="B94" s="3" t="s">
        <v>1229</v>
      </c>
      <c r="C94" s="3">
        <v>1</v>
      </c>
      <c r="D94" s="3" t="str">
        <f>VLOOKUP(B94,'Element wise-detail Summary'!$A:$D,2,0)</f>
        <v>V34</v>
      </c>
      <c r="E94" s="143" t="str">
        <f>VLOOKUP(B94,'Element wise-detail Summary'!$A:$D,3,0)</f>
        <v>Zone-1</v>
      </c>
      <c r="F94" s="143" t="str">
        <f>VLOOKUP(B94,'AFC Data details'!$B:$B,1,0)</f>
        <v>AZ1-V34-T1C2-001</v>
      </c>
    </row>
    <row r="95" spans="1:6" x14ac:dyDescent="0.25">
      <c r="A95" s="129">
        <v>45972</v>
      </c>
      <c r="B95" s="3" t="s">
        <v>1357</v>
      </c>
      <c r="C95" s="3">
        <v>1</v>
      </c>
      <c r="D95" s="3" t="str">
        <f>VLOOKUP(B95,'Element wise-detail Summary'!$A:$D,2,0)</f>
        <v>V34</v>
      </c>
      <c r="E95" s="143" t="str">
        <f>VLOOKUP(B95,'Element wise-detail Summary'!$A:$D,3,0)</f>
        <v>Zone-1</v>
      </c>
      <c r="F95" s="143" t="str">
        <f>VLOOKUP(B95,'AFC Data details'!$B:$B,1,0)</f>
        <v>AZ1-V34-T3C5-001</v>
      </c>
    </row>
    <row r="96" spans="1:6" x14ac:dyDescent="0.25">
      <c r="A96" s="129">
        <v>45972</v>
      </c>
      <c r="B96" s="3" t="s">
        <v>1358</v>
      </c>
      <c r="C96" s="3">
        <v>1</v>
      </c>
      <c r="D96" s="3" t="str">
        <f>VLOOKUP(B96,'Element wise-detail Summary'!$A:$D,2,0)</f>
        <v>V34</v>
      </c>
      <c r="E96" s="143" t="str">
        <f>VLOOKUP(B96,'Element wise-detail Summary'!$A:$D,3,0)</f>
        <v>Zone-1</v>
      </c>
      <c r="F96" s="143" t="str">
        <f>VLOOKUP(B96,'AFC Data details'!$B:$B,1,0)</f>
        <v>AZ1-V34-T3C5-002</v>
      </c>
    </row>
    <row r="97" spans="1:6" x14ac:dyDescent="0.25">
      <c r="A97" s="129">
        <v>45972</v>
      </c>
      <c r="B97" s="3" t="s">
        <v>1364</v>
      </c>
      <c r="C97" s="3">
        <v>1</v>
      </c>
      <c r="D97" s="3" t="str">
        <f>VLOOKUP(B97,'Element wise-detail Summary'!$A:$D,2,0)</f>
        <v>V35</v>
      </c>
      <c r="E97" s="143" t="str">
        <f>VLOOKUP(B97,'Element wise-detail Summary'!$A:$D,3,0)</f>
        <v>Zone-2</v>
      </c>
      <c r="F97" s="143" t="str">
        <f>VLOOKUP(B97,'AFC Data details'!$B:$B,1,0)</f>
        <v>AZ2-V35-T1C14-003</v>
      </c>
    </row>
    <row r="98" spans="1:6" x14ac:dyDescent="0.25">
      <c r="A98" s="129">
        <v>45994</v>
      </c>
      <c r="B98" s="3" t="s">
        <v>1420</v>
      </c>
      <c r="C98" s="3">
        <v>1</v>
      </c>
      <c r="D98" s="3" t="str">
        <f>VLOOKUP(B98,'Element wise-detail Summary'!$A:$D,2,0)</f>
        <v>V41</v>
      </c>
      <c r="E98" s="143" t="str">
        <f>VLOOKUP(B98,'Element wise-detail Summary'!$A:$D,3,0)</f>
        <v>Zone-2</v>
      </c>
      <c r="F98" s="143" t="str">
        <f>VLOOKUP(B98,'AFC Data details'!$B:$B,1,0)</f>
        <v>AZ2-V41-T2C1-001</v>
      </c>
    </row>
    <row r="99" spans="1:6" x14ac:dyDescent="0.25">
      <c r="A99" s="129">
        <v>45994</v>
      </c>
      <c r="B99" s="3" t="s">
        <v>1430</v>
      </c>
      <c r="C99" s="3">
        <v>0</v>
      </c>
      <c r="D99" s="3" t="str">
        <f>VLOOKUP(B99,'Element wise-detail Summary'!$A:$D,2,0)</f>
        <v>V42</v>
      </c>
      <c r="E99" s="143" t="str">
        <f>VLOOKUP(B99,'Element wise-detail Summary'!$A:$D,3,0)</f>
        <v>Zone-2</v>
      </c>
      <c r="F99" s="143" t="str">
        <f>VLOOKUP(B99,'AFC Data details'!$B:$B,1,0)</f>
        <v>AZ2-V42-T3C1-001</v>
      </c>
    </row>
    <row r="100" spans="1:6" x14ac:dyDescent="0.25">
      <c r="A100" s="129">
        <v>45994</v>
      </c>
      <c r="B100" s="3" t="s">
        <v>1431</v>
      </c>
      <c r="C100" s="3">
        <v>1</v>
      </c>
      <c r="D100" s="3" t="str">
        <f>VLOOKUP(B100,'Element wise-detail Summary'!$A:$D,2,0)</f>
        <v>V42</v>
      </c>
      <c r="E100" s="143" t="str">
        <f>VLOOKUP(B100,'Element wise-detail Summary'!$A:$D,3,0)</f>
        <v>Zone-2</v>
      </c>
      <c r="F100" s="143" t="str">
        <f>VLOOKUP(B100,'AFC Data details'!$B:$B,1,0)</f>
        <v>AZ2-V42-T3C1-002</v>
      </c>
    </row>
    <row r="101" spans="1:6" x14ac:dyDescent="0.25">
      <c r="A101" s="129">
        <v>45994</v>
      </c>
      <c r="B101" s="3" t="s">
        <v>1432</v>
      </c>
      <c r="C101" s="3">
        <v>1</v>
      </c>
      <c r="D101" s="3" t="str">
        <f>VLOOKUP(B101,'Element wise-detail Summary'!$A:$D,2,0)</f>
        <v>V42</v>
      </c>
      <c r="E101" s="143" t="str">
        <f>VLOOKUP(B101,'Element wise-detail Summary'!$A:$D,3,0)</f>
        <v>Zone-2</v>
      </c>
      <c r="F101" s="143" t="str">
        <f>VLOOKUP(B101,'AFC Data details'!$B:$B,1,0)</f>
        <v>AZ2-V42-T3C1-003</v>
      </c>
    </row>
    <row r="102" spans="1:6" x14ac:dyDescent="0.25">
      <c r="A102" s="129">
        <v>45996</v>
      </c>
      <c r="B102" s="3" t="s">
        <v>1238</v>
      </c>
      <c r="C102" s="3">
        <v>1</v>
      </c>
      <c r="D102" s="3" t="str">
        <f>VLOOKUP(B102,'Element wise-detail Summary'!$A:$D,2,0)</f>
        <v>V21</v>
      </c>
      <c r="E102" s="143" t="str">
        <f>VLOOKUP(B102,'Element wise-detail Summary'!$A:$D,3,0)</f>
        <v>Zone-1</v>
      </c>
      <c r="F102" s="143" t="str">
        <f>VLOOKUP(B102,'AFC Data details'!$B:$B,1,0)</f>
        <v>AZ1-V21-T1C6-002</v>
      </c>
    </row>
    <row r="103" spans="1:6" x14ac:dyDescent="0.25">
      <c r="A103" s="129">
        <v>45996</v>
      </c>
      <c r="B103" s="3" t="s">
        <v>1236</v>
      </c>
      <c r="C103" s="3">
        <v>1</v>
      </c>
      <c r="D103" s="3" t="str">
        <f>VLOOKUP(B103,'Element wise-detail Summary'!$A:$D,2,0)</f>
        <v>V21</v>
      </c>
      <c r="E103" s="143" t="str">
        <f>VLOOKUP(B103,'Element wise-detail Summary'!$A:$D,3,0)</f>
        <v>Zone-1</v>
      </c>
      <c r="F103" s="143" t="str">
        <f>VLOOKUP(B103,'AFC Data details'!$B:$B,1,0)</f>
        <v>AZ1-V21-T1C6-003</v>
      </c>
    </row>
    <row r="104" spans="1:6" x14ac:dyDescent="0.25">
      <c r="A104" s="129">
        <v>45996</v>
      </c>
      <c r="B104" s="3" t="s">
        <v>1256</v>
      </c>
      <c r="C104" s="3">
        <v>1</v>
      </c>
      <c r="D104" s="3" t="str">
        <f>VLOOKUP(B104,'Element wise-detail Summary'!$A:$D,2,0)</f>
        <v>V21</v>
      </c>
      <c r="E104" s="143" t="str">
        <f>VLOOKUP(B104,'Element wise-detail Summary'!$A:$D,3,0)</f>
        <v>Zone-1</v>
      </c>
      <c r="F104" s="143" t="str">
        <f>VLOOKUP(B104,'AFC Data details'!$B:$B,1,0)</f>
        <v>AZ1-V21-T1C6-004</v>
      </c>
    </row>
    <row r="105" spans="1:6" x14ac:dyDescent="0.25">
      <c r="A105" s="129">
        <v>45996</v>
      </c>
      <c r="B105" s="3" t="s">
        <v>1252</v>
      </c>
      <c r="C105" s="3">
        <v>1</v>
      </c>
      <c r="D105" s="3" t="str">
        <f>VLOOKUP(B105,'Element wise-detail Summary'!$A:$D,2,0)</f>
        <v>V22</v>
      </c>
      <c r="E105" s="143" t="str">
        <f>VLOOKUP(B105,'Element wise-detail Summary'!$A:$D,3,0)</f>
        <v>Zone-1</v>
      </c>
      <c r="F105" s="143" t="str">
        <f>VLOOKUP(B105,'AFC Data details'!$B:$B,1,0)</f>
        <v>AZ1-V22-T1C6-004</v>
      </c>
    </row>
    <row r="106" spans="1:6" x14ac:dyDescent="0.25">
      <c r="A106" s="129">
        <v>46000</v>
      </c>
      <c r="B106" s="3" t="s">
        <v>1314</v>
      </c>
      <c r="C106" s="3">
        <v>1</v>
      </c>
      <c r="D106" s="3" t="str">
        <f>VLOOKUP(B106,'Element wise-detail Summary'!$A:$D,2,0)</f>
        <v>V26</v>
      </c>
      <c r="E106" s="143" t="str">
        <f>VLOOKUP(B106,'Element wise-detail Summary'!$A:$D,3,0)</f>
        <v>Zone-1</v>
      </c>
      <c r="F106" s="143" t="str">
        <f>VLOOKUP(B106,'AFC Data details'!$B:$B,1,0)</f>
        <v>AZ1-V26-T1C6-002</v>
      </c>
    </row>
    <row r="107" spans="1:6" x14ac:dyDescent="0.25">
      <c r="A107" s="129">
        <v>46000</v>
      </c>
      <c r="B107" s="3" t="s">
        <v>1312</v>
      </c>
      <c r="C107" s="3">
        <v>1</v>
      </c>
      <c r="D107" s="3" t="str">
        <f>VLOOKUP(B107,'Element wise-detail Summary'!$A:$D,2,0)</f>
        <v>V26</v>
      </c>
      <c r="E107" s="143" t="str">
        <f>VLOOKUP(B107,'Element wise-detail Summary'!$A:$D,3,0)</f>
        <v>Zone-1</v>
      </c>
      <c r="F107" s="143" t="str">
        <f>VLOOKUP(B107,'AFC Data details'!$B:$B,1,0)</f>
        <v>AZ1-V26-T1C6-003</v>
      </c>
    </row>
    <row r="108" spans="1:6" x14ac:dyDescent="0.25">
      <c r="A108" s="129">
        <v>46000</v>
      </c>
      <c r="B108" s="3" t="s">
        <v>1288</v>
      </c>
      <c r="C108" s="3">
        <v>1</v>
      </c>
      <c r="D108" s="3" t="str">
        <f>VLOOKUP(B108,'Element wise-detail Summary'!$A:$D,2,0)</f>
        <v>V26</v>
      </c>
      <c r="E108" s="143" t="str">
        <f>VLOOKUP(B108,'Element wise-detail Summary'!$A:$D,3,0)</f>
        <v>Zone-1</v>
      </c>
      <c r="F108" s="143" t="str">
        <f>VLOOKUP(B108,'AFC Data details'!$B:$B,1,0)</f>
        <v>AZ1-V26-T1C6-004</v>
      </c>
    </row>
    <row r="109" spans="1:6" x14ac:dyDescent="0.25">
      <c r="A109" s="129">
        <v>46000</v>
      </c>
      <c r="B109" s="3" t="s">
        <v>1289</v>
      </c>
      <c r="C109" s="3">
        <v>1</v>
      </c>
      <c r="D109" s="3" t="str">
        <f>VLOOKUP(B109,'Element wise-detail Summary'!$A:$D,2,0)</f>
        <v>V27</v>
      </c>
      <c r="E109" s="143" t="str">
        <f>VLOOKUP(B109,'Element wise-detail Summary'!$A:$D,3,0)</f>
        <v>Zone-1</v>
      </c>
      <c r="F109" s="143" t="str">
        <f>VLOOKUP(B109,'AFC Data details'!$B:$B,1,0)</f>
        <v>AZ1-V27-T1C6-004</v>
      </c>
    </row>
    <row r="110" spans="1:6" x14ac:dyDescent="0.25">
      <c r="A110" s="158"/>
      <c r="B110" s="3" t="s">
        <v>1182</v>
      </c>
      <c r="C110" s="3">
        <v>1</v>
      </c>
      <c r="D110" s="3" t="str">
        <f>VLOOKUP(B110,'Element wise-detail Summary'!$A:$D,2,0)</f>
        <v>V19</v>
      </c>
      <c r="E110" s="143" t="str">
        <f>VLOOKUP(B110,'Element wise-detail Summary'!$A:$D,3,0)</f>
        <v>Zone-1</v>
      </c>
      <c r="F110" s="143" t="str">
        <f>VLOOKUP(B110,'AFC Data details'!$B:$B,1,0)</f>
        <v>AZ1-V19-T1C15S-002</v>
      </c>
    </row>
    <row r="111" spans="1:6" x14ac:dyDescent="0.25">
      <c r="A111" s="158"/>
      <c r="B111" s="3" t="s">
        <v>1179</v>
      </c>
      <c r="C111" s="3">
        <v>1</v>
      </c>
      <c r="D111" s="3" t="str">
        <f>VLOOKUP(B111,'Element wise-detail Summary'!$A:$D,2,0)</f>
        <v>V19</v>
      </c>
      <c r="E111" s="143" t="str">
        <f>VLOOKUP(B111,'Element wise-detail Summary'!$A:$D,3,0)</f>
        <v>Zone-1</v>
      </c>
      <c r="F111" s="143" t="str">
        <f>VLOOKUP(B111,'AFC Data details'!$B:$B,1,0)</f>
        <v>AZ1-V19-T2C1-001</v>
      </c>
    </row>
    <row r="112" spans="1:6" x14ac:dyDescent="0.25">
      <c r="A112" s="158"/>
      <c r="B112" s="3" t="s">
        <v>1232</v>
      </c>
      <c r="C112" s="3">
        <v>1</v>
      </c>
      <c r="D112" s="3" t="str">
        <f>VLOOKUP(B112,'Element wise-detail Summary'!$A:$D,2,0)</f>
        <v>V31</v>
      </c>
      <c r="E112" s="143" t="str">
        <f>VLOOKUP(B112,'Element wise-detail Summary'!$A:$D,3,0)</f>
        <v>Zone-1</v>
      </c>
      <c r="F112" s="143" t="str">
        <f>VLOOKUP(B112,'AFC Data details'!$B:$B,1,0)</f>
        <v>AZ1-V31-T2C1-001</v>
      </c>
    </row>
    <row r="113" spans="1:6" x14ac:dyDescent="0.25">
      <c r="A113" s="158"/>
      <c r="B113" s="3" t="s">
        <v>1234</v>
      </c>
      <c r="C113" s="3">
        <v>1</v>
      </c>
      <c r="D113" s="3" t="str">
        <f>VLOOKUP(B113,'Element wise-detail Summary'!$A:$D,2,0)</f>
        <v>V20</v>
      </c>
      <c r="E113" s="143" t="str">
        <f>VLOOKUP(B113,'Element wise-detail Summary'!$A:$D,3,0)</f>
        <v>Zone-1</v>
      </c>
      <c r="F113" s="143" t="str">
        <f>VLOOKUP(B113,'AFC Data details'!$B:$B,1,0)</f>
        <v>AZ1-V20-T1C6-001</v>
      </c>
    </row>
    <row r="114" spans="1:6" x14ac:dyDescent="0.25">
      <c r="A114" s="158"/>
      <c r="B114" s="3" t="s">
        <v>1235</v>
      </c>
      <c r="C114" s="3">
        <v>1</v>
      </c>
      <c r="D114" s="3" t="str">
        <f>VLOOKUP(B114,'Element wise-detail Summary'!$A:$D,2,0)</f>
        <v>V20</v>
      </c>
      <c r="E114" s="143" t="str">
        <f>VLOOKUP(B114,'Element wise-detail Summary'!$A:$D,3,0)</f>
        <v>Zone-1</v>
      </c>
      <c r="F114" s="143" t="str">
        <f>VLOOKUP(B114,'AFC Data details'!$B:$B,1,0)</f>
        <v>AZ1-V20-T1C6-003</v>
      </c>
    </row>
    <row r="115" spans="1:6" x14ac:dyDescent="0.25">
      <c r="A115" s="158"/>
      <c r="B115" s="3" t="s">
        <v>1237</v>
      </c>
      <c r="C115" s="3">
        <v>1</v>
      </c>
      <c r="D115" s="3" t="str">
        <f>VLOOKUP(B115,'Element wise-detail Summary'!$A:$D,2,0)</f>
        <v>V20</v>
      </c>
      <c r="E115" s="143" t="str">
        <f>VLOOKUP(B115,'Element wise-detail Summary'!$A:$D,3,0)</f>
        <v>Zone-1</v>
      </c>
      <c r="F115" s="143" t="str">
        <f>VLOOKUP(B115,'AFC Data details'!$B:$B,1,0)</f>
        <v>AZ1-V20-T1C6-002</v>
      </c>
    </row>
    <row r="116" spans="1:6" x14ac:dyDescent="0.25">
      <c r="A116" s="158"/>
      <c r="B116" s="3" t="s">
        <v>1240</v>
      </c>
      <c r="C116" s="3">
        <v>1</v>
      </c>
      <c r="D116" s="3" t="str">
        <f>VLOOKUP(B116,'Element wise-detail Summary'!$A:$D,2,0)</f>
        <v>V21</v>
      </c>
      <c r="E116" s="143" t="str">
        <f>VLOOKUP(B116,'Element wise-detail Summary'!$A:$D,3,0)</f>
        <v>Zone-1</v>
      </c>
      <c r="F116" s="143" t="str">
        <f>VLOOKUP(B116,'AFC Data details'!$B:$B,1,0)</f>
        <v>AZ1-V21-T1C6-001</v>
      </c>
    </row>
    <row r="117" spans="1:6" x14ac:dyDescent="0.25">
      <c r="A117" s="158"/>
      <c r="B117" s="3" t="s">
        <v>1245</v>
      </c>
      <c r="C117" s="3">
        <v>1</v>
      </c>
      <c r="D117" s="3" t="str">
        <f>VLOOKUP(B117,'Element wise-detail Summary'!$A:$D,2,0)</f>
        <v>V22</v>
      </c>
      <c r="E117" s="143" t="str">
        <f>VLOOKUP(B117,'Element wise-detail Summary'!$A:$D,3,0)</f>
        <v>Zone-1</v>
      </c>
      <c r="F117" s="143" t="str">
        <f>VLOOKUP(B117,'AFC Data details'!$B:$B,1,0)</f>
        <v>AZ1-V22-T1C6-001</v>
      </c>
    </row>
    <row r="118" spans="1:6" x14ac:dyDescent="0.25">
      <c r="A118" s="158"/>
      <c r="B118" s="3" t="s">
        <v>1246</v>
      </c>
      <c r="C118" s="3">
        <v>1</v>
      </c>
      <c r="D118" s="3" t="str">
        <f>VLOOKUP(B118,'Element wise-detail Summary'!$A:$D,2,0)</f>
        <v>V22</v>
      </c>
      <c r="E118" s="143" t="str">
        <f>VLOOKUP(B118,'Element wise-detail Summary'!$A:$D,3,0)</f>
        <v>Zone-1</v>
      </c>
      <c r="F118" s="143" t="str">
        <f>VLOOKUP(B118,'AFC Data details'!$B:$B,1,0)</f>
        <v>AZ1-V22-T1C6-003</v>
      </c>
    </row>
    <row r="119" spans="1:6" x14ac:dyDescent="0.25">
      <c r="A119" s="158"/>
      <c r="B119" s="3" t="s">
        <v>1247</v>
      </c>
      <c r="C119" s="3">
        <v>1</v>
      </c>
      <c r="D119" s="3" t="str">
        <f>VLOOKUP(B119,'Element wise-detail Summary'!$A:$D,2,0)</f>
        <v>V23</v>
      </c>
      <c r="E119" s="143" t="str">
        <f>VLOOKUP(B119,'Element wise-detail Summary'!$A:$D,3,0)</f>
        <v>Zone-1</v>
      </c>
      <c r="F119" s="143" t="str">
        <f>VLOOKUP(B119,'AFC Data details'!$B:$B,1,0)</f>
        <v>AZ1-V23-T1C6-003</v>
      </c>
    </row>
    <row r="120" spans="1:6" x14ac:dyDescent="0.25">
      <c r="A120" s="158"/>
      <c r="B120" s="3" t="s">
        <v>1248</v>
      </c>
      <c r="C120" s="3">
        <v>1</v>
      </c>
      <c r="D120" s="3" t="str">
        <f>VLOOKUP(B120,'Element wise-detail Summary'!$A:$D,2,0)</f>
        <v>V22</v>
      </c>
      <c r="E120" s="143" t="str">
        <f>VLOOKUP(B120,'Element wise-detail Summary'!$A:$D,3,0)</f>
        <v>Zone-1</v>
      </c>
      <c r="F120" s="143" t="str">
        <f>VLOOKUP(B120,'AFC Data details'!$B:$B,1,0)</f>
        <v>AZ1-V22-T1C6-002</v>
      </c>
    </row>
    <row r="121" spans="1:6" x14ac:dyDescent="0.25">
      <c r="A121" s="158"/>
      <c r="B121" s="3" t="s">
        <v>1202</v>
      </c>
      <c r="C121" s="3">
        <v>1</v>
      </c>
      <c r="D121" s="3" t="str">
        <f>VLOOKUP(B121,'Element wise-detail Summary'!$A:$D,2,0)</f>
        <v>V20</v>
      </c>
      <c r="E121" s="143" t="str">
        <f>VLOOKUP(B121,'Element wise-detail Summary'!$A:$D,3,0)</f>
        <v>Zone-1</v>
      </c>
      <c r="F121" s="143" t="str">
        <f>VLOOKUP(B121,'AFC Data details'!$B:$B,1,0)</f>
        <v>AZ1-V20-T1C6-005</v>
      </c>
    </row>
    <row r="122" spans="1:6" x14ac:dyDescent="0.25">
      <c r="A122" s="158"/>
      <c r="B122" s="3" t="s">
        <v>1255</v>
      </c>
      <c r="C122" s="3">
        <v>1</v>
      </c>
      <c r="D122" s="3" t="str">
        <f>VLOOKUP(B122,'Element wise-detail Summary'!$A:$D,2,0)</f>
        <v>V20</v>
      </c>
      <c r="E122" s="143" t="str">
        <f>VLOOKUP(B122,'Element wise-detail Summary'!$A:$D,3,0)</f>
        <v>Zone-1</v>
      </c>
      <c r="F122" s="143" t="str">
        <f>VLOOKUP(B122,'AFC Data details'!$B:$B,1,0)</f>
        <v>AZ1-V20-T1C6-004</v>
      </c>
    </row>
    <row r="123" spans="1:6" x14ac:dyDescent="0.25">
      <c r="A123" s="158"/>
      <c r="B123" s="3" t="s">
        <v>1261</v>
      </c>
      <c r="C123" s="3">
        <v>1</v>
      </c>
      <c r="D123" s="3" t="str">
        <f>VLOOKUP(B123,'Element wise-detail Summary'!$A:$D,2,0)</f>
        <v>V23</v>
      </c>
      <c r="E123" s="143" t="str">
        <f>VLOOKUP(B123,'Element wise-detail Summary'!$A:$D,3,0)</f>
        <v>Zone-1</v>
      </c>
      <c r="F123" s="143" t="str">
        <f>VLOOKUP(B123,'AFC Data details'!$B:$B,1,0)</f>
        <v>AZ1-V23-T1C6-001</v>
      </c>
    </row>
    <row r="124" spans="1:6" x14ac:dyDescent="0.25">
      <c r="A124" s="158"/>
      <c r="B124" s="3" t="s">
        <v>1267</v>
      </c>
      <c r="C124" s="3">
        <v>1</v>
      </c>
      <c r="D124" s="3" t="str">
        <f>VLOOKUP(B124,'Element wise-detail Summary'!$A:$D,2,0)</f>
        <v>V24</v>
      </c>
      <c r="E124" s="143" t="str">
        <f>VLOOKUP(B124,'Element wise-detail Summary'!$A:$D,3,0)</f>
        <v>Zone-1</v>
      </c>
      <c r="F124" s="143" t="str">
        <f>VLOOKUP(B124,'AFC Data details'!$B:$B,1,0)</f>
        <v>AZ1-V24-T1C6-001</v>
      </c>
    </row>
    <row r="125" spans="1:6" x14ac:dyDescent="0.25">
      <c r="A125" s="158"/>
      <c r="B125" s="3" t="s">
        <v>1268</v>
      </c>
      <c r="C125" s="3">
        <v>1</v>
      </c>
      <c r="D125" s="3" t="str">
        <f>VLOOKUP(B125,'Element wise-detail Summary'!$A:$D,2,0)</f>
        <v>V24</v>
      </c>
      <c r="E125" s="143" t="str">
        <f>VLOOKUP(B125,'Element wise-detail Summary'!$A:$D,3,0)</f>
        <v>Zone-1</v>
      </c>
      <c r="F125" s="143" t="str">
        <f>VLOOKUP(B125,'AFC Data details'!$B:$B,1,0)</f>
        <v>AZ1-V24-T1C6-003</v>
      </c>
    </row>
    <row r="126" spans="1:6" x14ac:dyDescent="0.25">
      <c r="A126" s="158"/>
      <c r="B126" s="3" t="s">
        <v>1269</v>
      </c>
      <c r="C126" s="3">
        <v>1</v>
      </c>
      <c r="D126" s="3" t="str">
        <f>VLOOKUP(B126,'Element wise-detail Summary'!$A:$D,2,0)</f>
        <v>V25</v>
      </c>
      <c r="E126" s="143" t="str">
        <f>VLOOKUP(B126,'Element wise-detail Summary'!$A:$D,3,0)</f>
        <v>Zone-1</v>
      </c>
      <c r="F126" s="143" t="str">
        <f>VLOOKUP(B126,'AFC Data details'!$B:$B,1,0)</f>
        <v>AZ1-V25-T1C6-003</v>
      </c>
    </row>
    <row r="127" spans="1:6" x14ac:dyDescent="0.25">
      <c r="A127" s="158"/>
      <c r="B127" s="3" t="s">
        <v>1270</v>
      </c>
      <c r="C127" s="3">
        <v>1</v>
      </c>
      <c r="D127" s="3" t="str">
        <f>VLOOKUP(B127,'Element wise-detail Summary'!$A:$D,2,0)</f>
        <v>V24</v>
      </c>
      <c r="E127" s="143" t="str">
        <f>VLOOKUP(B127,'Element wise-detail Summary'!$A:$D,3,0)</f>
        <v>Zone-1</v>
      </c>
      <c r="F127" s="143" t="str">
        <f>VLOOKUP(B127,'AFC Data details'!$B:$B,1,0)</f>
        <v>AZ1-V24-T1C6-002</v>
      </c>
    </row>
    <row r="128" spans="1:6" x14ac:dyDescent="0.25">
      <c r="A128" s="158"/>
      <c r="B128" s="3" t="s">
        <v>1271</v>
      </c>
      <c r="C128" s="3">
        <v>1</v>
      </c>
      <c r="D128" s="3" t="str">
        <f>VLOOKUP(B128,'Element wise-detail Summary'!$A:$D,2,0)</f>
        <v>V25</v>
      </c>
      <c r="E128" s="143" t="str">
        <f>VLOOKUP(B128,'Element wise-detail Summary'!$A:$D,3,0)</f>
        <v>Zone-1</v>
      </c>
      <c r="F128" s="143" t="str">
        <f>VLOOKUP(B128,'AFC Data details'!$B:$B,1,0)</f>
        <v>AZ1-V25-T1C6-002</v>
      </c>
    </row>
    <row r="129" spans="1:6" x14ac:dyDescent="0.25">
      <c r="A129" s="158"/>
      <c r="B129" s="3" t="s">
        <v>1275</v>
      </c>
      <c r="C129" s="3">
        <v>1</v>
      </c>
      <c r="D129" s="3" t="str">
        <f>VLOOKUP(B129,'Element wise-detail Summary'!$A:$D,2,0)</f>
        <v>V25</v>
      </c>
      <c r="E129" s="143" t="str">
        <f>VLOOKUP(B129,'Element wise-detail Summary'!$A:$D,3,0)</f>
        <v>Zone-1</v>
      </c>
      <c r="F129" s="143" t="str">
        <f>VLOOKUP(B129,'AFC Data details'!$B:$B,1,0)</f>
        <v>AZ1-V25-T1C6-004</v>
      </c>
    </row>
    <row r="130" spans="1:6" x14ac:dyDescent="0.25">
      <c r="A130" s="158"/>
      <c r="B130" s="3" t="s">
        <v>1282</v>
      </c>
      <c r="C130" s="3">
        <v>1</v>
      </c>
      <c r="D130" s="3" t="str">
        <f>VLOOKUP(B130,'Element wise-detail Summary'!$A:$D,2,0)</f>
        <v>V25</v>
      </c>
      <c r="E130" s="143" t="str">
        <f>VLOOKUP(B130,'Element wise-detail Summary'!$A:$D,3,0)</f>
        <v>Zone-1</v>
      </c>
      <c r="F130" s="143" t="str">
        <f>VLOOKUP(B130,'AFC Data details'!$B:$B,1,0)</f>
        <v>AZ1-V25-T1C6-001</v>
      </c>
    </row>
    <row r="131" spans="1:6" x14ac:dyDescent="0.25">
      <c r="A131" s="158"/>
      <c r="B131" s="3" t="s">
        <v>1294</v>
      </c>
      <c r="C131" s="3">
        <v>1</v>
      </c>
      <c r="D131" s="3" t="str">
        <f>VLOOKUP(B131,'Element wise-detail Summary'!$A:$D,2,0)</f>
        <v>V28</v>
      </c>
      <c r="E131" s="143" t="str">
        <f>VLOOKUP(B131,'Element wise-detail Summary'!$A:$D,3,0)</f>
        <v>Zone-1</v>
      </c>
      <c r="F131" s="143" t="str">
        <f>VLOOKUP(B131,'AFC Data details'!$B:$B,1,0)</f>
        <v>AZ1-V28-T1C6-001</v>
      </c>
    </row>
    <row r="132" spans="1:6" x14ac:dyDescent="0.25">
      <c r="A132" s="158"/>
      <c r="B132" s="3" t="s">
        <v>1295</v>
      </c>
      <c r="C132" s="3">
        <v>1</v>
      </c>
      <c r="D132" s="3" t="str">
        <f>VLOOKUP(B132,'Element wise-detail Summary'!$A:$D,2,0)</f>
        <v>V28</v>
      </c>
      <c r="E132" s="143" t="str">
        <f>VLOOKUP(B132,'Element wise-detail Summary'!$A:$D,3,0)</f>
        <v>Zone-1</v>
      </c>
      <c r="F132" s="143" t="str">
        <f>VLOOKUP(B132,'AFC Data details'!$B:$B,1,0)</f>
        <v>AZ1-V28-T1C6-003</v>
      </c>
    </row>
    <row r="133" spans="1:6" x14ac:dyDescent="0.25">
      <c r="A133" s="158"/>
      <c r="B133" s="3" t="s">
        <v>1296</v>
      </c>
      <c r="C133" s="3">
        <v>1</v>
      </c>
      <c r="D133" s="3" t="str">
        <f>VLOOKUP(B133,'Element wise-detail Summary'!$A:$D,2,0)</f>
        <v>V29</v>
      </c>
      <c r="E133" s="143" t="str">
        <f>VLOOKUP(B133,'Element wise-detail Summary'!$A:$D,3,0)</f>
        <v>Zone-1</v>
      </c>
      <c r="F133" s="143" t="str">
        <f>VLOOKUP(B133,'AFC Data details'!$B:$B,1,0)</f>
        <v>AZ1-V29-T1C6-003</v>
      </c>
    </row>
    <row r="134" spans="1:6" x14ac:dyDescent="0.25">
      <c r="A134" s="158"/>
      <c r="B134" s="3" t="s">
        <v>1297</v>
      </c>
      <c r="C134" s="3">
        <v>1</v>
      </c>
      <c r="D134" s="3" t="str">
        <f>VLOOKUP(B134,'Element wise-detail Summary'!$A:$D,2,0)</f>
        <v>V28</v>
      </c>
      <c r="E134" s="143" t="str">
        <f>VLOOKUP(B134,'Element wise-detail Summary'!$A:$D,3,0)</f>
        <v>Zone-1</v>
      </c>
      <c r="F134" s="143" t="str">
        <f>VLOOKUP(B134,'AFC Data details'!$B:$B,1,0)</f>
        <v>AZ1-V28-T1C6-002</v>
      </c>
    </row>
    <row r="135" spans="1:6" x14ac:dyDescent="0.25">
      <c r="A135" s="158"/>
      <c r="B135" s="3" t="s">
        <v>1298</v>
      </c>
      <c r="C135" s="3">
        <v>1</v>
      </c>
      <c r="D135" s="3" t="str">
        <f>VLOOKUP(B135,'Element wise-detail Summary'!$A:$D,2,0)</f>
        <v>V29</v>
      </c>
      <c r="E135" s="143" t="str">
        <f>VLOOKUP(B135,'Element wise-detail Summary'!$A:$D,3,0)</f>
        <v>Zone-1</v>
      </c>
      <c r="F135" s="143" t="str">
        <f>VLOOKUP(B135,'AFC Data details'!$B:$B,1,0)</f>
        <v>AZ1-V29-T1C6-002</v>
      </c>
    </row>
    <row r="136" spans="1:6" x14ac:dyDescent="0.25">
      <c r="A136" s="158"/>
      <c r="B136" s="3" t="s">
        <v>1302</v>
      </c>
      <c r="C136" s="3">
        <v>1</v>
      </c>
      <c r="D136" s="3" t="str">
        <f>VLOOKUP(B136,'Element wise-detail Summary'!$A:$D,2,0)</f>
        <v>V29</v>
      </c>
      <c r="E136" s="143" t="str">
        <f>VLOOKUP(B136,'Element wise-detail Summary'!$A:$D,3,0)</f>
        <v>Zone-1</v>
      </c>
      <c r="F136" s="143" t="str">
        <f>VLOOKUP(B136,'AFC Data details'!$B:$B,1,0)</f>
        <v>AZ1-V29-T1C6-001</v>
      </c>
    </row>
    <row r="137" spans="1:6" x14ac:dyDescent="0.25">
      <c r="A137" s="158"/>
      <c r="B137" s="3" t="s">
        <v>1306</v>
      </c>
      <c r="C137" s="3">
        <v>1</v>
      </c>
      <c r="D137" s="3" t="str">
        <f>VLOOKUP(B137,'Element wise-detail Summary'!$A:$D,2,0)</f>
        <v>V30</v>
      </c>
      <c r="E137" s="143" t="str">
        <f>VLOOKUP(B137,'Element wise-detail Summary'!$A:$D,3,0)</f>
        <v>Zone-1</v>
      </c>
      <c r="F137" s="143" t="str">
        <f>VLOOKUP(B137,'AFC Data details'!$B:$B,1,0)</f>
        <v>AZ1-V30-T1C6-001</v>
      </c>
    </row>
    <row r="138" spans="1:6" x14ac:dyDescent="0.25">
      <c r="A138" s="158"/>
      <c r="B138" s="3" t="s">
        <v>1307</v>
      </c>
      <c r="C138" s="3">
        <v>1</v>
      </c>
      <c r="D138" s="3" t="str">
        <f>VLOOKUP(B138,'Element wise-detail Summary'!$A:$D,2,0)</f>
        <v>V26</v>
      </c>
      <c r="E138" s="143" t="str">
        <f>VLOOKUP(B138,'Element wise-detail Summary'!$A:$D,3,0)</f>
        <v>Zone-1</v>
      </c>
      <c r="F138" s="143" t="str">
        <f>VLOOKUP(B138,'AFC Data details'!$B:$B,1,0)</f>
        <v>AZ1-V26-T1C6-001</v>
      </c>
    </row>
    <row r="139" spans="1:6" x14ac:dyDescent="0.25">
      <c r="A139" s="158"/>
      <c r="B139" s="3" t="s">
        <v>1308</v>
      </c>
      <c r="C139" s="3">
        <v>1</v>
      </c>
      <c r="D139" s="3" t="str">
        <f>VLOOKUP(B139,'Element wise-detail Summary'!$A:$D,2,0)</f>
        <v>V30</v>
      </c>
      <c r="E139" s="143" t="str">
        <f>VLOOKUP(B139,'Element wise-detail Summary'!$A:$D,3,0)</f>
        <v>Zone-1</v>
      </c>
      <c r="F139" s="143" t="str">
        <f>VLOOKUP(B139,'AFC Data details'!$B:$B,1,0)</f>
        <v>AZ1-V30-T1C6-003</v>
      </c>
    </row>
    <row r="140" spans="1:6" x14ac:dyDescent="0.25">
      <c r="A140" s="158"/>
      <c r="B140" s="3" t="s">
        <v>1309</v>
      </c>
      <c r="C140" s="3">
        <v>1</v>
      </c>
      <c r="D140" s="3" t="str">
        <f>VLOOKUP(B140,'Element wise-detail Summary'!$A:$D,2,0)</f>
        <v>V31</v>
      </c>
      <c r="E140" s="143" t="str">
        <f>VLOOKUP(B140,'Element wise-detail Summary'!$A:$D,3,0)</f>
        <v>Zone-1</v>
      </c>
      <c r="F140" s="143" t="str">
        <f>VLOOKUP(B140,'AFC Data details'!$B:$B,1,0)</f>
        <v>AZ1-V31-T1C6-003</v>
      </c>
    </row>
    <row r="141" spans="1:6" x14ac:dyDescent="0.25">
      <c r="A141" s="158"/>
      <c r="B141" s="3" t="s">
        <v>1310</v>
      </c>
      <c r="C141" s="3">
        <v>1</v>
      </c>
      <c r="D141" s="3" t="str">
        <f>VLOOKUP(B141,'Element wise-detail Summary'!$A:$D,2,0)</f>
        <v>V30</v>
      </c>
      <c r="E141" s="143" t="str">
        <f>VLOOKUP(B141,'Element wise-detail Summary'!$A:$D,3,0)</f>
        <v>Zone-1</v>
      </c>
      <c r="F141" s="143" t="str">
        <f>VLOOKUP(B141,'AFC Data details'!$B:$B,1,0)</f>
        <v>AZ1-V30-T1C6-002</v>
      </c>
    </row>
    <row r="142" spans="1:6" x14ac:dyDescent="0.25">
      <c r="A142" s="158"/>
      <c r="B142" s="3" t="s">
        <v>1311</v>
      </c>
      <c r="C142" s="3">
        <v>1</v>
      </c>
      <c r="D142" s="3" t="str">
        <f>VLOOKUP(B142,'Element wise-detail Summary'!$A:$D,2,0)</f>
        <v>V31</v>
      </c>
      <c r="E142" s="143" t="str">
        <f>VLOOKUP(B142,'Element wise-detail Summary'!$A:$D,3,0)</f>
        <v>Zone-1</v>
      </c>
      <c r="F142" s="143" t="str">
        <f>VLOOKUP(B142,'AFC Data details'!$B:$B,1,0)</f>
        <v>AZ1-V31-T1C6-002</v>
      </c>
    </row>
    <row r="143" spans="1:6" x14ac:dyDescent="0.25">
      <c r="A143" s="158"/>
      <c r="B143" s="3" t="s">
        <v>1313</v>
      </c>
      <c r="C143" s="3">
        <v>1</v>
      </c>
      <c r="D143" s="3" t="str">
        <f>VLOOKUP(B143,'Element wise-detail Summary'!$A:$D,2,0)</f>
        <v>V27</v>
      </c>
      <c r="E143" s="143" t="str">
        <f>VLOOKUP(B143,'Element wise-detail Summary'!$A:$D,3,0)</f>
        <v>Zone-1</v>
      </c>
      <c r="F143" s="143" t="str">
        <f>VLOOKUP(B143,'AFC Data details'!$B:$B,1,0)</f>
        <v>AZ1-V27-T1C6-003</v>
      </c>
    </row>
    <row r="144" spans="1:6" x14ac:dyDescent="0.25">
      <c r="A144" s="158"/>
      <c r="B144" s="3" t="s">
        <v>1315</v>
      </c>
      <c r="C144" s="3">
        <v>1</v>
      </c>
      <c r="D144" s="3" t="str">
        <f>VLOOKUP(B144,'Element wise-detail Summary'!$A:$D,2,0)</f>
        <v>V27</v>
      </c>
      <c r="E144" s="143" t="str">
        <f>VLOOKUP(B144,'Element wise-detail Summary'!$A:$D,3,0)</f>
        <v>Zone-1</v>
      </c>
      <c r="F144" s="143" t="str">
        <f>VLOOKUP(B144,'AFC Data details'!$B:$B,1,0)</f>
        <v>AZ1-V27-T1C6-002</v>
      </c>
    </row>
    <row r="145" spans="1:6" x14ac:dyDescent="0.25">
      <c r="A145" s="158"/>
      <c r="B145" s="3" t="s">
        <v>1318</v>
      </c>
      <c r="C145" s="3">
        <v>1</v>
      </c>
      <c r="D145" s="3" t="str">
        <f>VLOOKUP(B145,'Element wise-detail Summary'!$A:$D,2,0)</f>
        <v>V30</v>
      </c>
      <c r="E145" s="143" t="str">
        <f>VLOOKUP(B145,'Element wise-detail Summary'!$A:$D,3,0)</f>
        <v>Zone-1</v>
      </c>
      <c r="F145" s="143" t="str">
        <f>VLOOKUP(B145,'AFC Data details'!$B:$B,1,0)</f>
        <v>AZ1-V30-T1C6-004</v>
      </c>
    </row>
    <row r="146" spans="1:6" x14ac:dyDescent="0.25">
      <c r="A146" s="158"/>
      <c r="B146" s="3" t="s">
        <v>1319</v>
      </c>
      <c r="C146" s="3">
        <v>1</v>
      </c>
      <c r="D146" s="3" t="str">
        <f>VLOOKUP(B146,'Element wise-detail Summary'!$A:$D,2,0)</f>
        <v>V31</v>
      </c>
      <c r="E146" s="143" t="str">
        <f>VLOOKUP(B146,'Element wise-detail Summary'!$A:$D,3,0)</f>
        <v>Zone-1</v>
      </c>
      <c r="F146" s="143" t="str">
        <f>VLOOKUP(B146,'AFC Data details'!$B:$B,1,0)</f>
        <v>AZ1-V31-T1C6-004</v>
      </c>
    </row>
    <row r="147" spans="1:6" x14ac:dyDescent="0.25">
      <c r="A147" s="158"/>
      <c r="B147" s="3" t="s">
        <v>1322</v>
      </c>
      <c r="C147" s="3">
        <v>1</v>
      </c>
      <c r="D147" s="3" t="str">
        <f>VLOOKUP(B147,'Element wise-detail Summary'!$A:$D,2,0)</f>
        <v>V28</v>
      </c>
      <c r="E147" s="143" t="str">
        <f>VLOOKUP(B147,'Element wise-detail Summary'!$A:$D,3,0)</f>
        <v>Zone-1</v>
      </c>
      <c r="F147" s="143" t="str">
        <f>VLOOKUP(B147,'AFC Data details'!$B:$B,1,0)</f>
        <v>AZ1-V28-T1C6-004</v>
      </c>
    </row>
    <row r="148" spans="1:6" x14ac:dyDescent="0.25">
      <c r="A148" s="158"/>
      <c r="B148" s="3" t="s">
        <v>1323</v>
      </c>
      <c r="C148" s="3">
        <v>1</v>
      </c>
      <c r="D148" s="3" t="str">
        <f>VLOOKUP(B148,'Element wise-detail Summary'!$A:$D,2,0)</f>
        <v>V29</v>
      </c>
      <c r="E148" s="143" t="str">
        <f>VLOOKUP(B148,'Element wise-detail Summary'!$A:$D,3,0)</f>
        <v>Zone-1</v>
      </c>
      <c r="F148" s="143" t="str">
        <f>VLOOKUP(B148,'AFC Data details'!$B:$B,1,0)</f>
        <v>AZ1-V29-T1C6-004</v>
      </c>
    </row>
    <row r="149" spans="1:6" x14ac:dyDescent="0.25">
      <c r="A149" s="158"/>
      <c r="B149" s="3" t="s">
        <v>1328</v>
      </c>
      <c r="C149" s="3">
        <v>1</v>
      </c>
      <c r="D149" s="3" t="str">
        <f>VLOOKUP(B149,'Element wise-detail Summary'!$A:$D,2,0)</f>
        <v>V31</v>
      </c>
      <c r="E149" s="143" t="str">
        <f>VLOOKUP(B149,'Element wise-detail Summary'!$A:$D,3,0)</f>
        <v>Zone-1</v>
      </c>
      <c r="F149" s="143" t="str">
        <f>VLOOKUP(B149,'AFC Data details'!$B:$B,1,0)</f>
        <v>AZ1-V31-T1C6-001</v>
      </c>
    </row>
    <row r="150" spans="1:6" x14ac:dyDescent="0.25">
      <c r="A150" s="158"/>
      <c r="B150" s="3" t="s">
        <v>1329</v>
      </c>
      <c r="C150" s="3">
        <v>1</v>
      </c>
      <c r="D150" s="3" t="str">
        <f>VLOOKUP(B150,'Element wise-detail Summary'!$A:$D,2,0)</f>
        <v>V27</v>
      </c>
      <c r="E150" s="143" t="str">
        <f>VLOOKUP(B150,'Element wise-detail Summary'!$A:$D,3,0)</f>
        <v>Zone-1</v>
      </c>
      <c r="F150" s="143" t="str">
        <f>VLOOKUP(B150,'AFC Data details'!$B:$B,1,0)</f>
        <v>AZ1-V27-T1C6-001</v>
      </c>
    </row>
    <row r="151" spans="1:6" x14ac:dyDescent="0.25">
      <c r="A151" s="158"/>
      <c r="B151" s="3" t="s">
        <v>1334</v>
      </c>
      <c r="C151" s="3">
        <v>1</v>
      </c>
      <c r="D151" s="3" t="str">
        <f>VLOOKUP(B151,'Element wise-detail Summary'!$A:$D,2,0)</f>
        <v>V32</v>
      </c>
      <c r="E151" s="143" t="str">
        <f>VLOOKUP(B151,'Element wise-detail Summary'!$A:$D,3,0)</f>
        <v>Zone-1</v>
      </c>
      <c r="F151" s="143" t="str">
        <f>VLOOKUP(B151,'AFC Data details'!$B:$B,1,0)</f>
        <v>AZ1-V32-T1C2-001</v>
      </c>
    </row>
    <row r="152" spans="1:6" x14ac:dyDescent="0.25">
      <c r="A152" s="158"/>
      <c r="B152" s="3" t="s">
        <v>1337</v>
      </c>
      <c r="C152" s="3">
        <v>1</v>
      </c>
      <c r="D152" s="3" t="str">
        <f>VLOOKUP(B152,'Element wise-detail Summary'!$A:$D,2,0)</f>
        <v>V32</v>
      </c>
      <c r="E152" s="143" t="str">
        <f>VLOOKUP(B152,'Element wise-detail Summary'!$A:$D,3,0)</f>
        <v>Zone-1</v>
      </c>
      <c r="F152" s="143" t="str">
        <f>VLOOKUP(B152,'AFC Data details'!$B:$B,1,0)</f>
        <v>AZ1-V32-T1C6-004</v>
      </c>
    </row>
    <row r="153" spans="1:6" x14ac:dyDescent="0.25">
      <c r="A153" s="158"/>
      <c r="B153" s="3" t="s">
        <v>1338</v>
      </c>
      <c r="C153" s="3">
        <v>1</v>
      </c>
      <c r="D153" s="3" t="str">
        <f>VLOOKUP(B153,'Element wise-detail Summary'!$A:$D,2,0)</f>
        <v>V33</v>
      </c>
      <c r="E153" s="143" t="str">
        <f>VLOOKUP(B153,'Element wise-detail Summary'!$A:$D,3,0)</f>
        <v>Zone-1</v>
      </c>
      <c r="F153" s="143" t="str">
        <f>VLOOKUP(B153,'AFC Data details'!$B:$B,1,0)</f>
        <v>AZ1-V33-T1C6-004</v>
      </c>
    </row>
    <row r="154" spans="1:6" x14ac:dyDescent="0.25">
      <c r="A154" s="158"/>
      <c r="B154" s="3" t="s">
        <v>1339</v>
      </c>
      <c r="C154" s="3">
        <v>1</v>
      </c>
      <c r="D154" s="3" t="str">
        <f>VLOOKUP(B154,'Element wise-detail Summary'!$A:$D,2,0)</f>
        <v>V32</v>
      </c>
      <c r="E154" s="143" t="str">
        <f>VLOOKUP(B154,'Element wise-detail Summary'!$A:$D,3,0)</f>
        <v>Zone-1</v>
      </c>
      <c r="F154" s="143" t="str">
        <f>VLOOKUP(B154,'AFC Data details'!$B:$B,1,0)</f>
        <v>AZ1-V32-T1C6-003</v>
      </c>
    </row>
    <row r="155" spans="1:6" x14ac:dyDescent="0.25">
      <c r="A155" s="158"/>
      <c r="B155" s="3" t="s">
        <v>1340</v>
      </c>
      <c r="C155" s="3">
        <v>1</v>
      </c>
      <c r="D155" s="3" t="str">
        <f>VLOOKUP(B155,'Element wise-detail Summary'!$A:$D,2,0)</f>
        <v>V33</v>
      </c>
      <c r="E155" s="143" t="str">
        <f>VLOOKUP(B155,'Element wise-detail Summary'!$A:$D,3,0)</f>
        <v>Zone-1</v>
      </c>
      <c r="F155" s="143" t="str">
        <f>VLOOKUP(B155,'AFC Data details'!$B:$B,1,0)</f>
        <v>AZ1-V33-T1C6-003</v>
      </c>
    </row>
    <row r="156" spans="1:6" x14ac:dyDescent="0.25">
      <c r="A156" s="158"/>
      <c r="B156" s="3" t="s">
        <v>1341</v>
      </c>
      <c r="C156" s="3">
        <v>1</v>
      </c>
      <c r="D156" s="3" t="str">
        <f>VLOOKUP(B156,'Element wise-detail Summary'!$A:$D,2,0)</f>
        <v>V32</v>
      </c>
      <c r="E156" s="143" t="str">
        <f>VLOOKUP(B156,'Element wise-detail Summary'!$A:$D,3,0)</f>
        <v>Zone-1</v>
      </c>
      <c r="F156" s="143" t="str">
        <f>VLOOKUP(B156,'AFC Data details'!$B:$B,1,0)</f>
        <v>AZ1-V32-T1C6-002</v>
      </c>
    </row>
    <row r="157" spans="1:6" x14ac:dyDescent="0.25">
      <c r="A157" s="158"/>
      <c r="B157" s="3" t="s">
        <v>1342</v>
      </c>
      <c r="C157" s="3">
        <v>1</v>
      </c>
      <c r="D157" s="3" t="str">
        <f>VLOOKUP(B157,'Element wise-detail Summary'!$A:$D,2,0)</f>
        <v>V33</v>
      </c>
      <c r="E157" s="143" t="str">
        <f>VLOOKUP(B157,'Element wise-detail Summary'!$A:$D,3,0)</f>
        <v>Zone-1</v>
      </c>
      <c r="F157" s="143" t="str">
        <f>VLOOKUP(B157,'AFC Data details'!$B:$B,1,0)</f>
        <v>AZ1-V33-T1C6-002</v>
      </c>
    </row>
    <row r="158" spans="1:6" x14ac:dyDescent="0.25">
      <c r="A158" s="158"/>
      <c r="B158" s="3" t="s">
        <v>1344</v>
      </c>
      <c r="C158" s="3">
        <v>1</v>
      </c>
      <c r="D158" s="3" t="str">
        <f>VLOOKUP(B158,'Element wise-detail Summary'!$A:$D,2,0)</f>
        <v>V33</v>
      </c>
      <c r="E158" s="143" t="str">
        <f>VLOOKUP(B158,'Element wise-detail Summary'!$A:$D,3,0)</f>
        <v>Zone-1</v>
      </c>
      <c r="F158" s="143" t="str">
        <f>VLOOKUP(B158,'AFC Data details'!$B:$B,1,0)</f>
        <v>AZ1-V33-T1C6-001</v>
      </c>
    </row>
    <row r="159" spans="1:6" x14ac:dyDescent="0.25">
      <c r="A159" s="158"/>
      <c r="B159" s="3" t="s">
        <v>1348</v>
      </c>
      <c r="C159" s="3">
        <v>1</v>
      </c>
      <c r="D159" s="3" t="str">
        <f>VLOOKUP(B159,'Element wise-detail Summary'!$A:$D,2,0)</f>
        <v>V32</v>
      </c>
      <c r="E159" s="143" t="str">
        <f>VLOOKUP(B159,'Element wise-detail Summary'!$A:$D,3,0)</f>
        <v>Zone-1</v>
      </c>
      <c r="F159" s="143" t="str">
        <f>VLOOKUP(B159,'AFC Data details'!$B:$B,1,0)</f>
        <v>AZ1-V32-T1C6-001</v>
      </c>
    </row>
    <row r="160" spans="1:6" x14ac:dyDescent="0.25">
      <c r="A160" s="158"/>
      <c r="B160" s="3" t="s">
        <v>1351</v>
      </c>
      <c r="C160" s="3">
        <v>1</v>
      </c>
      <c r="D160" s="3" t="str">
        <f>VLOOKUP(B160,'Element wise-detail Summary'!$A:$D,2,0)</f>
        <v>V34</v>
      </c>
      <c r="E160" s="143" t="str">
        <f>VLOOKUP(B160,'Element wise-detail Summary'!$A:$D,3,0)</f>
        <v>Zone-1</v>
      </c>
      <c r="F160" s="143" t="str">
        <f>VLOOKUP(B160,'AFC Data details'!$B:$B,1,0)</f>
        <v>AZ1-V34-T1C13-001</v>
      </c>
    </row>
    <row r="161" spans="1:6" x14ac:dyDescent="0.25">
      <c r="A161" s="158"/>
      <c r="B161" s="3" t="s">
        <v>1352</v>
      </c>
      <c r="C161" s="3">
        <v>1</v>
      </c>
      <c r="D161" s="3" t="str">
        <f>VLOOKUP(B161,'Element wise-detail Summary'!$A:$D,2,0)</f>
        <v>V34</v>
      </c>
      <c r="E161" s="143" t="str">
        <f>VLOOKUP(B161,'Element wise-detail Summary'!$A:$D,3,0)</f>
        <v>Zone-1</v>
      </c>
      <c r="F161" s="143" t="str">
        <f>VLOOKUP(B161,'AFC Data details'!$B:$B,1,0)</f>
        <v>AZ1-V34-T1C13-002</v>
      </c>
    </row>
    <row r="162" spans="1:6" x14ac:dyDescent="0.25">
      <c r="A162" s="158"/>
      <c r="B162" s="3" t="s">
        <v>1353</v>
      </c>
      <c r="C162" s="3">
        <v>1</v>
      </c>
      <c r="D162" s="3" t="str">
        <f>VLOOKUP(B162,'Element wise-detail Summary'!$A:$D,2,0)</f>
        <v>V34</v>
      </c>
      <c r="E162" s="143" t="str">
        <f>VLOOKUP(B162,'Element wise-detail Summary'!$A:$D,3,0)</f>
        <v>Zone-1</v>
      </c>
      <c r="F162" s="143" t="str">
        <f>VLOOKUP(B162,'AFC Data details'!$B:$B,1,0)</f>
        <v>AZ1-V34-T1C13-003</v>
      </c>
    </row>
    <row r="163" spans="1:6" x14ac:dyDescent="0.25">
      <c r="A163" s="158"/>
      <c r="B163" s="3" t="s">
        <v>1355</v>
      </c>
      <c r="C163" s="3">
        <v>1</v>
      </c>
      <c r="D163" s="3" t="str">
        <f>VLOOKUP(B163,'Element wise-detail Summary'!$A:$D,2,0)</f>
        <v>V34</v>
      </c>
      <c r="E163" s="143" t="str">
        <f>VLOOKUP(B163,'Element wise-detail Summary'!$A:$D,3,0)</f>
        <v>Zone-1</v>
      </c>
      <c r="F163" s="143" t="str">
        <f>VLOOKUP(B163,'AFC Data details'!$B:$B,1,0)</f>
        <v>AZ1-V34-T1C13-005</v>
      </c>
    </row>
    <row r="164" spans="1:6" x14ac:dyDescent="0.25">
      <c r="A164" s="158"/>
      <c r="B164" s="3" t="s">
        <v>1356</v>
      </c>
      <c r="C164" s="3">
        <v>1</v>
      </c>
      <c r="D164" s="3" t="str">
        <f>VLOOKUP(B164,'Element wise-detail Summary'!$A:$D,2,0)</f>
        <v>V34</v>
      </c>
      <c r="E164" s="143" t="str">
        <f>VLOOKUP(B164,'Element wise-detail Summary'!$A:$D,3,0)</f>
        <v>Zone-1</v>
      </c>
      <c r="F164" s="143" t="str">
        <f>VLOOKUP(B164,'AFC Data details'!$B:$B,1,0)</f>
        <v>AZ1-V34-T1C13-006</v>
      </c>
    </row>
    <row r="165" spans="1:6" x14ac:dyDescent="0.25">
      <c r="A165" s="158"/>
      <c r="B165" s="3" t="s">
        <v>1363</v>
      </c>
      <c r="C165" s="3">
        <v>1</v>
      </c>
      <c r="D165" s="3" t="str">
        <f>VLOOKUP(B165,'Element wise-detail Summary'!$A:$D,2,0)</f>
        <v>V35</v>
      </c>
      <c r="E165" s="143" t="str">
        <f>VLOOKUP(B165,'Element wise-detail Summary'!$A:$D,3,0)</f>
        <v>Zone-2</v>
      </c>
      <c r="F165" s="143" t="str">
        <f>VLOOKUP(B165,'AFC Data details'!$B:$B,1,0)</f>
        <v>AZ2-V35-T1C14-002</v>
      </c>
    </row>
    <row r="166" spans="1:6" x14ac:dyDescent="0.25">
      <c r="A166" s="158"/>
      <c r="B166" s="3" t="s">
        <v>1370</v>
      </c>
      <c r="C166" s="3">
        <v>1</v>
      </c>
      <c r="D166" s="3" t="str">
        <f>VLOOKUP(B166,'Element wise-detail Summary'!$A:$D,2,0)</f>
        <v>V36</v>
      </c>
      <c r="E166" s="143" t="str">
        <f>VLOOKUP(B166,'Element wise-detail Summary'!$A:$D,3,0)</f>
        <v>Zone-2</v>
      </c>
      <c r="F166" s="143" t="str">
        <f>VLOOKUP(B166,'AFC Data details'!$B:$B,1,0)</f>
        <v>AZ2-V36-T1C6-001</v>
      </c>
    </row>
    <row r="167" spans="1:6" x14ac:dyDescent="0.25">
      <c r="A167" s="158"/>
      <c r="B167" s="3" t="s">
        <v>1371</v>
      </c>
      <c r="C167" s="3">
        <v>1</v>
      </c>
      <c r="D167" s="3" t="str">
        <f>VLOOKUP(B167,'Element wise-detail Summary'!$A:$D,2,0)</f>
        <v>V37</v>
      </c>
      <c r="E167" s="143" t="str">
        <f>VLOOKUP(B167,'Element wise-detail Summary'!$A:$D,3,0)</f>
        <v>Zone-2</v>
      </c>
      <c r="F167" s="143" t="str">
        <f>VLOOKUP(B167,'AFC Data details'!$B:$B,1,0)</f>
        <v>AZ2-V37-T1C6-006</v>
      </c>
    </row>
    <row r="168" spans="1:6" x14ac:dyDescent="0.25">
      <c r="A168" s="158"/>
      <c r="B168" s="3" t="s">
        <v>1373</v>
      </c>
      <c r="C168" s="3">
        <v>1</v>
      </c>
      <c r="D168" s="3" t="str">
        <f>VLOOKUP(B168,'Element wise-detail Summary'!$A:$D,2,0)</f>
        <v>V36</v>
      </c>
      <c r="E168" s="143" t="str">
        <f>VLOOKUP(B168,'Element wise-detail Summary'!$A:$D,3,0)</f>
        <v>Zone-2</v>
      </c>
      <c r="F168" s="143" t="str">
        <f>VLOOKUP(B168,'AFC Data details'!$B:$B,1,0)</f>
        <v>AZ2-V36-T1C6-003</v>
      </c>
    </row>
    <row r="169" spans="1:6" x14ac:dyDescent="0.25">
      <c r="A169" s="158"/>
      <c r="B169" s="3" t="s">
        <v>1376</v>
      </c>
      <c r="C169" s="3">
        <v>1</v>
      </c>
      <c r="D169" s="3" t="str">
        <f>VLOOKUP(B169,'Element wise-detail Summary'!$A:$D,2,0)</f>
        <v>V37</v>
      </c>
      <c r="E169" s="143" t="str">
        <f>VLOOKUP(B169,'Element wise-detail Summary'!$A:$D,3,0)</f>
        <v>Zone-2</v>
      </c>
      <c r="F169" s="143" t="str">
        <f>VLOOKUP(B169,'AFC Data details'!$B:$B,1,0)</f>
        <v>AZ2-V37-T1C6-002</v>
      </c>
    </row>
    <row r="170" spans="1:6" x14ac:dyDescent="0.25">
      <c r="A170" s="158"/>
      <c r="B170" s="3" t="s">
        <v>1379</v>
      </c>
      <c r="C170" s="3">
        <v>1</v>
      </c>
      <c r="D170" s="3" t="str">
        <f>VLOOKUP(B170,'Element wise-detail Summary'!$A:$D,2,0)</f>
        <v>V37</v>
      </c>
      <c r="E170" s="143" t="str">
        <f>VLOOKUP(B170,'Element wise-detail Summary'!$A:$D,3,0)</f>
        <v>Zone-2</v>
      </c>
      <c r="F170" s="143" t="str">
        <f>VLOOKUP(B170,'AFC Data details'!$B:$B,1,0)</f>
        <v>AZ2-V37-T1C6-005</v>
      </c>
    </row>
    <row r="171" spans="1:6" x14ac:dyDescent="0.25">
      <c r="A171" s="158"/>
      <c r="B171" s="3" t="s">
        <v>1380</v>
      </c>
      <c r="C171" s="3">
        <v>1</v>
      </c>
      <c r="D171" s="3" t="str">
        <f>VLOOKUP(B171,'Element wise-detail Summary'!$A:$D,2,0)</f>
        <v>V36</v>
      </c>
      <c r="E171" s="143" t="str">
        <f>VLOOKUP(B171,'Element wise-detail Summary'!$A:$D,3,0)</f>
        <v>Zone-2</v>
      </c>
      <c r="F171" s="143" t="str">
        <f>VLOOKUP(B171,'AFC Data details'!$B:$B,1,0)</f>
        <v>AZ2-V36-T1C6-006</v>
      </c>
    </row>
    <row r="172" spans="1:6" x14ac:dyDescent="0.25">
      <c r="A172" s="158"/>
      <c r="B172" s="3" t="s">
        <v>1383</v>
      </c>
      <c r="C172" s="3">
        <v>1</v>
      </c>
      <c r="D172" s="3" t="str">
        <f>VLOOKUP(B172,'Element wise-detail Summary'!$A:$D,2,0)</f>
        <v>V36</v>
      </c>
      <c r="E172" s="143" t="str">
        <f>VLOOKUP(B172,'Element wise-detail Summary'!$A:$D,3,0)</f>
        <v>Zone-2</v>
      </c>
      <c r="F172" s="143" t="str">
        <f>VLOOKUP(B172,'AFC Data details'!$B:$B,1,0)</f>
        <v>AZ2-V36-T3C5-002</v>
      </c>
    </row>
    <row r="173" spans="1:6" x14ac:dyDescent="0.25">
      <c r="A173" s="158"/>
      <c r="B173" s="3" t="s">
        <v>1389</v>
      </c>
      <c r="C173" s="3">
        <v>1</v>
      </c>
      <c r="D173" s="3" t="str">
        <f>VLOOKUP(B173,'Element wise-detail Summary'!$A:$D,2,0)</f>
        <v>V39</v>
      </c>
      <c r="E173" s="143" t="str">
        <f>VLOOKUP(B173,'Element wise-detail Summary'!$A:$D,3,0)</f>
        <v>Zone-2</v>
      </c>
      <c r="F173" s="143" t="str">
        <f>VLOOKUP(B173,'AFC Data details'!$B:$B,1,0)</f>
        <v>AZ2-V39-T1C6-006</v>
      </c>
    </row>
    <row r="174" spans="1:6" x14ac:dyDescent="0.25">
      <c r="A174" s="158"/>
      <c r="B174" s="3" t="s">
        <v>1390</v>
      </c>
      <c r="C174" s="3">
        <v>1</v>
      </c>
      <c r="D174" s="3" t="str">
        <f>VLOOKUP(B174,'Element wise-detail Summary'!$A:$D,2,0)</f>
        <v>V38</v>
      </c>
      <c r="E174" s="143" t="str">
        <f>VLOOKUP(B174,'Element wise-detail Summary'!$A:$D,3,0)</f>
        <v>Zone-2</v>
      </c>
      <c r="F174" s="143" t="str">
        <f>VLOOKUP(B174,'AFC Data details'!$B:$B,1,0)</f>
        <v>AZ2-V38-T1C6-002</v>
      </c>
    </row>
    <row r="175" spans="1:6" x14ac:dyDescent="0.25">
      <c r="A175" s="158"/>
      <c r="B175" s="3" t="s">
        <v>1391</v>
      </c>
      <c r="C175" s="3">
        <v>1</v>
      </c>
      <c r="D175" s="3" t="str">
        <f>VLOOKUP(B175,'Element wise-detail Summary'!$A:$D,2,0)</f>
        <v>V38</v>
      </c>
      <c r="E175" s="143" t="str">
        <f>VLOOKUP(B175,'Element wise-detail Summary'!$A:$D,3,0)</f>
        <v>Zone-2</v>
      </c>
      <c r="F175" s="143" t="str">
        <f>VLOOKUP(B175,'AFC Data details'!$B:$B,1,0)</f>
        <v>AZ2-V38-T1C6-003</v>
      </c>
    </row>
    <row r="176" spans="1:6" x14ac:dyDescent="0.25">
      <c r="A176" s="158"/>
      <c r="B176" s="3" t="s">
        <v>1392</v>
      </c>
      <c r="C176" s="3">
        <v>1</v>
      </c>
      <c r="D176" s="3" t="str">
        <f>VLOOKUP(B176,'Element wise-detail Summary'!$A:$D,2,0)</f>
        <v>V38</v>
      </c>
      <c r="E176" s="143" t="str">
        <f>VLOOKUP(B176,'Element wise-detail Summary'!$A:$D,3,0)</f>
        <v>Zone-2</v>
      </c>
      <c r="F176" s="143" t="str">
        <f>VLOOKUP(B176,'AFC Data details'!$B:$B,1,0)</f>
        <v>AZ2-V38-T1C6-004</v>
      </c>
    </row>
    <row r="177" spans="1:6" x14ac:dyDescent="0.25">
      <c r="A177" s="158"/>
      <c r="B177" s="3" t="s">
        <v>1393</v>
      </c>
      <c r="C177" s="3">
        <v>1</v>
      </c>
      <c r="D177" s="3" t="str">
        <f>VLOOKUP(B177,'Element wise-detail Summary'!$A:$D,2,0)</f>
        <v>V38</v>
      </c>
      <c r="E177" s="143" t="str">
        <f>VLOOKUP(B177,'Element wise-detail Summary'!$A:$D,3,0)</f>
        <v>Zone-2</v>
      </c>
      <c r="F177" s="143" t="str">
        <f>VLOOKUP(B177,'AFC Data details'!$B:$B,1,0)</f>
        <v>AZ2-V38-T1C6-005</v>
      </c>
    </row>
    <row r="178" spans="1:6" x14ac:dyDescent="0.25">
      <c r="A178" s="158"/>
      <c r="B178" s="3" t="s">
        <v>1398</v>
      </c>
      <c r="C178" s="3">
        <v>1</v>
      </c>
      <c r="D178" s="3" t="str">
        <f>VLOOKUP(B178,'Element wise-detail Summary'!$A:$D,2,0)</f>
        <v>V38</v>
      </c>
      <c r="E178" s="143" t="str">
        <f>VLOOKUP(B178,'Element wise-detail Summary'!$A:$D,3,0)</f>
        <v>Zone-2</v>
      </c>
      <c r="F178" s="143" t="str">
        <f>VLOOKUP(B178,'AFC Data details'!$B:$B,1,0)</f>
        <v>AZ2-V38-T1C6-006</v>
      </c>
    </row>
    <row r="179" spans="1:6" x14ac:dyDescent="0.25">
      <c r="A179" s="158"/>
      <c r="B179" s="3" t="s">
        <v>1400</v>
      </c>
      <c r="C179" s="3">
        <v>1</v>
      </c>
      <c r="D179" s="3" t="str">
        <f>VLOOKUP(B179,'Element wise-detail Summary'!$A:$D,2,0)</f>
        <v>V38</v>
      </c>
      <c r="E179" s="143" t="str">
        <f>VLOOKUP(B179,'Element wise-detail Summary'!$A:$D,3,0)</f>
        <v>Zone-2</v>
      </c>
      <c r="F179" s="143" t="str">
        <f>VLOOKUP(B179,'AFC Data details'!$B:$B,1,0)</f>
        <v>AZ2-V38-T3C4-001</v>
      </c>
    </row>
    <row r="180" spans="1:6" x14ac:dyDescent="0.25">
      <c r="A180" s="158"/>
      <c r="B180" s="3" t="s">
        <v>1401</v>
      </c>
      <c r="C180" s="3">
        <v>1</v>
      </c>
      <c r="D180" s="3" t="str">
        <f>VLOOKUP(B180,'Element wise-detail Summary'!$A:$D,2,0)</f>
        <v>V38</v>
      </c>
      <c r="E180" s="143" t="str">
        <f>VLOOKUP(B180,'Element wise-detail Summary'!$A:$D,3,0)</f>
        <v>Zone-2</v>
      </c>
      <c r="F180" s="143" t="str">
        <f>VLOOKUP(B180,'AFC Data details'!$B:$B,1,0)</f>
        <v>AZ2-V38-T3C4-002</v>
      </c>
    </row>
    <row r="181" spans="1:6" x14ac:dyDescent="0.25">
      <c r="A181" s="158"/>
      <c r="B181" s="3" t="s">
        <v>1405</v>
      </c>
      <c r="C181" s="3">
        <v>1</v>
      </c>
      <c r="D181" s="3" t="str">
        <f>VLOOKUP(B181,'Element wise-detail Summary'!$A:$D,2,0)</f>
        <v>V40</v>
      </c>
      <c r="E181" s="143" t="str">
        <f>VLOOKUP(B181,'Element wise-detail Summary'!$A:$D,3,0)</f>
        <v>Zone-2</v>
      </c>
      <c r="F181" s="143" t="str">
        <f>VLOOKUP(B181,'AFC Data details'!$B:$B,1,0)</f>
        <v>AZ2-V40-T1C1-001</v>
      </c>
    </row>
    <row r="182" spans="1:6" x14ac:dyDescent="0.25">
      <c r="A182" s="158"/>
      <c r="B182" s="3" t="s">
        <v>1407</v>
      </c>
      <c r="C182" s="3">
        <v>1</v>
      </c>
      <c r="D182" s="3" t="str">
        <f>VLOOKUP(B182,'Element wise-detail Summary'!$A:$D,2,0)</f>
        <v>V41</v>
      </c>
      <c r="E182" s="143" t="str">
        <f>VLOOKUP(B182,'Element wise-detail Summary'!$A:$D,3,0)</f>
        <v>Zone-2</v>
      </c>
      <c r="F182" s="143" t="str">
        <f>VLOOKUP(B182,'AFC Data details'!$B:$B,1,0)</f>
        <v>AZ2-V41-T1C6-006</v>
      </c>
    </row>
    <row r="183" spans="1:6" x14ac:dyDescent="0.25">
      <c r="A183" s="158"/>
      <c r="B183" s="3" t="s">
        <v>1408</v>
      </c>
      <c r="C183" s="3">
        <v>1</v>
      </c>
      <c r="D183" s="3" t="str">
        <f>VLOOKUP(B183,'Element wise-detail Summary'!$A:$D,2,0)</f>
        <v>V40</v>
      </c>
      <c r="E183" s="143" t="str">
        <f>VLOOKUP(B183,'Element wise-detail Summary'!$A:$D,3,0)</f>
        <v>Zone-2</v>
      </c>
      <c r="F183" s="143" t="str">
        <f>VLOOKUP(B183,'AFC Data details'!$B:$B,1,0)</f>
        <v>AZ2-V40-T1C6-002</v>
      </c>
    </row>
    <row r="184" spans="1:6" x14ac:dyDescent="0.25">
      <c r="A184" s="158"/>
      <c r="B184" s="3" t="s">
        <v>1411</v>
      </c>
      <c r="C184" s="3">
        <v>1</v>
      </c>
      <c r="D184" s="3" t="str">
        <f>VLOOKUP(B184,'Element wise-detail Summary'!$A:$D,2,0)</f>
        <v>V40</v>
      </c>
      <c r="E184" s="143" t="str">
        <f>VLOOKUP(B184,'Element wise-detail Summary'!$A:$D,3,0)</f>
        <v>Zone-2</v>
      </c>
      <c r="F184" s="143" t="str">
        <f>VLOOKUP(B184,'AFC Data details'!$B:$B,1,0)</f>
        <v>AZ2-V40-T1C6-005</v>
      </c>
    </row>
    <row r="185" spans="1:6" x14ac:dyDescent="0.25">
      <c r="A185" s="158"/>
      <c r="B185" s="3" t="s">
        <v>1412</v>
      </c>
      <c r="C185" s="3">
        <v>1</v>
      </c>
      <c r="D185" s="3" t="str">
        <f>VLOOKUP(B185,'Element wise-detail Summary'!$A:$D,2,0)</f>
        <v>V41</v>
      </c>
      <c r="E185" s="143" t="str">
        <f>VLOOKUP(B185,'Element wise-detail Summary'!$A:$D,3,0)</f>
        <v>Zone-2</v>
      </c>
      <c r="F185" s="143" t="str">
        <f>VLOOKUP(B185,'AFC Data details'!$B:$B,1,0)</f>
        <v>AZ2-V41-T1C6-002</v>
      </c>
    </row>
    <row r="186" spans="1:6" x14ac:dyDescent="0.25">
      <c r="A186" s="158"/>
      <c r="B186" s="3" t="s">
        <v>1413</v>
      </c>
      <c r="C186" s="3">
        <v>1</v>
      </c>
      <c r="D186" s="3" t="str">
        <f>VLOOKUP(B186,'Element wise-detail Summary'!$A:$D,2,0)</f>
        <v>V41</v>
      </c>
      <c r="E186" s="143" t="str">
        <f>VLOOKUP(B186,'Element wise-detail Summary'!$A:$D,3,0)</f>
        <v>Zone-2</v>
      </c>
      <c r="F186" s="143" t="str">
        <f>VLOOKUP(B186,'AFC Data details'!$B:$B,1,0)</f>
        <v>AZ2-V41-T1C6-003</v>
      </c>
    </row>
    <row r="187" spans="1:6" x14ac:dyDescent="0.25">
      <c r="A187" s="158"/>
      <c r="B187" s="3" t="s">
        <v>1414</v>
      </c>
      <c r="C187" s="3">
        <v>1</v>
      </c>
      <c r="D187" s="3" t="str">
        <f>VLOOKUP(B187,'Element wise-detail Summary'!$A:$D,2,0)</f>
        <v>V41</v>
      </c>
      <c r="E187" s="143" t="str">
        <f>VLOOKUP(B187,'Element wise-detail Summary'!$A:$D,3,0)</f>
        <v>Zone-2</v>
      </c>
      <c r="F187" s="143" t="str">
        <f>VLOOKUP(B187,'AFC Data details'!$B:$B,1,0)</f>
        <v>AZ2-V41-T1C6-004</v>
      </c>
    </row>
    <row r="188" spans="1:6" x14ac:dyDescent="0.25">
      <c r="A188" s="158"/>
      <c r="B188" s="3" t="s">
        <v>1415</v>
      </c>
      <c r="C188" s="3">
        <v>1</v>
      </c>
      <c r="D188" s="3" t="str">
        <f>VLOOKUP(B188,'Element wise-detail Summary'!$A:$D,2,0)</f>
        <v>V41</v>
      </c>
      <c r="E188" s="143" t="str">
        <f>VLOOKUP(B188,'Element wise-detail Summary'!$A:$D,3,0)</f>
        <v>Zone-2</v>
      </c>
      <c r="F188" s="143" t="str">
        <f>VLOOKUP(B188,'AFC Data details'!$B:$B,1,0)</f>
        <v>AZ2-V41-T1C6-005</v>
      </c>
    </row>
    <row r="189" spans="1:6" x14ac:dyDescent="0.25">
      <c r="A189" s="158"/>
      <c r="B189" s="3" t="s">
        <v>1416</v>
      </c>
      <c r="C189" s="3">
        <v>1</v>
      </c>
      <c r="D189" s="3" t="str">
        <f>VLOOKUP(B189,'Element wise-detail Summary'!$A:$D,2,0)</f>
        <v>V40</v>
      </c>
      <c r="E189" s="143" t="str">
        <f>VLOOKUP(B189,'Element wise-detail Summary'!$A:$D,3,0)</f>
        <v>Zone-2</v>
      </c>
      <c r="F189" s="143" t="str">
        <f>VLOOKUP(B189,'AFC Data details'!$B:$B,1,0)</f>
        <v>AZ2-V40-T1C6-006</v>
      </c>
    </row>
    <row r="190" spans="1:6" x14ac:dyDescent="0.25">
      <c r="A190" s="158"/>
      <c r="B190" s="3" t="s">
        <v>1418</v>
      </c>
      <c r="C190" s="3">
        <v>1</v>
      </c>
      <c r="D190" s="3" t="str">
        <f>VLOOKUP(B190,'Element wise-detail Summary'!$A:$D,2,0)</f>
        <v>V40</v>
      </c>
      <c r="E190" s="143" t="str">
        <f>VLOOKUP(B190,'Element wise-detail Summary'!$A:$D,3,0)</f>
        <v>Zone-2</v>
      </c>
      <c r="F190" s="143" t="str">
        <f>VLOOKUP(B190,'AFC Data details'!$B:$B,1,0)</f>
        <v>AZ2-V40-T3C4-001</v>
      </c>
    </row>
    <row r="191" spans="1:6" x14ac:dyDescent="0.25">
      <c r="A191" s="158"/>
      <c r="B191" s="3" t="s">
        <v>1419</v>
      </c>
      <c r="C191" s="3">
        <v>1</v>
      </c>
      <c r="D191" s="3" t="str">
        <f>VLOOKUP(B191,'Element wise-detail Summary'!$A:$D,2,0)</f>
        <v>V40</v>
      </c>
      <c r="E191" s="143" t="str">
        <f>VLOOKUP(B191,'Element wise-detail Summary'!$A:$D,3,0)</f>
        <v>Zone-2</v>
      </c>
      <c r="F191" s="143" t="str">
        <f>VLOOKUP(B191,'AFC Data details'!$B:$B,1,0)</f>
        <v>AZ2-V40-T3C4-002</v>
      </c>
    </row>
    <row r="192" spans="1:6" x14ac:dyDescent="0.25">
      <c r="A192" s="158"/>
      <c r="B192" s="3" t="s">
        <v>1421</v>
      </c>
      <c r="C192" s="3">
        <v>1</v>
      </c>
      <c r="D192" s="3" t="str">
        <f>VLOOKUP(B192,'Element wise-detail Summary'!$A:$D,2,0)</f>
        <v>V41</v>
      </c>
      <c r="E192" s="143" t="str">
        <f>VLOOKUP(B192,'Element wise-detail Summary'!$A:$D,3,0)</f>
        <v>Zone-2</v>
      </c>
      <c r="F192" s="143" t="str">
        <f>VLOOKUP(B192,'AFC Data details'!$B:$B,1,0)</f>
        <v>AZ2-V41-T3C4-001</v>
      </c>
    </row>
    <row r="193" spans="1:6" x14ac:dyDescent="0.25">
      <c r="A193" s="158"/>
      <c r="B193" s="3" t="s">
        <v>1422</v>
      </c>
      <c r="C193" s="3">
        <v>1</v>
      </c>
      <c r="D193" s="3" t="str">
        <f>VLOOKUP(B193,'Element wise-detail Summary'!$A:$D,2,0)</f>
        <v>V41</v>
      </c>
      <c r="E193" s="143" t="str">
        <f>VLOOKUP(B193,'Element wise-detail Summary'!$A:$D,3,0)</f>
        <v>Zone-2</v>
      </c>
      <c r="F193" s="143" t="str">
        <f>VLOOKUP(B193,'AFC Data details'!$B:$B,1,0)</f>
        <v>AZ2-V41-T3C4-002</v>
      </c>
    </row>
    <row r="194" spans="1:6" x14ac:dyDescent="0.25">
      <c r="A194" s="158"/>
      <c r="B194" s="3" t="s">
        <v>1423</v>
      </c>
      <c r="C194" s="3">
        <v>1</v>
      </c>
      <c r="D194" s="3" t="str">
        <f>VLOOKUP(B194,'Element wise-detail Summary'!$A:$D,2,0)</f>
        <v>V42</v>
      </c>
      <c r="E194" s="143" t="str">
        <f>VLOOKUP(B194,'Element wise-detail Summary'!$A:$D,3,0)</f>
        <v>Zone-2</v>
      </c>
      <c r="F194" s="143" t="str">
        <f>VLOOKUP(B194,'AFC Data details'!$B:$B,1,0)</f>
        <v>AZ2-V42-T1C1-001</v>
      </c>
    </row>
    <row r="195" spans="1:6" x14ac:dyDescent="0.25">
      <c r="A195" s="158"/>
      <c r="B195" s="3" t="s">
        <v>1424</v>
      </c>
      <c r="C195" s="3">
        <v>1</v>
      </c>
      <c r="D195" s="3" t="str">
        <f>VLOOKUP(B195,'Element wise-detail Summary'!$A:$D,2,0)</f>
        <v>V42</v>
      </c>
      <c r="E195" s="143" t="str">
        <f>VLOOKUP(B195,'Element wise-detail Summary'!$A:$D,3,0)</f>
        <v>Zone-2</v>
      </c>
      <c r="F195" s="143" t="str">
        <f>VLOOKUP(B195,'AFC Data details'!$B:$B,1,0)</f>
        <v>AZ2-V42-T1C10-001</v>
      </c>
    </row>
    <row r="196" spans="1:6" x14ac:dyDescent="0.25">
      <c r="A196" s="158"/>
      <c r="B196" s="3" t="s">
        <v>1425</v>
      </c>
      <c r="C196" s="3">
        <v>1</v>
      </c>
      <c r="D196" s="3" t="str">
        <f>VLOOKUP(B196,'Element wise-detail Summary'!$A:$D,2,0)</f>
        <v>V42</v>
      </c>
      <c r="E196" s="143" t="str">
        <f>VLOOKUP(B196,'Element wise-detail Summary'!$A:$D,3,0)</f>
        <v>Zone-2</v>
      </c>
      <c r="F196" s="143" t="str">
        <f>VLOOKUP(B196,'AFC Data details'!$B:$B,1,0)</f>
        <v>AZ2-V42-T1C13-001</v>
      </c>
    </row>
    <row r="197" spans="1:6" x14ac:dyDescent="0.25">
      <c r="A197" s="158"/>
      <c r="B197" s="3" t="s">
        <v>1426</v>
      </c>
      <c r="C197" s="3">
        <v>1</v>
      </c>
      <c r="D197" s="3" t="str">
        <f>VLOOKUP(B197,'Element wise-detail Summary'!$A:$D,2,0)</f>
        <v>V42</v>
      </c>
      <c r="E197" s="143" t="str">
        <f>VLOOKUP(B197,'Element wise-detail Summary'!$A:$D,3,0)</f>
        <v>Zone-2</v>
      </c>
      <c r="F197" s="143" t="str">
        <f>VLOOKUP(B197,'AFC Data details'!$B:$B,1,0)</f>
        <v>AZ2-V42-T1C13-002</v>
      </c>
    </row>
    <row r="198" spans="1:6" x14ac:dyDescent="0.25">
      <c r="A198" s="158"/>
      <c r="B198" s="3" t="s">
        <v>1427</v>
      </c>
      <c r="C198" s="3">
        <v>1</v>
      </c>
      <c r="D198" s="3" t="str">
        <f>VLOOKUP(B198,'Element wise-detail Summary'!$A:$D,2,0)</f>
        <v>V42</v>
      </c>
      <c r="E198" s="143" t="str">
        <f>VLOOKUP(B198,'Element wise-detail Summary'!$A:$D,3,0)</f>
        <v>Zone-2</v>
      </c>
      <c r="F198" s="143" t="str">
        <f>VLOOKUP(B198,'AFC Data details'!$B:$B,1,0)</f>
        <v>AZ2-V42-T1C13-003</v>
      </c>
    </row>
    <row r="199" spans="1:6" x14ac:dyDescent="0.25">
      <c r="A199" s="158"/>
      <c r="B199" s="3" t="s">
        <v>1428</v>
      </c>
      <c r="C199" s="3">
        <v>1</v>
      </c>
      <c r="D199" s="3" t="str">
        <f>VLOOKUP(B199,'Element wise-detail Summary'!$A:$D,2,0)</f>
        <v>V42</v>
      </c>
      <c r="E199" s="143" t="str">
        <f>VLOOKUP(B199,'Element wise-detail Summary'!$A:$D,3,0)</f>
        <v>Zone-2</v>
      </c>
      <c r="F199" s="143" t="str">
        <f>VLOOKUP(B199,'AFC Data details'!$B:$B,1,0)</f>
        <v>AZ2-V42-T1C13-004</v>
      </c>
    </row>
    <row r="200" spans="1:6" x14ac:dyDescent="0.25">
      <c r="A200" s="158"/>
      <c r="B200" s="3" t="s">
        <v>1429</v>
      </c>
      <c r="C200" s="3">
        <v>1</v>
      </c>
      <c r="D200" s="3" t="str">
        <f>VLOOKUP(B200,'Element wise-detail Summary'!$A:$D,2,0)</f>
        <v>V42</v>
      </c>
      <c r="E200" s="143" t="str">
        <f>VLOOKUP(B200,'Element wise-detail Summary'!$A:$D,3,0)</f>
        <v>Zone-2</v>
      </c>
      <c r="F200" s="143" t="str">
        <f>VLOOKUP(B200,'AFC Data details'!$B:$B,1,0)</f>
        <v>AZ2-V42-T1C13-005</v>
      </c>
    </row>
    <row r="201" spans="1:6" x14ac:dyDescent="0.25">
      <c r="A201" s="129"/>
      <c r="B201" s="3" t="s">
        <v>1359</v>
      </c>
      <c r="C201" s="3">
        <v>1</v>
      </c>
      <c r="D201" s="3" t="str">
        <f>VLOOKUP(B201,'Element wise-detail Summary'!$A:$D,2,0)</f>
        <v>V35</v>
      </c>
      <c r="E201" s="143" t="str">
        <f>VLOOKUP(B201,'Element wise-detail Summary'!$A:$D,3,0)</f>
        <v>Zone-2</v>
      </c>
      <c r="F201" s="143" t="str">
        <f>VLOOKUP(B201,'AFC Data details'!$B:$B,1,0)</f>
        <v>AZ2-V35-T1C13-001</v>
      </c>
    </row>
    <row r="202" spans="1:6" x14ac:dyDescent="0.25">
      <c r="A202" s="129"/>
      <c r="B202" s="3" t="s">
        <v>1360</v>
      </c>
      <c r="C202" s="3">
        <v>1</v>
      </c>
      <c r="D202" s="3" t="str">
        <f>VLOOKUP(B202,'Element wise-detail Summary'!$A:$D,2,0)</f>
        <v>V35</v>
      </c>
      <c r="E202" s="143" t="str">
        <f>VLOOKUP(B202,'Element wise-detail Summary'!$A:$D,3,0)</f>
        <v>Zone-2</v>
      </c>
      <c r="F202" s="143" t="str">
        <f>VLOOKUP(B202,'AFC Data details'!$B:$B,1,0)</f>
        <v>AZ2-V35-T1C13-002</v>
      </c>
    </row>
    <row r="203" spans="1:6" x14ac:dyDescent="0.25">
      <c r="A203" s="129"/>
      <c r="B203" s="3" t="s">
        <v>1361</v>
      </c>
      <c r="C203" s="3">
        <v>1</v>
      </c>
      <c r="D203" s="3" t="str">
        <f>VLOOKUP(B203,'Element wise-detail Summary'!$A:$D,2,0)</f>
        <v>V35</v>
      </c>
      <c r="E203" s="143" t="str">
        <f>VLOOKUP(B203,'Element wise-detail Summary'!$A:$D,3,0)</f>
        <v>Zone-2</v>
      </c>
      <c r="F203" s="143" t="str">
        <f>VLOOKUP(B203,'AFC Data details'!$B:$B,1,0)</f>
        <v>AZ2-V35-T1C14-001</v>
      </c>
    </row>
    <row r="204" spans="1:6" x14ac:dyDescent="0.25">
      <c r="A204" s="129"/>
      <c r="B204" s="3" t="s">
        <v>1365</v>
      </c>
      <c r="C204" s="3">
        <v>1</v>
      </c>
      <c r="D204" s="3" t="str">
        <f>VLOOKUP(B204,'Element wise-detail Summary'!$A:$D,2,0)</f>
        <v>V35</v>
      </c>
      <c r="E204" s="143" t="str">
        <f>VLOOKUP(B204,'Element wise-detail Summary'!$A:$D,3,0)</f>
        <v>Zone-2</v>
      </c>
      <c r="F204" s="143" t="str">
        <f>VLOOKUP(B204,'AFC Data details'!$B:$B,1,0)</f>
        <v>AZ2-V35-T1C14-004</v>
      </c>
    </row>
    <row r="205" spans="1:6" x14ac:dyDescent="0.25">
      <c r="A205" s="129"/>
      <c r="B205" s="3" t="s">
        <v>1366</v>
      </c>
      <c r="C205" s="3">
        <v>1</v>
      </c>
      <c r="D205" s="3" t="str">
        <f>VLOOKUP(B205,'Element wise-detail Summary'!$A:$D,2,0)</f>
        <v>V35</v>
      </c>
      <c r="E205" s="143" t="str">
        <f>VLOOKUP(B205,'Element wise-detail Summary'!$A:$D,3,0)</f>
        <v>Zone-2</v>
      </c>
      <c r="F205" s="143" t="str">
        <f>VLOOKUP(B205,'AFC Data details'!$B:$B,1,0)</f>
        <v>AZ2-V35-T2C1-001</v>
      </c>
    </row>
    <row r="206" spans="1:6" x14ac:dyDescent="0.25">
      <c r="A206" s="129"/>
      <c r="B206" s="3" t="s">
        <v>1367</v>
      </c>
      <c r="C206" s="3">
        <v>1</v>
      </c>
      <c r="D206" s="3" t="str">
        <f>VLOOKUP(B206,'Element wise-detail Summary'!$A:$D,2,0)</f>
        <v>V35</v>
      </c>
      <c r="E206" s="143" t="str">
        <f>VLOOKUP(B206,'Element wise-detail Summary'!$A:$D,3,0)</f>
        <v>Zone-2</v>
      </c>
      <c r="F206" s="143" t="str">
        <f>VLOOKUP(B206,'AFC Data details'!$B:$B,1,0)</f>
        <v>AZ2-V35-T3C5-001</v>
      </c>
    </row>
    <row r="207" spans="1:6" x14ac:dyDescent="0.25">
      <c r="A207" s="129"/>
      <c r="B207" s="3" t="s">
        <v>1368</v>
      </c>
      <c r="C207" s="3">
        <v>1</v>
      </c>
      <c r="D207" s="3" t="str">
        <f>VLOOKUP(B207,'Element wise-detail Summary'!$A:$D,2,0)</f>
        <v>V35</v>
      </c>
      <c r="E207" s="143" t="str">
        <f>VLOOKUP(B207,'Element wise-detail Summary'!$A:$D,3,0)</f>
        <v>Zone-2</v>
      </c>
      <c r="F207" s="143" t="str">
        <f>VLOOKUP(B207,'AFC Data details'!$B:$B,1,0)</f>
        <v>AZ2-V35-T3C5-002</v>
      </c>
    </row>
    <row r="208" spans="1:6" x14ac:dyDescent="0.25">
      <c r="A208" s="129"/>
      <c r="B208" s="3" t="s">
        <v>1369</v>
      </c>
      <c r="C208" s="3">
        <v>1</v>
      </c>
      <c r="D208" s="3" t="str">
        <f>VLOOKUP(B208,'Element wise-detail Summary'!$A:$D,2,0)</f>
        <v>V36</v>
      </c>
      <c r="E208" s="143" t="str">
        <f>VLOOKUP(B208,'Element wise-detail Summary'!$A:$D,3,0)</f>
        <v>Zone-2</v>
      </c>
      <c r="F208" s="143" t="str">
        <f>VLOOKUP(B208,'AFC Data details'!$B:$B,1,0)</f>
        <v>AZ2-V36-T1C2-001</v>
      </c>
    </row>
    <row r="209" spans="1:6" x14ac:dyDescent="0.25">
      <c r="A209" s="129"/>
      <c r="B209" s="3" t="s">
        <v>1372</v>
      </c>
      <c r="C209" s="3">
        <v>1</v>
      </c>
      <c r="D209" s="3" t="str">
        <f>VLOOKUP(B209,'Element wise-detail Summary'!$A:$D,2,0)</f>
        <v>V36</v>
      </c>
      <c r="E209" s="143" t="str">
        <f>VLOOKUP(B209,'Element wise-detail Summary'!$A:$D,3,0)</f>
        <v>Zone-2</v>
      </c>
      <c r="F209" s="143" t="str">
        <f>VLOOKUP(B209,'AFC Data details'!$B:$B,1,0)</f>
        <v>AZ2-V36-T1C6-002</v>
      </c>
    </row>
    <row r="210" spans="1:6" x14ac:dyDescent="0.25">
      <c r="A210" s="129"/>
      <c r="B210" s="3" t="s">
        <v>1374</v>
      </c>
      <c r="C210" s="3">
        <v>1</v>
      </c>
      <c r="D210" s="3" t="str">
        <f>VLOOKUP(B210,'Element wise-detail Summary'!$A:$D,2,0)</f>
        <v>V36</v>
      </c>
      <c r="E210" s="143" t="str">
        <f>VLOOKUP(B210,'Element wise-detail Summary'!$A:$D,3,0)</f>
        <v>Zone-2</v>
      </c>
      <c r="F210" s="143" t="str">
        <f>VLOOKUP(B210,'AFC Data details'!$B:$B,1,0)</f>
        <v>AZ2-V36-T1C6-004</v>
      </c>
    </row>
    <row r="211" spans="1:6" x14ac:dyDescent="0.25">
      <c r="A211" s="129"/>
      <c r="B211" s="3" t="s">
        <v>1375</v>
      </c>
      <c r="C211" s="3">
        <v>1</v>
      </c>
      <c r="D211" s="3" t="str">
        <f>VLOOKUP(B211,'Element wise-detail Summary'!$A:$D,2,0)</f>
        <v>V36</v>
      </c>
      <c r="E211" s="143" t="str">
        <f>VLOOKUP(B211,'Element wise-detail Summary'!$A:$D,3,0)</f>
        <v>Zone-2</v>
      </c>
      <c r="F211" s="143" t="str">
        <f>VLOOKUP(B211,'AFC Data details'!$B:$B,1,0)</f>
        <v>AZ2-V36-T1C6-005</v>
      </c>
    </row>
    <row r="212" spans="1:6" x14ac:dyDescent="0.25">
      <c r="A212" s="129"/>
      <c r="B212" s="3" t="s">
        <v>1377</v>
      </c>
      <c r="C212" s="3">
        <v>1</v>
      </c>
      <c r="D212" s="3" t="str">
        <f>VLOOKUP(B212,'Element wise-detail Summary'!$A:$D,2,0)</f>
        <v>V37</v>
      </c>
      <c r="E212" s="143" t="str">
        <f>VLOOKUP(B212,'Element wise-detail Summary'!$A:$D,3,0)</f>
        <v>Zone-2</v>
      </c>
      <c r="F212" s="143" t="str">
        <f>VLOOKUP(B212,'AFC Data details'!$B:$B,1,0)</f>
        <v>AZ2-V37-T1C6-003</v>
      </c>
    </row>
    <row r="213" spans="1:6" x14ac:dyDescent="0.25">
      <c r="A213" s="129"/>
      <c r="B213" s="3" t="s">
        <v>1378</v>
      </c>
      <c r="C213" s="3">
        <v>1</v>
      </c>
      <c r="D213" s="3" t="str">
        <f>VLOOKUP(B213,'Element wise-detail Summary'!$A:$D,2,0)</f>
        <v>V37</v>
      </c>
      <c r="E213" s="143" t="str">
        <f>VLOOKUP(B213,'Element wise-detail Summary'!$A:$D,3,0)</f>
        <v>Zone-2</v>
      </c>
      <c r="F213" s="143" t="str">
        <f>VLOOKUP(B213,'AFC Data details'!$B:$B,1,0)</f>
        <v>AZ2-V37-T1C6-004</v>
      </c>
    </row>
    <row r="214" spans="1:6" x14ac:dyDescent="0.25">
      <c r="A214" s="129"/>
      <c r="B214" s="3" t="s">
        <v>1381</v>
      </c>
      <c r="C214" s="3">
        <v>1</v>
      </c>
      <c r="D214" s="3" t="str">
        <f>VLOOKUP(B214,'Element wise-detail Summary'!$A:$D,2,0)</f>
        <v>V37</v>
      </c>
      <c r="E214" s="143" t="str">
        <f>VLOOKUP(B214,'Element wise-detail Summary'!$A:$D,3,0)</f>
        <v>Zone-2</v>
      </c>
      <c r="F214" s="143" t="str">
        <f>VLOOKUP(B214,'AFC Data details'!$B:$B,1,0)</f>
        <v>AZ2-V37-T1C6-001</v>
      </c>
    </row>
    <row r="215" spans="1:6" x14ac:dyDescent="0.25">
      <c r="A215" s="129"/>
      <c r="B215" s="3" t="s">
        <v>1382</v>
      </c>
      <c r="C215" s="3">
        <v>1</v>
      </c>
      <c r="D215" s="3" t="str">
        <f>VLOOKUP(B215,'Element wise-detail Summary'!$A:$D,2,0)</f>
        <v>V36</v>
      </c>
      <c r="E215" s="143" t="str">
        <f>VLOOKUP(B215,'Element wise-detail Summary'!$A:$D,3,0)</f>
        <v>Zone-2</v>
      </c>
      <c r="F215" s="143" t="str">
        <f>VLOOKUP(B215,'AFC Data details'!$B:$B,1,0)</f>
        <v>AZ2-V36-T3C5-001</v>
      </c>
    </row>
    <row r="216" spans="1:6" x14ac:dyDescent="0.25">
      <c r="A216" s="129"/>
      <c r="B216" s="3" t="s">
        <v>1384</v>
      </c>
      <c r="C216" s="3">
        <v>1</v>
      </c>
      <c r="D216" s="3" t="str">
        <f>VLOOKUP(B216,'Element wise-detail Summary'!$A:$D,2,0)</f>
        <v>V37</v>
      </c>
      <c r="E216" s="143" t="str">
        <f>VLOOKUP(B216,'Element wise-detail Summary'!$A:$D,3,0)</f>
        <v>Zone-2</v>
      </c>
      <c r="F216" s="143" t="str">
        <f>VLOOKUP(B216,'AFC Data details'!$B:$B,1,0)</f>
        <v>AZ2-V37-T2C1-001</v>
      </c>
    </row>
    <row r="217" spans="1:6" x14ac:dyDescent="0.25">
      <c r="A217" s="129"/>
      <c r="B217" s="129" t="s">
        <v>1385</v>
      </c>
      <c r="C217" s="3">
        <v>1</v>
      </c>
      <c r="D217" s="3" t="str">
        <f>VLOOKUP(B217,'Element wise-detail Summary'!$A:$D,2,0)</f>
        <v>V37</v>
      </c>
      <c r="E217" s="143" t="str">
        <f>VLOOKUP(B217,'Element wise-detail Summary'!$A:$D,3,0)</f>
        <v>Zone-2</v>
      </c>
      <c r="F217" s="143" t="str">
        <f>VLOOKUP(B217,'AFC Data details'!$B:$B,1,0)</f>
        <v>AZ2-V37-T3C5-001</v>
      </c>
    </row>
    <row r="218" spans="1:6" x14ac:dyDescent="0.25">
      <c r="A218" s="129"/>
      <c r="B218" s="129" t="s">
        <v>1386</v>
      </c>
      <c r="C218" s="3">
        <v>1</v>
      </c>
      <c r="D218" s="3" t="str">
        <f>VLOOKUP(B218,'Element wise-detail Summary'!$A:$D,2,0)</f>
        <v>V37</v>
      </c>
      <c r="E218" s="143" t="str">
        <f>VLOOKUP(B218,'Element wise-detail Summary'!$A:$D,3,0)</f>
        <v>Zone-2</v>
      </c>
      <c r="F218" s="143" t="str">
        <f>VLOOKUP(B218,'AFC Data details'!$B:$B,1,0)</f>
        <v>AZ2-V37-T3C5-002</v>
      </c>
    </row>
    <row r="219" spans="1:6" x14ac:dyDescent="0.25">
      <c r="A219" s="129"/>
      <c r="B219" s="129" t="s">
        <v>1387</v>
      </c>
      <c r="C219" s="3">
        <v>1</v>
      </c>
      <c r="D219" s="3" t="str">
        <f>VLOOKUP(B219,'Element wise-detail Summary'!$A:$D,2,0)</f>
        <v>V38</v>
      </c>
      <c r="E219" s="143" t="str">
        <f>VLOOKUP(B219,'Element wise-detail Summary'!$A:$D,3,0)</f>
        <v>Zone-2</v>
      </c>
      <c r="F219" s="143" t="str">
        <f>VLOOKUP(B219,'AFC Data details'!$B:$B,1,0)</f>
        <v>AZ2-V38-T1C2-001</v>
      </c>
    </row>
    <row r="220" spans="1:6" x14ac:dyDescent="0.25">
      <c r="A220" s="129"/>
      <c r="B220" s="129" t="s">
        <v>1388</v>
      </c>
      <c r="C220" s="3">
        <v>1</v>
      </c>
      <c r="D220" s="3" t="str">
        <f>VLOOKUP(B220,'Element wise-detail Summary'!$A:$D,2,0)</f>
        <v>V38</v>
      </c>
      <c r="E220" s="143" t="str">
        <f>VLOOKUP(B220,'Element wise-detail Summary'!$A:$D,3,0)</f>
        <v>Zone-2</v>
      </c>
      <c r="F220" s="143" t="str">
        <f>VLOOKUP(B220,'AFC Data details'!$B:$B,1,0)</f>
        <v>AZ2-V38-T1C6-001</v>
      </c>
    </row>
    <row r="221" spans="1:6" x14ac:dyDescent="0.25">
      <c r="A221" s="129"/>
      <c r="B221" s="129" t="s">
        <v>1394</v>
      </c>
      <c r="C221" s="3">
        <v>1</v>
      </c>
      <c r="D221" s="3" t="str">
        <f>VLOOKUP(B221,'Element wise-detail Summary'!$A:$D,2,0)</f>
        <v>V39</v>
      </c>
      <c r="E221" s="143" t="str">
        <f>VLOOKUP(B221,'Element wise-detail Summary'!$A:$D,3,0)</f>
        <v>Zone-2</v>
      </c>
      <c r="F221" s="143" t="str">
        <f>VLOOKUP(B221,'AFC Data details'!$B:$B,1,0)</f>
        <v>AZ2-V39-T1C6-002</v>
      </c>
    </row>
    <row r="222" spans="1:6" x14ac:dyDescent="0.25">
      <c r="A222" s="129"/>
      <c r="B222" s="129" t="s">
        <v>1395</v>
      </c>
      <c r="C222" s="3">
        <v>1</v>
      </c>
      <c r="D222" s="3" t="str">
        <f>VLOOKUP(B222,'Element wise-detail Summary'!$A:$D,2,0)</f>
        <v>V39</v>
      </c>
      <c r="E222" s="143" t="str">
        <f>VLOOKUP(B222,'Element wise-detail Summary'!$A:$D,3,0)</f>
        <v>Zone-2</v>
      </c>
      <c r="F222" s="143" t="str">
        <f>VLOOKUP(B222,'AFC Data details'!$B:$B,1,0)</f>
        <v>AZ2-V39-T1C6-003</v>
      </c>
    </row>
    <row r="223" spans="1:6" x14ac:dyDescent="0.25">
      <c r="A223" s="129"/>
      <c r="B223" s="129" t="s">
        <v>1396</v>
      </c>
      <c r="C223" s="3">
        <v>1</v>
      </c>
      <c r="D223" s="3" t="str">
        <f>VLOOKUP(B223,'Element wise-detail Summary'!$A:$D,2,0)</f>
        <v>V39</v>
      </c>
      <c r="E223" s="143" t="str">
        <f>VLOOKUP(B223,'Element wise-detail Summary'!$A:$D,3,0)</f>
        <v>Zone-2</v>
      </c>
      <c r="F223" s="143" t="str">
        <f>VLOOKUP(B223,'AFC Data details'!$B:$B,1,0)</f>
        <v>AZ2-V39-T1C6-004</v>
      </c>
    </row>
    <row r="224" spans="1:6" x14ac:dyDescent="0.25">
      <c r="A224" s="129"/>
      <c r="B224" s="3" t="s">
        <v>1397</v>
      </c>
      <c r="C224" s="3">
        <v>1</v>
      </c>
      <c r="D224" s="3" t="str">
        <f>VLOOKUP(B224,'Element wise-detail Summary'!$A:$D,2,0)</f>
        <v>V39</v>
      </c>
      <c r="E224" s="143" t="str">
        <f>VLOOKUP(B224,'Element wise-detail Summary'!$A:$D,3,0)</f>
        <v>Zone-2</v>
      </c>
      <c r="F224" s="143" t="str">
        <f>VLOOKUP(B224,'AFC Data details'!$B:$B,1,0)</f>
        <v>AZ2-V39-T1C6-005</v>
      </c>
    </row>
    <row r="225" spans="1:6" x14ac:dyDescent="0.25">
      <c r="A225" s="129"/>
      <c r="B225" s="3" t="s">
        <v>1399</v>
      </c>
      <c r="C225" s="3">
        <v>1</v>
      </c>
      <c r="D225" s="3" t="str">
        <f>VLOOKUP(B225,'Element wise-detail Summary'!$A:$D,2,0)</f>
        <v>V39</v>
      </c>
      <c r="E225" s="143" t="str">
        <f>VLOOKUP(B225,'Element wise-detail Summary'!$A:$D,3,0)</f>
        <v>Zone-2</v>
      </c>
      <c r="F225" s="143" t="str">
        <f>VLOOKUP(B225,'AFC Data details'!$B:$B,1,0)</f>
        <v>AZ2-V39-T1C6-001</v>
      </c>
    </row>
    <row r="226" spans="1:6" x14ac:dyDescent="0.25">
      <c r="A226" s="129"/>
      <c r="B226" s="3" t="s">
        <v>1402</v>
      </c>
      <c r="C226" s="3">
        <v>1</v>
      </c>
      <c r="D226" s="3" t="str">
        <f>VLOOKUP(B226,'Element wise-detail Summary'!$A:$D,2,0)</f>
        <v>V39</v>
      </c>
      <c r="E226" s="143" t="str">
        <f>VLOOKUP(B226,'Element wise-detail Summary'!$A:$D,3,0)</f>
        <v>Zone-2</v>
      </c>
      <c r="F226" s="143" t="str">
        <f>VLOOKUP(B226,'AFC Data details'!$B:$B,1,0)</f>
        <v>AZ2-V39-T2C1-001</v>
      </c>
    </row>
    <row r="227" spans="1:6" x14ac:dyDescent="0.25">
      <c r="A227" s="129"/>
      <c r="B227" s="3" t="s">
        <v>1403</v>
      </c>
      <c r="C227" s="3">
        <v>1</v>
      </c>
      <c r="D227" s="3" t="str">
        <f>VLOOKUP(B227,'Element wise-detail Summary'!$A:$D,2,0)</f>
        <v>V39</v>
      </c>
      <c r="E227" s="143" t="str">
        <f>VLOOKUP(B227,'Element wise-detail Summary'!$A:$D,3,0)</f>
        <v>Zone-2</v>
      </c>
      <c r="F227" s="143" t="str">
        <f>VLOOKUP(B227,'AFC Data details'!$B:$B,1,0)</f>
        <v>AZ2-V39-T3C4-001</v>
      </c>
    </row>
    <row r="228" spans="1:6" x14ac:dyDescent="0.25">
      <c r="A228" s="129"/>
      <c r="B228" s="3" t="s">
        <v>1404</v>
      </c>
      <c r="C228" s="3">
        <v>1</v>
      </c>
      <c r="D228" s="3" t="str">
        <f>VLOOKUP(B228,'Element wise-detail Summary'!$A:$D,2,0)</f>
        <v>V39</v>
      </c>
      <c r="E228" s="143" t="str">
        <f>VLOOKUP(B228,'Element wise-detail Summary'!$A:$D,3,0)</f>
        <v>Zone-2</v>
      </c>
      <c r="F228" s="143" t="str">
        <f>VLOOKUP(B228,'AFC Data details'!$B:$B,1,0)</f>
        <v>AZ2-V39-T3C4-002</v>
      </c>
    </row>
    <row r="229" spans="1:6" x14ac:dyDescent="0.25">
      <c r="A229" s="129"/>
      <c r="B229" s="3" t="s">
        <v>1406</v>
      </c>
      <c r="C229" s="3">
        <v>1</v>
      </c>
      <c r="D229" s="3" t="str">
        <f>VLOOKUP(B229,'Element wise-detail Summary'!$A:$D,2,0)</f>
        <v>V40</v>
      </c>
      <c r="E229" s="143" t="str">
        <f>VLOOKUP(B229,'Element wise-detail Summary'!$A:$D,3,0)</f>
        <v>Zone-2</v>
      </c>
      <c r="F229" s="143" t="str">
        <f>VLOOKUP(B229,'AFC Data details'!$B:$B,1,0)</f>
        <v>AZ2-V40-T1C6-001</v>
      </c>
    </row>
    <row r="230" spans="1:6" x14ac:dyDescent="0.25">
      <c r="A230" s="129"/>
      <c r="B230" s="3" t="s">
        <v>1409</v>
      </c>
      <c r="C230" s="3">
        <v>1</v>
      </c>
      <c r="D230" s="3" t="str">
        <f>VLOOKUP(B230,'Element wise-detail Summary'!$A:$D,2,0)</f>
        <v>V40</v>
      </c>
      <c r="E230" s="143" t="str">
        <f>VLOOKUP(B230,'Element wise-detail Summary'!$A:$D,3,0)</f>
        <v>Zone-2</v>
      </c>
      <c r="F230" s="143" t="str">
        <f>VLOOKUP(B230,'AFC Data details'!$B:$B,1,0)</f>
        <v>AZ2-V40-T1C6-003</v>
      </c>
    </row>
    <row r="231" spans="1:6" x14ac:dyDescent="0.25">
      <c r="A231" s="129"/>
      <c r="B231" s="3" t="s">
        <v>1410</v>
      </c>
      <c r="C231" s="3">
        <v>1</v>
      </c>
      <c r="D231" s="3" t="str">
        <f>VLOOKUP(B231,'Element wise-detail Summary'!$A:$D,2,0)</f>
        <v>V40</v>
      </c>
      <c r="E231" s="143" t="str">
        <f>VLOOKUP(B231,'Element wise-detail Summary'!$A:$D,3,0)</f>
        <v>Zone-2</v>
      </c>
      <c r="F231" s="143" t="str">
        <f>VLOOKUP(B231,'AFC Data details'!$B:$B,1,0)</f>
        <v>AZ2-V40-T1C6-004</v>
      </c>
    </row>
    <row r="232" spans="1:6" x14ac:dyDescent="0.25">
      <c r="A232" s="129"/>
      <c r="B232" s="3" t="s">
        <v>1417</v>
      </c>
      <c r="C232" s="3">
        <v>1</v>
      </c>
      <c r="D232" s="3" t="str">
        <f>VLOOKUP(B232,'Element wise-detail Summary'!$A:$D,2,0)</f>
        <v>V41</v>
      </c>
      <c r="E232" s="143" t="str">
        <f>VLOOKUP(B232,'Element wise-detail Summary'!$A:$D,3,0)</f>
        <v>Zone-2</v>
      </c>
      <c r="F232" s="143" t="str">
        <f>VLOOKUP(B232,'AFC Data details'!$B:$B,1,0)</f>
        <v>AZ2-V41-T1C6-001</v>
      </c>
    </row>
    <row r="233" spans="1:6" x14ac:dyDescent="0.25">
      <c r="A233" s="129"/>
      <c r="B233" s="3" t="s">
        <v>1430</v>
      </c>
      <c r="D233" s="3" t="str">
        <f>VLOOKUP(B233,'Element wise-detail Summary'!$A:$D,2,0)</f>
        <v>V42</v>
      </c>
      <c r="E233" s="143" t="str">
        <f>VLOOKUP(B233,'Element wise-detail Summary'!$A:$D,3,0)</f>
        <v>Zone-2</v>
      </c>
      <c r="F233" s="143" t="str">
        <f>VLOOKUP(B233,'AFC Data details'!$B:$B,1,0)</f>
        <v>AZ2-V42-T3C1-001</v>
      </c>
    </row>
    <row r="234" spans="1:6" x14ac:dyDescent="0.25">
      <c r="A234" s="129"/>
      <c r="B234" s="3" t="s">
        <v>1215</v>
      </c>
      <c r="C234" s="3">
        <v>1</v>
      </c>
      <c r="D234" s="3" t="str">
        <f>VLOOKUP(B234,'Element wise-detail Summary'!$A:$D,2,0)</f>
        <v>V19</v>
      </c>
      <c r="E234" s="143" t="str">
        <f>VLOOKUP(B234,'Element wise-detail Summary'!$A:$D,3,0)</f>
        <v>Zone-1</v>
      </c>
      <c r="F234" s="143" t="str">
        <f>VLOOKUP(B234,'AFC Data details'!$B:$B,1,0)</f>
        <v>AZ1-V19-T1C10-001</v>
      </c>
    </row>
    <row r="235" spans="1:6" x14ac:dyDescent="0.25">
      <c r="A235" s="129"/>
      <c r="B235" s="3" t="s">
        <v>1216</v>
      </c>
      <c r="C235" s="3">
        <v>1</v>
      </c>
      <c r="D235" s="3" t="str">
        <f>VLOOKUP(B235,'Element wise-detail Summary'!$A:$D,2,0)</f>
        <v>V19</v>
      </c>
      <c r="E235" s="143" t="str">
        <f>VLOOKUP(B235,'Element wise-detail Summary'!$A:$D,3,0)</f>
        <v>Zone-1</v>
      </c>
      <c r="F235" s="143" t="str">
        <f>VLOOKUP(B235,'AFC Data details'!$B:$B,1,0)</f>
        <v>AZ1-V19-T1C10-002</v>
      </c>
    </row>
    <row r="236" spans="1:6" x14ac:dyDescent="0.25">
      <c r="A236" s="129"/>
      <c r="B236" s="3" t="s">
        <v>1217</v>
      </c>
      <c r="C236" s="3">
        <v>1</v>
      </c>
      <c r="D236" s="3" t="str">
        <f>VLOOKUP(B236,'Element wise-detail Summary'!$A:$D,2,0)</f>
        <v>V19</v>
      </c>
      <c r="E236" s="143" t="str">
        <f>VLOOKUP(B236,'Element wise-detail Summary'!$A:$D,3,0)</f>
        <v>Zone-1</v>
      </c>
      <c r="F236" s="143" t="str">
        <f>VLOOKUP(B236,'AFC Data details'!$B:$B,1,0)</f>
        <v>AZ1-V19-T1C10-003</v>
      </c>
    </row>
    <row r="237" spans="1:6" x14ac:dyDescent="0.25">
      <c r="A237" s="149"/>
      <c r="B237" s="150" t="s">
        <v>1218</v>
      </c>
      <c r="C237" s="3">
        <v>1</v>
      </c>
      <c r="D237" s="3" t="str">
        <f>VLOOKUP(B237,'Element wise-detail Summary'!$A:$D,2,0)</f>
        <v>V19</v>
      </c>
      <c r="E237" s="143" t="str">
        <f>VLOOKUP(B237,'Element wise-detail Summary'!$A:$D,3,0)</f>
        <v>Zone-1</v>
      </c>
      <c r="F237" s="143" t="str">
        <f>VLOOKUP(B237,'AFC Data details'!$B:$B,1,0)</f>
        <v>AZ1-V19-T1C11-001</v>
      </c>
    </row>
    <row r="238" spans="1:6" x14ac:dyDescent="0.25">
      <c r="A238" s="149"/>
      <c r="B238" s="150" t="s">
        <v>1221</v>
      </c>
      <c r="C238" s="3">
        <v>1</v>
      </c>
      <c r="D238" s="3" t="str">
        <f>VLOOKUP(B238,'Element wise-detail Summary'!$A:$D,2,0)</f>
        <v>V19</v>
      </c>
      <c r="E238" s="143" t="str">
        <f>VLOOKUP(B238,'Element wise-detail Summary'!$A:$D,3,0)</f>
        <v>Zone-1</v>
      </c>
      <c r="F238" s="143" t="str">
        <f>VLOOKUP(B238,'AFC Data details'!$B:$B,1,0)</f>
        <v>AZ1-V19-T1C15S-001</v>
      </c>
    </row>
    <row r="239" spans="1:6" x14ac:dyDescent="0.25">
      <c r="A239" s="149"/>
      <c r="B239" s="150" t="s">
        <v>1204</v>
      </c>
      <c r="C239" s="3">
        <v>1</v>
      </c>
      <c r="D239" s="3" t="str">
        <f>VLOOKUP(B239,'Element wise-detail Summary'!$A:$D,2,0)</f>
        <v>V19</v>
      </c>
      <c r="E239" s="143" t="str">
        <f>VLOOKUP(B239,'Element wise-detail Summary'!$A:$D,3,0)</f>
        <v>Zone-1</v>
      </c>
      <c r="F239" s="143" t="str">
        <f>VLOOKUP(B239,'AFC Data details'!$B:$B,1,0)</f>
        <v>AZ1-V19-T1C15S-003</v>
      </c>
    </row>
    <row r="240" spans="1:6" x14ac:dyDescent="0.25">
      <c r="A240" s="149"/>
      <c r="B240" s="150" t="s">
        <v>1223</v>
      </c>
      <c r="C240" s="3">
        <v>1</v>
      </c>
      <c r="D240" s="3" t="str">
        <f>VLOOKUP(B240,'Element wise-detail Summary'!$A:$D,2,0)</f>
        <v>V19</v>
      </c>
      <c r="E240" s="143" t="str">
        <f>VLOOKUP(B240,'Element wise-detail Summary'!$A:$D,3,0)</f>
        <v>Zone-1</v>
      </c>
      <c r="F240" s="143" t="str">
        <f>VLOOKUP(B240,'AFC Data details'!$B:$B,1,0)</f>
        <v>AZ1-V19-T1C17-001</v>
      </c>
    </row>
    <row r="241" spans="1:6" x14ac:dyDescent="0.25">
      <c r="A241" s="149"/>
      <c r="B241" s="3" t="s">
        <v>1225</v>
      </c>
      <c r="C241" s="3">
        <v>1</v>
      </c>
      <c r="D241" s="3" t="str">
        <f>VLOOKUP(B241,'Element wise-detail Summary'!$A:$D,2,0)</f>
        <v>V19</v>
      </c>
      <c r="E241" s="143" t="str">
        <f>VLOOKUP(B241,'Element wise-detail Summary'!$A:$D,3,0)</f>
        <v>Zone-1</v>
      </c>
      <c r="F241" s="143" t="str">
        <f>VLOOKUP(B241,'AFC Data details'!$B:$B,1,0)</f>
        <v>AZ1-V19-T1C18-001</v>
      </c>
    </row>
    <row r="242" spans="1:6" x14ac:dyDescent="0.25">
      <c r="A242" s="149"/>
      <c r="B242" s="3" t="s">
        <v>1226</v>
      </c>
      <c r="C242" s="3">
        <v>1</v>
      </c>
      <c r="D242" s="3" t="str">
        <f>VLOOKUP(B242,'Element wise-detail Summary'!$A:$D,2,0)</f>
        <v>V19</v>
      </c>
      <c r="E242" s="143" t="str">
        <f>VLOOKUP(B242,'Element wise-detail Summary'!$A:$D,3,0)</f>
        <v>Zone-1</v>
      </c>
      <c r="F242" s="143" t="str">
        <f>VLOOKUP(B242,'AFC Data details'!$B:$B,1,0)</f>
        <v>AZ1-V19-T1C18-002</v>
      </c>
    </row>
    <row r="243" spans="1:6" x14ac:dyDescent="0.25">
      <c r="A243" s="149"/>
      <c r="B243" s="3" t="s">
        <v>1227</v>
      </c>
      <c r="C243" s="3">
        <v>1</v>
      </c>
      <c r="D243" s="3" t="str">
        <f>VLOOKUP(B243,'Element wise-detail Summary'!$A:$D,2,0)</f>
        <v>V19</v>
      </c>
      <c r="E243" s="143" t="str">
        <f>VLOOKUP(B243,'Element wise-detail Summary'!$A:$D,3,0)</f>
        <v>Zone-1</v>
      </c>
      <c r="F243" s="143" t="str">
        <f>VLOOKUP(B243,'AFC Data details'!$B:$B,1,0)</f>
        <v>AZ1-V19-T1C18-003</v>
      </c>
    </row>
    <row r="244" spans="1:6" x14ac:dyDescent="0.25">
      <c r="A244" s="149"/>
      <c r="B244" s="3" t="s">
        <v>1198</v>
      </c>
      <c r="C244" s="3">
        <v>1</v>
      </c>
      <c r="D244" s="3" t="str">
        <f>VLOOKUP(B244,'Element wise-detail Summary'!$A:$D,2,0)</f>
        <v>V19</v>
      </c>
      <c r="E244" s="143" t="str">
        <f>VLOOKUP(B244,'Element wise-detail Summary'!$A:$D,3,0)</f>
        <v>Zone-1</v>
      </c>
      <c r="F244" s="143" t="str">
        <f>VLOOKUP(B244,'AFC Data details'!$B:$B,1,0)</f>
        <v>AZ1-V19-T1C2-001</v>
      </c>
    </row>
    <row r="245" spans="1:6" x14ac:dyDescent="0.25">
      <c r="A245" s="149"/>
      <c r="B245" s="3" t="s">
        <v>1186</v>
      </c>
      <c r="C245" s="3">
        <v>1</v>
      </c>
      <c r="D245" s="3" t="str">
        <f>VLOOKUP(B245,'Element wise-detail Summary'!$A:$D,2,0)</f>
        <v>V19</v>
      </c>
      <c r="E245" s="143" t="str">
        <f>VLOOKUP(B245,'Element wise-detail Summary'!$A:$D,3,0)</f>
        <v>Zone-1</v>
      </c>
      <c r="F245" s="143" t="str">
        <f>VLOOKUP(B245,'AFC Data details'!$B:$B,1,0)</f>
        <v>AZ1-V19-T3C5-001</v>
      </c>
    </row>
    <row r="246" spans="1:6" x14ac:dyDescent="0.25">
      <c r="A246" s="149"/>
      <c r="B246" s="3" t="s">
        <v>1433</v>
      </c>
      <c r="C246" s="3">
        <v>1</v>
      </c>
      <c r="D246" s="3" t="str">
        <f>VLOOKUP(B246,'Element wise-detail Summary'!$A:$D,2,0)</f>
        <v>V43</v>
      </c>
      <c r="E246" s="143" t="str">
        <f>VLOOKUP(B246,'Element wise-detail Summary'!$A:$D,3,0)</f>
        <v>Zone-3</v>
      </c>
      <c r="F246" s="143" t="str">
        <f>VLOOKUP(B246,'AFC Data details'!$B:$B,1,0)</f>
        <v>AZ3-V43-T1C3-001</v>
      </c>
    </row>
    <row r="247" spans="1:6" x14ac:dyDescent="0.25">
      <c r="A247" s="149"/>
      <c r="B247" s="3" t="s">
        <v>1448</v>
      </c>
      <c r="C247" s="3">
        <v>1</v>
      </c>
      <c r="D247" s="3" t="str">
        <f>VLOOKUP(B247,'Element wise-detail Summary'!$A:$D,2,0)</f>
        <v>V47</v>
      </c>
      <c r="E247" s="143" t="str">
        <f>VLOOKUP(B247,'Element wise-detail Summary'!$A:$D,3,0)</f>
        <v>Zone-3</v>
      </c>
      <c r="F247" s="143" t="str">
        <f>VLOOKUP(B247,'AFC Data details'!$B:$B,1,0)</f>
        <v>AZ3-V47-T2C1-001</v>
      </c>
    </row>
    <row r="248" spans="1:6" x14ac:dyDescent="0.25">
      <c r="A248" s="149"/>
      <c r="B248" s="3" t="s">
        <v>1464</v>
      </c>
      <c r="C248" s="3">
        <v>1</v>
      </c>
      <c r="D248" s="3" t="str">
        <f>VLOOKUP(B248,'Element wise-detail Summary'!$A:$D,2,0)</f>
        <v>V44</v>
      </c>
      <c r="E248" s="143" t="str">
        <f>VLOOKUP(B248,'Element wise-detail Summary'!$A:$D,3,0)</f>
        <v>Zone-3</v>
      </c>
      <c r="F248" s="143" t="str">
        <f>VLOOKUP(B248,'AFC Data details'!$B:$B,1,0)</f>
        <v>AZ3-V44-T3C3-001</v>
      </c>
    </row>
    <row r="249" spans="1:6" x14ac:dyDescent="0.25">
      <c r="A249" s="149"/>
      <c r="B249" s="3" t="s">
        <v>1466</v>
      </c>
      <c r="C249" s="3">
        <v>1</v>
      </c>
      <c r="D249" s="3" t="str">
        <f>VLOOKUP(B249,'Element wise-detail Summary'!$A:$D,2,0)</f>
        <v>V44</v>
      </c>
      <c r="E249" s="143" t="str">
        <f>VLOOKUP(B249,'Element wise-detail Summary'!$A:$D,3,0)</f>
        <v>Zone-3</v>
      </c>
      <c r="F249" s="143" t="str">
        <f>VLOOKUP(B249,'AFC Data details'!$B:$B,1,0)</f>
        <v>AZ3-V44-T3C3-003</v>
      </c>
    </row>
    <row r="250" spans="1:6" x14ac:dyDescent="0.25">
      <c r="A250" s="149"/>
      <c r="B250" s="3" t="s">
        <v>1467</v>
      </c>
      <c r="C250" s="3">
        <v>1</v>
      </c>
      <c r="D250" s="3" t="str">
        <f>VLOOKUP(B250,'Element wise-detail Summary'!$A:$D,2,0)</f>
        <v>V45</v>
      </c>
      <c r="E250" s="143" t="str">
        <f>VLOOKUP(B250,'Element wise-detail Summary'!$A:$D,3,0)</f>
        <v>Zone-3</v>
      </c>
      <c r="F250" s="143" t="str">
        <f>VLOOKUP(B250,'AFC Data details'!$B:$B,1,0)</f>
        <v>AZ3-V45-T1C3-001</v>
      </c>
    </row>
    <row r="251" spans="1:6" x14ac:dyDescent="0.25">
      <c r="A251" s="149"/>
      <c r="B251" s="3" t="s">
        <v>1472</v>
      </c>
      <c r="C251" s="3">
        <v>1</v>
      </c>
      <c r="D251" s="3" t="str">
        <f>VLOOKUP(B251,'Element wise-detail Summary'!$A:$D,2,0)</f>
        <v>V45</v>
      </c>
      <c r="E251" s="143" t="str">
        <f>VLOOKUP(B251,'Element wise-detail Summary'!$A:$D,3,0)</f>
        <v>Zone-3</v>
      </c>
      <c r="F251" s="143" t="str">
        <f>VLOOKUP(B251,'AFC Data details'!$B:$B,1,0)</f>
        <v>AZ3-V45-T3C6-001</v>
      </c>
    </row>
    <row r="252" spans="1:6" x14ac:dyDescent="0.25">
      <c r="A252" s="149"/>
      <c r="B252" s="3" t="s">
        <v>1474</v>
      </c>
      <c r="C252" s="3">
        <v>1</v>
      </c>
      <c r="D252" s="3" t="str">
        <f>VLOOKUP(B252,'Element wise-detail Summary'!$A:$D,2,0)</f>
        <v>V45</v>
      </c>
      <c r="E252" s="143" t="str">
        <f>VLOOKUP(B252,'Element wise-detail Summary'!$A:$D,3,0)</f>
        <v>Zone-3</v>
      </c>
      <c r="F252" s="143" t="str">
        <f>VLOOKUP(B252,'AFC Data details'!$B:$B,1,0)</f>
        <v>AZ3-V45-T3C6-002</v>
      </c>
    </row>
    <row r="253" spans="1:6" x14ac:dyDescent="0.25">
      <c r="A253" s="149"/>
      <c r="B253" s="3" t="s">
        <v>1475</v>
      </c>
      <c r="C253" s="3">
        <v>1</v>
      </c>
      <c r="D253" s="3" t="str">
        <f>VLOOKUP(B253,'Element wise-detail Summary'!$A:$D,2,0)</f>
        <v>V46</v>
      </c>
      <c r="E253" s="143" t="str">
        <f>VLOOKUP(B253,'Element wise-detail Summary'!$A:$D,3,0)</f>
        <v>Zone-3</v>
      </c>
      <c r="F253" s="143" t="str">
        <f>VLOOKUP(B253,'AFC Data details'!$B:$B,1,0)</f>
        <v>AZ3-V46-T3C6-001</v>
      </c>
    </row>
    <row r="254" spans="1:6" x14ac:dyDescent="0.25">
      <c r="A254" s="149"/>
      <c r="B254" s="3" t="s">
        <v>1476</v>
      </c>
      <c r="C254" s="3">
        <v>1</v>
      </c>
      <c r="D254" s="3" t="str">
        <f>VLOOKUP(B254,'Element wise-detail Summary'!$A:$D,2,0)</f>
        <v>V46</v>
      </c>
      <c r="E254" s="143" t="str">
        <f>VLOOKUP(B254,'Element wise-detail Summary'!$A:$D,3,0)</f>
        <v>Zone-3</v>
      </c>
      <c r="F254" s="143" t="str">
        <f>VLOOKUP(B254,'AFC Data details'!$B:$B,1,0)</f>
        <v>AZ3-V46-T3C6-002</v>
      </c>
    </row>
    <row r="255" spans="1:6" x14ac:dyDescent="0.25">
      <c r="A255" s="149"/>
      <c r="B255" s="3" t="s">
        <v>1477</v>
      </c>
      <c r="C255" s="3">
        <v>1</v>
      </c>
      <c r="D255" s="3" t="str">
        <f>VLOOKUP(B255,'Element wise-detail Summary'!$A:$D,2,0)</f>
        <v>V47</v>
      </c>
      <c r="E255" s="143" t="str">
        <f>VLOOKUP(B255,'Element wise-detail Summary'!$A:$D,3,0)</f>
        <v>Zone-3</v>
      </c>
      <c r="F255" s="143" t="str">
        <f>VLOOKUP(B255,'AFC Data details'!$B:$B,1,0)</f>
        <v>AZ3-V47-T1C2-001</v>
      </c>
    </row>
    <row r="256" spans="1:6" x14ac:dyDescent="0.25">
      <c r="A256" s="149"/>
      <c r="B256" s="3" t="s">
        <v>1478</v>
      </c>
      <c r="C256" s="3">
        <v>1</v>
      </c>
      <c r="D256" s="3" t="str">
        <f>VLOOKUP(B256,'Element wise-detail Summary'!$A:$D,2,0)</f>
        <v>V47</v>
      </c>
      <c r="E256" s="143" t="str">
        <f>VLOOKUP(B256,'Element wise-detail Summary'!$A:$D,3,0)</f>
        <v>Zone-3</v>
      </c>
      <c r="F256" s="143" t="str">
        <f>VLOOKUP(B256,'AFC Data details'!$B:$B,1,0)</f>
        <v>AZ3-V47-T3C6-001</v>
      </c>
    </row>
    <row r="257" spans="1:6" x14ac:dyDescent="0.25">
      <c r="A257" s="149"/>
      <c r="B257" s="3" t="s">
        <v>1479</v>
      </c>
      <c r="C257" s="3">
        <v>1</v>
      </c>
      <c r="D257" s="3" t="str">
        <f>VLOOKUP(B257,'Element wise-detail Summary'!$A:$D,2,0)</f>
        <v>V47</v>
      </c>
      <c r="E257" s="143" t="str">
        <f>VLOOKUP(B257,'Element wise-detail Summary'!$A:$D,3,0)</f>
        <v>Zone-3</v>
      </c>
      <c r="F257" s="143" t="str">
        <f>VLOOKUP(B257,'AFC Data details'!$B:$B,1,0)</f>
        <v>AZ3-V47-T3C6-002</v>
      </c>
    </row>
    <row r="258" spans="1:6" x14ac:dyDescent="0.25">
      <c r="A258" s="149"/>
      <c r="B258" s="3" t="s">
        <v>1480</v>
      </c>
      <c r="C258" s="3">
        <v>1</v>
      </c>
      <c r="D258" s="3" t="str">
        <f>VLOOKUP(B258,'Element wise-detail Summary'!$A:$D,2,0)</f>
        <v>V47</v>
      </c>
      <c r="E258" s="143" t="str">
        <f>VLOOKUP(B258,'Element wise-detail Summary'!$A:$D,3,0)</f>
        <v>Zone-3</v>
      </c>
      <c r="F258" s="143" t="str">
        <f>VLOOKUP(B258,'AFC Data details'!$B:$B,1,0)</f>
        <v>AZ3-V47-T3C6-003</v>
      </c>
    </row>
    <row r="259" spans="1:6" x14ac:dyDescent="0.25">
      <c r="A259" s="149"/>
      <c r="B259" s="3" t="s">
        <v>1481</v>
      </c>
      <c r="C259" s="3">
        <v>1</v>
      </c>
      <c r="D259" s="3" t="str">
        <f>VLOOKUP(B259,'Element wise-detail Summary'!$A:$D,2,0)</f>
        <v>V48</v>
      </c>
      <c r="E259" s="143" t="str">
        <f>VLOOKUP(B259,'Element wise-detail Summary'!$A:$D,3,0)</f>
        <v>Zone-3</v>
      </c>
      <c r="F259" s="143" t="str">
        <f>VLOOKUP(B259,'AFC Data details'!$B:$B,1,0)</f>
        <v>AZ3-V48-T1C13-001</v>
      </c>
    </row>
    <row r="260" spans="1:6" x14ac:dyDescent="0.25">
      <c r="A260" s="149"/>
      <c r="B260" s="3" t="s">
        <v>1482</v>
      </c>
      <c r="C260" s="3">
        <v>1</v>
      </c>
      <c r="D260" s="3" t="str">
        <f>VLOOKUP(B260,'Element wise-detail Summary'!$A:$D,2,0)</f>
        <v>V48</v>
      </c>
      <c r="E260" s="143" t="str">
        <f>VLOOKUP(B260,'Element wise-detail Summary'!$A:$D,3,0)</f>
        <v>Zone-3</v>
      </c>
      <c r="F260" s="143" t="str">
        <f>VLOOKUP(B260,'AFC Data details'!$B:$B,1,0)</f>
        <v>AZ3-V48-T1C13-002</v>
      </c>
    </row>
    <row r="261" spans="1:6" x14ac:dyDescent="0.25">
      <c r="A261" s="155"/>
      <c r="B261" s="3" t="s">
        <v>1483</v>
      </c>
      <c r="C261" s="3">
        <v>1</v>
      </c>
      <c r="D261" s="3" t="str">
        <f>VLOOKUP(B261,'Element wise-detail Summary'!$A:$D,2,0)</f>
        <v>V48</v>
      </c>
      <c r="E261" s="143" t="str">
        <f>VLOOKUP(B261,'Element wise-detail Summary'!$A:$D,3,0)</f>
        <v>Zone-3</v>
      </c>
      <c r="F261" s="143" t="str">
        <f>VLOOKUP(B261,'AFC Data details'!$B:$B,1,0)</f>
        <v>AZ3-V48-T1C13-003</v>
      </c>
    </row>
    <row r="262" spans="1:6" x14ac:dyDescent="0.25">
      <c r="A262" s="149"/>
      <c r="B262" s="3" t="s">
        <v>1484</v>
      </c>
      <c r="C262" s="3">
        <v>1</v>
      </c>
      <c r="D262" s="3" t="str">
        <f>VLOOKUP(B262,'Element wise-detail Summary'!$A:$D,2,0)</f>
        <v>V48</v>
      </c>
      <c r="E262" s="143" t="str">
        <f>VLOOKUP(B262,'Element wise-detail Summary'!$A:$D,3,0)</f>
        <v>Zone-3</v>
      </c>
      <c r="F262" s="143" t="str">
        <f>VLOOKUP(B262,'AFC Data details'!$B:$B,1,0)</f>
        <v>AZ3-V48-T1C14-001</v>
      </c>
    </row>
    <row r="263" spans="1:6" x14ac:dyDescent="0.25">
      <c r="A263" s="149"/>
      <c r="B263" s="3" t="s">
        <v>1485</v>
      </c>
      <c r="C263" s="3">
        <v>1</v>
      </c>
      <c r="D263" s="3" t="str">
        <f>VLOOKUP(B263,'Element wise-detail Summary'!$A:$D,2,0)</f>
        <v>V48</v>
      </c>
      <c r="E263" s="143" t="str">
        <f>VLOOKUP(B263,'Element wise-detail Summary'!$A:$D,3,0)</f>
        <v>Zone-3</v>
      </c>
      <c r="F263" s="143" t="str">
        <f>VLOOKUP(B263,'AFC Data details'!$B:$B,1,0)</f>
        <v>AZ3-V48-T1C14-002</v>
      </c>
    </row>
    <row r="264" spans="1:6" x14ac:dyDescent="0.25">
      <c r="A264" s="149"/>
      <c r="B264" s="3" t="s">
        <v>1486</v>
      </c>
      <c r="C264" s="3">
        <v>1</v>
      </c>
      <c r="D264" s="3" t="str">
        <f>VLOOKUP(B264,'Element wise-detail Summary'!$A:$D,2,0)</f>
        <v>V48</v>
      </c>
      <c r="E264" s="143" t="str">
        <f>VLOOKUP(B264,'Element wise-detail Summary'!$A:$D,3,0)</f>
        <v>Zone-3</v>
      </c>
      <c r="F264" s="143" t="str">
        <f>VLOOKUP(B264,'AFC Data details'!$B:$B,1,0)</f>
        <v>AZ3-V48-T1C14-003</v>
      </c>
    </row>
    <row r="265" spans="1:6" x14ac:dyDescent="0.25">
      <c r="A265" s="149"/>
      <c r="B265" s="3" t="s">
        <v>1487</v>
      </c>
      <c r="C265" s="3">
        <v>1</v>
      </c>
      <c r="D265" s="3" t="str">
        <f>VLOOKUP(B265,'Element wise-detail Summary'!$A:$D,2,0)</f>
        <v>V48</v>
      </c>
      <c r="E265" s="143" t="str">
        <f>VLOOKUP(B265,'Element wise-detail Summary'!$A:$D,3,0)</f>
        <v>Zone-3</v>
      </c>
      <c r="F265" s="143" t="str">
        <f>VLOOKUP(B265,'AFC Data details'!$B:$B,1,0)</f>
        <v>AZ3-V48-T3C6-001</v>
      </c>
    </row>
    <row r="266" spans="1:6" x14ac:dyDescent="0.25">
      <c r="A266" s="149"/>
      <c r="B266" s="3" t="s">
        <v>1488</v>
      </c>
      <c r="C266" s="3">
        <v>1</v>
      </c>
      <c r="D266" s="3" t="str">
        <f>VLOOKUP(B266,'Element wise-detail Summary'!$A:$D,2,0)</f>
        <v>V48</v>
      </c>
      <c r="E266" s="143" t="str">
        <f>VLOOKUP(B266,'Element wise-detail Summary'!$A:$D,3,0)</f>
        <v>Zone-3</v>
      </c>
      <c r="F266" s="143" t="str">
        <f>VLOOKUP(B266,'AFC Data details'!$B:$B,1,0)</f>
        <v>AZ3-V48-T3C6-002</v>
      </c>
    </row>
    <row r="267" spans="1:6" x14ac:dyDescent="0.25">
      <c r="A267" s="149"/>
      <c r="B267" s="3" t="s">
        <v>1489</v>
      </c>
      <c r="C267" s="3">
        <v>1</v>
      </c>
      <c r="D267" s="3" t="str">
        <f>VLOOKUP(B267,'Element wise-detail Summary'!$A:$D,2,0)</f>
        <v>V48</v>
      </c>
      <c r="E267" s="143" t="str">
        <f>VLOOKUP(B267,'Element wise-detail Summary'!$A:$D,3,0)</f>
        <v>Zone-3</v>
      </c>
      <c r="F267" s="143" t="str">
        <f>VLOOKUP(B267,'AFC Data details'!$B:$B,1,0)</f>
        <v>AZ3-V48-T3C6-003</v>
      </c>
    </row>
    <row r="268" spans="1:6" x14ac:dyDescent="0.25">
      <c r="A268" s="149"/>
      <c r="B268" s="3" t="s">
        <v>1544</v>
      </c>
      <c r="C268" s="3">
        <v>1</v>
      </c>
      <c r="D268" s="3" t="str">
        <f>VLOOKUP(B268,'Element wise-detail Summary'!$A:$D,2,0)</f>
        <v>V56</v>
      </c>
      <c r="E268" s="143" t="str">
        <f>VLOOKUP(B268,'Element wise-detail Summary'!$A:$D,3,0)</f>
        <v>Zone-5</v>
      </c>
      <c r="F268" s="143" t="str">
        <f>VLOOKUP(B268,'AFC Data details'!$B:$B,1,0)</f>
        <v>AZ5-V56-T1C6-001</v>
      </c>
    </row>
    <row r="269" spans="1:6" x14ac:dyDescent="0.25">
      <c r="A269" s="149"/>
      <c r="B269" s="3" t="s">
        <v>1546</v>
      </c>
      <c r="C269" s="3">
        <v>1</v>
      </c>
      <c r="D269" s="3" t="str">
        <f>VLOOKUP(B269,'Element wise-detail Summary'!$A:$D,2,0)</f>
        <v>V56</v>
      </c>
      <c r="E269" s="143" t="str">
        <f>VLOOKUP(B269,'Element wise-detail Summary'!$A:$D,3,0)</f>
        <v>Zone-5</v>
      </c>
      <c r="F269" s="143" t="str">
        <f>VLOOKUP(B269,'AFC Data details'!$B:$B,1,0)</f>
        <v>AZ5-V56-T1C6-003</v>
      </c>
    </row>
    <row r="270" spans="1:6" x14ac:dyDescent="0.25">
      <c r="A270" s="149"/>
      <c r="B270" s="3" t="s">
        <v>1547</v>
      </c>
      <c r="C270" s="3">
        <v>1</v>
      </c>
      <c r="D270" s="3" t="str">
        <f>VLOOKUP(B270,'Element wise-detail Summary'!$A:$D,2,0)</f>
        <v>V56</v>
      </c>
      <c r="E270" s="143" t="str">
        <f>VLOOKUP(B270,'Element wise-detail Summary'!$A:$D,3,0)</f>
        <v>Zone-5</v>
      </c>
      <c r="F270" s="143" t="str">
        <f>VLOOKUP(B270,'AFC Data details'!$B:$B,1,0)</f>
        <v>AZ5-V56-T1C6-004</v>
      </c>
    </row>
    <row r="271" spans="1:6" x14ac:dyDescent="0.25">
      <c r="A271" s="149"/>
      <c r="B271" s="3" t="s">
        <v>1548</v>
      </c>
      <c r="C271" s="3">
        <v>1</v>
      </c>
      <c r="D271" s="3" t="str">
        <f>VLOOKUP(B271,'Element wise-detail Summary'!$A:$D,2,0)</f>
        <v>V56</v>
      </c>
      <c r="E271" s="143" t="str">
        <f>VLOOKUP(B271,'Element wise-detail Summary'!$A:$D,3,0)</f>
        <v>Zone-5</v>
      </c>
      <c r="F271" s="143" t="str">
        <f>VLOOKUP(B271,'AFC Data details'!$B:$B,1,0)</f>
        <v>AZ5-V56-T1C6-005</v>
      </c>
    </row>
    <row r="272" spans="1:6" x14ac:dyDescent="0.25">
      <c r="A272" s="149"/>
      <c r="B272" s="3" t="s">
        <v>1553</v>
      </c>
      <c r="C272" s="3">
        <v>1</v>
      </c>
      <c r="D272" s="3" t="str">
        <f>VLOOKUP(B272,'Element wise-detail Summary'!$A:$D,2,0)</f>
        <v>V56</v>
      </c>
      <c r="E272" s="143" t="str">
        <f>VLOOKUP(B272,'Element wise-detail Summary'!$A:$D,3,0)</f>
        <v>Zone-5</v>
      </c>
      <c r="F272" s="143" t="str">
        <f>VLOOKUP(B272,'AFC Data details'!$B:$B,1,0)</f>
        <v>AZ5-V56-T1C6-006</v>
      </c>
    </row>
    <row r="273" spans="1:6" x14ac:dyDescent="0.25">
      <c r="A273" s="149"/>
      <c r="B273" s="3" t="s">
        <v>1645</v>
      </c>
      <c r="C273" s="3">
        <v>1</v>
      </c>
      <c r="D273" s="3" t="str">
        <f>VLOOKUP(B273,'Element wise-detail Summary'!$A:$D,2,0)</f>
        <v>V55</v>
      </c>
      <c r="E273" s="143" t="str">
        <f>VLOOKUP(B273,'Element wise-detail Summary'!$A:$D,3,0)</f>
        <v>Zone-5</v>
      </c>
      <c r="F273" s="143" t="str">
        <f>VLOOKUP(B273,'AFC Data details'!$B:$B,1,0)</f>
        <v>AZ5-V55-T3C5-002</v>
      </c>
    </row>
    <row r="274" spans="1:6" x14ac:dyDescent="0.25">
      <c r="A274" s="149"/>
      <c r="B274" s="3" t="s">
        <v>1646</v>
      </c>
      <c r="C274" s="3">
        <v>1</v>
      </c>
      <c r="D274" s="3" t="str">
        <f>VLOOKUP(B274,'Element wise-detail Summary'!$A:$D,2,0)</f>
        <v>V56</v>
      </c>
      <c r="E274" s="143" t="str">
        <f>VLOOKUP(B274,'Element wise-detail Summary'!$A:$D,3,0)</f>
        <v>Zone-5</v>
      </c>
      <c r="F274" s="143" t="str">
        <f>VLOOKUP(B274,'AFC Data details'!$B:$B,1,0)</f>
        <v>AZ5-V56-T3C5-001</v>
      </c>
    </row>
    <row r="275" spans="1:6" x14ac:dyDescent="0.25">
      <c r="A275" s="149"/>
      <c r="B275" s="3" t="s">
        <v>1647</v>
      </c>
      <c r="C275" s="3">
        <v>1</v>
      </c>
      <c r="D275" s="3" t="str">
        <f>VLOOKUP(B275,'Element wise-detail Summary'!$A:$D,2,0)</f>
        <v>V56</v>
      </c>
      <c r="E275" s="143" t="str">
        <f>VLOOKUP(B275,'Element wise-detail Summary'!$A:$D,3,0)</f>
        <v>Zone-5</v>
      </c>
      <c r="F275" s="143" t="str">
        <f>VLOOKUP(B275,'AFC Data details'!$B:$B,1,0)</f>
        <v>AZ5-V56-T3C5-002</v>
      </c>
    </row>
    <row r="276" spans="1:6" x14ac:dyDescent="0.25">
      <c r="A276" s="149"/>
      <c r="B276" s="3" t="s">
        <v>1780</v>
      </c>
      <c r="C276" s="3">
        <v>1</v>
      </c>
      <c r="D276" s="3" t="str">
        <f>VLOOKUP(B276,'Element wise-detail Summary'!$A:$D,2,0)</f>
        <v>V03</v>
      </c>
      <c r="E276" s="143" t="str">
        <f>VLOOKUP(B276,'Element wise-detail Summary'!$A:$D,3,0)</f>
        <v>Zone-4</v>
      </c>
      <c r="F276" s="143" t="str">
        <f>VLOOKUP(B276,'AFC Data details'!$B:$B,1,0)</f>
        <v>AZ4-V03-T3C4-002</v>
      </c>
    </row>
    <row r="277" spans="1:6" x14ac:dyDescent="0.25">
      <c r="A277" s="149"/>
      <c r="B277" s="3" t="s">
        <v>1782</v>
      </c>
      <c r="C277" s="3">
        <v>1</v>
      </c>
      <c r="D277" s="3" t="str">
        <f>VLOOKUP(B277,'Element wise-detail Summary'!$A:$D,2,0)</f>
        <v>V03</v>
      </c>
      <c r="E277" s="143" t="str">
        <f>VLOOKUP(B277,'Element wise-detail Summary'!$A:$D,3,0)</f>
        <v>Zone-4</v>
      </c>
      <c r="F277" s="143" t="str">
        <f>VLOOKUP(B277,'AFC Data details'!$B:$B,1,0)</f>
        <v>AZ4-V03-T3C5-001</v>
      </c>
    </row>
    <row r="278" spans="1:6" x14ac:dyDescent="0.25">
      <c r="A278" s="149"/>
      <c r="B278" s="3" t="s">
        <v>1783</v>
      </c>
      <c r="C278" s="3">
        <v>1</v>
      </c>
      <c r="D278" s="3" t="str">
        <f>VLOOKUP(B278,'Element wise-detail Summary'!$A:$D,2,0)</f>
        <v>V04</v>
      </c>
      <c r="E278" s="143" t="str">
        <f>VLOOKUP(B278,'Element wise-detail Summary'!$A:$D,3,0)</f>
        <v>Zone-4</v>
      </c>
      <c r="F278" s="143" t="str">
        <f>VLOOKUP(B278,'AFC Data details'!$B:$B,1,0)</f>
        <v>AZ4-V04-T1C2-001</v>
      </c>
    </row>
    <row r="279" spans="1:6" x14ac:dyDescent="0.25">
      <c r="A279" s="149"/>
      <c r="B279" s="3" t="s">
        <v>1785</v>
      </c>
      <c r="C279" s="3">
        <v>1</v>
      </c>
      <c r="D279" s="3" t="str">
        <f>VLOOKUP(B279,'Element wise-detail Summary'!$A:$D,2,0)</f>
        <v>V04</v>
      </c>
      <c r="E279" s="143" t="str">
        <f>VLOOKUP(B279,'Element wise-detail Summary'!$A:$D,3,0)</f>
        <v>Zone-4</v>
      </c>
      <c r="F279" s="143" t="str">
        <f>VLOOKUP(B279,'AFC Data details'!$B:$B,1,0)</f>
        <v>AZ4-V04-T3C6-001</v>
      </c>
    </row>
    <row r="280" spans="1:6" x14ac:dyDescent="0.25">
      <c r="A280" s="149"/>
      <c r="B280" s="3" t="s">
        <v>1786</v>
      </c>
      <c r="C280" s="3">
        <v>1</v>
      </c>
      <c r="D280" s="3" t="str">
        <f>VLOOKUP(B280,'Element wise-detail Summary'!$A:$D,2,0)</f>
        <v>V04</v>
      </c>
      <c r="E280" s="143" t="str">
        <f>VLOOKUP(B280,'Element wise-detail Summary'!$A:$D,3,0)</f>
        <v>Zone-4</v>
      </c>
      <c r="F280" s="143" t="str">
        <f>VLOOKUP(B280,'AFC Data details'!$B:$B,1,0)</f>
        <v>AZ4-V04-T3C6-002</v>
      </c>
    </row>
    <row r="281" spans="1:6" x14ac:dyDescent="0.25">
      <c r="A281" s="149"/>
      <c r="B281" s="3" t="s">
        <v>1787</v>
      </c>
      <c r="C281" s="3">
        <v>1</v>
      </c>
      <c r="D281" s="3" t="str">
        <f>VLOOKUP(B281,'Element wise-detail Summary'!$A:$D,2,0)</f>
        <v>V04</v>
      </c>
      <c r="E281" s="143" t="str">
        <f>VLOOKUP(B281,'Element wise-detail Summary'!$A:$D,3,0)</f>
        <v>Zone-4</v>
      </c>
      <c r="F281" s="143" t="str">
        <f>VLOOKUP(B281,'AFC Data details'!$B:$B,1,0)</f>
        <v>AZ4-V04-T3C6S-001</v>
      </c>
    </row>
    <row r="282" spans="1:6" x14ac:dyDescent="0.25">
      <c r="A282" s="149"/>
      <c r="B282" s="3" t="s">
        <v>1788</v>
      </c>
      <c r="C282" s="3">
        <v>1</v>
      </c>
      <c r="D282" s="3" t="str">
        <f>VLOOKUP(B282,'Element wise-detail Summary'!$A:$D,2,0)</f>
        <v>V05</v>
      </c>
      <c r="E282" s="143" t="str">
        <f>VLOOKUP(B282,'Element wise-detail Summary'!$A:$D,3,0)</f>
        <v>Zone-4</v>
      </c>
      <c r="F282" s="143" t="str">
        <f>VLOOKUP(B282,'AFC Data details'!$B:$B,1,0)</f>
        <v>AZ4-V05-T3C3-001</v>
      </c>
    </row>
    <row r="283" spans="1:6" x14ac:dyDescent="0.25">
      <c r="A283" s="155"/>
      <c r="B283" s="3" t="s">
        <v>1790</v>
      </c>
      <c r="C283" s="3">
        <v>1</v>
      </c>
      <c r="D283" s="3" t="str">
        <f>VLOOKUP(B283,'Element wise-detail Summary'!$A:$D,2,0)</f>
        <v>V05</v>
      </c>
      <c r="E283" s="143" t="str">
        <f>VLOOKUP(B283,'Element wise-detail Summary'!$A:$D,3,0)</f>
        <v>Zone-4</v>
      </c>
      <c r="F283" s="143" t="str">
        <f>VLOOKUP(B283,'AFC Data details'!$B:$B,1,0)</f>
        <v>AZ4-V05-T3C3-002</v>
      </c>
    </row>
    <row r="284" spans="1:6" x14ac:dyDescent="0.25">
      <c r="A284" s="155"/>
      <c r="B284" s="3" t="s">
        <v>1791</v>
      </c>
      <c r="C284" s="3">
        <v>1</v>
      </c>
      <c r="D284" s="3" t="str">
        <f>VLOOKUP(B284,'Element wise-detail Summary'!$A:$D,2,0)</f>
        <v>V05</v>
      </c>
      <c r="E284" s="143" t="str">
        <f>VLOOKUP(B284,'Element wise-detail Summary'!$A:$D,3,0)</f>
        <v>Zone-4</v>
      </c>
      <c r="F284" s="143" t="str">
        <f>VLOOKUP(B284,'AFC Data details'!$B:$B,1,0)</f>
        <v>AZ4-V05-T3C3-003</v>
      </c>
    </row>
    <row r="285" spans="1:6" x14ac:dyDescent="0.25">
      <c r="A285" s="155"/>
      <c r="B285" s="3" t="s">
        <v>1983</v>
      </c>
      <c r="C285" s="3">
        <v>1</v>
      </c>
      <c r="D285" s="3" t="str">
        <f>VLOOKUP(B285,'Element wise-detail Summary'!$A:$D,2,0)</f>
        <v>V05</v>
      </c>
      <c r="E285" s="143" t="str">
        <f>VLOOKUP(B285,'Element wise-detail Summary'!$A:$D,3,0)</f>
        <v>Zone-4</v>
      </c>
      <c r="F285" s="143" t="str">
        <f>VLOOKUP(B285,'AFC Data details'!$B:$B,1,0)</f>
        <v>AZ4-V05-T3C3-004</v>
      </c>
    </row>
    <row r="286" spans="1:6" x14ac:dyDescent="0.25">
      <c r="A286" s="155"/>
      <c r="B286" s="3" t="s">
        <v>1792</v>
      </c>
      <c r="C286" s="3">
        <v>1</v>
      </c>
      <c r="D286" s="3" t="str">
        <f>VLOOKUP(B286,'Element wise-detail Summary'!$A:$D,2,0)</f>
        <v>V06</v>
      </c>
      <c r="E286" s="143" t="str">
        <f>VLOOKUP(B286,'Element wise-detail Summary'!$A:$D,3,0)</f>
        <v>Zone-4</v>
      </c>
      <c r="F286" s="143" t="str">
        <f>VLOOKUP(B286,'AFC Data details'!$B:$B,1,0)</f>
        <v>AZ4-V06-T1C3-001</v>
      </c>
    </row>
    <row r="287" spans="1:6" x14ac:dyDescent="0.25">
      <c r="A287" s="155"/>
      <c r="B287" s="3" t="s">
        <v>1794</v>
      </c>
      <c r="C287" s="3">
        <v>1</v>
      </c>
      <c r="D287" s="3" t="str">
        <f>VLOOKUP(B287,'Element wise-detail Summary'!$A:$D,2,0)</f>
        <v>V06</v>
      </c>
      <c r="E287" s="143" t="str">
        <f>VLOOKUP(B287,'Element wise-detail Summary'!$A:$D,3,0)</f>
        <v>Zone-4</v>
      </c>
      <c r="F287" s="143" t="str">
        <f>VLOOKUP(B287,'AFC Data details'!$B:$B,1,0)</f>
        <v>AZ4-V06-T3C3-001</v>
      </c>
    </row>
    <row r="288" spans="1:6" x14ac:dyDescent="0.25">
      <c r="A288" s="149"/>
      <c r="B288" s="3" t="s">
        <v>1795</v>
      </c>
      <c r="C288" s="3">
        <v>1</v>
      </c>
      <c r="D288" s="3" t="str">
        <f>VLOOKUP(B288,'Element wise-detail Summary'!$A:$D,2,0)</f>
        <v>V06</v>
      </c>
      <c r="E288" s="143" t="str">
        <f>VLOOKUP(B288,'Element wise-detail Summary'!$A:$D,3,0)</f>
        <v>Zone-4</v>
      </c>
      <c r="F288" s="143" t="str">
        <f>VLOOKUP(B288,'AFC Data details'!$B:$B,1,0)</f>
        <v>AZ4-V06-T3C3S-001</v>
      </c>
    </row>
    <row r="289" spans="1:6" x14ac:dyDescent="0.25">
      <c r="A289" s="155"/>
      <c r="B289" s="3" t="s">
        <v>1796</v>
      </c>
      <c r="C289" s="3">
        <v>1</v>
      </c>
      <c r="D289" s="3" t="str">
        <f>VLOOKUP(B289,'Element wise-detail Summary'!$A:$D,2,0)</f>
        <v>V06</v>
      </c>
      <c r="E289" s="143" t="str">
        <f>VLOOKUP(B289,'Element wise-detail Summary'!$A:$D,3,0)</f>
        <v>Zone-4</v>
      </c>
      <c r="F289" s="143" t="str">
        <f>VLOOKUP(B289,'AFC Data details'!$B:$B,1,0)</f>
        <v>AZ4-V06-T3C3S-002</v>
      </c>
    </row>
    <row r="290" spans="1:6" x14ac:dyDescent="0.25">
      <c r="A290" s="149"/>
      <c r="B290" s="3" t="s">
        <v>1797</v>
      </c>
      <c r="D290" s="3" t="str">
        <f>VLOOKUP(B290,'Element wise-detail Summary'!$A:$D,2,0)</f>
        <v>V06</v>
      </c>
      <c r="E290" s="143" t="str">
        <f>VLOOKUP(B290,'Element wise-detail Summary'!$A:$D,3,0)</f>
        <v>Zone-4</v>
      </c>
      <c r="F290" s="143" t="str">
        <f>VLOOKUP(B290,'AFC Data details'!$B:$B,1,0)</f>
        <v>AZ4-V06-T3C3S-003</v>
      </c>
    </row>
    <row r="291" spans="1:6" x14ac:dyDescent="0.25">
      <c r="A291" s="149"/>
      <c r="B291" s="3" t="s">
        <v>1798</v>
      </c>
      <c r="C291" s="3">
        <v>1</v>
      </c>
      <c r="D291" s="3" t="str">
        <f>VLOOKUP(B291,'Element wise-detail Summary'!$A:$D,2,0)</f>
        <v>V07</v>
      </c>
      <c r="E291" s="143" t="str">
        <f>VLOOKUP(B291,'Element wise-detail Summary'!$A:$D,3,0)</f>
        <v>Zone-4</v>
      </c>
      <c r="F291" s="143" t="str">
        <f>VLOOKUP(B291,'AFC Data details'!$B:$B,1,0)</f>
        <v>AZ4-V07-T3C3S-001</v>
      </c>
    </row>
    <row r="292" spans="1:6" x14ac:dyDescent="0.25">
      <c r="A292" s="149"/>
      <c r="B292" s="3" t="s">
        <v>1800</v>
      </c>
      <c r="C292" s="3">
        <v>1</v>
      </c>
      <c r="D292" s="3" t="str">
        <f>VLOOKUP(B292,'Element wise-detail Summary'!$A:$D,2,0)</f>
        <v>V07</v>
      </c>
      <c r="E292" s="143" t="str">
        <f>VLOOKUP(B292,'Element wise-detail Summary'!$A:$D,3,0)</f>
        <v>Zone-4</v>
      </c>
      <c r="F292" s="143" t="str">
        <f>VLOOKUP(B292,'AFC Data details'!$B:$B,1,0)</f>
        <v>AZ4-V07-T3C3S-002</v>
      </c>
    </row>
    <row r="293" spans="1:6" x14ac:dyDescent="0.25">
      <c r="A293" s="149"/>
      <c r="B293" s="3" t="s">
        <v>1801</v>
      </c>
      <c r="C293" s="3">
        <v>1</v>
      </c>
      <c r="D293" s="3" t="str">
        <f>VLOOKUP(B293,'Element wise-detail Summary'!$A:$D,2,0)</f>
        <v>V07</v>
      </c>
      <c r="E293" s="143" t="str">
        <f>VLOOKUP(B293,'Element wise-detail Summary'!$A:$D,3,0)</f>
        <v>Zone-4</v>
      </c>
      <c r="F293" s="143" t="str">
        <f>VLOOKUP(B293,'AFC Data details'!$B:$B,1,0)</f>
        <v>AZ4-V07-T3C3S-004</v>
      </c>
    </row>
    <row r="294" spans="1:6" x14ac:dyDescent="0.25">
      <c r="A294" s="149"/>
      <c r="B294" s="3" t="s">
        <v>1984</v>
      </c>
      <c r="C294" s="3">
        <v>1</v>
      </c>
      <c r="D294" s="3" t="str">
        <f>VLOOKUP(B294,'Element wise-detail Summary'!$A:$D,2,0)</f>
        <v>V07</v>
      </c>
      <c r="E294" s="143" t="str">
        <f>VLOOKUP(B294,'Element wise-detail Summary'!$A:$D,3,0)</f>
        <v>Zone-4</v>
      </c>
      <c r="F294" s="143" t="str">
        <f>VLOOKUP(B294,'AFC Data details'!$B:$B,1,0)</f>
        <v>AZ4-V07-T3C3S-003</v>
      </c>
    </row>
    <row r="295" spans="1:6" x14ac:dyDescent="0.25">
      <c r="A295" s="149"/>
      <c r="B295" s="3" t="s">
        <v>1802</v>
      </c>
      <c r="C295" s="3">
        <v>1</v>
      </c>
      <c r="D295" s="3" t="str">
        <f>VLOOKUP(B295,'Element wise-detail Summary'!$A:$D,2,0)</f>
        <v>V07</v>
      </c>
      <c r="E295" s="143" t="str">
        <f>VLOOKUP(B295,'Element wise-detail Summary'!$A:$D,3,0)</f>
        <v>Zone-4</v>
      </c>
      <c r="F295" s="143" t="str">
        <f>VLOOKUP(B295,'AFC Data details'!$B:$B,1,0)</f>
        <v>AZ4-V07-T3C3S-005</v>
      </c>
    </row>
    <row r="296" spans="1:6" x14ac:dyDescent="0.25">
      <c r="A296" s="149"/>
      <c r="B296" s="3" t="s">
        <v>1803</v>
      </c>
      <c r="D296" s="3" t="str">
        <f>VLOOKUP(B296,'Element wise-detail Summary'!$A:$D,2,0)</f>
        <v>V08</v>
      </c>
      <c r="E296" s="143" t="str">
        <f>VLOOKUP(B296,'Element wise-detail Summary'!$A:$D,3,0)</f>
        <v>Zone-4</v>
      </c>
      <c r="F296" s="143" t="str">
        <f>VLOOKUP(B296,'AFC Data details'!$B:$B,1,0)</f>
        <v>AZ4-V08-T1C3S-001</v>
      </c>
    </row>
    <row r="297" spans="1:6" x14ac:dyDescent="0.25">
      <c r="A297" s="149"/>
      <c r="B297" s="3" t="s">
        <v>1805</v>
      </c>
      <c r="C297" s="3">
        <v>1</v>
      </c>
      <c r="D297" s="3" t="str">
        <f>VLOOKUP(B297,'Element wise-detail Summary'!$A:$D,2,0)</f>
        <v>V08</v>
      </c>
      <c r="E297" s="143" t="str">
        <f>VLOOKUP(B297,'Element wise-detail Summary'!$A:$D,3,0)</f>
        <v>Zone-4</v>
      </c>
      <c r="F297" s="143" t="str">
        <f>VLOOKUP(B297,'AFC Data details'!$B:$B,1,0)</f>
        <v>AZ4-V08-T3C3-001</v>
      </c>
    </row>
    <row r="298" spans="1:6" x14ac:dyDescent="0.25">
      <c r="A298" s="149"/>
      <c r="B298" s="3" t="s">
        <v>1806</v>
      </c>
      <c r="C298" s="3">
        <v>1</v>
      </c>
      <c r="D298" s="3" t="str">
        <f>VLOOKUP(B298,'Element wise-detail Summary'!$A:$D,2,0)</f>
        <v>V08</v>
      </c>
      <c r="E298" s="143" t="str">
        <f>VLOOKUP(B298,'Element wise-detail Summary'!$A:$D,3,0)</f>
        <v>Zone-4</v>
      </c>
      <c r="F298" s="143" t="str">
        <f>VLOOKUP(B298,'AFC Data details'!$B:$B,1,0)</f>
        <v>AZ4-V08-T3C3-002</v>
      </c>
    </row>
    <row r="299" spans="1:6" x14ac:dyDescent="0.25">
      <c r="A299" s="149"/>
      <c r="B299" s="3" t="s">
        <v>1807</v>
      </c>
      <c r="C299" s="3">
        <v>1</v>
      </c>
      <c r="D299" s="3" t="str">
        <f>VLOOKUP(B299,'Element wise-detail Summary'!$A:$D,2,0)</f>
        <v>V08</v>
      </c>
      <c r="E299" s="143" t="str">
        <f>VLOOKUP(B299,'Element wise-detail Summary'!$A:$D,3,0)</f>
        <v>Zone-4</v>
      </c>
      <c r="F299" s="143" t="str">
        <f>VLOOKUP(B299,'AFC Data details'!$B:$B,1,0)</f>
        <v>AZ4-V08-T3C3-003</v>
      </c>
    </row>
    <row r="300" spans="1:6" x14ac:dyDescent="0.25">
      <c r="A300" s="149"/>
      <c r="B300" s="3" t="s">
        <v>1985</v>
      </c>
      <c r="C300" s="3">
        <v>1</v>
      </c>
      <c r="D300" s="3" t="str">
        <f>VLOOKUP(B300,'Element wise-detail Summary'!$A:$D,2,0)</f>
        <v>V08</v>
      </c>
      <c r="E300" s="143" t="str">
        <f>VLOOKUP(B300,'Element wise-detail Summary'!$A:$D,3,0)</f>
        <v>Zone-4</v>
      </c>
      <c r="F300" s="143" t="str">
        <f>VLOOKUP(B300,'AFC Data details'!$B:$B,1,0)</f>
        <v>AZ4-V08-T3C3-004</v>
      </c>
    </row>
    <row r="301" spans="1:6" x14ac:dyDescent="0.25">
      <c r="A301" s="149"/>
      <c r="B301" s="3" t="s">
        <v>1808</v>
      </c>
      <c r="C301" s="3">
        <v>1</v>
      </c>
      <c r="D301" s="3" t="str">
        <f>VLOOKUP(B301,'Element wise-detail Summary'!$A:$D,2,0)</f>
        <v>V08</v>
      </c>
      <c r="E301" s="143" t="str">
        <f>VLOOKUP(B301,'Element wise-detail Summary'!$A:$D,3,0)</f>
        <v>Zone-4</v>
      </c>
      <c r="F301" s="143" t="str">
        <f>VLOOKUP(B301,'AFC Data details'!$B:$B,1,0)</f>
        <v>AZ4-V08-T3C3-005</v>
      </c>
    </row>
    <row r="302" spans="1:6" x14ac:dyDescent="0.25">
      <c r="A302" s="149"/>
      <c r="B302" s="3" t="s">
        <v>1809</v>
      </c>
      <c r="C302" s="3">
        <v>1</v>
      </c>
      <c r="D302" s="3" t="str">
        <f>VLOOKUP(B302,'Element wise-detail Summary'!$A:$D,2,0)</f>
        <v>V09</v>
      </c>
      <c r="E302" s="143" t="str">
        <f>VLOOKUP(B302,'Element wise-detail Summary'!$A:$D,3,0)</f>
        <v>Zone-4</v>
      </c>
      <c r="F302" s="143" t="str">
        <f>VLOOKUP(B302,'AFC Data details'!$B:$B,1,0)</f>
        <v>AZ4-V09-T1C2-001</v>
      </c>
    </row>
    <row r="303" spans="1:6" x14ac:dyDescent="0.25">
      <c r="A303" s="149"/>
      <c r="B303" s="3" t="s">
        <v>1811</v>
      </c>
      <c r="C303" s="3">
        <v>1</v>
      </c>
      <c r="D303" s="3" t="str">
        <f>VLOOKUP(B303,'Element wise-detail Summary'!$A:$D,2,0)</f>
        <v>V09</v>
      </c>
      <c r="E303" s="143" t="str">
        <f>VLOOKUP(B303,'Element wise-detail Summary'!$A:$D,3,0)</f>
        <v>Zone-4</v>
      </c>
      <c r="F303" s="143" t="str">
        <f>VLOOKUP(B303,'AFC Data details'!$B:$B,1,0)</f>
        <v>AZ4-V09-T3C6-001</v>
      </c>
    </row>
    <row r="304" spans="1:6" x14ac:dyDescent="0.25">
      <c r="A304" s="149"/>
      <c r="B304" s="3" t="s">
        <v>1812</v>
      </c>
      <c r="C304" s="3">
        <v>1</v>
      </c>
      <c r="D304" s="3" t="str">
        <f>VLOOKUP(B304,'Element wise-detail Summary'!$A:$D,2,0)</f>
        <v>V09</v>
      </c>
      <c r="E304" s="143" t="str">
        <f>VLOOKUP(B304,'Element wise-detail Summary'!$A:$D,3,0)</f>
        <v>Zone-4</v>
      </c>
      <c r="F304" s="143" t="str">
        <f>VLOOKUP(B304,'AFC Data details'!$B:$B,1,0)</f>
        <v>AZ4-V09-T3C6-002</v>
      </c>
    </row>
    <row r="305" spans="1:6" x14ac:dyDescent="0.25">
      <c r="A305" s="149"/>
      <c r="B305" s="3" t="s">
        <v>1813</v>
      </c>
      <c r="C305" s="3">
        <v>1</v>
      </c>
      <c r="D305" s="3" t="str">
        <f>VLOOKUP(B305,'Element wise-detail Summary'!$A:$D,2,0)</f>
        <v>V10</v>
      </c>
      <c r="E305" s="143" t="str">
        <f>VLOOKUP(B305,'Element wise-detail Summary'!$A:$D,3,0)</f>
        <v>Zone-4</v>
      </c>
      <c r="F305" s="143" t="str">
        <f>VLOOKUP(B305,'AFC Data details'!$B:$B,1,0)</f>
        <v>AZ4-V10-T3C4-001</v>
      </c>
    </row>
    <row r="306" spans="1:6" x14ac:dyDescent="0.25">
      <c r="A306" s="149"/>
      <c r="B306" s="3" t="s">
        <v>1815</v>
      </c>
      <c r="C306" s="3">
        <v>1</v>
      </c>
      <c r="D306" s="3" t="str">
        <f>VLOOKUP(B306,'Element wise-detail Summary'!$A:$D,2,0)</f>
        <v>V10</v>
      </c>
      <c r="E306" s="143" t="str">
        <f>VLOOKUP(B306,'Element wise-detail Summary'!$A:$D,3,0)</f>
        <v>Zone-4</v>
      </c>
      <c r="F306" s="143" t="str">
        <f>VLOOKUP(B306,'AFC Data details'!$B:$B,1,0)</f>
        <v>AZ4-V10-T3C5-001</v>
      </c>
    </row>
    <row r="307" spans="1:6" x14ac:dyDescent="0.25">
      <c r="A307" s="149"/>
      <c r="B307" s="3" t="s">
        <v>1816</v>
      </c>
      <c r="C307" s="3">
        <v>1</v>
      </c>
      <c r="D307" s="3" t="str">
        <f>VLOOKUP(B307,'Element wise-detail Summary'!$A:$D,2,0)</f>
        <v>V11</v>
      </c>
      <c r="E307" s="143" t="str">
        <f>VLOOKUP(B307,'Element wise-detail Summary'!$A:$D,3,0)</f>
        <v>Zone-4</v>
      </c>
      <c r="F307" s="143" t="str">
        <f>VLOOKUP(B307,'AFC Data details'!$B:$B,1,0)</f>
        <v>AZ4-V11-T3C6-001</v>
      </c>
    </row>
    <row r="308" spans="1:6" x14ac:dyDescent="0.25">
      <c r="A308" s="149"/>
      <c r="B308" s="3" t="s">
        <v>1818</v>
      </c>
      <c r="C308" s="3">
        <v>1</v>
      </c>
      <c r="D308" s="3" t="str">
        <f>VLOOKUP(B308,'Element wise-detail Summary'!$A:$D,2,0)</f>
        <v>V11</v>
      </c>
      <c r="E308" s="143" t="str">
        <f>VLOOKUP(B308,'Element wise-detail Summary'!$A:$D,3,0)</f>
        <v>Zone-4</v>
      </c>
      <c r="F308" s="143" t="str">
        <f>VLOOKUP(B308,'AFC Data details'!$B:$B,1,0)</f>
        <v>AZ4-V11-T3C6-002</v>
      </c>
    </row>
    <row r="309" spans="1:6" x14ac:dyDescent="0.25">
      <c r="A309" s="149"/>
      <c r="B309" s="3" t="s">
        <v>1819</v>
      </c>
      <c r="C309" s="3">
        <v>1</v>
      </c>
      <c r="D309" s="3" t="str">
        <f>VLOOKUP(B309,'Element wise-detail Summary'!$A:$D,2,0)</f>
        <v>V12</v>
      </c>
      <c r="E309" s="143" t="str">
        <f>VLOOKUP(B309,'Element wise-detail Summary'!$A:$D,3,0)</f>
        <v>Zone-4</v>
      </c>
      <c r="F309" s="143" t="str">
        <f>VLOOKUP(B309,'AFC Data details'!$B:$B,1,0)</f>
        <v>AZ4-V12-T1C2-001</v>
      </c>
    </row>
    <row r="310" spans="1:6" x14ac:dyDescent="0.25">
      <c r="A310" s="149"/>
      <c r="B310" s="3" t="s">
        <v>1821</v>
      </c>
      <c r="C310" s="3">
        <v>1</v>
      </c>
      <c r="D310" s="3" t="str">
        <f>VLOOKUP(B310,'Element wise-detail Summary'!$A:$D,2,0)</f>
        <v>V12</v>
      </c>
      <c r="E310" s="143" t="str">
        <f>VLOOKUP(B310,'Element wise-detail Summary'!$A:$D,3,0)</f>
        <v>Zone-4</v>
      </c>
      <c r="F310" s="143" t="str">
        <f>VLOOKUP(B310,'AFC Data details'!$B:$B,1,0)</f>
        <v>AZ4-V12-T3C4-001</v>
      </c>
    </row>
    <row r="311" spans="1:6" x14ac:dyDescent="0.25">
      <c r="A311" s="149"/>
      <c r="B311" s="3" t="s">
        <v>1822</v>
      </c>
      <c r="C311" s="3">
        <v>1</v>
      </c>
      <c r="D311" s="3" t="str">
        <f>VLOOKUP(B311,'Element wise-detail Summary'!$A:$D,2,0)</f>
        <v>V12</v>
      </c>
      <c r="E311" s="143" t="str">
        <f>VLOOKUP(B311,'Element wise-detail Summary'!$A:$D,3,0)</f>
        <v>Zone-4</v>
      </c>
      <c r="F311" s="143" t="str">
        <f>VLOOKUP(B311,'AFC Data details'!$B:$B,1,0)</f>
        <v>AZ4-V12-T3C5-001</v>
      </c>
    </row>
    <row r="312" spans="1:6" x14ac:dyDescent="0.25">
      <c r="A312" s="149"/>
      <c r="B312" s="3" t="s">
        <v>1823</v>
      </c>
      <c r="C312" s="3">
        <v>1</v>
      </c>
      <c r="D312" s="3" t="str">
        <f>VLOOKUP(B312,'Element wise-detail Summary'!$A:$D,2,0)</f>
        <v>V13</v>
      </c>
      <c r="E312" s="143" t="str">
        <f>VLOOKUP(B312,'Element wise-detail Summary'!$A:$D,3,0)</f>
        <v>Zone-4</v>
      </c>
      <c r="F312" s="143" t="str">
        <f>VLOOKUP(B312,'AFC Data details'!$B:$B,1,0)</f>
        <v>AZ4-V13-T3C6-001</v>
      </c>
    </row>
    <row r="313" spans="1:6" x14ac:dyDescent="0.25">
      <c r="A313" s="149"/>
      <c r="B313" s="3" t="s">
        <v>1825</v>
      </c>
      <c r="C313" s="3">
        <v>1</v>
      </c>
      <c r="D313" s="3" t="str">
        <f>VLOOKUP(B313,'Element wise-detail Summary'!$A:$D,2,0)</f>
        <v>V13</v>
      </c>
      <c r="E313" s="143" t="str">
        <f>VLOOKUP(B313,'Element wise-detail Summary'!$A:$D,3,0)</f>
        <v>Zone-4</v>
      </c>
      <c r="F313" s="143" t="str">
        <f>VLOOKUP(B313,'AFC Data details'!$B:$B,1,0)</f>
        <v>AZ4-V13-T3C6-002</v>
      </c>
    </row>
    <row r="314" spans="1:6" x14ac:dyDescent="0.25">
      <c r="A314" s="149"/>
      <c r="B314" s="3" t="s">
        <v>1826</v>
      </c>
      <c r="C314" s="3">
        <v>1</v>
      </c>
      <c r="D314" s="3" t="str">
        <f>VLOOKUP(B314,'Element wise-detail Summary'!$A:$D,2,0)</f>
        <v>V14</v>
      </c>
      <c r="E314" s="143" t="str">
        <f>VLOOKUP(B314,'Element wise-detail Summary'!$A:$D,3,0)</f>
        <v>Zone-4</v>
      </c>
      <c r="F314" s="143" t="str">
        <f>VLOOKUP(B314,'AFC Data details'!$B:$B,1,0)</f>
        <v>AZ4-V14-T1C2-001</v>
      </c>
    </row>
    <row r="315" spans="1:6" x14ac:dyDescent="0.25">
      <c r="A315" s="149"/>
      <c r="B315" s="3" t="s">
        <v>1828</v>
      </c>
      <c r="D315" s="3" t="str">
        <f>VLOOKUP(B315,'Element wise-detail Summary'!$A:$D,2,0)</f>
        <v>V14</v>
      </c>
      <c r="E315" s="143" t="str">
        <f>VLOOKUP(B315,'Element wise-detail Summary'!$A:$D,3,0)</f>
        <v>Zone-4</v>
      </c>
      <c r="F315" s="143" t="str">
        <f>VLOOKUP(B315,'AFC Data details'!$B:$B,1,0)</f>
        <v>AZ4-V14-T3C4-001</v>
      </c>
    </row>
    <row r="316" spans="1:6" x14ac:dyDescent="0.25">
      <c r="A316" s="149"/>
      <c r="B316" s="3" t="s">
        <v>1829</v>
      </c>
      <c r="D316" s="3" t="str">
        <f>VLOOKUP(B316,'Element wise-detail Summary'!$A:$D,2,0)</f>
        <v>V14</v>
      </c>
      <c r="E316" s="143" t="str">
        <f>VLOOKUP(B316,'Element wise-detail Summary'!$A:$D,3,0)</f>
        <v>Zone-4</v>
      </c>
      <c r="F316" s="143" t="str">
        <f>VLOOKUP(B316,'AFC Data details'!$B:$B,1,0)</f>
        <v>AZ4-V14-T3C5-001</v>
      </c>
    </row>
    <row r="317" spans="1:6" x14ac:dyDescent="0.25">
      <c r="A317" s="149"/>
      <c r="B317" s="3" t="s">
        <v>1830</v>
      </c>
      <c r="C317" s="3">
        <v>1</v>
      </c>
      <c r="D317" s="3" t="str">
        <f>VLOOKUP(B317,'Element wise-detail Summary'!$A:$D,2,0)</f>
        <v>V15</v>
      </c>
      <c r="E317" s="143" t="str">
        <f>VLOOKUP(B317,'Element wise-detail Summary'!$A:$D,3,0)</f>
        <v>Zone-4</v>
      </c>
      <c r="F317" s="143" t="str">
        <f>VLOOKUP(B317,'AFC Data details'!$B:$B,1,0)</f>
        <v>AZ4-V15-T3C5-001</v>
      </c>
    </row>
    <row r="318" spans="1:6" x14ac:dyDescent="0.25">
      <c r="A318" s="149"/>
      <c r="B318" s="3" t="s">
        <v>1832</v>
      </c>
      <c r="D318" s="3" t="str">
        <f>VLOOKUP(B318,'Element wise-detail Summary'!$A:$D,2,0)</f>
        <v>V15</v>
      </c>
      <c r="E318" s="143" t="str">
        <f>VLOOKUP(B318,'Element wise-detail Summary'!$A:$D,3,0)</f>
        <v>Zone-4</v>
      </c>
      <c r="F318" s="143" t="str">
        <f>VLOOKUP(B318,'AFC Data details'!$B:$B,1,0)</f>
        <v>AZ4-V15-T3C5-002</v>
      </c>
    </row>
    <row r="319" spans="1:6" x14ac:dyDescent="0.25">
      <c r="A319" s="149"/>
      <c r="B319" s="3" t="s">
        <v>1833</v>
      </c>
      <c r="C319" s="3">
        <v>1</v>
      </c>
      <c r="D319" s="3" t="str">
        <f>VLOOKUP(B319,'Element wise-detail Summary'!$A:$D,2,0)</f>
        <v>V16</v>
      </c>
      <c r="E319" s="143" t="str">
        <f>VLOOKUP(B319,'Element wise-detail Summary'!$A:$D,3,0)</f>
        <v>Zone-4</v>
      </c>
      <c r="F319" s="143" t="str">
        <f>VLOOKUP(B319,'AFC Data details'!$B:$B,1,0)</f>
        <v>AZ4-V16-T1C2-001</v>
      </c>
    </row>
    <row r="320" spans="1:6" x14ac:dyDescent="0.25">
      <c r="A320" s="149"/>
      <c r="B320" s="3" t="s">
        <v>1835</v>
      </c>
      <c r="D320" s="3" t="str">
        <f>VLOOKUP(B320,'Element wise-detail Summary'!$A:$D,2,0)</f>
        <v>V16</v>
      </c>
      <c r="E320" s="143" t="str">
        <f>VLOOKUP(B320,'Element wise-detail Summary'!$A:$D,3,0)</f>
        <v>Zone-4</v>
      </c>
      <c r="F320" s="143" t="str">
        <f>VLOOKUP(B320,'AFC Data details'!$B:$B,1,0)</f>
        <v>AZ4-V16-T1C13-001</v>
      </c>
    </row>
    <row r="321" spans="1:6" x14ac:dyDescent="0.25">
      <c r="A321" s="149"/>
      <c r="B321" s="3" t="s">
        <v>1838</v>
      </c>
      <c r="D321" s="3" t="str">
        <f>VLOOKUP(B321,'Element wise-detail Summary'!$A:$D,2,0)</f>
        <v>V16</v>
      </c>
      <c r="E321" s="143" t="str">
        <f>VLOOKUP(B321,'Element wise-detail Summary'!$A:$D,3,0)</f>
        <v>Zone-4</v>
      </c>
      <c r="F321" s="143" t="str">
        <f>VLOOKUP(B321,'AFC Data details'!$B:$B,1,0)</f>
        <v>AZ4-V16-T1C14-001</v>
      </c>
    </row>
    <row r="322" spans="1:6" x14ac:dyDescent="0.25">
      <c r="A322" s="149"/>
      <c r="B322" s="3" t="s">
        <v>1839</v>
      </c>
      <c r="C322" s="3">
        <v>1</v>
      </c>
      <c r="D322" s="3" t="str">
        <f>VLOOKUP(B322,'Element wise-detail Summary'!$A:$D,2,0)</f>
        <v>V16</v>
      </c>
      <c r="E322" s="143" t="str">
        <f>VLOOKUP(B322,'Element wise-detail Summary'!$A:$D,3,0)</f>
        <v>Zone-4</v>
      </c>
      <c r="F322" s="143" t="str">
        <f>VLOOKUP(B322,'AFC Data details'!$B:$B,1,0)</f>
        <v>AZ4-V16-T3C4-001</v>
      </c>
    </row>
    <row r="323" spans="1:6" x14ac:dyDescent="0.25">
      <c r="A323" s="149"/>
      <c r="B323" s="3" t="s">
        <v>1840</v>
      </c>
      <c r="C323" s="3">
        <v>1</v>
      </c>
      <c r="D323" s="3" t="str">
        <f>VLOOKUP(B323,'Element wise-detail Summary'!$A:$D,2,0)</f>
        <v>V16</v>
      </c>
      <c r="E323" s="143" t="str">
        <f>VLOOKUP(B323,'Element wise-detail Summary'!$A:$D,3,0)</f>
        <v>Zone-4</v>
      </c>
      <c r="F323" s="143" t="str">
        <f>VLOOKUP(B323,'AFC Data details'!$B:$B,1,0)</f>
        <v>AZ4-V16-T3C4-002</v>
      </c>
    </row>
    <row r="324" spans="1:6" x14ac:dyDescent="0.25">
      <c r="A324" s="149"/>
      <c r="B324" s="3" t="s">
        <v>1841</v>
      </c>
      <c r="C324" s="3">
        <v>1</v>
      </c>
      <c r="D324" s="3" t="str">
        <f>VLOOKUP(B324,'Element wise-detail Summary'!$A:$D,2,0)</f>
        <v>V04</v>
      </c>
      <c r="E324" s="143" t="str">
        <f>VLOOKUP(B324,'Element wise-detail Summary'!$A:$D,3,0)</f>
        <v>Zone-4</v>
      </c>
      <c r="F324" s="143" t="str">
        <f>VLOOKUP(B324,'AFC Data details'!$B:$B,1,0)</f>
        <v>AZ4-V04-T1C6-001</v>
      </c>
    </row>
    <row r="325" spans="1:6" x14ac:dyDescent="0.25">
      <c r="A325" s="149"/>
      <c r="B325" s="3" t="s">
        <v>1842</v>
      </c>
      <c r="C325" s="3">
        <v>1</v>
      </c>
      <c r="D325" s="3" t="str">
        <f>VLOOKUP(B325,'Element wise-detail Summary'!$A:$D,2,0)</f>
        <v>V04</v>
      </c>
      <c r="E325" s="143" t="str">
        <f>VLOOKUP(B325,'Element wise-detail Summary'!$A:$D,3,0)</f>
        <v>Zone-4</v>
      </c>
      <c r="F325" s="143" t="str">
        <f>VLOOKUP(B325,'AFC Data details'!$B:$B,1,0)</f>
        <v>AZ4-V04-T1C6-002</v>
      </c>
    </row>
    <row r="326" spans="1:6" x14ac:dyDescent="0.25">
      <c r="A326" s="149"/>
      <c r="B326" s="3" t="s">
        <v>1968</v>
      </c>
      <c r="C326" s="3">
        <v>1</v>
      </c>
      <c r="D326" s="3" t="str">
        <f>VLOOKUP(B326,'Element wise-detail Summary'!$A:$D,2,0)</f>
        <v>V04</v>
      </c>
      <c r="E326" s="143" t="str">
        <f>VLOOKUP(B326,'Element wise-detail Summary'!$A:$D,3,0)</f>
        <v>Zone-4</v>
      </c>
      <c r="F326" s="143" t="str">
        <f>VLOOKUP(B326,'AFC Data details'!$B:$B,1,0)</f>
        <v>AZ4-V04-T1C6-003</v>
      </c>
    </row>
    <row r="327" spans="1:6" x14ac:dyDescent="0.25">
      <c r="A327" s="149"/>
      <c r="B327" s="3" t="s">
        <v>1969</v>
      </c>
      <c r="C327" s="3">
        <v>1</v>
      </c>
      <c r="D327" s="3" t="str">
        <f>VLOOKUP(B327,'Element wise-detail Summary'!$A:$D,2,0)</f>
        <v>V05</v>
      </c>
      <c r="E327" s="143" t="str">
        <f>VLOOKUP(B327,'Element wise-detail Summary'!$A:$D,3,0)</f>
        <v>Zone-4</v>
      </c>
      <c r="F327" s="143" t="str">
        <f>VLOOKUP(B327,'AFC Data details'!$B:$B,1,0)</f>
        <v>AZ4-V05-T1C6-002</v>
      </c>
    </row>
    <row r="328" spans="1:6" x14ac:dyDescent="0.25">
      <c r="A328" s="149"/>
      <c r="B328" s="3" t="s">
        <v>1970</v>
      </c>
      <c r="C328" s="3">
        <v>1</v>
      </c>
      <c r="D328" s="3" t="str">
        <f>VLOOKUP(B328,'Element wise-detail Summary'!$A:$D,2,0)</f>
        <v>V05</v>
      </c>
      <c r="E328" s="143" t="str">
        <f>VLOOKUP(B328,'Element wise-detail Summary'!$A:$D,3,0)</f>
        <v>Zone-4</v>
      </c>
      <c r="F328" s="143" t="str">
        <f>VLOOKUP(B328,'AFC Data details'!$B:$B,1,0)</f>
        <v>AZ4-V05-T1C6-003</v>
      </c>
    </row>
    <row r="329" spans="1:6" x14ac:dyDescent="0.25">
      <c r="A329" s="149"/>
      <c r="B329" s="3" t="s">
        <v>1843</v>
      </c>
      <c r="D329" s="3" t="str">
        <f>VLOOKUP(B329,'Element wise-detail Summary'!$A:$D,2,0)</f>
        <v>V04</v>
      </c>
      <c r="E329" s="143" t="str">
        <f>VLOOKUP(B329,'Element wise-detail Summary'!$A:$D,3,0)</f>
        <v>Zone-4</v>
      </c>
      <c r="F329" s="143" t="str">
        <f>VLOOKUP(B329,'AFC Data details'!$B:$B,1,0)</f>
        <v>AZ4-V04-T1C6-004</v>
      </c>
    </row>
    <row r="330" spans="1:6" x14ac:dyDescent="0.25">
      <c r="A330" s="149"/>
      <c r="B330" s="3" t="s">
        <v>1967</v>
      </c>
      <c r="C330" s="3">
        <v>1</v>
      </c>
      <c r="D330" s="3" t="str">
        <f>VLOOKUP(B330,'Element wise-detail Summary'!$A:$D,2,0)</f>
        <v>V04</v>
      </c>
      <c r="E330" s="143" t="str">
        <f>VLOOKUP(B330,'Element wise-detail Summary'!$A:$D,3,0)</f>
        <v>Zone-4</v>
      </c>
      <c r="F330" s="143" t="str">
        <f>VLOOKUP(B330,'AFC Data details'!$B:$B,1,0)</f>
        <v>AZ4-V04-T1C6-005</v>
      </c>
    </row>
    <row r="331" spans="1:6" x14ac:dyDescent="0.25">
      <c r="A331" s="149"/>
      <c r="B331" s="3" t="s">
        <v>1991</v>
      </c>
      <c r="C331" s="3">
        <v>1</v>
      </c>
      <c r="D331" s="3" t="str">
        <f>VLOOKUP(B331,'Element wise-detail Summary'!$A:$D,2,0)</f>
        <v>V05</v>
      </c>
      <c r="E331" s="143" t="str">
        <f>VLOOKUP(B331,'Element wise-detail Summary'!$A:$D,3,0)</f>
        <v>Zone-4</v>
      </c>
      <c r="F331" s="143" t="str">
        <f>VLOOKUP(B331,'AFC Data details'!$B:$B,1,0)</f>
        <v>AZ4-V05-T1C6-004</v>
      </c>
    </row>
    <row r="332" spans="1:6" x14ac:dyDescent="0.25">
      <c r="A332" s="149"/>
      <c r="B332" s="3" t="s">
        <v>1961</v>
      </c>
      <c r="C332" s="3">
        <v>1</v>
      </c>
      <c r="D332" s="3" t="str">
        <f>VLOOKUP(B332,'Element wise-detail Summary'!$A:$D,2,0)</f>
        <v>V05</v>
      </c>
      <c r="E332" s="143" t="str">
        <f>VLOOKUP(B332,'Element wise-detail Summary'!$A:$D,3,0)</f>
        <v>Zone-4</v>
      </c>
      <c r="F332" s="143" t="str">
        <f>VLOOKUP(B332,'AFC Data details'!$B:$B,1,0)</f>
        <v>AZ4-V05-T1C6-005</v>
      </c>
    </row>
    <row r="333" spans="1:6" x14ac:dyDescent="0.25">
      <c r="A333" s="149"/>
      <c r="B333" s="3" t="s">
        <v>1844</v>
      </c>
      <c r="C333" s="3">
        <v>1</v>
      </c>
      <c r="D333" s="3" t="str">
        <f>VLOOKUP(B333,'Element wise-detail Summary'!$A:$D,2,0)</f>
        <v>V04</v>
      </c>
      <c r="E333" s="143" t="str">
        <f>VLOOKUP(B333,'Element wise-detail Summary'!$A:$D,3,0)</f>
        <v>Zone-4</v>
      </c>
      <c r="F333" s="143" t="str">
        <f>VLOOKUP(B333,'AFC Data details'!$B:$B,1,0)</f>
        <v>AZ4-V04-T1C6-006</v>
      </c>
    </row>
    <row r="334" spans="1:6" x14ac:dyDescent="0.25">
      <c r="A334" s="149"/>
      <c r="B334" s="3" t="s">
        <v>1845</v>
      </c>
      <c r="C334" s="3">
        <v>1</v>
      </c>
      <c r="D334" s="3" t="str">
        <f>VLOOKUP(B334,'Element wise-detail Summary'!$A:$D,2,0)</f>
        <v>V04</v>
      </c>
      <c r="E334" s="143" t="str">
        <f>VLOOKUP(B334,'Element wise-detail Summary'!$A:$D,3,0)</f>
        <v>Zone-4</v>
      </c>
      <c r="F334" s="143" t="str">
        <f>VLOOKUP(B334,'AFC Data details'!$B:$B,1,0)</f>
        <v>AZ4-V04-T2C1-001</v>
      </c>
    </row>
    <row r="335" spans="1:6" x14ac:dyDescent="0.25">
      <c r="A335" s="149"/>
      <c r="B335" s="3" t="s">
        <v>1846</v>
      </c>
      <c r="C335" s="3">
        <v>1</v>
      </c>
      <c r="D335" s="3" t="str">
        <f>VLOOKUP(B335,'Element wise-detail Summary'!$A:$D,2,0)</f>
        <v>V05</v>
      </c>
      <c r="E335" s="143" t="str">
        <f>VLOOKUP(B335,'Element wise-detail Summary'!$A:$D,3,0)</f>
        <v>Zone-4</v>
      </c>
      <c r="F335" s="143" t="str">
        <f>VLOOKUP(B335,'AFC Data details'!$B:$B,1,0)</f>
        <v>AZ4-V05-T1C6-001</v>
      </c>
    </row>
    <row r="336" spans="1:6" x14ac:dyDescent="0.25">
      <c r="A336" s="149"/>
      <c r="B336" s="3" t="s">
        <v>1847</v>
      </c>
      <c r="C336" s="3">
        <v>1</v>
      </c>
      <c r="D336" s="3" t="str">
        <f>VLOOKUP(B336,'Element wise-detail Summary'!$A:$D,2,0)</f>
        <v>V05</v>
      </c>
      <c r="E336" s="143" t="str">
        <f>VLOOKUP(B336,'Element wise-detail Summary'!$A:$D,3,0)</f>
        <v>Zone-4</v>
      </c>
      <c r="F336" s="143" t="str">
        <f>VLOOKUP(B336,'AFC Data details'!$B:$B,1,0)</f>
        <v>AZ4-V05-T1C6-006</v>
      </c>
    </row>
    <row r="337" spans="1:6" x14ac:dyDescent="0.25">
      <c r="A337" s="149"/>
      <c r="B337" s="3" t="s">
        <v>1848</v>
      </c>
      <c r="C337" s="3">
        <v>1</v>
      </c>
      <c r="D337" s="3" t="str">
        <f>VLOOKUP(B337,'Element wise-detail Summary'!$A:$D,2,0)</f>
        <v>V06</v>
      </c>
      <c r="E337" s="143" t="str">
        <f>VLOOKUP(B337,'Element wise-detail Summary'!$A:$D,3,0)</f>
        <v>Zone-4</v>
      </c>
      <c r="F337" s="143" t="str">
        <f>VLOOKUP(B337,'AFC Data details'!$B:$B,1,0)</f>
        <v>AZ4-V06-T1C6-001</v>
      </c>
    </row>
    <row r="338" spans="1:6" x14ac:dyDescent="0.25">
      <c r="A338" s="149"/>
      <c r="B338" s="3" t="s">
        <v>1849</v>
      </c>
      <c r="D338" s="3" t="str">
        <f>VLOOKUP(B338,'Element wise-detail Summary'!$A:$D,2,0)</f>
        <v>V06</v>
      </c>
      <c r="E338" s="143" t="str">
        <f>VLOOKUP(B338,'Element wise-detail Summary'!$A:$D,3,0)</f>
        <v>Zone-4</v>
      </c>
      <c r="F338" s="143" t="str">
        <f>VLOOKUP(B338,'AFC Data details'!$B:$B,1,0)</f>
        <v>AZ4-V06-T1C6-006</v>
      </c>
    </row>
    <row r="339" spans="1:6" x14ac:dyDescent="0.25">
      <c r="A339" s="149"/>
      <c r="B339" s="3" t="s">
        <v>1850</v>
      </c>
      <c r="C339" s="3">
        <v>1</v>
      </c>
      <c r="D339" s="3" t="str">
        <f>VLOOKUP(B339,'Element wise-detail Summary'!$A:$D,2,0)</f>
        <v>V06</v>
      </c>
      <c r="E339" s="143" t="str">
        <f>VLOOKUP(B339,'Element wise-detail Summary'!$A:$D,3,0)</f>
        <v>Zone-4</v>
      </c>
      <c r="F339" s="143" t="str">
        <f>VLOOKUP(B339,'AFC Data details'!$B:$B,1,0)</f>
        <v>AZ4-V06-T2C1-001</v>
      </c>
    </row>
    <row r="340" spans="1:6" x14ac:dyDescent="0.25">
      <c r="A340" s="149"/>
      <c r="B340" s="3" t="s">
        <v>1851</v>
      </c>
      <c r="C340" s="3">
        <v>1</v>
      </c>
      <c r="D340" s="3" t="str">
        <f>VLOOKUP(B340,'Element wise-detail Summary'!$A:$D,2,0)</f>
        <v>V07</v>
      </c>
      <c r="E340" s="143" t="str">
        <f>VLOOKUP(B340,'Element wise-detail Summary'!$A:$D,3,0)</f>
        <v>Zone-4</v>
      </c>
      <c r="F340" s="143" t="str">
        <f>VLOOKUP(B340,'AFC Data details'!$B:$B,1,0)</f>
        <v>AZ4-V07-T1C6-001</v>
      </c>
    </row>
    <row r="341" spans="1:6" x14ac:dyDescent="0.25">
      <c r="A341" s="149"/>
      <c r="B341" s="3" t="s">
        <v>1852</v>
      </c>
      <c r="C341" s="3">
        <v>1</v>
      </c>
      <c r="D341" s="3" t="str">
        <f>VLOOKUP(B341,'Element wise-detail Summary'!$A:$D,2,0)</f>
        <v>V07</v>
      </c>
      <c r="E341" s="143" t="str">
        <f>VLOOKUP(B341,'Element wise-detail Summary'!$A:$D,3,0)</f>
        <v>Zone-4</v>
      </c>
      <c r="F341" s="143" t="str">
        <f>VLOOKUP(B341,'AFC Data details'!$B:$B,1,0)</f>
        <v>AZ4-V07-T1C6-006</v>
      </c>
    </row>
    <row r="342" spans="1:6" x14ac:dyDescent="0.25">
      <c r="A342" s="149"/>
      <c r="B342" s="3" t="s">
        <v>1853</v>
      </c>
      <c r="C342" s="3">
        <v>1</v>
      </c>
      <c r="D342" s="3" t="str">
        <f>VLOOKUP(B342,'Element wise-detail Summary'!$A:$D,2,0)</f>
        <v>V08</v>
      </c>
      <c r="E342" s="143" t="str">
        <f>VLOOKUP(B342,'Element wise-detail Summary'!$A:$D,3,0)</f>
        <v>Zone-4</v>
      </c>
      <c r="F342" s="143" t="str">
        <f>VLOOKUP(B342,'AFC Data details'!$B:$B,1,0)</f>
        <v>AZ4-V08-T1C6-001</v>
      </c>
    </row>
    <row r="343" spans="1:6" x14ac:dyDescent="0.25">
      <c r="A343" s="149"/>
      <c r="B343" s="3" t="s">
        <v>1854</v>
      </c>
      <c r="C343" s="3">
        <v>1</v>
      </c>
      <c r="D343" s="3" t="str">
        <f>VLOOKUP(B343,'Element wise-detail Summary'!$A:$D,2,0)</f>
        <v>V08</v>
      </c>
      <c r="E343" s="143" t="str">
        <f>VLOOKUP(B343,'Element wise-detail Summary'!$A:$D,3,0)</f>
        <v>Zone-4</v>
      </c>
      <c r="F343" s="143" t="str">
        <f>VLOOKUP(B343,'AFC Data details'!$B:$B,1,0)</f>
        <v>AZ4-V08-T1C6-002</v>
      </c>
    </row>
    <row r="344" spans="1:6" x14ac:dyDescent="0.25">
      <c r="A344" s="149"/>
      <c r="B344" s="3" t="s">
        <v>1975</v>
      </c>
      <c r="C344" s="3">
        <v>1</v>
      </c>
      <c r="D344" s="3" t="str">
        <f>VLOOKUP(B344,'Element wise-detail Summary'!$A:$D,2,0)</f>
        <v>V08</v>
      </c>
      <c r="E344" s="143" t="str">
        <f>VLOOKUP(B344,'Element wise-detail Summary'!$A:$D,3,0)</f>
        <v>Zone-4</v>
      </c>
      <c r="F344" s="143" t="str">
        <f>VLOOKUP(B344,'AFC Data details'!$B:$B,1,0)</f>
        <v>AZ4-V08-T1C6-003</v>
      </c>
    </row>
    <row r="345" spans="1:6" x14ac:dyDescent="0.25">
      <c r="A345" s="149"/>
      <c r="B345" s="3" t="s">
        <v>1992</v>
      </c>
      <c r="C345" s="3">
        <v>1</v>
      </c>
      <c r="D345" s="3" t="str">
        <f>VLOOKUP(B345,'Element wise-detail Summary'!$A:$D,2,0)</f>
        <v>V08</v>
      </c>
      <c r="E345" s="143" t="str">
        <f>VLOOKUP(B345,'Element wise-detail Summary'!$A:$D,3,0)</f>
        <v>Zone-4</v>
      </c>
      <c r="F345" s="143" t="str">
        <f>VLOOKUP(B345,'AFC Data details'!$B:$B,1,0)</f>
        <v>AZ4-V08-T1C6-004</v>
      </c>
    </row>
    <row r="346" spans="1:6" x14ac:dyDescent="0.25">
      <c r="A346" s="149"/>
      <c r="B346" s="3" t="s">
        <v>1994</v>
      </c>
      <c r="C346" s="3">
        <v>1</v>
      </c>
      <c r="D346" s="3" t="str">
        <f>VLOOKUP(B346,'Element wise-detail Summary'!$A:$D,2,0)</f>
        <v>V09</v>
      </c>
      <c r="E346" s="143" t="str">
        <f>VLOOKUP(B346,'Element wise-detail Summary'!$A:$D,3,0)</f>
        <v>Zone-4</v>
      </c>
      <c r="F346" s="143" t="str">
        <f>VLOOKUP(B346,'AFC Data details'!$B:$B,1,0)</f>
        <v>AZ4-V09-T1C6-002</v>
      </c>
    </row>
    <row r="347" spans="1:6" x14ac:dyDescent="0.25">
      <c r="A347" s="149"/>
      <c r="B347" s="3" t="s">
        <v>1995</v>
      </c>
      <c r="C347" s="3">
        <v>1</v>
      </c>
      <c r="D347" s="3" t="str">
        <f>VLOOKUP(B347,'Element wise-detail Summary'!$A:$D,2,0)</f>
        <v>V09</v>
      </c>
      <c r="E347" s="143" t="str">
        <f>VLOOKUP(B347,'Element wise-detail Summary'!$A:$D,3,0)</f>
        <v>Zone-4</v>
      </c>
      <c r="F347" s="143" t="str">
        <f>VLOOKUP(B347,'AFC Data details'!$B:$B,1,0)</f>
        <v>AZ4-V09-T1C6-003</v>
      </c>
    </row>
    <row r="348" spans="1:6" x14ac:dyDescent="0.25">
      <c r="A348" s="149"/>
      <c r="B348" s="3" t="s">
        <v>1976</v>
      </c>
      <c r="C348" s="3">
        <v>1</v>
      </c>
      <c r="D348" s="3" t="str">
        <f>VLOOKUP(B348,'Element wise-detail Summary'!$A:$D,2,0)</f>
        <v>V06</v>
      </c>
      <c r="E348" s="143" t="str">
        <f>VLOOKUP(B348,'Element wise-detail Summary'!$A:$D,3,0)</f>
        <v>Zone-4</v>
      </c>
      <c r="F348" s="143" t="str">
        <f>VLOOKUP(B348,'AFC Data details'!$B:$B,1,0)</f>
        <v>AZ4-V06-T1C6-002</v>
      </c>
    </row>
    <row r="349" spans="1:6" x14ac:dyDescent="0.25">
      <c r="A349" s="149"/>
      <c r="B349" s="3" t="s">
        <v>1977</v>
      </c>
      <c r="C349" s="3">
        <v>1</v>
      </c>
      <c r="D349" s="3" t="str">
        <f>VLOOKUP(B349,'Element wise-detail Summary'!$A:$D,2,0)</f>
        <v>V06</v>
      </c>
      <c r="E349" s="143" t="str">
        <f>VLOOKUP(B349,'Element wise-detail Summary'!$A:$D,3,0)</f>
        <v>Zone-4</v>
      </c>
      <c r="F349" s="143" t="str">
        <f>VLOOKUP(B349,'AFC Data details'!$B:$B,1,0)</f>
        <v>AZ4-V06-T1C6-003</v>
      </c>
    </row>
    <row r="350" spans="1:6" x14ac:dyDescent="0.25">
      <c r="A350" s="149"/>
      <c r="B350" s="3" t="s">
        <v>1996</v>
      </c>
      <c r="C350" s="3">
        <v>1</v>
      </c>
      <c r="D350" s="3" t="str">
        <f>VLOOKUP(B350,'Element wise-detail Summary'!$A:$D,2,0)</f>
        <v>V06</v>
      </c>
      <c r="E350" s="143" t="str">
        <f>VLOOKUP(B350,'Element wise-detail Summary'!$A:$D,3,0)</f>
        <v>Zone-4</v>
      </c>
      <c r="F350" s="143" t="str">
        <f>VLOOKUP(B350,'AFC Data details'!$B:$B,1,0)</f>
        <v>AZ4-V06-T1C6-004</v>
      </c>
    </row>
    <row r="351" spans="1:6" x14ac:dyDescent="0.25">
      <c r="A351" s="149"/>
      <c r="B351" s="3" t="s">
        <v>1997</v>
      </c>
      <c r="C351" s="3">
        <v>1</v>
      </c>
      <c r="D351" s="3" t="str">
        <f>VLOOKUP(B351,'Element wise-detail Summary'!$A:$D,2,0)</f>
        <v>V06</v>
      </c>
      <c r="E351" s="143" t="str">
        <f>VLOOKUP(B351,'Element wise-detail Summary'!$A:$D,3,0)</f>
        <v>Zone-4</v>
      </c>
      <c r="F351" s="143" t="str">
        <f>VLOOKUP(B351,'AFC Data details'!$B:$B,1,0)</f>
        <v>AZ4-V06-T1C6-005</v>
      </c>
    </row>
    <row r="352" spans="1:6" x14ac:dyDescent="0.25">
      <c r="A352" s="149"/>
      <c r="B352" s="3" t="s">
        <v>1998</v>
      </c>
      <c r="C352" s="3">
        <v>1</v>
      </c>
      <c r="D352" s="3" t="str">
        <f>VLOOKUP(B352,'Element wise-detail Summary'!$A:$D,2,0)</f>
        <v>V07</v>
      </c>
      <c r="E352" s="143" t="str">
        <f>VLOOKUP(B352,'Element wise-detail Summary'!$A:$D,3,0)</f>
        <v>Zone-4</v>
      </c>
      <c r="F352" s="143" t="str">
        <f>VLOOKUP(B352,'AFC Data details'!$B:$B,1,0)</f>
        <v>AZ4-V07-T1C6-002</v>
      </c>
    </row>
    <row r="353" spans="1:6" x14ac:dyDescent="0.25">
      <c r="A353" s="149"/>
      <c r="B353" s="3" t="s">
        <v>1999</v>
      </c>
      <c r="C353" s="3">
        <v>1</v>
      </c>
      <c r="D353" s="3" t="str">
        <f>VLOOKUP(B353,'Element wise-detail Summary'!$A:$D,2,0)</f>
        <v>V07</v>
      </c>
      <c r="E353" s="143" t="str">
        <f>VLOOKUP(B353,'Element wise-detail Summary'!$A:$D,3,0)</f>
        <v>Zone-4</v>
      </c>
      <c r="F353" s="143" t="str">
        <f>VLOOKUP(B353,'AFC Data details'!$B:$B,1,0)</f>
        <v>AZ4-V07-T1C6-003</v>
      </c>
    </row>
    <row r="354" spans="1:6" x14ac:dyDescent="0.25">
      <c r="A354" s="149"/>
      <c r="B354" s="3" t="s">
        <v>1960</v>
      </c>
      <c r="C354" s="3">
        <v>1</v>
      </c>
      <c r="D354" s="3" t="str">
        <f>VLOOKUP(B354,'Element wise-detail Summary'!$A:$D,2,0)</f>
        <v>V07</v>
      </c>
      <c r="E354" s="143" t="str">
        <f>VLOOKUP(B354,'Element wise-detail Summary'!$A:$D,3,0)</f>
        <v>Zone-4</v>
      </c>
      <c r="F354" s="143" t="str">
        <f>VLOOKUP(B354,'AFC Data details'!$B:$B,1,0)</f>
        <v>AZ4-V07-T1C6-004</v>
      </c>
    </row>
    <row r="355" spans="1:6" x14ac:dyDescent="0.25">
      <c r="A355" s="149"/>
      <c r="B355" s="3" t="s">
        <v>1962</v>
      </c>
      <c r="C355" s="3">
        <v>1</v>
      </c>
      <c r="D355" s="3" t="str">
        <f>VLOOKUP(B355,'Element wise-detail Summary'!$A:$D,2,0)</f>
        <v>V07</v>
      </c>
      <c r="E355" s="143" t="str">
        <f>VLOOKUP(B355,'Element wise-detail Summary'!$A:$D,3,0)</f>
        <v>Zone-4</v>
      </c>
      <c r="F355" s="143" t="str">
        <f>VLOOKUP(B355,'AFC Data details'!$B:$B,1,0)</f>
        <v>AZ4-V07-T1C6-005</v>
      </c>
    </row>
    <row r="356" spans="1:6" x14ac:dyDescent="0.25">
      <c r="A356" s="149"/>
      <c r="B356" s="3" t="s">
        <v>1855</v>
      </c>
      <c r="C356" s="3">
        <v>1</v>
      </c>
      <c r="D356" s="3" t="str">
        <f>VLOOKUP(B356,'Element wise-detail Summary'!$A:$D,2,0)</f>
        <v>V08</v>
      </c>
      <c r="E356" s="143" t="str">
        <f>VLOOKUP(B356,'Element wise-detail Summary'!$A:$D,3,0)</f>
        <v>Zone-4</v>
      </c>
      <c r="F356" s="143" t="str">
        <f>VLOOKUP(B356,'AFC Data details'!$B:$B,1,0)</f>
        <v>AZ4-V08-T2C1-001</v>
      </c>
    </row>
    <row r="357" spans="1:6" x14ac:dyDescent="0.25">
      <c r="A357" s="149"/>
      <c r="B357" s="3" t="s">
        <v>1856</v>
      </c>
      <c r="C357" s="3">
        <v>1</v>
      </c>
      <c r="D357" s="3" t="str">
        <f>VLOOKUP(B357,'Element wise-detail Summary'!$A:$D,2,0)</f>
        <v>V09</v>
      </c>
      <c r="E357" s="143" t="str">
        <f>VLOOKUP(B357,'Element wise-detail Summary'!$A:$D,3,0)</f>
        <v>Zone-4</v>
      </c>
      <c r="F357" s="143" t="str">
        <f>VLOOKUP(B357,'AFC Data details'!$B:$B,1,0)</f>
        <v>AZ4-V09-T1C6-001</v>
      </c>
    </row>
    <row r="358" spans="1:6" x14ac:dyDescent="0.25">
      <c r="A358" s="149"/>
      <c r="B358" s="3" t="s">
        <v>1857</v>
      </c>
      <c r="C358" s="3">
        <v>1</v>
      </c>
      <c r="D358" s="3" t="str">
        <f>VLOOKUP(B358,'Element wise-detail Summary'!$A:$D,2,0)</f>
        <v>V10</v>
      </c>
      <c r="E358" s="143" t="str">
        <f>VLOOKUP(B358,'Element wise-detail Summary'!$A:$D,3,0)</f>
        <v>Zone-4</v>
      </c>
      <c r="F358" s="143" t="str">
        <f>VLOOKUP(B358,'AFC Data details'!$B:$B,1,0)</f>
        <v>AZ4-V10-T1C6-001</v>
      </c>
    </row>
    <row r="359" spans="1:6" x14ac:dyDescent="0.25">
      <c r="A359" s="149"/>
      <c r="B359" s="3" t="s">
        <v>1858</v>
      </c>
      <c r="C359" s="3">
        <v>1</v>
      </c>
      <c r="D359" s="3" t="str">
        <f>VLOOKUP(B359,'Element wise-detail Summary'!$A:$D,2,0)</f>
        <v>V10</v>
      </c>
      <c r="E359" s="143" t="str">
        <f>VLOOKUP(B359,'Element wise-detail Summary'!$A:$D,3,0)</f>
        <v>Zone-4</v>
      </c>
      <c r="F359" s="143" t="str">
        <f>VLOOKUP(B359,'AFC Data details'!$B:$B,1,0)</f>
        <v>AZ4-V10-T1C6-002</v>
      </c>
    </row>
    <row r="360" spans="1:6" x14ac:dyDescent="0.25">
      <c r="A360" s="149"/>
      <c r="B360" s="3" t="s">
        <v>1979</v>
      </c>
      <c r="C360" s="3">
        <v>1</v>
      </c>
      <c r="D360" s="3" t="str">
        <f>VLOOKUP(B360,'Element wise-detail Summary'!$A:$D,2,0)</f>
        <v>V10</v>
      </c>
      <c r="E360" s="143" t="str">
        <f>VLOOKUP(B360,'Element wise-detail Summary'!$A:$D,3,0)</f>
        <v>Zone-4</v>
      </c>
      <c r="F360" s="143" t="str">
        <f>VLOOKUP(B360,'AFC Data details'!$B:$B,1,0)</f>
        <v>AZ4-V10-T1C6-003</v>
      </c>
    </row>
    <row r="361" spans="1:6" x14ac:dyDescent="0.25">
      <c r="A361" s="149"/>
      <c r="B361" s="3" t="s">
        <v>2000</v>
      </c>
      <c r="C361" s="3">
        <v>1</v>
      </c>
      <c r="D361" s="3" t="str">
        <f>VLOOKUP(B361,'Element wise-detail Summary'!$A:$D,2,0)</f>
        <v>V10</v>
      </c>
      <c r="E361" s="143" t="str">
        <f>VLOOKUP(B361,'Element wise-detail Summary'!$A:$D,3,0)</f>
        <v>Zone-4</v>
      </c>
      <c r="F361" s="143" t="str">
        <f>VLOOKUP(B361,'AFC Data details'!$B:$B,1,0)</f>
        <v>AZ4-V10-T1C6-004</v>
      </c>
    </row>
    <row r="362" spans="1:6" x14ac:dyDescent="0.25">
      <c r="A362" s="149"/>
      <c r="B362" s="3" t="s">
        <v>2001</v>
      </c>
      <c r="C362" s="3">
        <v>1</v>
      </c>
      <c r="D362" s="3" t="str">
        <f>VLOOKUP(B362,'Element wise-detail Summary'!$A:$D,2,0)</f>
        <v>V10</v>
      </c>
      <c r="E362" s="143" t="str">
        <f>VLOOKUP(B362,'Element wise-detail Summary'!$A:$D,3,0)</f>
        <v>Zone-4</v>
      </c>
      <c r="F362" s="143" t="str">
        <f>VLOOKUP(B362,'AFC Data details'!$B:$B,1,0)</f>
        <v>AZ4-V10-T1C6-005</v>
      </c>
    </row>
    <row r="363" spans="1:6" x14ac:dyDescent="0.25">
      <c r="A363" s="149"/>
      <c r="B363" s="3" t="s">
        <v>2002</v>
      </c>
      <c r="C363" s="3">
        <v>1</v>
      </c>
      <c r="D363" s="3" t="str">
        <f>VLOOKUP(B363,'Element wise-detail Summary'!$A:$D,2,0)</f>
        <v>V11</v>
      </c>
      <c r="E363" s="143" t="str">
        <f>VLOOKUP(B363,'Element wise-detail Summary'!$A:$D,3,0)</f>
        <v>Zone-4</v>
      </c>
      <c r="F363" s="143" t="str">
        <f>VLOOKUP(B363,'AFC Data details'!$B:$B,1,0)</f>
        <v>AZ4-V11-T1C6-002</v>
      </c>
    </row>
    <row r="364" spans="1:6" x14ac:dyDescent="0.25">
      <c r="A364" s="149"/>
      <c r="B364" s="3" t="s">
        <v>2003</v>
      </c>
      <c r="C364" s="3">
        <v>1</v>
      </c>
      <c r="D364" s="3" t="str">
        <f>VLOOKUP(B364,'Element wise-detail Summary'!$A:$D,2,0)</f>
        <v>V11</v>
      </c>
      <c r="E364" s="143" t="str">
        <f>VLOOKUP(B364,'Element wise-detail Summary'!$A:$D,3,0)</f>
        <v>Zone-4</v>
      </c>
      <c r="F364" s="143" t="str">
        <f>VLOOKUP(B364,'AFC Data details'!$B:$B,1,0)</f>
        <v>AZ4-V11-T1C6-003</v>
      </c>
    </row>
    <row r="365" spans="1:6" x14ac:dyDescent="0.25">
      <c r="A365" s="149"/>
      <c r="B365" s="3" t="s">
        <v>1859</v>
      </c>
      <c r="C365" s="3">
        <v>1</v>
      </c>
      <c r="D365" s="3" t="str">
        <f>VLOOKUP(B365,'Element wise-detail Summary'!$A:$D,2,0)</f>
        <v>V11</v>
      </c>
      <c r="E365" s="143" t="str">
        <f>VLOOKUP(B365,'Element wise-detail Summary'!$A:$D,3,0)</f>
        <v>Zone-4</v>
      </c>
      <c r="F365" s="143" t="str">
        <f>VLOOKUP(B365,'AFC Data details'!$B:$B,1,0)</f>
        <v>AZ4-V11-T1C6-001</v>
      </c>
    </row>
    <row r="366" spans="1:6" x14ac:dyDescent="0.25">
      <c r="A366" s="149"/>
      <c r="B366" s="3" t="s">
        <v>2006</v>
      </c>
      <c r="C366" s="3">
        <v>1</v>
      </c>
      <c r="D366" s="3" t="str">
        <f>VLOOKUP(B366,'Element wise-detail Summary'!$A:$D,2,0)</f>
        <v>V10</v>
      </c>
      <c r="E366" s="143" t="str">
        <f>VLOOKUP(B366,'Element wise-detail Summary'!$A:$D,3,0)</f>
        <v>Zone-4</v>
      </c>
      <c r="F366" s="143" t="str">
        <f>VLOOKUP(B366,'AFC Data details'!$B:$B,1,0)</f>
        <v>AZ4-V10-T1C6-006</v>
      </c>
    </row>
    <row r="367" spans="1:6" x14ac:dyDescent="0.25">
      <c r="A367" s="149"/>
      <c r="B367" s="3" t="s">
        <v>1860</v>
      </c>
      <c r="C367" s="3">
        <v>1</v>
      </c>
      <c r="D367" s="3" t="str">
        <f>VLOOKUP(B367,'Element wise-detail Summary'!$A:$D,2,0)</f>
        <v>V12</v>
      </c>
      <c r="E367" s="143" t="str">
        <f>VLOOKUP(B367,'Element wise-detail Summary'!$A:$D,3,0)</f>
        <v>Zone-4</v>
      </c>
      <c r="F367" s="143" t="str">
        <f>VLOOKUP(B367,'AFC Data details'!$B:$B,1,0)</f>
        <v>AZ4-V12-T1C6-001</v>
      </c>
    </row>
    <row r="368" spans="1:6" x14ac:dyDescent="0.25">
      <c r="A368" s="149"/>
      <c r="B368" s="3" t="s">
        <v>1861</v>
      </c>
      <c r="D368" s="3" t="str">
        <f>VLOOKUP(B368,'Element wise-detail Summary'!$A:$D,2,0)</f>
        <v>V12</v>
      </c>
      <c r="E368" s="143" t="str">
        <f>VLOOKUP(B368,'Element wise-detail Summary'!$A:$D,3,0)</f>
        <v>Zone-4</v>
      </c>
      <c r="F368" s="143" t="str">
        <f>VLOOKUP(B368,'AFC Data details'!$B:$B,1,0)</f>
        <v>AZ4-V12-T1C6-002</v>
      </c>
    </row>
    <row r="369" spans="1:6" x14ac:dyDescent="0.25">
      <c r="A369" s="149"/>
      <c r="B369" s="3" t="s">
        <v>1862</v>
      </c>
      <c r="D369" s="3" t="str">
        <f>VLOOKUP(B369,'Element wise-detail Summary'!$A:$D,2,0)</f>
        <v>V13</v>
      </c>
      <c r="E369" s="143" t="str">
        <f>VLOOKUP(B369,'Element wise-detail Summary'!$A:$D,3,0)</f>
        <v>Zone-4</v>
      </c>
      <c r="F369" s="143" t="str">
        <f>VLOOKUP(B369,'AFC Data details'!$B:$B,1,0)</f>
        <v>AZ4-V13-T1C6-001</v>
      </c>
    </row>
    <row r="370" spans="1:6" x14ac:dyDescent="0.25">
      <c r="A370" s="149"/>
      <c r="B370" s="3" t="s">
        <v>1863</v>
      </c>
      <c r="C370" s="3">
        <v>1</v>
      </c>
      <c r="D370" s="3" t="str">
        <f>VLOOKUP(B370,'Element wise-detail Summary'!$A:$D,2,0)</f>
        <v>V14</v>
      </c>
      <c r="E370" s="143" t="str">
        <f>VLOOKUP(B370,'Element wise-detail Summary'!$A:$D,3,0)</f>
        <v>Zone-4</v>
      </c>
      <c r="F370" s="143" t="str">
        <f>VLOOKUP(B370,'AFC Data details'!$B:$B,1,0)</f>
        <v>AZ4-V14-T1C6-001</v>
      </c>
    </row>
    <row r="371" spans="1:6" x14ac:dyDescent="0.25">
      <c r="A371" s="149"/>
      <c r="B371" s="3" t="s">
        <v>1864</v>
      </c>
      <c r="D371" s="3" t="str">
        <f>VLOOKUP(B371,'Element wise-detail Summary'!$A:$D,2,0)</f>
        <v>V14</v>
      </c>
      <c r="E371" s="143" t="str">
        <f>VLOOKUP(B371,'Element wise-detail Summary'!$A:$D,3,0)</f>
        <v>Zone-4</v>
      </c>
      <c r="F371" s="143" t="str">
        <f>VLOOKUP(B371,'AFC Data details'!$B:$B,1,0)</f>
        <v>AZ4-V14-T1C6-002</v>
      </c>
    </row>
    <row r="372" spans="1:6" x14ac:dyDescent="0.25">
      <c r="A372" s="149"/>
      <c r="B372" s="3" t="s">
        <v>2011</v>
      </c>
      <c r="D372" s="3" t="str">
        <f>VLOOKUP(B372,'Element wise-detail Summary'!$A:$D,2,0)</f>
        <v>V14</v>
      </c>
      <c r="E372" s="143" t="str">
        <f>VLOOKUP(B372,'Element wise-detail Summary'!$A:$D,3,0)</f>
        <v>Zone-4</v>
      </c>
      <c r="F372" s="143" t="str">
        <f>VLOOKUP(B372,'AFC Data details'!$B:$B,1,0)</f>
        <v>AZ4-V14-T1C6-003</v>
      </c>
    </row>
    <row r="373" spans="1:6" x14ac:dyDescent="0.25">
      <c r="A373" s="149"/>
      <c r="B373" s="3" t="s">
        <v>2012</v>
      </c>
      <c r="D373" s="3" t="str">
        <f>VLOOKUP(B373,'Element wise-detail Summary'!$A:$D,2,0)</f>
        <v>V14</v>
      </c>
      <c r="E373" s="143" t="str">
        <f>VLOOKUP(B373,'Element wise-detail Summary'!$A:$D,3,0)</f>
        <v>Zone-4</v>
      </c>
      <c r="F373" s="143" t="str">
        <f>VLOOKUP(B373,'AFC Data details'!$B:$B,1,0)</f>
        <v>AZ4-V14-T1C6-004</v>
      </c>
    </row>
    <row r="374" spans="1:6" x14ac:dyDescent="0.25">
      <c r="A374" s="149"/>
      <c r="B374" s="3" t="s">
        <v>1972</v>
      </c>
      <c r="D374" s="3" t="str">
        <f>VLOOKUP(B374,'Element wise-detail Summary'!$A:$D,2,0)</f>
        <v>V14</v>
      </c>
      <c r="E374" s="143" t="str">
        <f>VLOOKUP(B374,'Element wise-detail Summary'!$A:$D,3,0)</f>
        <v>Zone-4</v>
      </c>
      <c r="F374" s="143" t="str">
        <f>VLOOKUP(B374,'AFC Data details'!$B:$B,1,0)</f>
        <v>AZ4-V14-T1C6-005</v>
      </c>
    </row>
    <row r="375" spans="1:6" x14ac:dyDescent="0.25">
      <c r="A375" s="149"/>
      <c r="B375" s="3" t="s">
        <v>2013</v>
      </c>
      <c r="C375" s="3">
        <v>1</v>
      </c>
      <c r="D375" s="3" t="str">
        <f>VLOOKUP(B375,'Element wise-detail Summary'!$A:$D,2,0)</f>
        <v>V15</v>
      </c>
      <c r="E375" s="143" t="str">
        <f>VLOOKUP(B375,'Element wise-detail Summary'!$A:$D,3,0)</f>
        <v>Zone-4</v>
      </c>
      <c r="F375" s="143" t="str">
        <f>VLOOKUP(B375,'AFC Data details'!$B:$B,1,0)</f>
        <v>AZ4-V15-T1C6-002</v>
      </c>
    </row>
    <row r="376" spans="1:6" x14ac:dyDescent="0.25">
      <c r="A376" s="149"/>
      <c r="B376" s="3" t="s">
        <v>2014</v>
      </c>
      <c r="C376" s="3">
        <v>1</v>
      </c>
      <c r="D376" s="3" t="str">
        <f>VLOOKUP(B376,'Element wise-detail Summary'!$A:$D,2,0)</f>
        <v>V15</v>
      </c>
      <c r="E376" s="143" t="str">
        <f>VLOOKUP(B376,'Element wise-detail Summary'!$A:$D,3,0)</f>
        <v>Zone-4</v>
      </c>
      <c r="F376" s="143" t="str">
        <f>VLOOKUP(B376,'AFC Data details'!$B:$B,1,0)</f>
        <v>AZ4-V15-T1C6-003</v>
      </c>
    </row>
    <row r="377" spans="1:6" x14ac:dyDescent="0.25">
      <c r="A377" s="149"/>
      <c r="B377" s="3" t="s">
        <v>1865</v>
      </c>
      <c r="C377" s="3">
        <v>1</v>
      </c>
      <c r="D377" s="3" t="str">
        <f>VLOOKUP(B377,'Element wise-detail Summary'!$A:$D,2,0)</f>
        <v>V15</v>
      </c>
      <c r="E377" s="143" t="str">
        <f>VLOOKUP(B377,'Element wise-detail Summary'!$A:$D,3,0)</f>
        <v>Zone-4</v>
      </c>
      <c r="F377" s="143" t="str">
        <f>VLOOKUP(B377,'AFC Data details'!$B:$B,1,0)</f>
        <v>AZ4-V15-T1C6-001</v>
      </c>
    </row>
    <row r="378" spans="1:6" x14ac:dyDescent="0.25">
      <c r="A378" s="149"/>
      <c r="B378" s="3" t="s">
        <v>1866</v>
      </c>
      <c r="C378" s="3">
        <v>1</v>
      </c>
      <c r="D378" s="3" t="str">
        <f>VLOOKUP(B378,'Element wise-detail Summary'!$A:$D,2,0)</f>
        <v>V16</v>
      </c>
      <c r="E378" s="143" t="str">
        <f>VLOOKUP(B378,'Element wise-detail Summary'!$A:$D,3,0)</f>
        <v>Zone-4</v>
      </c>
      <c r="F378" s="143" t="str">
        <f>VLOOKUP(B378,'AFC Data details'!$B:$B,1,0)</f>
        <v>AZ4-V16-T2C1-001</v>
      </c>
    </row>
    <row r="379" spans="1:6" x14ac:dyDescent="0.25">
      <c r="A379" s="149"/>
      <c r="B379" s="3" t="s">
        <v>1988</v>
      </c>
      <c r="D379" s="3" t="str">
        <f>VLOOKUP(B379,'Element wise-detail Summary'!$A:$D,2,0)</f>
        <v>V14</v>
      </c>
      <c r="E379" s="143" t="str">
        <f>VLOOKUP(B379,'Element wise-detail Summary'!$A:$D,3,0)</f>
        <v>Zone-4</v>
      </c>
      <c r="F379" s="143" t="str">
        <f>VLOOKUP(B379,'AFC Data details'!$B:$B,1,0)</f>
        <v>AZ4-V14-T2C1-001</v>
      </c>
    </row>
    <row r="380" spans="1:6" x14ac:dyDescent="0.25">
      <c r="A380" s="149"/>
      <c r="B380" s="3" t="s">
        <v>1989</v>
      </c>
      <c r="C380" s="3">
        <v>1</v>
      </c>
      <c r="D380" s="3" t="str">
        <f>VLOOKUP(B380,'Element wise-detail Summary'!$A:$D,2,0)</f>
        <v>V12</v>
      </c>
      <c r="E380" s="143" t="str">
        <f>VLOOKUP(B380,'Element wise-detail Summary'!$A:$D,3,0)</f>
        <v>Zone-4</v>
      </c>
      <c r="F380" s="143" t="str">
        <f>VLOOKUP(B380,'AFC Data details'!$B:$B,1,0)</f>
        <v>AZ4-V12-T2C1-001</v>
      </c>
    </row>
    <row r="381" spans="1:6" x14ac:dyDescent="0.25">
      <c r="A381" s="149"/>
      <c r="B381" s="3" t="s">
        <v>1990</v>
      </c>
      <c r="C381" s="3">
        <v>1</v>
      </c>
      <c r="D381" s="3" t="str">
        <f>VLOOKUP(B381,'Element wise-detail Summary'!$A:$D,2,0)</f>
        <v>V10</v>
      </c>
      <c r="E381" s="143" t="str">
        <f>VLOOKUP(B381,'Element wise-detail Summary'!$A:$D,3,0)</f>
        <v>Zone-4</v>
      </c>
      <c r="F381" s="143" t="str">
        <f>VLOOKUP(B381,'AFC Data details'!$B:$B,1,0)</f>
        <v>AZ4-V10-T2C1-001</v>
      </c>
    </row>
    <row r="382" spans="1:6" x14ac:dyDescent="0.25">
      <c r="A382" s="149"/>
      <c r="B382" s="3" t="s">
        <v>2437</v>
      </c>
      <c r="C382" s="3">
        <v>1</v>
      </c>
      <c r="D382" s="3" t="str">
        <f>VLOOKUP(B382,'Element wise-detail Summary'!$A:$D,2,0)</f>
        <v>V01</v>
      </c>
      <c r="E382" s="143" t="str">
        <f>VLOOKUP(B382,'Element wise-detail Summary'!$A:$D,3,0)</f>
        <v>Zone-4</v>
      </c>
      <c r="F382" s="143" t="str">
        <f>VLOOKUP(B382,'AFC Data details'!$B:$B,1,0)</f>
        <v>AZ4-V01-T1C19-001</v>
      </c>
    </row>
    <row r="383" spans="1:6" x14ac:dyDescent="0.25">
      <c r="A383" s="149"/>
      <c r="B383" s="3" t="s">
        <v>2442</v>
      </c>
      <c r="C383" s="3">
        <v>1</v>
      </c>
      <c r="D383" s="3" t="str">
        <f>VLOOKUP(B383,'Element wise-detail Summary'!$A:$D,2,0)</f>
        <v>V01</v>
      </c>
      <c r="E383" s="143" t="str">
        <f>VLOOKUP(B383,'Element wise-detail Summary'!$A:$D,3,0)</f>
        <v>Zone-4</v>
      </c>
      <c r="F383" s="143" t="str">
        <f>VLOOKUP(B383,'AFC Data details'!$B:$B,1,0)</f>
        <v>AZ4-V01-T1C19-002</v>
      </c>
    </row>
    <row r="384" spans="1:6" x14ac:dyDescent="0.25">
      <c r="A384" s="149"/>
      <c r="B384" s="3" t="s">
        <v>2443</v>
      </c>
      <c r="C384" s="3">
        <v>1</v>
      </c>
      <c r="D384" s="3" t="str">
        <f>VLOOKUP(B384,'Element wise-detail Summary'!$A:$D,2,0)</f>
        <v>V01</v>
      </c>
      <c r="E384" s="143" t="str">
        <f>VLOOKUP(B384,'Element wise-detail Summary'!$A:$D,3,0)</f>
        <v>Zone-4</v>
      </c>
      <c r="F384" s="143" t="str">
        <f>VLOOKUP(B384,'AFC Data details'!$B:$B,1,0)</f>
        <v>AZ4-V01-T1C19-003</v>
      </c>
    </row>
    <row r="385" spans="1:6" x14ac:dyDescent="0.25">
      <c r="A385" s="149"/>
      <c r="B385" s="3" t="s">
        <v>2444</v>
      </c>
      <c r="C385" s="3">
        <v>1</v>
      </c>
      <c r="D385" s="3" t="str">
        <f>VLOOKUP(B385,'Element wise-detail Summary'!$A:$D,2,0)</f>
        <v>V01</v>
      </c>
      <c r="E385" s="143" t="str">
        <f>VLOOKUP(B385,'Element wise-detail Summary'!$A:$D,3,0)</f>
        <v>Zone-4</v>
      </c>
      <c r="F385" s="143" t="str">
        <f>VLOOKUP(B385,'AFC Data details'!$B:$B,1,0)</f>
        <v>AZ4-V01-T1C19-004</v>
      </c>
    </row>
    <row r="386" spans="1:6" x14ac:dyDescent="0.25">
      <c r="A386" s="149"/>
      <c r="B386" s="3" t="s">
        <v>2445</v>
      </c>
      <c r="C386" s="3">
        <v>1</v>
      </c>
      <c r="D386" s="3" t="str">
        <f>VLOOKUP(B386,'Element wise-detail Summary'!$A:$D,2,0)</f>
        <v>V01</v>
      </c>
      <c r="E386" s="143" t="str">
        <f>VLOOKUP(B386,'Element wise-detail Summary'!$A:$D,3,0)</f>
        <v>Zone-4</v>
      </c>
      <c r="F386" s="143" t="str">
        <f>VLOOKUP(B386,'AFC Data details'!$B:$B,1,0)</f>
        <v>AZ4-V01-T1C19-005</v>
      </c>
    </row>
    <row r="387" spans="1:6" x14ac:dyDescent="0.25">
      <c r="A387" s="149"/>
      <c r="B387" s="3" t="s">
        <v>2446</v>
      </c>
      <c r="C387" s="3">
        <v>1</v>
      </c>
      <c r="D387" s="3" t="str">
        <f>VLOOKUP(B387,'Element wise-detail Summary'!$A:$D,2,0)</f>
        <v>V01</v>
      </c>
      <c r="E387" s="143" t="str">
        <f>VLOOKUP(B387,'Element wise-detail Summary'!$A:$D,3,0)</f>
        <v>Zone-4</v>
      </c>
      <c r="F387" s="143" t="str">
        <f>VLOOKUP(B387,'AFC Data details'!$B:$B,1,0)</f>
        <v>AZ4-V01-T1C19-006</v>
      </c>
    </row>
    <row r="388" spans="1:6" x14ac:dyDescent="0.25">
      <c r="A388" s="149"/>
      <c r="B388" s="3" t="s">
        <v>2448</v>
      </c>
      <c r="C388" s="3">
        <v>1</v>
      </c>
      <c r="D388" s="3" t="str">
        <f>VLOOKUP(B388,'Element wise-detail Summary'!$A:$D,2,0)</f>
        <v>V01</v>
      </c>
      <c r="E388" s="143" t="str">
        <f>VLOOKUP(B388,'Element wise-detail Summary'!$A:$D,3,0)</f>
        <v>Zone-4</v>
      </c>
      <c r="F388" s="143" t="str">
        <f>VLOOKUP(B388,'AFC Data details'!$B:$B,1,0)</f>
        <v>AZ4-V01-T1C19-007</v>
      </c>
    </row>
    <row r="389" spans="1:6" x14ac:dyDescent="0.25">
      <c r="A389" s="149"/>
      <c r="B389" s="3" t="s">
        <v>2450</v>
      </c>
      <c r="C389" s="3">
        <v>1</v>
      </c>
      <c r="D389" s="3" t="str">
        <f>VLOOKUP(B389,'Element wise-detail Summary'!$A:$D,2,0)</f>
        <v>V02</v>
      </c>
      <c r="E389" s="143" t="str">
        <f>VLOOKUP(B389,'Element wise-detail Summary'!$A:$D,3,0)</f>
        <v>Zone-4</v>
      </c>
      <c r="F389" s="143" t="str">
        <f>VLOOKUP(B389,'AFC Data details'!$B:$B,1,0)</f>
        <v>AZ4-V02-T1C19-001</v>
      </c>
    </row>
    <row r="390" spans="1:6" x14ac:dyDescent="0.25">
      <c r="A390" s="149"/>
      <c r="B390" s="3" t="s">
        <v>2496</v>
      </c>
      <c r="C390" s="3">
        <v>1</v>
      </c>
      <c r="D390" s="3" t="str">
        <f>VLOOKUP(B390,'Element wise-detail Summary'!$A:$D,2,0)</f>
        <v>V01</v>
      </c>
      <c r="E390" s="143" t="str">
        <f>VLOOKUP(B390,'Element wise-detail Summary'!$A:$D,3,0)</f>
        <v>Zone-4</v>
      </c>
      <c r="F390" s="143" t="str">
        <f>VLOOKUP(B390,'AFC Data details'!$B:$B,1,0)</f>
        <v>AZ4-V01-T1C19-008</v>
      </c>
    </row>
    <row r="391" spans="1:6" x14ac:dyDescent="0.25">
      <c r="A391" s="149"/>
      <c r="B391" s="3" t="s">
        <v>2498</v>
      </c>
      <c r="C391" s="3">
        <v>1</v>
      </c>
      <c r="D391" s="3" t="str">
        <f>VLOOKUP(B391,'Element wise-detail Summary'!$A:$D,2,0)</f>
        <v>V01</v>
      </c>
      <c r="E391" s="143" t="str">
        <f>VLOOKUP(B391,'Element wise-detail Summary'!$A:$D,3,0)</f>
        <v>Zone-4</v>
      </c>
      <c r="F391" s="143" t="str">
        <f>VLOOKUP(B391,'AFC Data details'!$B:$B,1,0)</f>
        <v>AZ4-V01-T1C19-009</v>
      </c>
    </row>
    <row r="392" spans="1:6" x14ac:dyDescent="0.25">
      <c r="A392" s="149"/>
      <c r="B392" s="3" t="s">
        <v>2502</v>
      </c>
      <c r="C392" s="3">
        <v>1</v>
      </c>
      <c r="D392" s="3" t="str">
        <f>VLOOKUP(B392,'Element wise-detail Summary'!$A:$D,2,0)</f>
        <v>V03</v>
      </c>
      <c r="E392" s="143" t="str">
        <f>VLOOKUP(B392,'Element wise-detail Summary'!$A:$D,3,0)</f>
        <v>Zone-4</v>
      </c>
      <c r="F392" s="143" t="str">
        <f>VLOOKUP(B392,'AFC Data details'!$B:$B,1,0)</f>
        <v>AZ4-V03-T1C6-002</v>
      </c>
    </row>
    <row r="393" spans="1:6" x14ac:dyDescent="0.25">
      <c r="A393" s="149"/>
      <c r="B393" s="3" t="s">
        <v>2503</v>
      </c>
      <c r="C393" s="3">
        <v>1</v>
      </c>
      <c r="D393" s="3" t="str">
        <f>VLOOKUP(B393,'Element wise-detail Summary'!$A:$D,2,0)</f>
        <v>V02</v>
      </c>
      <c r="E393" s="143" t="str">
        <f>VLOOKUP(B393,'Element wise-detail Summary'!$A:$D,3,0)</f>
        <v>Zone-4</v>
      </c>
      <c r="F393" s="143" t="str">
        <f>VLOOKUP(B393,'AFC Data details'!$B:$B,1,0)</f>
        <v>AZ4-V02-T1C6-003</v>
      </c>
    </row>
    <row r="394" spans="1:6" x14ac:dyDescent="0.25">
      <c r="A394" s="149"/>
      <c r="B394" s="3" t="s">
        <v>2504</v>
      </c>
      <c r="C394" s="3">
        <v>1</v>
      </c>
      <c r="D394" s="3" t="str">
        <f>VLOOKUP(B394,'Element wise-detail Summary'!$A:$D,2,0)</f>
        <v>V03</v>
      </c>
      <c r="E394" s="143" t="str">
        <f>VLOOKUP(B394,'Element wise-detail Summary'!$A:$D,3,0)</f>
        <v>Zone-4</v>
      </c>
      <c r="F394" s="143" t="str">
        <f>VLOOKUP(B394,'AFC Data details'!$B:$B,1,0)</f>
        <v>AZ4-V03-T1C6-003</v>
      </c>
    </row>
    <row r="395" spans="1:6" x14ac:dyDescent="0.25">
      <c r="A395" s="149"/>
      <c r="B395" s="3" t="s">
        <v>2506</v>
      </c>
      <c r="C395" s="3">
        <v>1</v>
      </c>
      <c r="D395" s="3" t="str">
        <f>VLOOKUP(B395,'Element wise-detail Summary'!$A:$D,2,0)</f>
        <v>V03</v>
      </c>
      <c r="E395" s="143" t="str">
        <f>VLOOKUP(B395,'Element wise-detail Summary'!$A:$D,3,0)</f>
        <v>Zone-4</v>
      </c>
      <c r="F395" s="143" t="str">
        <f>VLOOKUP(B395,'AFC Data details'!$B:$B,1,0)</f>
        <v>AZ4-V03-T1C6-004</v>
      </c>
    </row>
    <row r="396" spans="1:6" x14ac:dyDescent="0.25">
      <c r="A396" s="149"/>
      <c r="B396" s="3" t="s">
        <v>2508</v>
      </c>
      <c r="C396" s="3">
        <v>1</v>
      </c>
      <c r="D396" s="3" t="str">
        <f>VLOOKUP(B396,'Element wise-detail Summary'!$A:$D,2,0)</f>
        <v>V03</v>
      </c>
      <c r="E396" s="143" t="str">
        <f>VLOOKUP(B396,'Element wise-detail Summary'!$A:$D,3,0)</f>
        <v>Zone-4</v>
      </c>
      <c r="F396" s="143" t="str">
        <f>VLOOKUP(B396,'AFC Data details'!$B:$B,1,0)</f>
        <v>AZ4-V03-T1C6-005</v>
      </c>
    </row>
    <row r="397" spans="1:6" x14ac:dyDescent="0.25">
      <c r="A397" s="149"/>
      <c r="B397" s="3" t="s">
        <v>2509</v>
      </c>
      <c r="C397" s="3">
        <v>1</v>
      </c>
      <c r="D397" s="3" t="str">
        <f>VLOOKUP(B397,'Element wise-detail Summary'!$A:$D,2,0)</f>
        <v>V02</v>
      </c>
      <c r="E397" s="143" t="str">
        <f>VLOOKUP(B397,'Element wise-detail Summary'!$A:$D,3,0)</f>
        <v>Zone-4</v>
      </c>
      <c r="F397" s="143" t="str">
        <f>VLOOKUP(B397,'AFC Data details'!$B:$B,1,0)</f>
        <v>AZ4-V02-T1C6-006</v>
      </c>
    </row>
    <row r="398" spans="1:6" x14ac:dyDescent="0.25">
      <c r="A398" s="149"/>
      <c r="B398" s="3" t="s">
        <v>2510</v>
      </c>
      <c r="C398" s="3">
        <v>1</v>
      </c>
      <c r="D398" s="3" t="str">
        <f>VLOOKUP(B398,'Element wise-detail Summary'!$A:$D,2,0)</f>
        <v>V02</v>
      </c>
      <c r="E398" s="143" t="str">
        <f>VLOOKUP(B398,'Element wise-detail Summary'!$A:$D,3,0)</f>
        <v>Zone-4</v>
      </c>
      <c r="F398" s="143" t="str">
        <f>VLOOKUP(B398,'AFC Data details'!$B:$B,1,0)</f>
        <v>AZ4-V02-T1C7-001</v>
      </c>
    </row>
    <row r="399" spans="1:6" x14ac:dyDescent="0.25">
      <c r="A399" s="149"/>
      <c r="B399" s="3" t="s">
        <v>2511</v>
      </c>
      <c r="C399" s="3">
        <v>1</v>
      </c>
      <c r="D399" s="3" t="str">
        <f>VLOOKUP(B399,'Element wise-detail Summary'!$A:$D,2,0)</f>
        <v>V02</v>
      </c>
      <c r="E399" s="143" t="str">
        <f>VLOOKUP(B399,'Element wise-detail Summary'!$A:$D,3,0)</f>
        <v>Zone-4</v>
      </c>
      <c r="F399" s="143" t="str">
        <f>VLOOKUP(B399,'AFC Data details'!$B:$B,1,0)</f>
        <v>AZ4-V02-T2C1-001</v>
      </c>
    </row>
    <row r="400" spans="1:6" x14ac:dyDescent="0.25">
      <c r="A400" s="149"/>
      <c r="B400" s="3" t="s">
        <v>2513</v>
      </c>
      <c r="C400" s="3">
        <v>1</v>
      </c>
      <c r="D400" s="3" t="str">
        <f>VLOOKUP(B400,'Element wise-detail Summary'!$A:$D,2,0)</f>
        <v>V02</v>
      </c>
      <c r="E400" s="143" t="str">
        <f>VLOOKUP(B400,'Element wise-detail Summary'!$A:$D,3,0)</f>
        <v>Zone-4</v>
      </c>
      <c r="F400" s="143" t="str">
        <f>VLOOKUP(B400,'AFC Data details'!$B:$B,1,0)</f>
        <v>AZ4-V02-T3C2-001</v>
      </c>
    </row>
    <row r="401" spans="1:6" x14ac:dyDescent="0.25">
      <c r="A401" s="149"/>
      <c r="B401" s="3" t="s">
        <v>2514</v>
      </c>
      <c r="C401" s="3">
        <v>1</v>
      </c>
      <c r="D401" s="3" t="str">
        <f>VLOOKUP(B401,'Element wise-detail Summary'!$A:$D,2,0)</f>
        <v>V02</v>
      </c>
      <c r="E401" s="143" t="str">
        <f>VLOOKUP(B401,'Element wise-detail Summary'!$A:$D,3,0)</f>
        <v>Zone-4</v>
      </c>
      <c r="F401" s="143" t="str">
        <f>VLOOKUP(B401,'AFC Data details'!$B:$B,1,0)</f>
        <v>AZ4-V02-T3C2-002</v>
      </c>
    </row>
    <row r="402" spans="1:6" x14ac:dyDescent="0.25">
      <c r="A402" s="149"/>
      <c r="B402" s="3" t="s">
        <v>2515</v>
      </c>
      <c r="C402" s="3">
        <v>1</v>
      </c>
      <c r="D402" s="3" t="str">
        <f>VLOOKUP(B402,'Element wise-detail Summary'!$A:$D,2,0)</f>
        <v>V02</v>
      </c>
      <c r="E402" s="143" t="str">
        <f>VLOOKUP(B402,'Element wise-detail Summary'!$A:$D,3,0)</f>
        <v>Zone-4</v>
      </c>
      <c r="F402" s="143" t="str">
        <f>VLOOKUP(B402,'AFC Data details'!$B:$B,1,0)</f>
        <v>AZ4-V02-T3C3-001</v>
      </c>
    </row>
    <row r="403" spans="1:6" x14ac:dyDescent="0.25">
      <c r="A403" s="149"/>
      <c r="B403" s="3" t="s">
        <v>2516</v>
      </c>
      <c r="C403" s="3">
        <v>1</v>
      </c>
      <c r="D403" s="3" t="str">
        <f>VLOOKUP(B403,'Element wise-detail Summary'!$A:$D,2,0)</f>
        <v>V03</v>
      </c>
      <c r="E403" s="143" t="str">
        <f>VLOOKUP(B403,'Element wise-detail Summary'!$A:$D,3,0)</f>
        <v>Zone-4</v>
      </c>
      <c r="F403" s="143" t="str">
        <f>VLOOKUP(B403,'AFC Data details'!$B:$B,1,0)</f>
        <v>AZ4-V03-T1C6-006</v>
      </c>
    </row>
    <row r="404" spans="1:6" x14ac:dyDescent="0.25">
      <c r="A404" s="149"/>
      <c r="B404" s="3" t="s">
        <v>2517</v>
      </c>
      <c r="C404" s="3">
        <v>1</v>
      </c>
      <c r="D404" s="3" t="str">
        <f>VLOOKUP(B404,'Element wise-detail Summary'!$A:$D,2,0)</f>
        <v>V03</v>
      </c>
      <c r="E404" s="143" t="str">
        <f>VLOOKUP(B404,'Element wise-detail Summary'!$A:$D,3,0)</f>
        <v>Zone-4</v>
      </c>
      <c r="F404" s="143" t="str">
        <f>VLOOKUP(B404,'AFC Data details'!$B:$B,1,0)</f>
        <v>AZ4-V03-T1C7-001</v>
      </c>
    </row>
    <row r="405" spans="1:6" x14ac:dyDescent="0.25">
      <c r="A405" s="149"/>
      <c r="B405" s="3" t="s">
        <v>2518</v>
      </c>
      <c r="C405" s="3">
        <v>1</v>
      </c>
      <c r="D405" s="3" t="str">
        <f>VLOOKUP(B405,'Element wise-detail Summary'!$A:$D,2,0)</f>
        <v>V03</v>
      </c>
      <c r="E405" s="143" t="str">
        <f>VLOOKUP(B405,'Element wise-detail Summary'!$A:$D,3,0)</f>
        <v>Zone-4</v>
      </c>
      <c r="F405" s="143" t="str">
        <f>VLOOKUP(B405,'AFC Data details'!$B:$B,1,0)</f>
        <v>AZ4-V03-T3C4-001</v>
      </c>
    </row>
    <row r="406" spans="1:6" x14ac:dyDescent="0.25">
      <c r="A406" s="149">
        <v>46130</v>
      </c>
      <c r="B406" s="3" t="s">
        <v>1556</v>
      </c>
      <c r="C406" s="3">
        <v>1</v>
      </c>
      <c r="D406" s="3" t="str">
        <f>VLOOKUP(B406,'Element wise-detail Summary'!$A:$D,2,0)</f>
        <v>V58</v>
      </c>
      <c r="E406" s="143" t="str">
        <f>VLOOKUP(B406,'Element wise-detail Summary'!$A:$D,3,0)</f>
        <v>Zone-5</v>
      </c>
      <c r="F406" s="143" t="str">
        <f>VLOOKUP(B406,'AFC Data details'!$B:$B,1,0)</f>
        <v>AZ5-V58-T1C6-001</v>
      </c>
    </row>
    <row r="407" spans="1:6" x14ac:dyDescent="0.25">
      <c r="A407" s="149">
        <v>46130</v>
      </c>
      <c r="B407" s="3" t="s">
        <v>1557</v>
      </c>
      <c r="C407" s="3">
        <v>1</v>
      </c>
      <c r="D407" s="3" t="str">
        <f>VLOOKUP(B407,'Element wise-detail Summary'!$A:$D,2,0)</f>
        <v>V58</v>
      </c>
      <c r="E407" s="143" t="str">
        <f>VLOOKUP(B407,'Element wise-detail Summary'!$A:$D,3,0)</f>
        <v>Zone-5</v>
      </c>
      <c r="F407" s="143" t="str">
        <f>VLOOKUP(B407,'AFC Data details'!$B:$B,1,0)</f>
        <v>AZ5-V58-T1C6-002</v>
      </c>
    </row>
    <row r="408" spans="1:6" x14ac:dyDescent="0.25">
      <c r="A408" s="149">
        <v>46130</v>
      </c>
      <c r="B408" s="3" t="s">
        <v>1558</v>
      </c>
      <c r="C408" s="3">
        <v>1</v>
      </c>
      <c r="D408" s="3" t="str">
        <f>VLOOKUP(B408,'Element wise-detail Summary'!$A:$D,2,0)</f>
        <v>V58</v>
      </c>
      <c r="E408" s="143" t="str">
        <f>VLOOKUP(B408,'Element wise-detail Summary'!$A:$D,3,0)</f>
        <v>Zone-5</v>
      </c>
      <c r="F408" s="143" t="str">
        <f>VLOOKUP(B408,'AFC Data details'!$B:$B,1,0)</f>
        <v>AZ5-V58-T1C6-003</v>
      </c>
    </row>
    <row r="409" spans="1:6" x14ac:dyDescent="0.25">
      <c r="A409" s="149">
        <v>46130</v>
      </c>
      <c r="B409" s="3" t="s">
        <v>1652</v>
      </c>
      <c r="C409" s="3">
        <v>1</v>
      </c>
      <c r="D409" s="3" t="str">
        <f>VLOOKUP(B409,'Element wise-detail Summary'!$A:$D,2,0)</f>
        <v>V58</v>
      </c>
      <c r="E409" s="143" t="str">
        <f>VLOOKUP(B409,'Element wise-detail Summary'!$A:$D,3,0)</f>
        <v>Zone-5</v>
      </c>
      <c r="F409" s="143" t="str">
        <f>VLOOKUP(B409,'AFC Data details'!$B:$B,1,0)</f>
        <v>AZ5-V58-T3C5-001</v>
      </c>
    </row>
    <row r="410" spans="1:6" x14ac:dyDescent="0.25">
      <c r="A410" s="149">
        <v>46130</v>
      </c>
      <c r="B410" s="3" t="s">
        <v>1653</v>
      </c>
      <c r="C410" s="3">
        <v>1</v>
      </c>
      <c r="D410" s="3" t="str">
        <f>VLOOKUP(B410,'Element wise-detail Summary'!$A:$D,2,0)</f>
        <v>V58</v>
      </c>
      <c r="E410" s="143" t="str">
        <f>VLOOKUP(B410,'Element wise-detail Summary'!$A:$D,3,0)</f>
        <v>Zone-5</v>
      </c>
      <c r="F410" s="143" t="str">
        <f>VLOOKUP(B410,'AFC Data details'!$B:$B,1,0)</f>
        <v>AZ5-V58-T3C5-002</v>
      </c>
    </row>
    <row r="411" spans="1:6" x14ac:dyDescent="0.25">
      <c r="A411" s="149">
        <v>46130</v>
      </c>
      <c r="B411" s="3" t="s">
        <v>1566</v>
      </c>
      <c r="C411" s="3">
        <v>1</v>
      </c>
      <c r="D411" s="3" t="str">
        <f>VLOOKUP(B411,'Element wise-detail Summary'!$A:$D,2,0)</f>
        <v>V59</v>
      </c>
      <c r="E411" s="143" t="str">
        <f>VLOOKUP(B411,'Element wise-detail Summary'!$A:$D,3,0)</f>
        <v>Zone-5</v>
      </c>
      <c r="F411" s="143" t="str">
        <f>VLOOKUP(B411,'AFC Data details'!$B:$B,1,0)</f>
        <v>AZ5-V59-T1C6-001</v>
      </c>
    </row>
    <row r="412" spans="1:6" x14ac:dyDescent="0.25">
      <c r="A412" s="149">
        <v>46130</v>
      </c>
      <c r="B412" s="3" t="s">
        <v>1563</v>
      </c>
      <c r="C412" s="3">
        <v>1</v>
      </c>
      <c r="D412" s="3" t="str">
        <f>VLOOKUP(B412,'Element wise-detail Summary'!$A:$D,2,0)</f>
        <v>V59</v>
      </c>
      <c r="E412" s="143" t="str">
        <f>VLOOKUP(B412,'Element wise-detail Summary'!$A:$D,3,0)</f>
        <v>Zone-5</v>
      </c>
      <c r="F412" s="143" t="str">
        <f>VLOOKUP(B412,'AFC Data details'!$B:$B,1,0)</f>
        <v>AZ5-V59-T1C6-004</v>
      </c>
    </row>
    <row r="413" spans="1:6" x14ac:dyDescent="0.25">
      <c r="A413" s="149">
        <v>46130</v>
      </c>
      <c r="B413" s="3" t="s">
        <v>1564</v>
      </c>
      <c r="C413" s="3">
        <v>1</v>
      </c>
      <c r="D413" s="3" t="str">
        <f>VLOOKUP(B413,'Element wise-detail Summary'!$A:$D,2,0)</f>
        <v>V59</v>
      </c>
      <c r="E413" s="143" t="str">
        <f>VLOOKUP(B413,'Element wise-detail Summary'!$A:$D,3,0)</f>
        <v>Zone-5</v>
      </c>
      <c r="F413" s="143" t="str">
        <f>VLOOKUP(B413,'AFC Data details'!$B:$B,1,0)</f>
        <v>AZ5-V59-T1C6-005</v>
      </c>
    </row>
    <row r="414" spans="1:6" x14ac:dyDescent="0.25">
      <c r="A414" s="149">
        <v>46130</v>
      </c>
      <c r="B414" s="3" t="s">
        <v>1567</v>
      </c>
      <c r="C414" s="3">
        <v>1</v>
      </c>
      <c r="D414" s="3" t="str">
        <f>VLOOKUP(B414,'Element wise-detail Summary'!$A:$D,2,0)</f>
        <v>V59</v>
      </c>
      <c r="E414" s="143" t="str">
        <f>VLOOKUP(B414,'Element wise-detail Summary'!$A:$D,3,0)</f>
        <v>Zone-5</v>
      </c>
      <c r="F414" s="143" t="str">
        <f>VLOOKUP(B414,'AFC Data details'!$B:$B,1,0)</f>
        <v>AZ5-V59-T1C6-006</v>
      </c>
    </row>
    <row r="415" spans="1:6" x14ac:dyDescent="0.25">
      <c r="A415" s="149">
        <v>46130</v>
      </c>
      <c r="B415" s="3" t="s">
        <v>1655</v>
      </c>
      <c r="C415" s="3">
        <v>1</v>
      </c>
      <c r="D415" s="3" t="str">
        <f>VLOOKUP(B415,'Element wise-detail Summary'!$A:$D,2,0)</f>
        <v>V59</v>
      </c>
      <c r="E415" s="143" t="str">
        <f>VLOOKUP(B415,'Element wise-detail Summary'!$A:$D,3,0)</f>
        <v>Zone-5</v>
      </c>
      <c r="F415" s="143" t="str">
        <f>VLOOKUP(B415,'AFC Data details'!$B:$B,1,0)</f>
        <v>AZ5-V59-T2C1-001</v>
      </c>
    </row>
    <row r="416" spans="1:6" x14ac:dyDescent="0.25">
      <c r="A416" s="149">
        <v>46130</v>
      </c>
      <c r="B416" s="3" t="s">
        <v>1657</v>
      </c>
      <c r="C416" s="3">
        <v>1</v>
      </c>
      <c r="D416" s="3" t="str">
        <f>VLOOKUP(B416,'Element wise-detail Summary'!$A:$D,2,0)</f>
        <v>V59</v>
      </c>
      <c r="E416" s="143" t="str">
        <f>VLOOKUP(B416,'Element wise-detail Summary'!$A:$D,3,0)</f>
        <v>Zone-5</v>
      </c>
      <c r="F416" s="143" t="str">
        <f>VLOOKUP(B416,'AFC Data details'!$B:$B,1,0)</f>
        <v>AZ5-V59-T3C5-002</v>
      </c>
    </row>
    <row r="417" spans="1:6" x14ac:dyDescent="0.25">
      <c r="A417" s="149">
        <v>46130</v>
      </c>
      <c r="B417" s="3" t="s">
        <v>1843</v>
      </c>
      <c r="C417" s="3">
        <v>1</v>
      </c>
      <c r="D417" s="3" t="str">
        <f>VLOOKUP(B417,'Element wise-detail Summary'!$A:$D,2,0)</f>
        <v>V04</v>
      </c>
      <c r="E417" s="143" t="str">
        <f>VLOOKUP(B417,'Element wise-detail Summary'!$A:$D,3,0)</f>
        <v>Zone-4</v>
      </c>
      <c r="F417" s="143" t="str">
        <f>VLOOKUP(B417,'AFC Data details'!$B:$B,1,0)</f>
        <v>AZ4-V04-T1C6-004</v>
      </c>
    </row>
    <row r="418" spans="1:6" x14ac:dyDescent="0.25">
      <c r="A418" s="149">
        <v>46139</v>
      </c>
      <c r="B418" s="3" t="s">
        <v>1849</v>
      </c>
      <c r="C418" s="3">
        <v>1</v>
      </c>
      <c r="D418" s="3" t="str">
        <f>VLOOKUP(B418,'Element wise-detail Summary'!$A:$D,2,0)</f>
        <v>V06</v>
      </c>
      <c r="E418" s="143" t="str">
        <f>VLOOKUP(B418,'Element wise-detail Summary'!$A:$D,3,0)</f>
        <v>Zone-4</v>
      </c>
      <c r="F418" s="143" t="str">
        <f>VLOOKUP(B418,'AFC Data details'!$B:$B,1,0)</f>
        <v>AZ4-V06-T1C6-006</v>
      </c>
    </row>
    <row r="419" spans="1:6" x14ac:dyDescent="0.25">
      <c r="A419" s="149">
        <v>46139</v>
      </c>
      <c r="B419" s="3" t="s">
        <v>1797</v>
      </c>
      <c r="C419" s="3">
        <v>1</v>
      </c>
      <c r="D419" s="3" t="str">
        <f>VLOOKUP(B419,'Element wise-detail Summary'!$A:$D,2,0)</f>
        <v>V06</v>
      </c>
      <c r="E419" s="143" t="str">
        <f>VLOOKUP(B419,'Element wise-detail Summary'!$A:$D,3,0)</f>
        <v>Zone-4</v>
      </c>
      <c r="F419" s="143" t="str">
        <f>VLOOKUP(B419,'AFC Data details'!$B:$B,1,0)</f>
        <v>AZ4-V06-T3C3S-003</v>
      </c>
    </row>
    <row r="420" spans="1:6" x14ac:dyDescent="0.25">
      <c r="A420" s="149">
        <v>46139</v>
      </c>
      <c r="B420" s="3" t="s">
        <v>1828</v>
      </c>
      <c r="C420" s="3">
        <v>1</v>
      </c>
      <c r="D420" s="3" t="str">
        <f>VLOOKUP(B420,'Element wise-detail Summary'!$A:$D,2,0)</f>
        <v>V14</v>
      </c>
      <c r="E420" s="143" t="str">
        <f>VLOOKUP(B420,'Element wise-detail Summary'!$A:$D,3,0)</f>
        <v>Zone-4</v>
      </c>
      <c r="F420" s="143" t="str">
        <f>VLOOKUP(B420,'AFC Data details'!$B:$B,1,0)</f>
        <v>AZ4-V14-T3C4-001</v>
      </c>
    </row>
    <row r="421" spans="1:6" x14ac:dyDescent="0.25">
      <c r="A421" s="149">
        <v>46139</v>
      </c>
      <c r="B421" s="3" t="s">
        <v>2015</v>
      </c>
      <c r="C421" s="3">
        <v>1</v>
      </c>
      <c r="D421" s="3" t="str">
        <f>VLOOKUP(B421,'Element wise-detail Summary'!$A:$D,2,0)</f>
        <v>V15</v>
      </c>
      <c r="E421" s="143" t="str">
        <f>VLOOKUP(B421,'Element wise-detail Summary'!$A:$D,3,0)</f>
        <v>Zone-4</v>
      </c>
      <c r="F421" s="143" t="str">
        <f>VLOOKUP(B421,'AFC Data details'!$B:$B,1,0)</f>
        <v>AZ4-V15-T1C6-004</v>
      </c>
    </row>
    <row r="422" spans="1:6" x14ac:dyDescent="0.25">
      <c r="A422" s="149">
        <v>46139</v>
      </c>
      <c r="B422" s="3" t="s">
        <v>2016</v>
      </c>
      <c r="C422" s="3">
        <v>1</v>
      </c>
      <c r="D422" s="3" t="str">
        <f>VLOOKUP(B422,'Element wise-detail Summary'!$A:$D,2,0)</f>
        <v>V15</v>
      </c>
      <c r="E422" s="143" t="str">
        <f>VLOOKUP(B422,'Element wise-detail Summary'!$A:$D,3,0)</f>
        <v>Zone-4</v>
      </c>
      <c r="F422" s="143" t="str">
        <f>VLOOKUP(B422,'AFC Data details'!$B:$B,1,0)</f>
        <v>AZ4-V15-T1C6-005</v>
      </c>
    </row>
    <row r="423" spans="1:6" x14ac:dyDescent="0.25">
      <c r="A423" s="149">
        <v>46139</v>
      </c>
      <c r="B423" s="3" t="s">
        <v>2010</v>
      </c>
      <c r="C423" s="3">
        <v>1</v>
      </c>
      <c r="D423" s="3" t="str">
        <f>VLOOKUP(B423,'Element wise-detail Summary'!$A:$D,2,0)</f>
        <v>V15</v>
      </c>
      <c r="E423" s="143" t="str">
        <f>VLOOKUP(B423,'Element wise-detail Summary'!$A:$D,3,0)</f>
        <v>Zone-4</v>
      </c>
      <c r="F423" s="143" t="str">
        <f>VLOOKUP(B423,'AFC Data details'!$B:$B,1,0)</f>
        <v>AZ4-V15-T1C6-006</v>
      </c>
    </row>
    <row r="424" spans="1:6" x14ac:dyDescent="0.25">
      <c r="A424" s="149">
        <v>46139</v>
      </c>
      <c r="B424" s="3" t="s">
        <v>1843</v>
      </c>
      <c r="D424" s="3" t="str">
        <f>VLOOKUP(B424,'Element wise-detail Summary'!$A:$D,2,0)</f>
        <v>V04</v>
      </c>
      <c r="E424" s="143" t="str">
        <f>VLOOKUP(B424,'Element wise-detail Summary'!$A:$D,3,0)</f>
        <v>Zone-4</v>
      </c>
      <c r="F424" s="143" t="str">
        <f>VLOOKUP(B424,'AFC Data details'!$B:$B,1,0)</f>
        <v>AZ4-V04-T1C6-004</v>
      </c>
    </row>
    <row r="425" spans="1:6" x14ac:dyDescent="0.25">
      <c r="A425" s="149">
        <v>46139</v>
      </c>
      <c r="B425" s="3" t="s">
        <v>1803</v>
      </c>
      <c r="C425" s="3">
        <v>1</v>
      </c>
      <c r="D425" s="3" t="str">
        <f>VLOOKUP(B425,'Element wise-detail Summary'!$A:$D,2,0)</f>
        <v>V08</v>
      </c>
      <c r="E425" s="143" t="str">
        <f>VLOOKUP(B425,'Element wise-detail Summary'!$A:$D,3,0)</f>
        <v>Zone-4</v>
      </c>
      <c r="F425" s="143" t="str">
        <f>VLOOKUP(B425,'AFC Data details'!$B:$B,1,0)</f>
        <v>AZ4-V08-T1C3S-001</v>
      </c>
    </row>
    <row r="426" spans="1:6" x14ac:dyDescent="0.25">
      <c r="A426" s="149">
        <v>46139</v>
      </c>
      <c r="B426" s="3" t="s">
        <v>1993</v>
      </c>
      <c r="C426" s="3">
        <v>1</v>
      </c>
      <c r="D426" s="3" t="str">
        <f>VLOOKUP(B426,'Element wise-detail Summary'!$A:$D,2,0)</f>
        <v>V08</v>
      </c>
      <c r="E426" s="143" t="str">
        <f>VLOOKUP(B426,'Element wise-detail Summary'!$A:$D,3,0)</f>
        <v>Zone-4</v>
      </c>
      <c r="F426" s="143" t="str">
        <f>VLOOKUP(B426,'AFC Data details'!$B:$B,1,0)</f>
        <v>AZ4-V08-T1C6-005</v>
      </c>
    </row>
    <row r="427" spans="1:6" x14ac:dyDescent="0.25">
      <c r="A427" s="149">
        <v>46139</v>
      </c>
      <c r="B427" s="3" t="s">
        <v>1971</v>
      </c>
      <c r="C427" s="3">
        <v>1</v>
      </c>
      <c r="D427" s="3" t="str">
        <f>VLOOKUP(B427,'Element wise-detail Summary'!$A:$D,2,0)</f>
        <v>V08</v>
      </c>
      <c r="E427" s="143" t="str">
        <f>VLOOKUP(B427,'Element wise-detail Summary'!$A:$D,3,0)</f>
        <v>Zone-4</v>
      </c>
      <c r="F427" s="143" t="str">
        <f>VLOOKUP(B427,'AFC Data details'!$B:$B,1,0)</f>
        <v>AZ4-V08-T1C6-006</v>
      </c>
    </row>
    <row r="428" spans="1:6" x14ac:dyDescent="0.25">
      <c r="A428" s="149">
        <v>46139</v>
      </c>
      <c r="B428" s="3" t="s">
        <v>1861</v>
      </c>
      <c r="C428" s="3">
        <v>1</v>
      </c>
      <c r="D428" s="3" t="str">
        <f>VLOOKUP(B428,'Element wise-detail Summary'!$A:$D,2,0)</f>
        <v>V12</v>
      </c>
      <c r="E428" s="143" t="str">
        <f>VLOOKUP(B428,'Element wise-detail Summary'!$A:$D,3,0)</f>
        <v>Zone-4</v>
      </c>
      <c r="F428" s="143" t="str">
        <f>VLOOKUP(B428,'AFC Data details'!$B:$B,1,0)</f>
        <v>AZ4-V12-T1C6-002</v>
      </c>
    </row>
    <row r="429" spans="1:6" x14ac:dyDescent="0.25">
      <c r="A429" s="149">
        <v>46139</v>
      </c>
      <c r="B429" s="3" t="s">
        <v>1981</v>
      </c>
      <c r="C429" s="3">
        <v>1</v>
      </c>
      <c r="D429" s="3" t="str">
        <f>VLOOKUP(B429,'Element wise-detail Summary'!$A:$D,2,0)</f>
        <v>V12</v>
      </c>
      <c r="E429" s="143" t="str">
        <f>VLOOKUP(B429,'Element wise-detail Summary'!$A:$D,3,0)</f>
        <v>Zone-4</v>
      </c>
      <c r="F429" s="143" t="str">
        <f>VLOOKUP(B429,'AFC Data details'!$B:$B,1,0)</f>
        <v>AZ4-V12-T1C6-003</v>
      </c>
    </row>
    <row r="430" spans="1:6" x14ac:dyDescent="0.25">
      <c r="A430" s="149">
        <v>46139</v>
      </c>
      <c r="B430" s="3" t="s">
        <v>2007</v>
      </c>
      <c r="C430" s="3">
        <v>1</v>
      </c>
      <c r="D430" s="3" t="str">
        <f>VLOOKUP(B430,'Element wise-detail Summary'!$A:$D,2,0)</f>
        <v>V12</v>
      </c>
      <c r="E430" s="143" t="str">
        <f>VLOOKUP(B430,'Element wise-detail Summary'!$A:$D,3,0)</f>
        <v>Zone-4</v>
      </c>
      <c r="F430" s="143" t="str">
        <f>VLOOKUP(B430,'AFC Data details'!$B:$B,1,0)</f>
        <v>AZ4-V12-T1C6-004</v>
      </c>
    </row>
    <row r="431" spans="1:6" x14ac:dyDescent="0.25">
      <c r="A431" s="149">
        <v>46139</v>
      </c>
      <c r="B431" s="3" t="s">
        <v>2008</v>
      </c>
      <c r="C431" s="3">
        <v>1</v>
      </c>
      <c r="D431" s="3" t="str">
        <f>VLOOKUP(B431,'Element wise-detail Summary'!$A:$D,2,0)</f>
        <v>V12</v>
      </c>
      <c r="E431" s="143" t="str">
        <f>VLOOKUP(B431,'Element wise-detail Summary'!$A:$D,3,0)</f>
        <v>Zone-4</v>
      </c>
      <c r="F431" s="143" t="str">
        <f>VLOOKUP(B431,'AFC Data details'!$B:$B,1,0)</f>
        <v>AZ4-V12-T1C6-005</v>
      </c>
    </row>
    <row r="432" spans="1:6" x14ac:dyDescent="0.25">
      <c r="A432" s="149">
        <v>46139</v>
      </c>
      <c r="B432" s="3" t="s">
        <v>1982</v>
      </c>
      <c r="C432" s="3">
        <v>1</v>
      </c>
      <c r="D432" s="3" t="str">
        <f>VLOOKUP(B432,'Element wise-detail Summary'!$A:$D,2,0)</f>
        <v>V12</v>
      </c>
      <c r="E432" s="143" t="str">
        <f>VLOOKUP(B432,'Element wise-detail Summary'!$A:$D,3,0)</f>
        <v>Zone-4</v>
      </c>
      <c r="F432" s="143" t="str">
        <f>VLOOKUP(B432,'AFC Data details'!$B:$B,1,0)</f>
        <v>AZ4-V12-T1C6-006</v>
      </c>
    </row>
    <row r="433" spans="1:6" x14ac:dyDescent="0.25">
      <c r="A433" s="149">
        <v>46139</v>
      </c>
      <c r="B433" s="3" t="s">
        <v>1862</v>
      </c>
      <c r="C433" s="3">
        <v>1</v>
      </c>
      <c r="D433" s="3" t="str">
        <f>VLOOKUP(B433,'Element wise-detail Summary'!$A:$D,2,0)</f>
        <v>V13</v>
      </c>
      <c r="E433" s="143" t="str">
        <f>VLOOKUP(B433,'Element wise-detail Summary'!$A:$D,3,0)</f>
        <v>Zone-4</v>
      </c>
      <c r="F433" s="143" t="str">
        <f>VLOOKUP(B433,'AFC Data details'!$B:$B,1,0)</f>
        <v>AZ4-V13-T1C6-001</v>
      </c>
    </row>
    <row r="434" spans="1:6" x14ac:dyDescent="0.25">
      <c r="A434" s="149">
        <v>46139</v>
      </c>
      <c r="B434" s="3" t="s">
        <v>1964</v>
      </c>
      <c r="C434" s="3">
        <v>1</v>
      </c>
      <c r="D434" s="3" t="str">
        <f>VLOOKUP(B434,'Element wise-detail Summary'!$A:$D,2,0)</f>
        <v>V13</v>
      </c>
      <c r="E434" s="143" t="str">
        <f>VLOOKUP(B434,'Element wise-detail Summary'!$A:$D,3,0)</f>
        <v>Zone-4</v>
      </c>
      <c r="F434" s="143" t="str">
        <f>VLOOKUP(B434,'AFC Data details'!$B:$B,1,0)</f>
        <v>AZ4-V13-T1C6-002</v>
      </c>
    </row>
    <row r="435" spans="1:6" x14ac:dyDescent="0.25">
      <c r="A435" s="149">
        <v>46139</v>
      </c>
      <c r="B435" s="3" t="s">
        <v>1973</v>
      </c>
      <c r="C435" s="3">
        <v>1</v>
      </c>
      <c r="D435" s="3" t="str">
        <f>VLOOKUP(B435,'Element wise-detail Summary'!$A:$D,2,0)</f>
        <v>V13</v>
      </c>
      <c r="E435" s="143" t="str">
        <f>VLOOKUP(B435,'Element wise-detail Summary'!$A:$D,3,0)</f>
        <v>Zone-4</v>
      </c>
      <c r="F435" s="143" t="str">
        <f>VLOOKUP(B435,'AFC Data details'!$B:$B,1,0)</f>
        <v>AZ4-V13-T1C6-003</v>
      </c>
    </row>
    <row r="436" spans="1:6" x14ac:dyDescent="0.25">
      <c r="A436" s="149">
        <v>46139</v>
      </c>
      <c r="B436" s="3" t="s">
        <v>1974</v>
      </c>
      <c r="C436" s="3">
        <v>1</v>
      </c>
      <c r="D436" s="3" t="str">
        <f>VLOOKUP(B436,'Element wise-detail Summary'!$A:$D,2,0)</f>
        <v>V13</v>
      </c>
      <c r="E436" s="143" t="str">
        <f>VLOOKUP(B436,'Element wise-detail Summary'!$A:$D,3,0)</f>
        <v>Zone-4</v>
      </c>
      <c r="F436" s="143" t="str">
        <f>VLOOKUP(B436,'AFC Data details'!$B:$B,1,0)</f>
        <v>AZ4-V13-T1C6-004</v>
      </c>
    </row>
    <row r="437" spans="1:6" x14ac:dyDescent="0.25">
      <c r="A437" s="149">
        <v>46139</v>
      </c>
      <c r="B437" s="3" t="s">
        <v>2009</v>
      </c>
      <c r="C437" s="3">
        <v>1</v>
      </c>
      <c r="D437" s="3" t="str">
        <f>VLOOKUP(B437,'Element wise-detail Summary'!$A:$D,2,0)</f>
        <v>V13</v>
      </c>
      <c r="E437" s="143" t="str">
        <f>VLOOKUP(B437,'Element wise-detail Summary'!$A:$D,3,0)</f>
        <v>Zone-4</v>
      </c>
      <c r="F437" s="143" t="str">
        <f>VLOOKUP(B437,'AFC Data details'!$B:$B,1,0)</f>
        <v>AZ4-V13-T1C6-005</v>
      </c>
    </row>
    <row r="438" spans="1:6" x14ac:dyDescent="0.25">
      <c r="A438" s="149">
        <v>46140</v>
      </c>
      <c r="B438" s="3" t="s">
        <v>1550</v>
      </c>
      <c r="C438" s="3">
        <v>1</v>
      </c>
      <c r="D438" s="3" t="str">
        <f>VLOOKUP(B438,'Element wise-detail Summary'!$A:$D,2,0)</f>
        <v>V57</v>
      </c>
      <c r="E438" s="143" t="str">
        <f>VLOOKUP(B438,'Element wise-detail Summary'!$A:$D,3,0)</f>
        <v>Zone-5</v>
      </c>
      <c r="F438" s="143" t="str">
        <f>VLOOKUP(B438,'AFC Data details'!$B:$B,1,0)</f>
        <v>AZ5-V57-T1C6-003</v>
      </c>
    </row>
    <row r="439" spans="1:6" x14ac:dyDescent="0.25">
      <c r="A439" s="149">
        <v>46140</v>
      </c>
      <c r="B439" s="3" t="s">
        <v>1551</v>
      </c>
      <c r="C439" s="3">
        <v>1</v>
      </c>
      <c r="D439" s="3" t="str">
        <f>VLOOKUP(B439,'Element wise-detail Summary'!$A:$D,2,0)</f>
        <v>V57</v>
      </c>
      <c r="E439" s="143" t="str">
        <f>VLOOKUP(B439,'Element wise-detail Summary'!$A:$D,3,0)</f>
        <v>Zone-5</v>
      </c>
      <c r="F439" s="143" t="str">
        <f>VLOOKUP(B439,'AFC Data details'!$B:$B,1,0)</f>
        <v>AZ5-V57-T1C6-004</v>
      </c>
    </row>
    <row r="440" spans="1:6" x14ac:dyDescent="0.25">
      <c r="A440" s="149">
        <v>46140</v>
      </c>
      <c r="B440" s="3" t="s">
        <v>1552</v>
      </c>
      <c r="C440" s="3">
        <v>1</v>
      </c>
      <c r="D440" s="3" t="str">
        <f>VLOOKUP(B440,'Element wise-detail Summary'!$A:$D,2,0)</f>
        <v>V57</v>
      </c>
      <c r="E440" s="143" t="str">
        <f>VLOOKUP(B440,'Element wise-detail Summary'!$A:$D,3,0)</f>
        <v>Zone-5</v>
      </c>
      <c r="F440" s="143" t="str">
        <f>VLOOKUP(B440,'AFC Data details'!$B:$B,1,0)</f>
        <v>AZ5-V57-T1C6-005</v>
      </c>
    </row>
    <row r="441" spans="1:6" x14ac:dyDescent="0.25">
      <c r="A441" s="149">
        <v>46140</v>
      </c>
      <c r="B441" s="3" t="s">
        <v>1555</v>
      </c>
      <c r="C441" s="3">
        <v>1</v>
      </c>
      <c r="D441" s="3" t="str">
        <f>VLOOKUP(B441,'Element wise-detail Summary'!$A:$D,2,0)</f>
        <v>V57</v>
      </c>
      <c r="E441" s="143" t="str">
        <f>VLOOKUP(B441,'Element wise-detail Summary'!$A:$D,3,0)</f>
        <v>Zone-5</v>
      </c>
      <c r="F441" s="143" t="str">
        <f>VLOOKUP(B441,'AFC Data details'!$B:$B,1,0)</f>
        <v>AZ5-V57-T1C6-006</v>
      </c>
    </row>
    <row r="442" spans="1:6" x14ac:dyDescent="0.25">
      <c r="A442" s="149">
        <v>46140</v>
      </c>
      <c r="B442" s="3" t="s">
        <v>1650</v>
      </c>
      <c r="C442" s="3">
        <v>1</v>
      </c>
      <c r="D442" s="3" t="str">
        <f>VLOOKUP(B442,'Element wise-detail Summary'!$A:$D,2,0)</f>
        <v>V57</v>
      </c>
      <c r="E442" s="143" t="str">
        <f>VLOOKUP(B442,'Element wise-detail Summary'!$A:$D,3,0)</f>
        <v>Zone-5</v>
      </c>
      <c r="F442" s="143" t="str">
        <f>VLOOKUP(B442,'AFC Data details'!$B:$B,1,0)</f>
        <v>AZ5-V57-T3C5-001</v>
      </c>
    </row>
    <row r="443" spans="1:6" x14ac:dyDescent="0.25">
      <c r="A443" s="149">
        <v>46140</v>
      </c>
      <c r="B443" s="3" t="s">
        <v>1658</v>
      </c>
      <c r="C443" s="3">
        <v>1</v>
      </c>
      <c r="D443" s="3" t="str">
        <f>VLOOKUP(B443,'Element wise-detail Summary'!$A:$D,2,0)</f>
        <v>V60</v>
      </c>
      <c r="E443" s="143" t="str">
        <f>VLOOKUP(B443,'Element wise-detail Summary'!$A:$D,3,0)</f>
        <v>Zone-5</v>
      </c>
      <c r="F443" s="143" t="str">
        <f>VLOOKUP(B443,'AFC Data details'!$B:$B,1,0)</f>
        <v>AZ5-V60-T3C5-001</v>
      </c>
    </row>
    <row r="444" spans="1:6" x14ac:dyDescent="0.25">
      <c r="A444" s="149">
        <v>46140</v>
      </c>
      <c r="B444" s="3" t="s">
        <v>1666</v>
      </c>
      <c r="C444" s="3">
        <v>1</v>
      </c>
      <c r="D444" s="3" t="str">
        <f>VLOOKUP(B444,'Element wise-detail Summary'!$A:$D,2,0)</f>
        <v>V61</v>
      </c>
      <c r="E444" s="143" t="str">
        <f>VLOOKUP(B444,'Element wise-detail Summary'!$A:$D,3,0)</f>
        <v>Zone-5</v>
      </c>
      <c r="F444" s="143" t="str">
        <f>VLOOKUP(B444,'AFC Data details'!$B:$B,1,0)</f>
        <v>AZ5-V61-T3C5-001</v>
      </c>
    </row>
    <row r="445" spans="1:6" x14ac:dyDescent="0.25">
      <c r="A445" s="149">
        <v>46140</v>
      </c>
      <c r="B445" s="3" t="s">
        <v>1667</v>
      </c>
      <c r="C445" s="3">
        <v>1</v>
      </c>
      <c r="D445" s="3" t="str">
        <f>VLOOKUP(B445,'Element wise-detail Summary'!$A:$D,2,0)</f>
        <v>V61</v>
      </c>
      <c r="E445" s="143" t="str">
        <f>VLOOKUP(B445,'Element wise-detail Summary'!$A:$D,3,0)</f>
        <v>Zone-5</v>
      </c>
      <c r="F445" s="143" t="str">
        <f>VLOOKUP(B445,'AFC Data details'!$B:$B,1,0)</f>
        <v>AZ5-V61-T3C5-002</v>
      </c>
    </row>
    <row r="446" spans="1:6" x14ac:dyDescent="0.25">
      <c r="A446" s="149">
        <v>46140</v>
      </c>
      <c r="B446" s="3" t="s">
        <v>1577</v>
      </c>
      <c r="C446" s="3">
        <v>1</v>
      </c>
      <c r="D446" s="3" t="str">
        <f>VLOOKUP(B446,'Element wise-detail Summary'!$A:$D,2,0)</f>
        <v>V62</v>
      </c>
      <c r="E446" s="143" t="str">
        <f>VLOOKUP(B446,'Element wise-detail Summary'!$A:$D,3,0)</f>
        <v>Zone-5</v>
      </c>
      <c r="F446" s="143" t="str">
        <f>VLOOKUP(B446,'AFC Data details'!$B:$B,1,0)</f>
        <v>AZ5-V62-T1C6-002</v>
      </c>
    </row>
    <row r="447" spans="1:6" x14ac:dyDescent="0.25">
      <c r="A447" s="149">
        <v>46140</v>
      </c>
      <c r="B447" s="3" t="s">
        <v>1586</v>
      </c>
      <c r="C447" s="3">
        <v>1</v>
      </c>
      <c r="D447" s="3" t="str">
        <f>VLOOKUP(B447,'Element wise-detail Summary'!$A:$D,2,0)</f>
        <v>V62</v>
      </c>
      <c r="E447" s="143" t="str">
        <f>VLOOKUP(B447,'Element wise-detail Summary'!$A:$D,3,0)</f>
        <v>Zone-5</v>
      </c>
      <c r="F447" s="143" t="str">
        <f>VLOOKUP(B447,'AFC Data details'!$B:$B,1,0)</f>
        <v>AZ5-V62-T1C6-005</v>
      </c>
    </row>
    <row r="448" spans="1:6" x14ac:dyDescent="0.25">
      <c r="A448" s="149">
        <v>46140</v>
      </c>
      <c r="B448" s="3" t="s">
        <v>1597</v>
      </c>
      <c r="C448" s="3">
        <v>1</v>
      </c>
      <c r="D448" s="3" t="str">
        <f>VLOOKUP(B448,'Element wise-detail Summary'!$A:$D,2,0)</f>
        <v>V62</v>
      </c>
      <c r="E448" s="143" t="str">
        <f>VLOOKUP(B448,'Element wise-detail Summary'!$A:$D,3,0)</f>
        <v>Zone-5</v>
      </c>
      <c r="F448" s="143" t="str">
        <f>VLOOKUP(B448,'AFC Data details'!$B:$B,1,0)</f>
        <v>AZ5-V62-T1C6-006</v>
      </c>
    </row>
    <row r="449" spans="1:6" x14ac:dyDescent="0.25">
      <c r="A449" s="149">
        <v>46140</v>
      </c>
      <c r="B449" s="3" t="s">
        <v>1600</v>
      </c>
      <c r="C449" s="3">
        <v>1</v>
      </c>
      <c r="D449" s="3" t="str">
        <f>VLOOKUP(B449,'Element wise-detail Summary'!$A:$D,2,0)</f>
        <v>V63</v>
      </c>
      <c r="E449" s="143" t="str">
        <f>VLOOKUP(B449,'Element wise-detail Summary'!$A:$D,3,0)</f>
        <v>Zone-5</v>
      </c>
      <c r="F449" s="143" t="str">
        <f>VLOOKUP(B449,'AFC Data details'!$B:$B,1,0)</f>
        <v>AZ5-V63-T1C6-001</v>
      </c>
    </row>
    <row r="450" spans="1:6" x14ac:dyDescent="0.25">
      <c r="A450" s="149">
        <v>46140</v>
      </c>
      <c r="B450" s="3" t="s">
        <v>1579</v>
      </c>
      <c r="C450" s="3">
        <v>1</v>
      </c>
      <c r="D450" s="3" t="str">
        <f>VLOOKUP(B450,'Element wise-detail Summary'!$A:$D,2,0)</f>
        <v>V63</v>
      </c>
      <c r="E450" s="143" t="str">
        <f>VLOOKUP(B450,'Element wise-detail Summary'!$A:$D,3,0)</f>
        <v>Zone-5</v>
      </c>
      <c r="F450" s="143" t="str">
        <f>VLOOKUP(B450,'AFC Data details'!$B:$B,1,0)</f>
        <v>AZ5-V63-T1C6-002</v>
      </c>
    </row>
    <row r="451" spans="1:6" x14ac:dyDescent="0.25">
      <c r="A451" s="149">
        <v>46140</v>
      </c>
      <c r="B451" s="3" t="s">
        <v>1587</v>
      </c>
      <c r="C451" s="3">
        <v>1</v>
      </c>
      <c r="D451" s="3" t="str">
        <f>VLOOKUP(B451,'Element wise-detail Summary'!$A:$D,2,0)</f>
        <v>V63</v>
      </c>
      <c r="E451" s="143" t="str">
        <f>VLOOKUP(B451,'Element wise-detail Summary'!$A:$D,3,0)</f>
        <v>Zone-5</v>
      </c>
      <c r="F451" s="143" t="str">
        <f>VLOOKUP(B451,'AFC Data details'!$B:$B,1,0)</f>
        <v>AZ5-V63-T1C6-004</v>
      </c>
    </row>
    <row r="452" spans="1:6" x14ac:dyDescent="0.25">
      <c r="A452" s="149">
        <v>46140</v>
      </c>
      <c r="B452" s="3" t="s">
        <v>1588</v>
      </c>
      <c r="C452" s="3">
        <v>1</v>
      </c>
      <c r="D452" s="3" t="str">
        <f>VLOOKUP(B452,'Element wise-detail Summary'!$A:$D,2,0)</f>
        <v>V63</v>
      </c>
      <c r="E452" s="143" t="str">
        <f>VLOOKUP(B452,'Element wise-detail Summary'!$A:$D,3,0)</f>
        <v>Zone-5</v>
      </c>
      <c r="F452" s="143" t="str">
        <f>VLOOKUP(B452,'AFC Data details'!$B:$B,1,0)</f>
        <v>AZ5-V63-T1C6-005</v>
      </c>
    </row>
    <row r="453" spans="1:6" x14ac:dyDescent="0.25">
      <c r="A453" s="149">
        <v>46140</v>
      </c>
      <c r="B453" s="3" t="s">
        <v>1602</v>
      </c>
      <c r="C453" s="3">
        <v>1</v>
      </c>
      <c r="D453" s="3" t="str">
        <f>VLOOKUP(B453,'Element wise-detail Summary'!$A:$D,2,0)</f>
        <v>V63</v>
      </c>
      <c r="E453" s="143" t="str">
        <f>VLOOKUP(B453,'Element wise-detail Summary'!$A:$D,3,0)</f>
        <v>Zone-5</v>
      </c>
      <c r="F453" s="143" t="str">
        <f>VLOOKUP(B453,'AFC Data details'!$B:$B,1,0)</f>
        <v>AZ5-V63-T1C6-006</v>
      </c>
    </row>
    <row r="454" spans="1:6" x14ac:dyDescent="0.25">
      <c r="A454" s="149">
        <v>46140</v>
      </c>
      <c r="B454" s="3" t="s">
        <v>1980</v>
      </c>
      <c r="C454" s="3">
        <v>1</v>
      </c>
      <c r="D454" s="3" t="str">
        <f>VLOOKUP(B454,'Element wise-detail Summary'!$A:$D,2,0)</f>
        <v>V13</v>
      </c>
      <c r="E454" s="143" t="str">
        <f>VLOOKUP(B454,'Element wise-detail Summary'!$A:$D,3,0)</f>
        <v>Zone-4</v>
      </c>
      <c r="F454" s="143" t="str">
        <f>VLOOKUP(B454,'AFC Data details'!$B:$B,1,0)</f>
        <v>AZ4-V13-T1C6-006</v>
      </c>
    </row>
    <row r="455" spans="1:6" x14ac:dyDescent="0.25">
      <c r="A455" s="149">
        <v>46140</v>
      </c>
      <c r="B455" s="3" t="s">
        <v>1864</v>
      </c>
      <c r="C455" s="3">
        <v>1</v>
      </c>
      <c r="D455" s="3" t="str">
        <f>VLOOKUP(B455,'Element wise-detail Summary'!$A:$D,2,0)</f>
        <v>V14</v>
      </c>
      <c r="E455" s="143" t="str">
        <f>VLOOKUP(B455,'Element wise-detail Summary'!$A:$D,3,0)</f>
        <v>Zone-4</v>
      </c>
      <c r="F455" s="143" t="str">
        <f>VLOOKUP(B455,'AFC Data details'!$B:$B,1,0)</f>
        <v>AZ4-V14-T1C6-002</v>
      </c>
    </row>
    <row r="456" spans="1:6" x14ac:dyDescent="0.25">
      <c r="A456" s="149">
        <v>46140</v>
      </c>
      <c r="B456" s="3" t="s">
        <v>2011</v>
      </c>
      <c r="C456" s="3">
        <v>1</v>
      </c>
      <c r="D456" s="3" t="str">
        <f>VLOOKUP(B456,'Element wise-detail Summary'!$A:$D,2,0)</f>
        <v>V14</v>
      </c>
      <c r="E456" s="143" t="str">
        <f>VLOOKUP(B456,'Element wise-detail Summary'!$A:$D,3,0)</f>
        <v>Zone-4</v>
      </c>
      <c r="F456" s="143" t="str">
        <f>VLOOKUP(B456,'AFC Data details'!$B:$B,1,0)</f>
        <v>AZ4-V14-T1C6-003</v>
      </c>
    </row>
    <row r="457" spans="1:6" x14ac:dyDescent="0.25">
      <c r="A457" s="149">
        <v>46140</v>
      </c>
      <c r="B457" s="3" t="s">
        <v>2012</v>
      </c>
      <c r="C457" s="3">
        <v>1</v>
      </c>
      <c r="D457" s="3" t="str">
        <f>VLOOKUP(B457,'Element wise-detail Summary'!$A:$D,2,0)</f>
        <v>V14</v>
      </c>
      <c r="E457" s="143" t="str">
        <f>VLOOKUP(B457,'Element wise-detail Summary'!$A:$D,3,0)</f>
        <v>Zone-4</v>
      </c>
      <c r="F457" s="143" t="str">
        <f>VLOOKUP(B457,'AFC Data details'!$B:$B,1,0)</f>
        <v>AZ4-V14-T1C6-004</v>
      </c>
    </row>
    <row r="458" spans="1:6" x14ac:dyDescent="0.25">
      <c r="A458" s="149">
        <v>46140</v>
      </c>
      <c r="B458" s="3" t="s">
        <v>1972</v>
      </c>
      <c r="C458" s="3">
        <v>1</v>
      </c>
      <c r="D458" s="3" t="str">
        <f>VLOOKUP(B458,'Element wise-detail Summary'!$A:$D,2,0)</f>
        <v>V14</v>
      </c>
      <c r="E458" s="143" t="str">
        <f>VLOOKUP(B458,'Element wise-detail Summary'!$A:$D,3,0)</f>
        <v>Zone-4</v>
      </c>
      <c r="F458" s="143" t="str">
        <f>VLOOKUP(B458,'AFC Data details'!$B:$B,1,0)</f>
        <v>AZ4-V14-T1C6-005</v>
      </c>
    </row>
    <row r="459" spans="1:6" x14ac:dyDescent="0.25">
      <c r="A459" s="149">
        <v>46140</v>
      </c>
      <c r="B459" s="3" t="s">
        <v>2017</v>
      </c>
      <c r="C459" s="3">
        <v>1</v>
      </c>
      <c r="D459" s="3" t="str">
        <f>VLOOKUP(B459,'Element wise-detail Summary'!$A:$D,2,0)</f>
        <v>V14</v>
      </c>
      <c r="E459" s="143" t="str">
        <f>VLOOKUP(B459,'Element wise-detail Summary'!$A:$D,3,0)</f>
        <v>Zone-4</v>
      </c>
      <c r="F459" s="143" t="str">
        <f>VLOOKUP(B459,'AFC Data details'!$B:$B,1,0)</f>
        <v>AZ4-V14-T1C6-006</v>
      </c>
    </row>
    <row r="460" spans="1:6" x14ac:dyDescent="0.25">
      <c r="A460" s="149">
        <v>46140</v>
      </c>
      <c r="B460" s="3" t="s">
        <v>1988</v>
      </c>
      <c r="C460" s="3">
        <v>1</v>
      </c>
      <c r="D460" s="3" t="str">
        <f>VLOOKUP(B460,'Element wise-detail Summary'!$A:$D,2,0)</f>
        <v>V14</v>
      </c>
      <c r="E460" s="143" t="str">
        <f>VLOOKUP(B460,'Element wise-detail Summary'!$A:$D,3,0)</f>
        <v>Zone-4</v>
      </c>
      <c r="F460" s="143" t="str">
        <f>VLOOKUP(B460,'AFC Data details'!$B:$B,1,0)</f>
        <v>AZ4-V14-T2C1-001</v>
      </c>
    </row>
    <row r="461" spans="1:6" x14ac:dyDescent="0.25">
      <c r="A461" s="149">
        <v>46140</v>
      </c>
      <c r="B461" s="3" t="s">
        <v>1828</v>
      </c>
      <c r="D461" s="3" t="str">
        <f>VLOOKUP(B461,'Element wise-detail Summary'!$A:$D,2,0)</f>
        <v>V14</v>
      </c>
      <c r="E461" s="143" t="str">
        <f>VLOOKUP(B461,'Element wise-detail Summary'!$A:$D,3,0)</f>
        <v>Zone-4</v>
      </c>
      <c r="F461" s="143" t="str">
        <f>VLOOKUP(B461,'AFC Data details'!$B:$B,1,0)</f>
        <v>AZ4-V14-T3C4-001</v>
      </c>
    </row>
    <row r="462" spans="1:6" x14ac:dyDescent="0.25">
      <c r="A462" s="149">
        <v>46140</v>
      </c>
      <c r="B462" s="3" t="s">
        <v>1829</v>
      </c>
      <c r="C462" s="3">
        <v>1</v>
      </c>
      <c r="D462" s="3" t="str">
        <f>VLOOKUP(B462,'Element wise-detail Summary'!$A:$D,2,0)</f>
        <v>V14</v>
      </c>
      <c r="E462" s="143" t="str">
        <f>VLOOKUP(B462,'Element wise-detail Summary'!$A:$D,3,0)</f>
        <v>Zone-4</v>
      </c>
      <c r="F462" s="143" t="str">
        <f>VLOOKUP(B462,'AFC Data details'!$B:$B,1,0)</f>
        <v>AZ4-V14-T3C5-001</v>
      </c>
    </row>
    <row r="463" spans="1:6" x14ac:dyDescent="0.25">
      <c r="A463" s="149">
        <v>46140</v>
      </c>
      <c r="B463" s="3" t="s">
        <v>2015</v>
      </c>
      <c r="D463" s="3" t="str">
        <f>VLOOKUP(B463,'Element wise-detail Summary'!$A:$D,2,0)</f>
        <v>V15</v>
      </c>
      <c r="E463" s="143" t="str">
        <f>VLOOKUP(B463,'Element wise-detail Summary'!$A:$D,3,0)</f>
        <v>Zone-4</v>
      </c>
      <c r="F463" s="143" t="str">
        <f>VLOOKUP(B463,'AFC Data details'!$B:$B,1,0)</f>
        <v>AZ4-V15-T1C6-004</v>
      </c>
    </row>
    <row r="464" spans="1:6" x14ac:dyDescent="0.25">
      <c r="A464" s="149">
        <v>46140</v>
      </c>
      <c r="B464" s="3" t="s">
        <v>2016</v>
      </c>
      <c r="D464" s="3" t="str">
        <f>VLOOKUP(B464,'Element wise-detail Summary'!$A:$D,2,0)</f>
        <v>V15</v>
      </c>
      <c r="E464" s="143" t="str">
        <f>VLOOKUP(B464,'Element wise-detail Summary'!$A:$D,3,0)</f>
        <v>Zone-4</v>
      </c>
      <c r="F464" s="143" t="str">
        <f>VLOOKUP(B464,'AFC Data details'!$B:$B,1,0)</f>
        <v>AZ4-V15-T1C6-005</v>
      </c>
    </row>
    <row r="465" spans="1:6" x14ac:dyDescent="0.25">
      <c r="A465" s="149">
        <v>46140</v>
      </c>
      <c r="B465" s="3" t="s">
        <v>2010</v>
      </c>
      <c r="D465" s="3" t="str">
        <f>VLOOKUP(B465,'Element wise-detail Summary'!$A:$D,2,0)</f>
        <v>V15</v>
      </c>
      <c r="E465" s="143" t="str">
        <f>VLOOKUP(B465,'Element wise-detail Summary'!$A:$D,3,0)</f>
        <v>Zone-4</v>
      </c>
      <c r="F465" s="143" t="str">
        <f>VLOOKUP(B465,'AFC Data details'!$B:$B,1,0)</f>
        <v>AZ4-V15-T1C6-006</v>
      </c>
    </row>
    <row r="466" spans="1:6" x14ac:dyDescent="0.25">
      <c r="A466" s="149">
        <v>46140</v>
      </c>
      <c r="B466" s="3" t="s">
        <v>1832</v>
      </c>
      <c r="C466" s="3">
        <v>1</v>
      </c>
      <c r="D466" s="3" t="str">
        <f>VLOOKUP(B466,'Element wise-detail Summary'!$A:$D,2,0)</f>
        <v>V15</v>
      </c>
      <c r="E466" s="143" t="str">
        <f>VLOOKUP(B466,'Element wise-detail Summary'!$A:$D,3,0)</f>
        <v>Zone-4</v>
      </c>
      <c r="F466" s="143" t="str">
        <f>VLOOKUP(B466,'AFC Data details'!$B:$B,1,0)</f>
        <v>AZ4-V15-T3C5-002</v>
      </c>
    </row>
    <row r="467" spans="1:6" x14ac:dyDescent="0.25">
      <c r="A467" s="149">
        <v>46140</v>
      </c>
      <c r="B467" s="3" t="s">
        <v>1835</v>
      </c>
      <c r="C467" s="3">
        <v>1</v>
      </c>
      <c r="D467" s="3" t="str">
        <f>VLOOKUP(B467,'Element wise-detail Summary'!$A:$D,2,0)</f>
        <v>V16</v>
      </c>
      <c r="E467" s="143" t="str">
        <f>VLOOKUP(B467,'Element wise-detail Summary'!$A:$D,3,0)</f>
        <v>Zone-4</v>
      </c>
      <c r="F467" s="143" t="str">
        <f>VLOOKUP(B467,'AFC Data details'!$B:$B,1,0)</f>
        <v>AZ4-V16-T1C13-001</v>
      </c>
    </row>
    <row r="468" spans="1:6" x14ac:dyDescent="0.25">
      <c r="A468" s="149">
        <v>46140</v>
      </c>
      <c r="B468" s="3" t="s">
        <v>1836</v>
      </c>
      <c r="C468" s="3">
        <v>1</v>
      </c>
      <c r="D468" s="3" t="str">
        <f>VLOOKUP(B468,'Element wise-detail Summary'!$A:$D,2,0)</f>
        <v>V16</v>
      </c>
      <c r="E468" s="143" t="str">
        <f>VLOOKUP(B468,'Element wise-detail Summary'!$A:$D,3,0)</f>
        <v>Zone-4</v>
      </c>
      <c r="F468" s="143" t="str">
        <f>VLOOKUP(B468,'AFC Data details'!$B:$B,1,0)</f>
        <v>AZ4-V16-T1C13-002</v>
      </c>
    </row>
    <row r="469" spans="1:6" x14ac:dyDescent="0.25">
      <c r="A469" s="149">
        <v>46140</v>
      </c>
      <c r="B469" s="3" t="s">
        <v>1986</v>
      </c>
      <c r="C469" s="3">
        <v>1</v>
      </c>
      <c r="D469" s="3" t="str">
        <f>VLOOKUP(B469,'Element wise-detail Summary'!$A:$D,2,0)</f>
        <v>V16</v>
      </c>
      <c r="E469" s="143" t="str">
        <f>VLOOKUP(B469,'Element wise-detail Summary'!$A:$D,3,0)</f>
        <v>Zone-4</v>
      </c>
      <c r="F469" s="143" t="str">
        <f>VLOOKUP(B469,'AFC Data details'!$B:$B,1,0)</f>
        <v>AZ4-V16-T1C13-003</v>
      </c>
    </row>
    <row r="470" spans="1:6" x14ac:dyDescent="0.25">
      <c r="A470" s="149">
        <v>46140</v>
      </c>
      <c r="B470" s="3" t="s">
        <v>1987</v>
      </c>
      <c r="C470" s="3">
        <v>1</v>
      </c>
      <c r="D470" s="3" t="str">
        <f>VLOOKUP(B470,'Element wise-detail Summary'!$A:$D,2,0)</f>
        <v>V16</v>
      </c>
      <c r="E470" s="143" t="str">
        <f>VLOOKUP(B470,'Element wise-detail Summary'!$A:$D,3,0)</f>
        <v>Zone-4</v>
      </c>
      <c r="F470" s="143" t="str">
        <f>VLOOKUP(B470,'AFC Data details'!$B:$B,1,0)</f>
        <v>AZ4-V16-T1C13-004</v>
      </c>
    </row>
    <row r="471" spans="1:6" x14ac:dyDescent="0.25">
      <c r="A471" s="149">
        <v>46140</v>
      </c>
      <c r="B471" s="3" t="s">
        <v>1837</v>
      </c>
      <c r="C471" s="3">
        <v>1</v>
      </c>
      <c r="D471" s="3" t="str">
        <f>VLOOKUP(B471,'Element wise-detail Summary'!$A:$D,2,0)</f>
        <v>V16</v>
      </c>
      <c r="E471" s="143" t="str">
        <f>VLOOKUP(B471,'Element wise-detail Summary'!$A:$D,3,0)</f>
        <v>Zone-4</v>
      </c>
      <c r="F471" s="143" t="str">
        <f>VLOOKUP(B471,'AFC Data details'!$B:$B,1,0)</f>
        <v>AZ4-V16-T1C13-005</v>
      </c>
    </row>
    <row r="472" spans="1:6" x14ac:dyDescent="0.25">
      <c r="A472" s="149">
        <v>46140</v>
      </c>
      <c r="B472" s="3" t="s">
        <v>1838</v>
      </c>
      <c r="C472" s="3">
        <v>1</v>
      </c>
      <c r="D472" s="3" t="str">
        <f>VLOOKUP(B472,'Element wise-detail Summary'!$A:$D,2,0)</f>
        <v>V16</v>
      </c>
      <c r="E472" s="143" t="str">
        <f>VLOOKUP(B472,'Element wise-detail Summary'!$A:$D,3,0)</f>
        <v>Zone-4</v>
      </c>
      <c r="F472" s="143" t="str">
        <f>VLOOKUP(B472,'AFC Data details'!$B:$B,1,0)</f>
        <v>AZ4-V16-T1C14-001</v>
      </c>
    </row>
    <row r="473" spans="1:6" x14ac:dyDescent="0.25">
      <c r="A473" s="149">
        <v>46143</v>
      </c>
      <c r="B473" s="3" t="s">
        <v>1936</v>
      </c>
      <c r="C473" s="3">
        <v>1</v>
      </c>
      <c r="D473" s="3" t="str">
        <f>VLOOKUP(B473,'Element wise-detail Summary'!$A:$D,2,0)</f>
        <v>PV36</v>
      </c>
      <c r="E473" s="143" t="str">
        <f>VLOOKUP(B473,'Element wise-detail Summary'!$A:$D,3,0)</f>
        <v>Zone-6</v>
      </c>
      <c r="F473" s="143" t="str">
        <f>VLOOKUP(B473,'AFC Data details'!$B:$B,1,0)</f>
        <v>AZ6-PV36-T1C13-001</v>
      </c>
    </row>
    <row r="474" spans="1:6" x14ac:dyDescent="0.25">
      <c r="A474" s="149">
        <v>46143</v>
      </c>
      <c r="B474" s="3" t="s">
        <v>1939</v>
      </c>
      <c r="C474" s="3">
        <v>1</v>
      </c>
      <c r="D474" s="3" t="str">
        <f>VLOOKUP(B474,'Element wise-detail Summary'!$A:$D,2,0)</f>
        <v>PV36</v>
      </c>
      <c r="E474" s="143" t="str">
        <f>VLOOKUP(B474,'Element wise-detail Summary'!$A:$D,3,0)</f>
        <v>Zone-6</v>
      </c>
      <c r="F474" s="143" t="str">
        <f>VLOOKUP(B474,'AFC Data details'!$B:$B,1,0)</f>
        <v>AZ6-PV36-T1C14-005</v>
      </c>
    </row>
    <row r="475" spans="1:6" x14ac:dyDescent="0.25">
      <c r="A475" s="149">
        <v>46143</v>
      </c>
      <c r="B475" s="3" t="s">
        <v>2163</v>
      </c>
      <c r="C475" s="3">
        <v>1</v>
      </c>
      <c r="D475" s="3" t="str">
        <f>VLOOKUP(B475,'Element wise-detail Summary'!$A:$D,2,0)</f>
        <v>PV36</v>
      </c>
      <c r="E475" s="143" t="str">
        <f>VLOOKUP(B475,'Element wise-detail Summary'!$A:$D,3,0)</f>
        <v>Zone-6</v>
      </c>
      <c r="F475" s="143" t="str">
        <f>VLOOKUP(B475,'AFC Data details'!$B:$B,1,0)</f>
        <v>AZ6-PV36-T1C14-004</v>
      </c>
    </row>
    <row r="476" spans="1:6" x14ac:dyDescent="0.25">
      <c r="A476" s="149">
        <v>46143</v>
      </c>
      <c r="B476" s="3" t="s">
        <v>1929</v>
      </c>
      <c r="C476" s="3">
        <v>1</v>
      </c>
      <c r="D476" s="3" t="str">
        <f>VLOOKUP(B476,'Element wise-detail Summary'!$A:$D,2,0)</f>
        <v>PV34</v>
      </c>
      <c r="E476" s="143" t="str">
        <f>VLOOKUP(B476,'Element wise-detail Summary'!$A:$D,3,0)</f>
        <v>Zone-6</v>
      </c>
      <c r="F476" s="143" t="str">
        <f>VLOOKUP(B476,'AFC Data details'!$B:$B,1,0)</f>
        <v>AZ6-PV34-T1C6-002</v>
      </c>
    </row>
    <row r="477" spans="1:6" x14ac:dyDescent="0.25">
      <c r="A477" s="149">
        <v>46143</v>
      </c>
      <c r="B477" s="3" t="s">
        <v>2157</v>
      </c>
      <c r="C477" s="3">
        <v>1</v>
      </c>
      <c r="D477" s="3" t="str">
        <f>VLOOKUP(B477,'Element wise-detail Summary'!$A:$D,2,0)</f>
        <v>PV35</v>
      </c>
      <c r="E477" s="143" t="str">
        <f>VLOOKUP(B477,'Element wise-detail Summary'!$A:$D,3,0)</f>
        <v>Zone-6</v>
      </c>
      <c r="F477" s="143" t="str">
        <f>VLOOKUP(B477,'AFC Data details'!$B:$B,1,0)</f>
        <v>AZ6-PV35-T1C6-003</v>
      </c>
    </row>
    <row r="478" spans="1:6" x14ac:dyDescent="0.25">
      <c r="A478" s="149">
        <v>46143</v>
      </c>
      <c r="B478" s="3" t="s">
        <v>2153</v>
      </c>
      <c r="C478" s="3">
        <v>1</v>
      </c>
      <c r="D478" s="3" t="str">
        <f>VLOOKUP(B478,'Element wise-detail Summary'!$A:$D,2,0)</f>
        <v>PV34</v>
      </c>
      <c r="E478" s="143" t="str">
        <f>VLOOKUP(B478,'Element wise-detail Summary'!$A:$D,3,0)</f>
        <v>Zone-6</v>
      </c>
      <c r="F478" s="143" t="str">
        <f>VLOOKUP(B478,'AFC Data details'!$B:$B,1,0)</f>
        <v>AZ6-PV34-T1C6-003</v>
      </c>
    </row>
    <row r="479" spans="1:6" x14ac:dyDescent="0.25">
      <c r="A479" s="149">
        <v>46143</v>
      </c>
      <c r="B479" s="3" t="s">
        <v>2158</v>
      </c>
      <c r="C479" s="3">
        <v>1</v>
      </c>
      <c r="D479" s="3" t="str">
        <f>VLOOKUP(B479,'Element wise-detail Summary'!$A:$D,2,0)</f>
        <v>PV35</v>
      </c>
      <c r="E479" s="143" t="str">
        <f>VLOOKUP(B479,'Element wise-detail Summary'!$A:$D,3,0)</f>
        <v>Zone-6</v>
      </c>
      <c r="F479" s="143" t="str">
        <f>VLOOKUP(B479,'AFC Data details'!$B:$B,1,0)</f>
        <v>AZ6-PV35-T1C6-004</v>
      </c>
    </row>
    <row r="480" spans="1:6" x14ac:dyDescent="0.25">
      <c r="A480" s="149">
        <v>46143</v>
      </c>
      <c r="B480" s="3" t="s">
        <v>2128</v>
      </c>
      <c r="C480" s="3">
        <v>1</v>
      </c>
      <c r="D480" s="3" t="str">
        <f>VLOOKUP(B480,'Element wise-detail Summary'!$A:$D,2,0)</f>
        <v>PV33</v>
      </c>
      <c r="E480" s="143" t="str">
        <f>VLOOKUP(B480,'Element wise-detail Summary'!$A:$D,3,0)</f>
        <v>Zone-6</v>
      </c>
      <c r="F480" s="143" t="str">
        <f>VLOOKUP(B480,'AFC Data details'!$B:$B,1,0)</f>
        <v>AZ6-PV33-T1C6-006</v>
      </c>
    </row>
    <row r="481" spans="1:6" x14ac:dyDescent="0.25">
      <c r="A481" s="149">
        <v>46144</v>
      </c>
      <c r="B481" s="234" t="s">
        <v>1938</v>
      </c>
      <c r="C481" s="3">
        <v>1</v>
      </c>
      <c r="D481" s="3" t="str">
        <f>VLOOKUP(B481,'Element wise-detail Summary'!$A:$D,2,0)</f>
        <v>PV36</v>
      </c>
      <c r="E481" s="143" t="str">
        <f>VLOOKUP(B481,'Element wise-detail Summary'!$A:$D,3,0)</f>
        <v>Zone-6</v>
      </c>
      <c r="F481" s="143" t="str">
        <f>VLOOKUP(B481,'AFC Data details'!$B:$B,1,0)</f>
        <v>AZ6-PV36-T1C14-002</v>
      </c>
    </row>
    <row r="482" spans="1:6" x14ac:dyDescent="0.25">
      <c r="A482" s="149">
        <v>46144</v>
      </c>
      <c r="B482" s="234" t="s">
        <v>1937</v>
      </c>
      <c r="C482" s="3">
        <v>1</v>
      </c>
      <c r="D482" s="3" t="str">
        <f>VLOOKUP(B482,'Element wise-detail Summary'!$A:$D,2,0)</f>
        <v>PV36</v>
      </c>
      <c r="E482" s="143" t="str">
        <f>VLOOKUP(B482,'Element wise-detail Summary'!$A:$D,3,0)</f>
        <v>Zone-6</v>
      </c>
      <c r="F482" s="143" t="str">
        <f>VLOOKUP(B482,'AFC Data details'!$B:$B,1,0)</f>
        <v>AZ6-PV36-T1C14-001</v>
      </c>
    </row>
    <row r="483" spans="1:6" x14ac:dyDescent="0.25">
      <c r="A483" s="149">
        <v>46144</v>
      </c>
      <c r="B483" s="234" t="s">
        <v>1942</v>
      </c>
      <c r="C483" s="3">
        <v>1</v>
      </c>
      <c r="D483" s="3" t="str">
        <f>VLOOKUP(B483,'Element wise-detail Summary'!$A:$D,2,0)</f>
        <v>PV36</v>
      </c>
      <c r="E483" s="143" t="str">
        <f>VLOOKUP(B483,'Element wise-detail Summary'!$A:$D,3,0)</f>
        <v>Zone-6</v>
      </c>
      <c r="F483" s="143" t="str">
        <f>VLOOKUP(B483,'AFC Data details'!$B:$B,1,0)</f>
        <v>AZ6-PV36-T3C2-002</v>
      </c>
    </row>
    <row r="484" spans="1:6" x14ac:dyDescent="0.25">
      <c r="A484" s="149">
        <v>46144</v>
      </c>
      <c r="B484" s="234" t="s">
        <v>1940</v>
      </c>
      <c r="C484" s="3">
        <v>1</v>
      </c>
      <c r="D484" s="3" t="str">
        <f>VLOOKUP(B484,'Element wise-detail Summary'!$A:$D,2,0)</f>
        <v>PV36</v>
      </c>
      <c r="E484" s="143" t="str">
        <f>VLOOKUP(B484,'Element wise-detail Summary'!$A:$D,3,0)</f>
        <v>Zone-6</v>
      </c>
      <c r="F484" s="143" t="str">
        <f>VLOOKUP(B484,'AFC Data details'!$B:$B,1,0)</f>
        <v>AZ6-PV36-T2C1-001</v>
      </c>
    </row>
    <row r="485" spans="1:6" x14ac:dyDescent="0.25">
      <c r="A485" s="149">
        <v>46144</v>
      </c>
      <c r="B485" s="234" t="s">
        <v>1934</v>
      </c>
      <c r="C485" s="3">
        <v>1</v>
      </c>
      <c r="D485" s="3" t="str">
        <f>VLOOKUP(B485,'Element wise-detail Summary'!$A:$D,2,0)</f>
        <v>PV35</v>
      </c>
      <c r="E485" s="143" t="str">
        <f>VLOOKUP(B485,'Element wise-detail Summary'!$A:$D,3,0)</f>
        <v>Zone-6</v>
      </c>
      <c r="F485" s="143" t="str">
        <f>VLOOKUP(B485,'AFC Data details'!$B:$B,1,0)</f>
        <v>AZ6-PV35-T3C4-001</v>
      </c>
    </row>
    <row r="486" spans="1:6" x14ac:dyDescent="0.25">
      <c r="A486" s="149">
        <v>46144</v>
      </c>
      <c r="B486" s="234" t="s">
        <v>1933</v>
      </c>
      <c r="C486" s="3">
        <v>1</v>
      </c>
      <c r="D486" s="3" t="str">
        <f>VLOOKUP(B486,'Element wise-detail Summary'!$A:$D,2,0)</f>
        <v>PV35</v>
      </c>
      <c r="E486" s="143" t="str">
        <f>VLOOKUP(B486,'Element wise-detail Summary'!$A:$D,3,0)</f>
        <v>Zone-6</v>
      </c>
      <c r="F486" s="143" t="str">
        <f>VLOOKUP(B486,'AFC Data details'!$B:$B,1,0)</f>
        <v>AZ6-PV35-T1C6-001</v>
      </c>
    </row>
    <row r="487" spans="1:6" x14ac:dyDescent="0.25">
      <c r="A487" s="149">
        <v>46144</v>
      </c>
      <c r="B487" s="234" t="s">
        <v>1928</v>
      </c>
      <c r="C487" s="3">
        <v>1</v>
      </c>
      <c r="D487" s="3" t="str">
        <f>VLOOKUP(B487,'Element wise-detail Summary'!$A:$D,2,0)</f>
        <v>PV34</v>
      </c>
      <c r="E487" s="143" t="str">
        <f>VLOOKUP(B487,'Element wise-detail Summary'!$A:$D,3,0)</f>
        <v>Zone-6</v>
      </c>
      <c r="F487" s="143" t="str">
        <f>VLOOKUP(B487,'AFC Data details'!$B:$B,1,0)</f>
        <v>AZ6-PV34-T1C6-001</v>
      </c>
    </row>
    <row r="488" spans="1:6" x14ac:dyDescent="0.25">
      <c r="A488" s="149">
        <v>46144</v>
      </c>
      <c r="B488" s="234" t="s">
        <v>2156</v>
      </c>
      <c r="C488" s="3">
        <v>1</v>
      </c>
      <c r="D488" s="3" t="str">
        <f>VLOOKUP(B488,'Element wise-detail Summary'!$A:$D,2,0)</f>
        <v>PV35</v>
      </c>
      <c r="E488" s="143" t="str">
        <f>VLOOKUP(B488,'Element wise-detail Summary'!$A:$D,3,0)</f>
        <v>Zone-6</v>
      </c>
      <c r="F488" s="143" t="str">
        <f>VLOOKUP(B488,'AFC Data details'!$B:$B,1,0)</f>
        <v>AZ6-PV35-T1C6-002</v>
      </c>
    </row>
    <row r="489" spans="1:6" x14ac:dyDescent="0.25">
      <c r="A489" s="149">
        <v>46144</v>
      </c>
      <c r="B489" s="234" t="s">
        <v>2154</v>
      </c>
      <c r="C489" s="3">
        <v>1</v>
      </c>
      <c r="D489" s="3" t="str">
        <f>VLOOKUP(B489,'Element wise-detail Summary'!$A:$D,2,0)</f>
        <v>PV34</v>
      </c>
      <c r="E489" s="143" t="str">
        <f>VLOOKUP(B489,'Element wise-detail Summary'!$A:$D,3,0)</f>
        <v>Zone-6</v>
      </c>
      <c r="F489" s="143" t="str">
        <f>VLOOKUP(B489,'AFC Data details'!$B:$B,1,0)</f>
        <v>AZ6-PV34-T1C6-004</v>
      </c>
    </row>
    <row r="490" spans="1:6" x14ac:dyDescent="0.25">
      <c r="A490" s="149">
        <v>46144</v>
      </c>
      <c r="B490" s="234" t="s">
        <v>2159</v>
      </c>
      <c r="C490" s="3">
        <v>1</v>
      </c>
      <c r="D490" s="3" t="str">
        <f>VLOOKUP(B490,'Element wise-detail Summary'!$A:$D,2,0)</f>
        <v>PV35</v>
      </c>
      <c r="E490" s="143" t="str">
        <f>VLOOKUP(B490,'Element wise-detail Summary'!$A:$D,3,0)</f>
        <v>Zone-6</v>
      </c>
      <c r="F490" s="143" t="str">
        <f>VLOOKUP(B490,'AFC Data details'!$B:$B,1,0)</f>
        <v>AZ6-PV35-T1C6-005</v>
      </c>
    </row>
    <row r="491" spans="1:6" x14ac:dyDescent="0.25">
      <c r="A491" s="149">
        <v>46144</v>
      </c>
      <c r="B491" s="234" t="s">
        <v>2155</v>
      </c>
      <c r="C491" s="3">
        <v>1</v>
      </c>
      <c r="D491" s="3" t="str">
        <f>VLOOKUP(B491,'Element wise-detail Summary'!$A:$D,2,0)</f>
        <v>PV34</v>
      </c>
      <c r="E491" s="143" t="str">
        <f>VLOOKUP(B491,'Element wise-detail Summary'!$A:$D,3,0)</f>
        <v>Zone-6</v>
      </c>
      <c r="F491" s="143" t="str">
        <f>VLOOKUP(B491,'AFC Data details'!$B:$B,1,0)</f>
        <v>AZ6-PV34-T1C6-005</v>
      </c>
    </row>
    <row r="492" spans="1:6" x14ac:dyDescent="0.25">
      <c r="A492" s="149">
        <v>46144</v>
      </c>
      <c r="B492" s="234" t="s">
        <v>2151</v>
      </c>
      <c r="C492" s="3">
        <v>1</v>
      </c>
      <c r="D492" s="3" t="str">
        <f>VLOOKUP(B492,'Element wise-detail Summary'!$A:$D,2,0)</f>
        <v>PV35</v>
      </c>
      <c r="E492" s="143" t="str">
        <f>VLOOKUP(B492,'Element wise-detail Summary'!$A:$D,3,0)</f>
        <v>Zone-6</v>
      </c>
      <c r="F492" s="143" t="str">
        <f>VLOOKUP(B492,'AFC Data details'!$B:$B,1,0)</f>
        <v>AZ6-PV35-T1C6-006</v>
      </c>
    </row>
    <row r="493" spans="1:6" x14ac:dyDescent="0.25">
      <c r="A493" s="149">
        <v>46144</v>
      </c>
      <c r="B493" s="234" t="s">
        <v>2160</v>
      </c>
      <c r="C493" s="3">
        <v>1</v>
      </c>
      <c r="D493" s="3" t="str">
        <f>VLOOKUP(B493,'Element wise-detail Summary'!$A:$D,2,0)</f>
        <v>PV34</v>
      </c>
      <c r="E493" s="143" t="str">
        <f>VLOOKUP(B493,'Element wise-detail Summary'!$A:$D,3,0)</f>
        <v>Zone-6</v>
      </c>
      <c r="F493" s="143" t="str">
        <f>VLOOKUP(B493,'AFC Data details'!$B:$B,1,0)</f>
        <v>AZ6-PV34-T1C6-006</v>
      </c>
    </row>
    <row r="494" spans="1:6" x14ac:dyDescent="0.25">
      <c r="A494" s="149">
        <v>46144</v>
      </c>
      <c r="B494" s="234" t="s">
        <v>1931</v>
      </c>
      <c r="C494" s="3">
        <v>1</v>
      </c>
      <c r="D494" s="3" t="str">
        <f>VLOOKUP(B494,'Element wise-detail Summary'!$A:$D,2,0)</f>
        <v>PV34</v>
      </c>
      <c r="E494" s="143" t="str">
        <f>VLOOKUP(B494,'Element wise-detail Summary'!$A:$D,3,0)</f>
        <v>Zone-6</v>
      </c>
      <c r="F494" s="143" t="str">
        <f>VLOOKUP(B494,'AFC Data details'!$B:$B,1,0)</f>
        <v>AZ6-PV34-T3C4-002</v>
      </c>
    </row>
    <row r="495" spans="1:6" x14ac:dyDescent="0.25">
      <c r="A495" s="149">
        <v>46144</v>
      </c>
      <c r="B495" s="234" t="s">
        <v>1930</v>
      </c>
      <c r="C495" s="3">
        <v>1</v>
      </c>
      <c r="D495" s="3" t="str">
        <f>VLOOKUP(B495,'Element wise-detail Summary'!$A:$D,2,0)</f>
        <v>PV34</v>
      </c>
      <c r="E495" s="143" t="str">
        <f>VLOOKUP(B495,'Element wise-detail Summary'!$A:$D,3,0)</f>
        <v>Zone-6</v>
      </c>
      <c r="F495" s="143" t="str">
        <f>VLOOKUP(B495,'AFC Data details'!$B:$B,1,0)</f>
        <v>AZ6-PV34-T3C4-001</v>
      </c>
    </row>
    <row r="496" spans="1:6" x14ac:dyDescent="0.25">
      <c r="A496" s="149">
        <v>46144</v>
      </c>
      <c r="B496" s="234" t="s">
        <v>2148</v>
      </c>
      <c r="C496" s="3">
        <v>1</v>
      </c>
      <c r="D496" s="3" t="str">
        <f>VLOOKUP(B496,'Element wise-detail Summary'!$A:$D,2,0)</f>
        <v>PV31</v>
      </c>
      <c r="E496" s="143" t="str">
        <f>VLOOKUP(B496,'Element wise-detail Summary'!$A:$D,3,0)</f>
        <v>Zone-6</v>
      </c>
      <c r="F496" s="143" t="str">
        <f>VLOOKUP(B496,'AFC Data details'!$B:$B,1,0)</f>
        <v>AZ6-PV31-T1C6-001</v>
      </c>
    </row>
    <row r="497" spans="1:6" x14ac:dyDescent="0.25">
      <c r="A497" s="149">
        <v>46144</v>
      </c>
      <c r="B497" s="234" t="s">
        <v>2130</v>
      </c>
      <c r="C497" s="3">
        <v>1</v>
      </c>
      <c r="D497" s="3" t="str">
        <f>VLOOKUP(B497,'Element wise-detail Summary'!$A:$D,2,0)</f>
        <v>PV30</v>
      </c>
      <c r="E497" s="143" t="str">
        <f>VLOOKUP(B497,'Element wise-detail Summary'!$A:$D,3,0)</f>
        <v>Zone-6</v>
      </c>
      <c r="F497" s="143" t="str">
        <f>VLOOKUP(B497,'AFC Data details'!$B:$B,1,0)</f>
        <v>AZ6-PV30-T1C6-001</v>
      </c>
    </row>
    <row r="498" spans="1:6" x14ac:dyDescent="0.25">
      <c r="A498" s="149">
        <v>46144</v>
      </c>
      <c r="B498" s="234" t="s">
        <v>2139</v>
      </c>
      <c r="C498" s="3">
        <v>1</v>
      </c>
      <c r="D498" s="3" t="str">
        <f>VLOOKUP(B498,'Element wise-detail Summary'!$A:$D,2,0)</f>
        <v>PV30</v>
      </c>
      <c r="E498" s="143" t="str">
        <f>VLOOKUP(B498,'Element wise-detail Summary'!$A:$D,3,0)</f>
        <v>Zone-6</v>
      </c>
      <c r="F498" s="143" t="str">
        <f>VLOOKUP(B498,'AFC Data details'!$B:$B,1,0)</f>
        <v>AZ6-PV30-T1C6-002</v>
      </c>
    </row>
    <row r="499" spans="1:6" x14ac:dyDescent="0.25">
      <c r="A499" s="149">
        <v>46144</v>
      </c>
      <c r="B499" s="234" t="s">
        <v>2146</v>
      </c>
      <c r="C499" s="3">
        <v>1</v>
      </c>
      <c r="D499" s="3" t="str">
        <f>VLOOKUP(B499,'Element wise-detail Summary'!$A:$D,2,0)</f>
        <v>PV31</v>
      </c>
      <c r="E499" s="143" t="str">
        <f>VLOOKUP(B499,'Element wise-detail Summary'!$A:$D,3,0)</f>
        <v>Zone-6</v>
      </c>
      <c r="F499" s="143" t="str">
        <f>VLOOKUP(B499,'AFC Data details'!$B:$B,1,0)</f>
        <v>AZ6-PV31-T1C6-005</v>
      </c>
    </row>
    <row r="500" spans="1:6" x14ac:dyDescent="0.25">
      <c r="A500" s="149">
        <v>46146</v>
      </c>
      <c r="B500" s="234" t="s">
        <v>2162</v>
      </c>
      <c r="C500" s="3">
        <v>1</v>
      </c>
      <c r="D500" s="3" t="str">
        <f>VLOOKUP(B500,'Element wise-detail Summary'!$A:$D,2,0)</f>
        <v>PV36</v>
      </c>
      <c r="E500" s="143" t="str">
        <f>VLOOKUP(B500,'Element wise-detail Summary'!$A:$D,3,0)</f>
        <v>Zone-6</v>
      </c>
      <c r="F500" s="143" t="str">
        <f>VLOOKUP(B500,'AFC Data details'!$B:$B,1,0)</f>
        <v>AZ6-PV36-T1C14-003</v>
      </c>
    </row>
    <row r="501" spans="1:6" x14ac:dyDescent="0.25">
      <c r="A501" s="149">
        <v>46146</v>
      </c>
      <c r="B501" s="234" t="s">
        <v>1941</v>
      </c>
      <c r="C501" s="3">
        <v>1</v>
      </c>
      <c r="D501" s="3" t="str">
        <f>VLOOKUP(B501,'Element wise-detail Summary'!$A:$D,2,0)</f>
        <v>PV36</v>
      </c>
      <c r="E501" s="143" t="str">
        <f>VLOOKUP(B501,'Element wise-detail Summary'!$A:$D,3,0)</f>
        <v>Zone-6</v>
      </c>
      <c r="F501" s="143" t="str">
        <f>VLOOKUP(B501,'AFC Data details'!$B:$B,1,0)</f>
        <v>AZ6-PV36-T3C2-001</v>
      </c>
    </row>
    <row r="502" spans="1:6" x14ac:dyDescent="0.25">
      <c r="A502" s="149">
        <v>46146</v>
      </c>
      <c r="B502" s="234" t="s">
        <v>1943</v>
      </c>
      <c r="C502" s="3">
        <v>1</v>
      </c>
      <c r="D502" s="3" t="str">
        <f>VLOOKUP(B502,'Element wise-detail Summary'!$A:$D,2,0)</f>
        <v>PV36</v>
      </c>
      <c r="E502" s="143" t="str">
        <f>VLOOKUP(B502,'Element wise-detail Summary'!$A:$D,3,0)</f>
        <v>Zone-6</v>
      </c>
      <c r="F502" s="143" t="str">
        <f>VLOOKUP(B502,'AFC Data details'!$B:$B,1,0)</f>
        <v>AZ6-PV36-T3C5-001</v>
      </c>
    </row>
    <row r="503" spans="1:6" x14ac:dyDescent="0.25">
      <c r="A503" s="149">
        <v>46146</v>
      </c>
      <c r="B503" s="234" t="s">
        <v>1932</v>
      </c>
      <c r="C503" s="3">
        <v>1</v>
      </c>
      <c r="D503" s="3" t="str">
        <f>VLOOKUP(B503,'Element wise-detail Summary'!$A:$D,2,0)</f>
        <v>PV35</v>
      </c>
      <c r="E503" s="143" t="str">
        <f>VLOOKUP(B503,'Element wise-detail Summary'!$A:$D,3,0)</f>
        <v>Zone-6</v>
      </c>
      <c r="F503" s="143" t="str">
        <f>VLOOKUP(B503,'AFC Data details'!$B:$B,1,0)</f>
        <v>AZ6-PV35-T1C2-001</v>
      </c>
    </row>
    <row r="504" spans="1:6" x14ac:dyDescent="0.25">
      <c r="A504" s="149">
        <v>46146</v>
      </c>
      <c r="B504" s="234" t="s">
        <v>1935</v>
      </c>
      <c r="C504" s="3">
        <v>1</v>
      </c>
      <c r="D504" s="3" t="str">
        <f>VLOOKUP(B504,'Element wise-detail Summary'!$A:$D,2,0)</f>
        <v>PV35</v>
      </c>
      <c r="E504" s="143" t="str">
        <f>VLOOKUP(B504,'Element wise-detail Summary'!$A:$D,3,0)</f>
        <v>Zone-6</v>
      </c>
      <c r="F504" s="143" t="str">
        <f>VLOOKUP(B504,'AFC Data details'!$B:$B,1,0)</f>
        <v>AZ6-PV35-T3C4-002</v>
      </c>
    </row>
    <row r="505" spans="1:6" x14ac:dyDescent="0.25">
      <c r="A505" s="149">
        <v>46146</v>
      </c>
      <c r="B505" s="234" t="s">
        <v>1927</v>
      </c>
      <c r="C505" s="3">
        <v>1</v>
      </c>
      <c r="D505" s="3" t="str">
        <f>VLOOKUP(B505,'Element wise-detail Summary'!$A:$D,2,0)</f>
        <v>PV34</v>
      </c>
      <c r="E505" s="143" t="str">
        <f>VLOOKUP(B505,'Element wise-detail Summary'!$A:$D,3,0)</f>
        <v>Zone-6</v>
      </c>
      <c r="F505" s="143" t="str">
        <f>VLOOKUP(B505,'AFC Data details'!$B:$B,1,0)</f>
        <v>AZ6-PV34-T1C1-001</v>
      </c>
    </row>
    <row r="506" spans="1:6" x14ac:dyDescent="0.25">
      <c r="A506" s="149">
        <v>46146</v>
      </c>
      <c r="B506" s="234" t="s">
        <v>2042</v>
      </c>
      <c r="C506" s="3">
        <v>1</v>
      </c>
      <c r="D506" s="3" t="str">
        <f>VLOOKUP(B506,'Element wise-detail Summary'!$A:$D,2,0)</f>
        <v>PV34</v>
      </c>
      <c r="E506" s="143" t="str">
        <f>VLOOKUP(B506,'Element wise-detail Summary'!$A:$D,3,0)</f>
        <v>Zone-6</v>
      </c>
      <c r="F506" s="143" t="str">
        <f>VLOOKUP(B506,'AFC Data details'!$B:$B,1,0)</f>
        <v>AZ6-PV34-T2C1-001</v>
      </c>
    </row>
    <row r="507" spans="1:6" x14ac:dyDescent="0.25">
      <c r="A507" s="149">
        <v>46146</v>
      </c>
      <c r="B507" s="234" t="s">
        <v>1926</v>
      </c>
      <c r="C507" s="3">
        <v>1</v>
      </c>
      <c r="D507" s="3" t="str">
        <f>VLOOKUP(B507,'Element wise-detail Summary'!$A:$D,2,0)</f>
        <v>PV33</v>
      </c>
      <c r="E507" s="143" t="str">
        <f>VLOOKUP(B507,'Element wise-detail Summary'!$A:$D,3,0)</f>
        <v>Zone-6</v>
      </c>
      <c r="F507" s="143" t="str">
        <f>VLOOKUP(B507,'AFC Data details'!$B:$B,1,0)</f>
        <v>AZ6-PV33-T3C4-002</v>
      </c>
    </row>
    <row r="508" spans="1:6" x14ac:dyDescent="0.25">
      <c r="A508" s="149">
        <v>46146</v>
      </c>
      <c r="B508" s="234" t="s">
        <v>1924</v>
      </c>
      <c r="C508" s="3">
        <v>1</v>
      </c>
      <c r="D508" s="3" t="str">
        <f>VLOOKUP(B508,'Element wise-detail Summary'!$A:$D,2,0)</f>
        <v>PV33</v>
      </c>
      <c r="E508" s="143" t="str">
        <f>VLOOKUP(B508,'Element wise-detail Summary'!$A:$D,3,0)</f>
        <v>Zone-6</v>
      </c>
      <c r="F508" s="143" t="str">
        <f>VLOOKUP(B508,'AFC Data details'!$B:$B,1,0)</f>
        <v>AZ6-PV33-T1C6-001</v>
      </c>
    </row>
    <row r="509" spans="1:6" x14ac:dyDescent="0.25">
      <c r="A509" s="149">
        <v>46146</v>
      </c>
      <c r="B509" s="234" t="s">
        <v>2135</v>
      </c>
      <c r="C509" s="3">
        <v>1</v>
      </c>
      <c r="D509" s="3" t="str">
        <f>VLOOKUP(B509,'Element wise-detail Summary'!$A:$D,2,0)</f>
        <v>PV33</v>
      </c>
      <c r="E509" s="143" t="str">
        <f>VLOOKUP(B509,'Element wise-detail Summary'!$A:$D,3,0)</f>
        <v>Zone-6</v>
      </c>
      <c r="F509" s="143" t="str">
        <f>VLOOKUP(B509,'AFC Data details'!$B:$B,1,0)</f>
        <v>AZ6-PV33-T1C6-002</v>
      </c>
    </row>
    <row r="510" spans="1:6" x14ac:dyDescent="0.25">
      <c r="A510" s="149">
        <v>46146</v>
      </c>
      <c r="B510" s="234" t="s">
        <v>2137</v>
      </c>
      <c r="C510" s="3">
        <v>1</v>
      </c>
      <c r="D510" s="3" t="str">
        <f>VLOOKUP(B510,'Element wise-detail Summary'!$A:$D,2,0)</f>
        <v>PV33</v>
      </c>
      <c r="E510" s="143" t="str">
        <f>VLOOKUP(B510,'Element wise-detail Summary'!$A:$D,3,0)</f>
        <v>Zone-6</v>
      </c>
      <c r="F510" s="143" t="str">
        <f>VLOOKUP(B510,'AFC Data details'!$B:$B,1,0)</f>
        <v>AZ6-PV33-T1C6-004</v>
      </c>
    </row>
    <row r="511" spans="1:6" x14ac:dyDescent="0.25">
      <c r="A511" s="149">
        <v>46146</v>
      </c>
      <c r="B511" s="234" t="s">
        <v>2134</v>
      </c>
      <c r="C511" s="3">
        <v>1</v>
      </c>
      <c r="D511" s="3" t="str">
        <f>VLOOKUP(B511,'Element wise-detail Summary'!$A:$D,2,0)</f>
        <v>PV32</v>
      </c>
      <c r="E511" s="143" t="str">
        <f>VLOOKUP(B511,'Element wise-detail Summary'!$A:$D,3,0)</f>
        <v>Zone-6</v>
      </c>
      <c r="F511" s="143" t="str">
        <f>VLOOKUP(B511,'AFC Data details'!$B:$B,1,0)</f>
        <v>AZ6-PV32-T1C6-005</v>
      </c>
    </row>
    <row r="512" spans="1:6" x14ac:dyDescent="0.25">
      <c r="A512" s="149">
        <v>46146</v>
      </c>
      <c r="B512" s="234" t="s">
        <v>2133</v>
      </c>
      <c r="C512" s="3">
        <v>1</v>
      </c>
      <c r="D512" s="3" t="str">
        <f>VLOOKUP(B512,'Element wise-detail Summary'!$A:$D,2,0)</f>
        <v>PV32</v>
      </c>
      <c r="E512" s="143" t="str">
        <f>VLOOKUP(B512,'Element wise-detail Summary'!$A:$D,3,0)</f>
        <v>Zone-6</v>
      </c>
      <c r="F512" s="143" t="str">
        <f>VLOOKUP(B512,'AFC Data details'!$B:$B,1,0)</f>
        <v>AZ6-PV32-T1C6-004</v>
      </c>
    </row>
    <row r="513" spans="1:6" x14ac:dyDescent="0.25">
      <c r="A513" s="149">
        <v>46146</v>
      </c>
      <c r="B513" s="234" t="s">
        <v>2132</v>
      </c>
      <c r="C513" s="3">
        <v>1</v>
      </c>
      <c r="D513" s="3" t="str">
        <f>VLOOKUP(B513,'Element wise-detail Summary'!$A:$D,2,0)</f>
        <v>PV32</v>
      </c>
      <c r="E513" s="143" t="str">
        <f>VLOOKUP(B513,'Element wise-detail Summary'!$A:$D,3,0)</f>
        <v>Zone-6</v>
      </c>
      <c r="F513" s="143" t="str">
        <f>VLOOKUP(B513,'AFC Data details'!$B:$B,1,0)</f>
        <v>AZ6-PV32-T1C6-003</v>
      </c>
    </row>
    <row r="514" spans="1:6" x14ac:dyDescent="0.25">
      <c r="A514" s="149">
        <v>46146</v>
      </c>
      <c r="B514" s="234" t="s">
        <v>1921</v>
      </c>
      <c r="C514" s="3">
        <v>1</v>
      </c>
      <c r="D514" s="3" t="str">
        <f>VLOOKUP(B514,'Element wise-detail Summary'!$A:$D,2,0)</f>
        <v>PV32</v>
      </c>
      <c r="E514" s="143" t="str">
        <f>VLOOKUP(B514,'Element wise-detail Summary'!$A:$D,3,0)</f>
        <v>Zone-6</v>
      </c>
      <c r="F514" s="143" t="str">
        <f>VLOOKUP(B514,'AFC Data details'!$B:$B,1,0)</f>
        <v>AZ6-PV32-T1C6-002</v>
      </c>
    </row>
    <row r="515" spans="1:6" x14ac:dyDescent="0.25">
      <c r="A515" s="149">
        <v>46146</v>
      </c>
      <c r="B515" s="234" t="s">
        <v>1920</v>
      </c>
      <c r="C515" s="3">
        <v>1</v>
      </c>
      <c r="D515" s="3" t="str">
        <f>VLOOKUP(B515,'Element wise-detail Summary'!$A:$D,2,0)</f>
        <v>PV32</v>
      </c>
      <c r="E515" s="143" t="str">
        <f>VLOOKUP(B515,'Element wise-detail Summary'!$A:$D,3,0)</f>
        <v>Zone-6</v>
      </c>
      <c r="F515" s="143" t="str">
        <f>VLOOKUP(B515,'AFC Data details'!$B:$B,1,0)</f>
        <v>AZ6-PV32-T1C6-001</v>
      </c>
    </row>
    <row r="516" spans="1:6" x14ac:dyDescent="0.25">
      <c r="A516" s="149">
        <v>46146</v>
      </c>
      <c r="B516" s="234" t="s">
        <v>2143</v>
      </c>
      <c r="C516" s="3">
        <v>1</v>
      </c>
      <c r="D516" s="3" t="str">
        <f>VLOOKUP(B516,'Element wise-detail Summary'!$A:$D,2,0)</f>
        <v>PV31</v>
      </c>
      <c r="E516" s="143" t="str">
        <f>VLOOKUP(B516,'Element wise-detail Summary'!$A:$D,3,0)</f>
        <v>Zone-6</v>
      </c>
      <c r="F516" s="143" t="str">
        <f>VLOOKUP(B516,'AFC Data details'!$B:$B,1,0)</f>
        <v>AZ6-PV31-T1C6-002</v>
      </c>
    </row>
    <row r="517" spans="1:6" x14ac:dyDescent="0.25">
      <c r="A517" s="149">
        <v>46146</v>
      </c>
      <c r="B517" s="234" t="s">
        <v>1916</v>
      </c>
      <c r="C517" s="3">
        <v>1</v>
      </c>
      <c r="D517" s="3" t="str">
        <f>VLOOKUP(B517,'Element wise-detail Summary'!$A:$D,2,0)</f>
        <v>PV30</v>
      </c>
      <c r="E517" s="143" t="str">
        <f>VLOOKUP(B517,'Element wise-detail Summary'!$A:$D,3,0)</f>
        <v>Zone-6</v>
      </c>
      <c r="F517" s="143" t="str">
        <f>VLOOKUP(B517,'AFC Data details'!$B:$B,1,0)</f>
        <v>AZ6-PV30-T3C4-002</v>
      </c>
    </row>
    <row r="518" spans="1:6" x14ac:dyDescent="0.25">
      <c r="A518" s="149">
        <v>46146</v>
      </c>
      <c r="B518" s="234" t="s">
        <v>1915</v>
      </c>
      <c r="C518" s="3">
        <v>1</v>
      </c>
      <c r="D518" s="3" t="str">
        <f>VLOOKUP(B518,'Element wise-detail Summary'!$A:$D,2,0)</f>
        <v>PV30</v>
      </c>
      <c r="E518" s="143" t="str">
        <f>VLOOKUP(B518,'Element wise-detail Summary'!$A:$D,3,0)</f>
        <v>Zone-6</v>
      </c>
      <c r="F518" s="143" t="str">
        <f>VLOOKUP(B518,'AFC Data details'!$B:$B,1,0)</f>
        <v>AZ6-PV30-T3C4-001</v>
      </c>
    </row>
    <row r="519" spans="1:6" x14ac:dyDescent="0.25">
      <c r="A519" s="149">
        <v>46147</v>
      </c>
      <c r="B519" s="234" t="s">
        <v>2147</v>
      </c>
      <c r="C519" s="3">
        <v>1</v>
      </c>
      <c r="D519" s="3" t="str">
        <f>VLOOKUP(B519,'Element wise-detail Summary'!$A:$D,2,0)</f>
        <v>PV32</v>
      </c>
      <c r="E519" s="143" t="str">
        <f>VLOOKUP(B519,'Element wise-detail Summary'!$A:$D,3,0)</f>
        <v>Zone-6</v>
      </c>
      <c r="F519" s="143" t="str">
        <f>VLOOKUP(B519,'AFC Data details'!$B:$B,1,0)</f>
        <v>AZ6-PV32-T1C6-006</v>
      </c>
    </row>
    <row r="520" spans="1:6" x14ac:dyDescent="0.25">
      <c r="A520" s="149">
        <v>46147</v>
      </c>
      <c r="B520" s="234" t="s">
        <v>1923</v>
      </c>
      <c r="C520" s="3">
        <v>1</v>
      </c>
      <c r="D520" s="3" t="str">
        <f>VLOOKUP(B520,'Element wise-detail Summary'!$A:$D,2,0)</f>
        <v>PV32</v>
      </c>
      <c r="E520" s="143" t="str">
        <f>VLOOKUP(B520,'Element wise-detail Summary'!$A:$D,3,0)</f>
        <v>Zone-6</v>
      </c>
      <c r="F520" s="143" t="str">
        <f>VLOOKUP(B520,'AFC Data details'!$B:$B,1,0)</f>
        <v>AZ6-PV32-T3C4-002</v>
      </c>
    </row>
    <row r="521" spans="1:6" x14ac:dyDescent="0.25">
      <c r="A521" s="149">
        <v>46147</v>
      </c>
      <c r="B521" s="234" t="s">
        <v>1922</v>
      </c>
      <c r="C521" s="3">
        <v>1</v>
      </c>
      <c r="D521" s="3" t="str">
        <f>VLOOKUP(B521,'Element wise-detail Summary'!$A:$D,2,0)</f>
        <v>PV32</v>
      </c>
      <c r="E521" s="143" t="str">
        <f>VLOOKUP(B521,'Element wise-detail Summary'!$A:$D,3,0)</f>
        <v>Zone-6</v>
      </c>
      <c r="F521" s="143" t="str">
        <f>VLOOKUP(B521,'AFC Data details'!$B:$B,1,0)</f>
        <v>AZ6-PV32-T3C4-001</v>
      </c>
    </row>
    <row r="522" spans="1:6" x14ac:dyDescent="0.25">
      <c r="A522" s="149">
        <v>46147</v>
      </c>
      <c r="B522" s="234" t="s">
        <v>1919</v>
      </c>
      <c r="C522" s="3">
        <v>1</v>
      </c>
      <c r="D522" s="3" t="str">
        <f>VLOOKUP(B522,'Element wise-detail Summary'!$A:$D,2,0)</f>
        <v>PV32</v>
      </c>
      <c r="E522" s="143" t="str">
        <f>VLOOKUP(B522,'Element wise-detail Summary'!$A:$D,3,0)</f>
        <v>Zone-6</v>
      </c>
      <c r="F522" s="143" t="str">
        <f>VLOOKUP(B522,'AFC Data details'!$B:$B,1,0)</f>
        <v>AZ6-PV32-T1C1-001</v>
      </c>
    </row>
    <row r="523" spans="1:6" x14ac:dyDescent="0.25">
      <c r="A523" s="149">
        <v>46147</v>
      </c>
      <c r="B523" s="234" t="s">
        <v>2164</v>
      </c>
      <c r="C523" s="3">
        <v>1</v>
      </c>
      <c r="D523" s="3" t="str">
        <f>VLOOKUP(B523,'Element wise-detail Summary'!$A:$D,2,0)</f>
        <v>PV32</v>
      </c>
      <c r="E523" s="143" t="str">
        <f>VLOOKUP(B523,'Element wise-detail Summary'!$A:$D,3,0)</f>
        <v>Zone-6</v>
      </c>
      <c r="F523" s="143" t="str">
        <f>VLOOKUP(B523,'AFC Data details'!$B:$B,1,0)</f>
        <v>AZ6-PV32-T2C1-001</v>
      </c>
    </row>
    <row r="524" spans="1:6" x14ac:dyDescent="0.25">
      <c r="A524" s="149">
        <v>46147</v>
      </c>
      <c r="B524" s="234" t="s">
        <v>1918</v>
      </c>
      <c r="C524" s="3">
        <v>1</v>
      </c>
      <c r="D524" s="3" t="str">
        <f>VLOOKUP(B524,'Element wise-detail Summary'!$A:$D,2,0)</f>
        <v>PV31</v>
      </c>
      <c r="E524" s="143" t="str">
        <f>VLOOKUP(B524,'Element wise-detail Summary'!$A:$D,3,0)</f>
        <v>Zone-6</v>
      </c>
      <c r="F524" s="143" t="str">
        <f>VLOOKUP(B524,'AFC Data details'!$B:$B,1,0)</f>
        <v>AZ6-PV31-T3C4-002</v>
      </c>
    </row>
    <row r="525" spans="1:6" x14ac:dyDescent="0.25">
      <c r="A525" s="149">
        <v>46147</v>
      </c>
      <c r="B525" s="234" t="s">
        <v>1917</v>
      </c>
      <c r="C525" s="3">
        <v>1</v>
      </c>
      <c r="D525" s="3" t="str">
        <f>VLOOKUP(B525,'Element wise-detail Summary'!$A:$D,2,0)</f>
        <v>PV31</v>
      </c>
      <c r="E525" s="143" t="str">
        <f>VLOOKUP(B525,'Element wise-detail Summary'!$A:$D,3,0)</f>
        <v>Zone-6</v>
      </c>
      <c r="F525" s="143" t="str">
        <f>VLOOKUP(B525,'AFC Data details'!$B:$B,1,0)</f>
        <v>AZ6-PV31-T3C4-001</v>
      </c>
    </row>
    <row r="526" spans="1:6" x14ac:dyDescent="0.25">
      <c r="A526" s="149">
        <v>46147</v>
      </c>
      <c r="B526" s="234" t="s">
        <v>2142</v>
      </c>
      <c r="C526" s="3">
        <v>1</v>
      </c>
      <c r="D526" s="3" t="str">
        <f>VLOOKUP(B526,'Element wise-detail Summary'!$A:$D,2,0)</f>
        <v>PV30</v>
      </c>
      <c r="E526" s="143" t="str">
        <f>VLOOKUP(B526,'Element wise-detail Summary'!$A:$D,3,0)</f>
        <v>Zone-6</v>
      </c>
      <c r="F526" s="143" t="str">
        <f>VLOOKUP(B526,'AFC Data details'!$B:$B,1,0)</f>
        <v>AZ6-PV30-T1C6-005</v>
      </c>
    </row>
    <row r="527" spans="1:6" x14ac:dyDescent="0.25">
      <c r="A527" s="149">
        <v>46147</v>
      </c>
      <c r="B527" s="234" t="s">
        <v>2131</v>
      </c>
      <c r="C527" s="3">
        <v>1</v>
      </c>
      <c r="D527" s="3" t="str">
        <f>VLOOKUP(B527,'Element wise-detail Summary'!$A:$D,2,0)</f>
        <v>PV31</v>
      </c>
      <c r="E527" s="143" t="str">
        <f>VLOOKUP(B527,'Element wise-detail Summary'!$A:$D,3,0)</f>
        <v>Zone-6</v>
      </c>
      <c r="F527" s="143" t="str">
        <f>VLOOKUP(B527,'AFC Data details'!$B:$B,1,0)</f>
        <v>AZ6-PV31-T1C6-006</v>
      </c>
    </row>
    <row r="528" spans="1:6" x14ac:dyDescent="0.25">
      <c r="A528" s="149">
        <v>46147</v>
      </c>
      <c r="B528" s="234" t="s">
        <v>2165</v>
      </c>
      <c r="C528" s="3">
        <v>1</v>
      </c>
      <c r="D528" s="3" t="str">
        <f>VLOOKUP(B528,'Element wise-detail Summary'!$A:$D,2,0)</f>
        <v>PV30</v>
      </c>
      <c r="E528" s="143" t="str">
        <f>VLOOKUP(B528,'Element wise-detail Summary'!$A:$D,3,0)</f>
        <v>Zone-6</v>
      </c>
      <c r="F528" s="143" t="str">
        <f>VLOOKUP(B528,'AFC Data details'!$B:$B,1,0)</f>
        <v>AZ6-PV30-T2C1-001</v>
      </c>
    </row>
    <row r="529" spans="1:6" x14ac:dyDescent="0.25">
      <c r="A529" s="149">
        <v>46147</v>
      </c>
      <c r="B529" s="234" t="s">
        <v>1913</v>
      </c>
      <c r="C529" s="3">
        <v>1</v>
      </c>
      <c r="D529" s="3" t="str">
        <f>VLOOKUP(B529,'Element wise-detail Summary'!$A:$D,2,0)</f>
        <v>PV29</v>
      </c>
      <c r="E529" s="143" t="str">
        <f>VLOOKUP(B529,'Element wise-detail Summary'!$A:$D,3,0)</f>
        <v>Zone-6</v>
      </c>
      <c r="F529" s="143" t="str">
        <f>VLOOKUP(B529,'AFC Data details'!$B:$B,1,0)</f>
        <v>AZ6-PV29-T3C4-002</v>
      </c>
    </row>
    <row r="530" spans="1:6" x14ac:dyDescent="0.25">
      <c r="A530" s="149">
        <v>46147</v>
      </c>
      <c r="B530" s="234" t="s">
        <v>1912</v>
      </c>
      <c r="C530" s="3">
        <v>1</v>
      </c>
      <c r="D530" s="3" t="str">
        <f>VLOOKUP(B530,'Element wise-detail Summary'!$A:$D,2,0)</f>
        <v>PV29</v>
      </c>
      <c r="E530" s="143" t="str">
        <f>VLOOKUP(B530,'Element wise-detail Summary'!$A:$D,3,0)</f>
        <v>Zone-6</v>
      </c>
      <c r="F530" s="143" t="str">
        <f>VLOOKUP(B530,'AFC Data details'!$B:$B,1,0)</f>
        <v>AZ6-PV29-T3C4-001</v>
      </c>
    </row>
    <row r="531" spans="1:6" x14ac:dyDescent="0.25">
      <c r="A531" s="149">
        <v>46147</v>
      </c>
      <c r="B531" s="234" t="s">
        <v>1907</v>
      </c>
      <c r="C531" s="3">
        <v>1</v>
      </c>
      <c r="D531" s="3" t="str">
        <f>VLOOKUP(B531,'Element wise-detail Summary'!$A:$D,2,0)</f>
        <v>PV28</v>
      </c>
      <c r="E531" s="143" t="str">
        <f>VLOOKUP(B531,'Element wise-detail Summary'!$A:$D,3,0)</f>
        <v>Zone-6</v>
      </c>
      <c r="F531" s="143" t="str">
        <f>VLOOKUP(B531,'AFC Data details'!$B:$B,1,0)</f>
        <v>AZ6-PV28-T1C6-001</v>
      </c>
    </row>
    <row r="532" spans="1:6" x14ac:dyDescent="0.25">
      <c r="A532" s="149">
        <v>46147</v>
      </c>
      <c r="B532" s="234" t="s">
        <v>1908</v>
      </c>
      <c r="C532" s="3">
        <v>1</v>
      </c>
      <c r="D532" s="3" t="str">
        <f>VLOOKUP(B532,'Element wise-detail Summary'!$A:$D,2,0)</f>
        <v>PV28</v>
      </c>
      <c r="E532" s="143" t="str">
        <f>VLOOKUP(B532,'Element wise-detail Summary'!$A:$D,3,0)</f>
        <v>Zone-6</v>
      </c>
      <c r="F532" s="143" t="str">
        <f>VLOOKUP(B532,'AFC Data details'!$B:$B,1,0)</f>
        <v>AZ6-PV28-T1C6-002</v>
      </c>
    </row>
    <row r="533" spans="1:6" x14ac:dyDescent="0.25">
      <c r="A533" s="149">
        <v>46147</v>
      </c>
      <c r="B533" s="234" t="s">
        <v>2117</v>
      </c>
      <c r="C533" s="3">
        <v>1</v>
      </c>
      <c r="D533" s="3" t="str">
        <f>VLOOKUP(B533,'Element wise-detail Summary'!$A:$D,2,0)</f>
        <v>PV28</v>
      </c>
      <c r="E533" s="143" t="str">
        <f>VLOOKUP(B533,'Element wise-detail Summary'!$A:$D,3,0)</f>
        <v>Zone-6</v>
      </c>
      <c r="F533" s="143" t="str">
        <f>VLOOKUP(B533,'AFC Data details'!$B:$B,1,0)</f>
        <v>AZ6-PV28-T1C6-003</v>
      </c>
    </row>
    <row r="534" spans="1:6" x14ac:dyDescent="0.25">
      <c r="A534" s="149">
        <v>46147</v>
      </c>
      <c r="B534" s="234" t="s">
        <v>2122</v>
      </c>
      <c r="C534" s="3">
        <v>1</v>
      </c>
      <c r="D534" s="3" t="str">
        <f>VLOOKUP(B534,'Element wise-detail Summary'!$A:$D,2,0)</f>
        <v>PV29</v>
      </c>
      <c r="E534" s="143" t="str">
        <f>VLOOKUP(B534,'Element wise-detail Summary'!$A:$D,3,0)</f>
        <v>Zone-6</v>
      </c>
      <c r="F534" s="143" t="str">
        <f>VLOOKUP(B534,'AFC Data details'!$B:$B,1,0)</f>
        <v>AZ6-PV29-T1C6-004</v>
      </c>
    </row>
    <row r="535" spans="1:6" x14ac:dyDescent="0.25">
      <c r="A535" s="149">
        <v>46147</v>
      </c>
      <c r="B535" s="234" t="s">
        <v>2118</v>
      </c>
      <c r="C535" s="3">
        <v>1</v>
      </c>
      <c r="D535" s="3" t="str">
        <f>VLOOKUP(B535,'Element wise-detail Summary'!$A:$D,2,0)</f>
        <v>PV28</v>
      </c>
      <c r="E535" s="143" t="str">
        <f>VLOOKUP(B535,'Element wise-detail Summary'!$A:$D,3,0)</f>
        <v>Zone-6</v>
      </c>
      <c r="F535" s="143" t="str">
        <f>VLOOKUP(B535,'AFC Data details'!$B:$B,1,0)</f>
        <v>AZ6-PV28-T1C6-004</v>
      </c>
    </row>
    <row r="536" spans="1:6" x14ac:dyDescent="0.25">
      <c r="A536" s="149">
        <v>46147</v>
      </c>
      <c r="B536" s="234" t="s">
        <v>2123</v>
      </c>
      <c r="C536" s="3">
        <v>1</v>
      </c>
      <c r="D536" s="3" t="str">
        <f>VLOOKUP(B536,'Element wise-detail Summary'!$A:$D,2,0)</f>
        <v>PV29</v>
      </c>
      <c r="E536" s="143" t="str">
        <f>VLOOKUP(B536,'Element wise-detail Summary'!$A:$D,3,0)</f>
        <v>Zone-6</v>
      </c>
      <c r="F536" s="143" t="str">
        <f>VLOOKUP(B536,'AFC Data details'!$B:$B,1,0)</f>
        <v>AZ6-PV29-T1C6-005</v>
      </c>
    </row>
    <row r="537" spans="1:6" x14ac:dyDescent="0.25">
      <c r="A537" s="149">
        <v>46147</v>
      </c>
      <c r="B537" s="234" t="s">
        <v>1545</v>
      </c>
      <c r="C537" s="3">
        <v>1</v>
      </c>
      <c r="D537" s="3" t="str">
        <f>VLOOKUP(B537,'Element wise-detail Summary'!$A:$D,2,0)</f>
        <v>V56</v>
      </c>
      <c r="E537" s="143" t="str">
        <f>VLOOKUP(B537,'Element wise-detail Summary'!$A:$D,3,0)</f>
        <v>Zone-5</v>
      </c>
      <c r="F537" s="143" t="str">
        <f>VLOOKUP(B537,'AFC Data details'!$B:$B,1,0)</f>
        <v>AZ5-V56-T1C6-002</v>
      </c>
    </row>
    <row r="538" spans="1:6" x14ac:dyDescent="0.25">
      <c r="A538" s="149">
        <v>46147</v>
      </c>
      <c r="B538" s="234" t="s">
        <v>1648</v>
      </c>
      <c r="C538" s="3">
        <v>1</v>
      </c>
      <c r="D538" s="3" t="str">
        <f>VLOOKUP(B538,'Element wise-detail Summary'!$A:$D,2,0)</f>
        <v>V57</v>
      </c>
      <c r="E538" s="143" t="str">
        <f>VLOOKUP(B538,'Element wise-detail Summary'!$A:$D,3,0)</f>
        <v>Zone-5</v>
      </c>
      <c r="F538" s="143" t="str">
        <f>VLOOKUP(B538,'AFC Data details'!$B:$B,1,0)</f>
        <v>AZ5-V57-T1C2-001</v>
      </c>
    </row>
    <row r="539" spans="1:6" x14ac:dyDescent="0.25">
      <c r="A539" s="149">
        <v>46147</v>
      </c>
      <c r="B539" s="234" t="s">
        <v>1554</v>
      </c>
      <c r="C539" s="3">
        <v>1</v>
      </c>
      <c r="D539" s="3" t="str">
        <f>VLOOKUP(B539,'Element wise-detail Summary'!$A:$D,2,0)</f>
        <v>V57</v>
      </c>
      <c r="E539" s="143" t="str">
        <f>VLOOKUP(B539,'Element wise-detail Summary'!$A:$D,3,0)</f>
        <v>Zone-5</v>
      </c>
      <c r="F539" s="143" t="str">
        <f>VLOOKUP(B539,'AFC Data details'!$B:$B,1,0)</f>
        <v>AZ5-V57-T1C6-001</v>
      </c>
    </row>
    <row r="540" spans="1:6" x14ac:dyDescent="0.25">
      <c r="A540" s="149">
        <v>46147</v>
      </c>
      <c r="B540" s="234" t="s">
        <v>1549</v>
      </c>
      <c r="C540" s="3">
        <v>1</v>
      </c>
      <c r="D540" s="3" t="str">
        <f>VLOOKUP(B540,'Element wise-detail Summary'!$A:$D,2,0)</f>
        <v>V57</v>
      </c>
      <c r="E540" s="143" t="str">
        <f>VLOOKUP(B540,'Element wise-detail Summary'!$A:$D,3,0)</f>
        <v>Zone-5</v>
      </c>
      <c r="F540" s="143" t="str">
        <f>VLOOKUP(B540,'AFC Data details'!$B:$B,1,0)</f>
        <v>AZ5-V57-T1C6-002</v>
      </c>
    </row>
    <row r="541" spans="1:6" x14ac:dyDescent="0.25">
      <c r="A541" s="149">
        <v>46147</v>
      </c>
      <c r="B541" s="234" t="s">
        <v>1651</v>
      </c>
      <c r="C541" s="3">
        <v>1</v>
      </c>
      <c r="D541" s="3" t="str">
        <f>VLOOKUP(B541,'Element wise-detail Summary'!$A:$D,2,0)</f>
        <v>V57</v>
      </c>
      <c r="E541" s="143" t="str">
        <f>VLOOKUP(B541,'Element wise-detail Summary'!$A:$D,3,0)</f>
        <v>Zone-5</v>
      </c>
      <c r="F541" s="143" t="str">
        <f>VLOOKUP(B541,'AFC Data details'!$B:$B,1,0)</f>
        <v>AZ5-V57-T3C5-002</v>
      </c>
    </row>
    <row r="542" spans="1:6" x14ac:dyDescent="0.25">
      <c r="A542" s="149">
        <v>46147</v>
      </c>
      <c r="B542" s="234" t="s">
        <v>1565</v>
      </c>
      <c r="C542" s="3">
        <v>1</v>
      </c>
      <c r="D542" s="3" t="str">
        <f>VLOOKUP(B542,'Element wise-detail Summary'!$A:$D,2,0)</f>
        <v>V58</v>
      </c>
      <c r="E542" s="143" t="str">
        <f>VLOOKUP(B542,'Element wise-detail Summary'!$A:$D,3,0)</f>
        <v>Zone-5</v>
      </c>
      <c r="F542" s="143" t="str">
        <f>VLOOKUP(B542,'AFC Data details'!$B:$B,1,0)</f>
        <v>AZ5-V58-T1C6-006</v>
      </c>
    </row>
    <row r="543" spans="1:6" x14ac:dyDescent="0.25">
      <c r="A543" s="149">
        <v>46147</v>
      </c>
      <c r="B543" s="234" t="s">
        <v>1654</v>
      </c>
      <c r="C543" s="3">
        <v>1</v>
      </c>
      <c r="D543" s="3" t="str">
        <f>VLOOKUP(B543,'Element wise-detail Summary'!$A:$D,2,0)</f>
        <v>V59</v>
      </c>
      <c r="E543" s="143" t="str">
        <f>VLOOKUP(B543,'Element wise-detail Summary'!$A:$D,3,0)</f>
        <v>Zone-5</v>
      </c>
      <c r="F543" s="143" t="str">
        <f>VLOOKUP(B543,'AFC Data details'!$B:$B,1,0)</f>
        <v>AZ5-V59-T1C2-001</v>
      </c>
    </row>
    <row r="544" spans="1:6" x14ac:dyDescent="0.25">
      <c r="A544" s="149">
        <v>46147</v>
      </c>
      <c r="B544" s="234" t="s">
        <v>1561</v>
      </c>
      <c r="C544" s="3">
        <v>1</v>
      </c>
      <c r="D544" s="3" t="str">
        <f>VLOOKUP(B544,'Element wise-detail Summary'!$A:$D,2,0)</f>
        <v>V59</v>
      </c>
      <c r="E544" s="143" t="str">
        <f>VLOOKUP(B544,'Element wise-detail Summary'!$A:$D,3,0)</f>
        <v>Zone-5</v>
      </c>
      <c r="F544" s="143" t="str">
        <f>VLOOKUP(B544,'AFC Data details'!$B:$B,1,0)</f>
        <v>AZ5-V59-T1C6-002</v>
      </c>
    </row>
    <row r="545" spans="1:6" x14ac:dyDescent="0.25">
      <c r="A545" s="149">
        <v>46147</v>
      </c>
      <c r="B545" s="234" t="s">
        <v>1655</v>
      </c>
      <c r="C545" s="3">
        <v>1</v>
      </c>
      <c r="D545" s="3" t="str">
        <f>VLOOKUP(B545,'Element wise-detail Summary'!$A:$D,2,0)</f>
        <v>V59</v>
      </c>
      <c r="E545" s="143" t="str">
        <f>VLOOKUP(B545,'Element wise-detail Summary'!$A:$D,3,0)</f>
        <v>Zone-5</v>
      </c>
      <c r="F545" s="143" t="str">
        <f>VLOOKUP(B545,'AFC Data details'!$B:$B,1,0)</f>
        <v>AZ5-V59-T2C1-001</v>
      </c>
    </row>
    <row r="546" spans="1:6" x14ac:dyDescent="0.25">
      <c r="A546" s="149">
        <v>46147</v>
      </c>
      <c r="B546" s="234" t="s">
        <v>1658</v>
      </c>
      <c r="C546" s="3">
        <v>1</v>
      </c>
      <c r="D546" s="3" t="str">
        <f>VLOOKUP(B546,'Element wise-detail Summary'!$A:$D,2,0)</f>
        <v>V60</v>
      </c>
      <c r="E546" s="143" t="str">
        <f>VLOOKUP(B546,'Element wise-detail Summary'!$A:$D,3,0)</f>
        <v>Zone-5</v>
      </c>
      <c r="F546" s="143" t="str">
        <f>VLOOKUP(B546,'AFC Data details'!$B:$B,1,0)</f>
        <v>AZ5-V60-T3C5-001</v>
      </c>
    </row>
    <row r="547" spans="1:6" x14ac:dyDescent="0.25">
      <c r="A547" s="149">
        <v>46147</v>
      </c>
      <c r="B547" s="234" t="s">
        <v>1574</v>
      </c>
      <c r="C547" s="3">
        <v>1</v>
      </c>
      <c r="D547" s="3" t="str">
        <f>VLOOKUP(B547,'Element wise-detail Summary'!$A:$D,2,0)</f>
        <v>V61</v>
      </c>
      <c r="E547" s="143" t="str">
        <f>VLOOKUP(B547,'Element wise-detail Summary'!$A:$D,3,0)</f>
        <v>Zone-5</v>
      </c>
      <c r="F547" s="143" t="str">
        <f>VLOOKUP(B547,'AFC Data details'!$B:$B,1,0)</f>
        <v>AZ5-V61-T2C1-001</v>
      </c>
    </row>
    <row r="548" spans="1:6" x14ac:dyDescent="0.25">
      <c r="A548" s="149">
        <v>46147</v>
      </c>
      <c r="B548" s="234" t="s">
        <v>1668</v>
      </c>
      <c r="C548" s="3">
        <v>1</v>
      </c>
      <c r="D548" s="3" t="str">
        <f>VLOOKUP(B548,'Element wise-detail Summary'!$A:$D,2,0)</f>
        <v>V62</v>
      </c>
      <c r="E548" s="143" t="str">
        <f>VLOOKUP(B548,'Element wise-detail Summary'!$A:$D,3,0)</f>
        <v>Zone-5</v>
      </c>
      <c r="F548" s="143" t="str">
        <f>VLOOKUP(B548,'AFC Data details'!$B:$B,1,0)</f>
        <v>AZ5-V62-T1C2-001</v>
      </c>
    </row>
    <row r="549" spans="1:6" x14ac:dyDescent="0.25">
      <c r="A549" s="149">
        <v>46147</v>
      </c>
      <c r="B549" s="234" t="s">
        <v>1575</v>
      </c>
      <c r="C549" s="3">
        <v>1</v>
      </c>
      <c r="D549" s="3" t="str">
        <f>VLOOKUP(B549,'Element wise-detail Summary'!$A:$D,2,0)</f>
        <v>V62</v>
      </c>
      <c r="E549" s="143" t="str">
        <f>VLOOKUP(B549,'Element wise-detail Summary'!$A:$D,3,0)</f>
        <v>Zone-5</v>
      </c>
      <c r="F549" s="143" t="str">
        <f>VLOOKUP(B549,'AFC Data details'!$B:$B,1,0)</f>
        <v>AZ5-V62-T1C6-001</v>
      </c>
    </row>
    <row r="550" spans="1:6" x14ac:dyDescent="0.25">
      <c r="A550" s="149">
        <v>46147</v>
      </c>
      <c r="B550" s="234" t="s">
        <v>1578</v>
      </c>
      <c r="C550" s="3">
        <v>1</v>
      </c>
      <c r="D550" s="3" t="str">
        <f>VLOOKUP(B550,'Element wise-detail Summary'!$A:$D,2,0)</f>
        <v>V62</v>
      </c>
      <c r="E550" s="143" t="str">
        <f>VLOOKUP(B550,'Element wise-detail Summary'!$A:$D,3,0)</f>
        <v>Zone-5</v>
      </c>
      <c r="F550" s="143" t="str">
        <f>VLOOKUP(B550,'AFC Data details'!$B:$B,1,0)</f>
        <v>AZ5-V62-T1C6-003</v>
      </c>
    </row>
    <row r="551" spans="1:6" x14ac:dyDescent="0.25">
      <c r="A551" s="149">
        <v>46147</v>
      </c>
      <c r="B551" s="234" t="s">
        <v>1585</v>
      </c>
      <c r="C551" s="3">
        <v>1</v>
      </c>
      <c r="D551" s="3" t="str">
        <f>VLOOKUP(B551,'Element wise-detail Summary'!$A:$D,2,0)</f>
        <v>V62</v>
      </c>
      <c r="E551" s="143" t="str">
        <f>VLOOKUP(B551,'Element wise-detail Summary'!$A:$D,3,0)</f>
        <v>Zone-5</v>
      </c>
      <c r="F551" s="143" t="str">
        <f>VLOOKUP(B551,'AFC Data details'!$B:$B,1,0)</f>
        <v>AZ5-V62-T1C6-004</v>
      </c>
    </row>
    <row r="552" spans="1:6" x14ac:dyDescent="0.25">
      <c r="A552" s="149">
        <v>46147</v>
      </c>
      <c r="B552" s="234" t="s">
        <v>1669</v>
      </c>
      <c r="C552" s="3">
        <v>1</v>
      </c>
      <c r="D552" s="3" t="str">
        <f>VLOOKUP(B552,'Element wise-detail Summary'!$A:$D,2,0)</f>
        <v>V62</v>
      </c>
      <c r="E552" s="143" t="str">
        <f>VLOOKUP(B552,'Element wise-detail Summary'!$A:$D,3,0)</f>
        <v>Zone-5</v>
      </c>
      <c r="F552" s="143" t="str">
        <f>VLOOKUP(B552,'AFC Data details'!$B:$B,1,0)</f>
        <v>AZ5-V62-T3C5-001</v>
      </c>
    </row>
    <row r="553" spans="1:6" x14ac:dyDescent="0.25">
      <c r="A553" s="149">
        <v>46147</v>
      </c>
      <c r="B553" s="234" t="s">
        <v>1670</v>
      </c>
      <c r="C553" s="3">
        <v>1</v>
      </c>
      <c r="D553" s="3" t="str">
        <f>VLOOKUP(B553,'Element wise-detail Summary'!$A:$D,2,0)</f>
        <v>V62</v>
      </c>
      <c r="E553" s="143" t="str">
        <f>VLOOKUP(B553,'Element wise-detail Summary'!$A:$D,3,0)</f>
        <v>Zone-5</v>
      </c>
      <c r="F553" s="143" t="str">
        <f>VLOOKUP(B553,'AFC Data details'!$B:$B,1,0)</f>
        <v>AZ5-V62-T3C5-002</v>
      </c>
    </row>
    <row r="554" spans="1:6" x14ac:dyDescent="0.25">
      <c r="A554" s="149">
        <v>46147</v>
      </c>
      <c r="B554" s="234" t="s">
        <v>1580</v>
      </c>
      <c r="C554" s="3">
        <v>1</v>
      </c>
      <c r="D554" s="3" t="str">
        <f>VLOOKUP(B554,'Element wise-detail Summary'!$A:$D,2,0)</f>
        <v>V63</v>
      </c>
      <c r="E554" s="143" t="str">
        <f>VLOOKUP(B554,'Element wise-detail Summary'!$A:$D,3,0)</f>
        <v>Zone-5</v>
      </c>
      <c r="F554" s="143" t="str">
        <f>VLOOKUP(B554,'AFC Data details'!$B:$B,1,0)</f>
        <v>AZ5-V63-T1C6-003</v>
      </c>
    </row>
    <row r="555" spans="1:6" x14ac:dyDescent="0.25">
      <c r="A555" s="149">
        <v>46148</v>
      </c>
      <c r="B555" s="234" t="s">
        <v>2144</v>
      </c>
      <c r="C555" s="3">
        <v>1</v>
      </c>
      <c r="D555" s="3" t="str">
        <f>VLOOKUP(B555,'Element wise-detail Summary'!$A:$D,2,0)</f>
        <v>PV31</v>
      </c>
      <c r="E555" s="143" t="str">
        <f>VLOOKUP(B555,'Element wise-detail Summary'!$A:$D,3,0)</f>
        <v>Zone-6</v>
      </c>
      <c r="F555" s="143" t="str">
        <f>VLOOKUP(B555,'AFC Data details'!$B:$B,1,0)</f>
        <v>AZ6-PV31-T1C6-003</v>
      </c>
    </row>
    <row r="556" spans="1:6" x14ac:dyDescent="0.25">
      <c r="A556" s="149">
        <v>46148</v>
      </c>
      <c r="B556" s="234" t="s">
        <v>2140</v>
      </c>
      <c r="C556" s="3">
        <v>1</v>
      </c>
      <c r="D556" s="3" t="str">
        <f>VLOOKUP(B556,'Element wise-detail Summary'!$A:$D,2,0)</f>
        <v>PV30</v>
      </c>
      <c r="E556" s="143" t="str">
        <f>VLOOKUP(B556,'Element wise-detail Summary'!$A:$D,3,0)</f>
        <v>Zone-6</v>
      </c>
      <c r="F556" s="143" t="str">
        <f>VLOOKUP(B556,'AFC Data details'!$B:$B,1,0)</f>
        <v>AZ6-PV30-T1C6-003</v>
      </c>
    </row>
    <row r="557" spans="1:6" x14ac:dyDescent="0.25">
      <c r="A557" s="149">
        <v>46148</v>
      </c>
      <c r="B557" s="234" t="s">
        <v>2145</v>
      </c>
      <c r="C557" s="3">
        <v>1</v>
      </c>
      <c r="D557" s="3" t="str">
        <f>VLOOKUP(B557,'Element wise-detail Summary'!$A:$D,2,0)</f>
        <v>PV31</v>
      </c>
      <c r="E557" s="143" t="str">
        <f>VLOOKUP(B557,'Element wise-detail Summary'!$A:$D,3,0)</f>
        <v>Zone-6</v>
      </c>
      <c r="F557" s="143" t="str">
        <f>VLOOKUP(B557,'AFC Data details'!$B:$B,1,0)</f>
        <v>AZ6-PV31-T1C6-004</v>
      </c>
    </row>
    <row r="558" spans="1:6" x14ac:dyDescent="0.25">
      <c r="A558" s="149">
        <v>46148</v>
      </c>
      <c r="B558" s="234" t="s">
        <v>2141</v>
      </c>
      <c r="C558" s="3">
        <v>1</v>
      </c>
      <c r="D558" s="3" t="str">
        <f>VLOOKUP(B558,'Element wise-detail Summary'!$A:$D,2,0)</f>
        <v>PV30</v>
      </c>
      <c r="E558" s="143" t="str">
        <f>VLOOKUP(B558,'Element wise-detail Summary'!$A:$D,3,0)</f>
        <v>Zone-6</v>
      </c>
      <c r="F558" s="143" t="str">
        <f>VLOOKUP(B558,'AFC Data details'!$B:$B,1,0)</f>
        <v>AZ6-PV30-T1C6-004</v>
      </c>
    </row>
    <row r="559" spans="1:6" x14ac:dyDescent="0.25">
      <c r="A559" s="149">
        <v>46148</v>
      </c>
      <c r="B559" s="234" t="s">
        <v>2149</v>
      </c>
      <c r="C559" s="3">
        <v>1</v>
      </c>
      <c r="D559" s="3" t="str">
        <f>VLOOKUP(B559,'Element wise-detail Summary'!$A:$D,2,0)</f>
        <v>PV30</v>
      </c>
      <c r="E559" s="143" t="str">
        <f>VLOOKUP(B559,'Element wise-detail Summary'!$A:$D,3,0)</f>
        <v>Zone-6</v>
      </c>
      <c r="F559" s="143" t="str">
        <f>VLOOKUP(B559,'AFC Data details'!$B:$B,1,0)</f>
        <v>AZ6-PV30-T1C6-006</v>
      </c>
    </row>
    <row r="560" spans="1:6" x14ac:dyDescent="0.25">
      <c r="A560" s="149">
        <v>46148</v>
      </c>
      <c r="B560" s="234" t="s">
        <v>1914</v>
      </c>
      <c r="C560" s="3">
        <v>1</v>
      </c>
      <c r="D560" s="3" t="str">
        <f>VLOOKUP(B560,'Element wise-detail Summary'!$A:$D,2,0)</f>
        <v>PV30</v>
      </c>
      <c r="E560" s="143" t="str">
        <f>VLOOKUP(B560,'Element wise-detail Summary'!$A:$D,3,0)</f>
        <v>Zone-6</v>
      </c>
      <c r="F560" s="143" t="str">
        <f>VLOOKUP(B560,'AFC Data details'!$B:$B,1,0)</f>
        <v>AZ6-PV30-T1C1-001</v>
      </c>
    </row>
    <row r="561" spans="1:6" x14ac:dyDescent="0.25">
      <c r="A561" s="149">
        <v>46148</v>
      </c>
      <c r="B561" s="234" t="s">
        <v>1911</v>
      </c>
      <c r="C561" s="3">
        <v>1</v>
      </c>
      <c r="D561" s="3" t="str">
        <f>VLOOKUP(B561,'Element wise-detail Summary'!$A:$D,2,0)</f>
        <v>PV29</v>
      </c>
      <c r="E561" s="143" t="str">
        <f>VLOOKUP(B561,'Element wise-detail Summary'!$A:$D,3,0)</f>
        <v>Zone-6</v>
      </c>
      <c r="F561" s="143" t="str">
        <f>VLOOKUP(B561,'AFC Data details'!$B:$B,1,0)</f>
        <v>AZ6-PV29-T1C6-001</v>
      </c>
    </row>
    <row r="562" spans="1:6" x14ac:dyDescent="0.25">
      <c r="A562" s="149">
        <v>46148</v>
      </c>
      <c r="B562" s="234" t="s">
        <v>2120</v>
      </c>
      <c r="C562" s="3">
        <v>1</v>
      </c>
      <c r="D562" s="3" t="str">
        <f>VLOOKUP(B562,'Element wise-detail Summary'!$A:$D,2,0)</f>
        <v>PV29</v>
      </c>
      <c r="E562" s="143" t="str">
        <f>VLOOKUP(B562,'Element wise-detail Summary'!$A:$D,3,0)</f>
        <v>Zone-6</v>
      </c>
      <c r="F562" s="143" t="str">
        <f>VLOOKUP(B562,'AFC Data details'!$B:$B,1,0)</f>
        <v>AZ6-PV29-T1C6-002</v>
      </c>
    </row>
    <row r="563" spans="1:6" x14ac:dyDescent="0.25">
      <c r="A563" s="149">
        <v>46148</v>
      </c>
      <c r="B563" s="234" t="s">
        <v>2121</v>
      </c>
      <c r="C563" s="3">
        <v>1</v>
      </c>
      <c r="D563" s="3" t="str">
        <f>VLOOKUP(B563,'Element wise-detail Summary'!$A:$D,2,0)</f>
        <v>PV29</v>
      </c>
      <c r="E563" s="143" t="str">
        <f>VLOOKUP(B563,'Element wise-detail Summary'!$A:$D,3,0)</f>
        <v>Zone-6</v>
      </c>
      <c r="F563" s="143" t="str">
        <f>VLOOKUP(B563,'AFC Data details'!$B:$B,1,0)</f>
        <v>AZ6-PV29-T1C6-003</v>
      </c>
    </row>
    <row r="564" spans="1:6" x14ac:dyDescent="0.25">
      <c r="A564" s="149">
        <v>46148</v>
      </c>
      <c r="B564" s="234" t="s">
        <v>2119</v>
      </c>
      <c r="C564" s="3">
        <v>1</v>
      </c>
      <c r="D564" s="3" t="str">
        <f>VLOOKUP(B564,'Element wise-detail Summary'!$A:$D,2,0)</f>
        <v>PV28</v>
      </c>
      <c r="E564" s="143" t="str">
        <f>VLOOKUP(B564,'Element wise-detail Summary'!$A:$D,3,0)</f>
        <v>Zone-6</v>
      </c>
      <c r="F564" s="143" t="str">
        <f>VLOOKUP(B564,'AFC Data details'!$B:$B,1,0)</f>
        <v>AZ6-PV28-T1C6-005</v>
      </c>
    </row>
    <row r="565" spans="1:6" x14ac:dyDescent="0.25">
      <c r="A565" s="149">
        <v>46148</v>
      </c>
      <c r="B565" s="234" t="s">
        <v>2115</v>
      </c>
      <c r="C565" s="3">
        <v>1</v>
      </c>
      <c r="D565" s="3" t="str">
        <f>VLOOKUP(B565,'Element wise-detail Summary'!$A:$D,2,0)</f>
        <v>PV29</v>
      </c>
      <c r="E565" s="143" t="str">
        <f>VLOOKUP(B565,'Element wise-detail Summary'!$A:$D,3,0)</f>
        <v>Zone-6</v>
      </c>
      <c r="F565" s="143" t="str">
        <f>VLOOKUP(B565,'AFC Data details'!$B:$B,1,0)</f>
        <v>AZ6-PV29-T1C6-006</v>
      </c>
    </row>
    <row r="566" spans="1:6" x14ac:dyDescent="0.25">
      <c r="A566" s="149">
        <v>46148</v>
      </c>
      <c r="B566" s="234" t="s">
        <v>2124</v>
      </c>
      <c r="C566" s="3">
        <v>1</v>
      </c>
      <c r="D566" s="3" t="str">
        <f>VLOOKUP(B566,'Element wise-detail Summary'!$A:$D,2,0)</f>
        <v>PV28</v>
      </c>
      <c r="E566" s="143" t="str">
        <f>VLOOKUP(B566,'Element wise-detail Summary'!$A:$D,3,0)</f>
        <v>Zone-6</v>
      </c>
      <c r="F566" s="143" t="str">
        <f>VLOOKUP(B566,'AFC Data details'!$B:$B,1,0)</f>
        <v>AZ6-PV28-T1C6-006</v>
      </c>
    </row>
    <row r="567" spans="1:6" x14ac:dyDescent="0.25">
      <c r="A567" s="149">
        <v>46148</v>
      </c>
      <c r="B567" s="234" t="s">
        <v>1910</v>
      </c>
      <c r="C567" s="3">
        <v>1</v>
      </c>
      <c r="D567" s="3" t="str">
        <f>VLOOKUP(B567,'Element wise-detail Summary'!$A:$D,2,0)</f>
        <v>PV28</v>
      </c>
      <c r="E567" s="143" t="str">
        <f>VLOOKUP(B567,'Element wise-detail Summary'!$A:$D,3,0)</f>
        <v>Zone-6</v>
      </c>
      <c r="F567" s="143" t="str">
        <f>VLOOKUP(B567,'AFC Data details'!$B:$B,1,0)</f>
        <v>AZ6-PV28-T3C4-002</v>
      </c>
    </row>
    <row r="568" spans="1:6" x14ac:dyDescent="0.25">
      <c r="A568" s="149">
        <v>46148</v>
      </c>
      <c r="B568" s="234" t="s">
        <v>1909</v>
      </c>
      <c r="C568" s="3">
        <v>1</v>
      </c>
      <c r="D568" s="3" t="str">
        <f>VLOOKUP(B568,'Element wise-detail Summary'!$A:$D,2,0)</f>
        <v>PV28</v>
      </c>
      <c r="E568" s="143" t="str">
        <f>VLOOKUP(B568,'Element wise-detail Summary'!$A:$D,3,0)</f>
        <v>Zone-6</v>
      </c>
      <c r="F568" s="143" t="str">
        <f>VLOOKUP(B568,'AFC Data details'!$B:$B,1,0)</f>
        <v>AZ6-PV28-T3C4-001</v>
      </c>
    </row>
    <row r="569" spans="1:6" x14ac:dyDescent="0.25">
      <c r="A569" s="149">
        <v>46148</v>
      </c>
      <c r="B569" s="234" t="s">
        <v>1903</v>
      </c>
      <c r="C569" s="3">
        <v>1</v>
      </c>
      <c r="D569" s="3" t="str">
        <f>VLOOKUP(B569,'Element wise-detail Summary'!$A:$D,2,0)</f>
        <v>PV27</v>
      </c>
      <c r="E569" s="143" t="str">
        <f>VLOOKUP(B569,'Element wise-detail Summary'!$A:$D,3,0)</f>
        <v>Zone-6</v>
      </c>
      <c r="F569" s="143" t="str">
        <f>VLOOKUP(B569,'AFC Data details'!$B:$B,1,0)</f>
        <v>AZ6-PV27-T1C1-001</v>
      </c>
    </row>
    <row r="570" spans="1:6" x14ac:dyDescent="0.25">
      <c r="A570" s="149">
        <v>46148</v>
      </c>
      <c r="B570" s="234" t="s">
        <v>2166</v>
      </c>
      <c r="C570" s="3">
        <v>1</v>
      </c>
      <c r="D570" s="3" t="str">
        <f>VLOOKUP(B570,'Element wise-detail Summary'!$A:$D,2,0)</f>
        <v>PV28</v>
      </c>
      <c r="E570" s="143" t="str">
        <f>VLOOKUP(B570,'Element wise-detail Summary'!$A:$D,3,0)</f>
        <v>Zone-6</v>
      </c>
      <c r="F570" s="143" t="str">
        <f>VLOOKUP(B570,'AFC Data details'!$B:$B,1,0)</f>
        <v>AZ6-PV28-T2C1-001</v>
      </c>
    </row>
    <row r="571" spans="1:6" x14ac:dyDescent="0.25">
      <c r="A571" s="149">
        <v>46148</v>
      </c>
      <c r="B571" s="234" t="s">
        <v>1906</v>
      </c>
      <c r="C571" s="3">
        <v>1</v>
      </c>
      <c r="D571" s="3" t="str">
        <f>VLOOKUP(B571,'Element wise-detail Summary'!$A:$D,2,0)</f>
        <v>PV27</v>
      </c>
      <c r="E571" s="143" t="str">
        <f>VLOOKUP(B571,'Element wise-detail Summary'!$A:$D,3,0)</f>
        <v>Zone-6</v>
      </c>
      <c r="F571" s="143" t="str">
        <f>VLOOKUP(B571,'AFC Data details'!$B:$B,1,0)</f>
        <v>AZ6-PV27-T3C4-002</v>
      </c>
    </row>
    <row r="572" spans="1:6" x14ac:dyDescent="0.25">
      <c r="A572" s="149">
        <v>46148</v>
      </c>
      <c r="B572" s="234" t="s">
        <v>1905</v>
      </c>
      <c r="C572" s="3">
        <v>1</v>
      </c>
      <c r="D572" s="3" t="str">
        <f>VLOOKUP(B572,'Element wise-detail Summary'!$A:$D,2,0)</f>
        <v>PV27</v>
      </c>
      <c r="E572" s="143" t="str">
        <f>VLOOKUP(B572,'Element wise-detail Summary'!$A:$D,3,0)</f>
        <v>Zone-6</v>
      </c>
      <c r="F572" s="143" t="str">
        <f>VLOOKUP(B572,'AFC Data details'!$B:$B,1,0)</f>
        <v>AZ6-PV27-T3C4-001</v>
      </c>
    </row>
    <row r="573" spans="1:6" x14ac:dyDescent="0.25">
      <c r="A573" s="149">
        <v>46148</v>
      </c>
      <c r="B573" s="234" t="s">
        <v>1904</v>
      </c>
      <c r="C573" s="3">
        <v>1</v>
      </c>
      <c r="D573" s="3" t="str">
        <f>VLOOKUP(B573,'Element wise-detail Summary'!$A:$D,2,0)</f>
        <v>PV27</v>
      </c>
      <c r="E573" s="143" t="str">
        <f>VLOOKUP(B573,'Element wise-detail Summary'!$A:$D,3,0)</f>
        <v>Zone-6</v>
      </c>
      <c r="F573" s="143" t="str">
        <f>VLOOKUP(B573,'AFC Data details'!$B:$B,1,0)</f>
        <v>AZ6-PV27-T1C6-001</v>
      </c>
    </row>
    <row r="574" spans="1:6" x14ac:dyDescent="0.25">
      <c r="A574" s="149">
        <v>46148</v>
      </c>
      <c r="B574" s="234" t="s">
        <v>2096</v>
      </c>
      <c r="C574" s="3">
        <v>1</v>
      </c>
      <c r="D574" s="3" t="str">
        <f>VLOOKUP(B574,'Element wise-detail Summary'!$A:$D,2,0)</f>
        <v>PV27</v>
      </c>
      <c r="E574" s="143" t="str">
        <f>VLOOKUP(B574,'Element wise-detail Summary'!$A:$D,3,0)</f>
        <v>Zone-6</v>
      </c>
      <c r="F574" s="143" t="str">
        <f>VLOOKUP(B574,'AFC Data details'!$B:$B,1,0)</f>
        <v>AZ6-PV27-T1C6-002</v>
      </c>
    </row>
    <row r="575" spans="1:6" x14ac:dyDescent="0.25">
      <c r="A575" s="149">
        <v>46148</v>
      </c>
      <c r="B575" s="234" t="s">
        <v>2098</v>
      </c>
      <c r="C575" s="3">
        <v>1</v>
      </c>
      <c r="D575" s="3" t="str">
        <f>VLOOKUP(B575,'Element wise-detail Summary'!$A:$D,2,0)</f>
        <v>PV27</v>
      </c>
      <c r="E575" s="143" t="str">
        <f>VLOOKUP(B575,'Element wise-detail Summary'!$A:$D,3,0)</f>
        <v>Zone-6</v>
      </c>
      <c r="F575" s="143" t="str">
        <f>VLOOKUP(B575,'AFC Data details'!$B:$B,1,0)</f>
        <v>AZ6-PV27-T1C6-003</v>
      </c>
    </row>
    <row r="576" spans="1:6" x14ac:dyDescent="0.25">
      <c r="A576" s="149">
        <v>46148</v>
      </c>
      <c r="B576" s="234" t="s">
        <v>2099</v>
      </c>
      <c r="C576" s="3">
        <v>1</v>
      </c>
      <c r="D576" s="3" t="str">
        <f>VLOOKUP(B576,'Element wise-detail Summary'!$A:$D,2,0)</f>
        <v>PV27</v>
      </c>
      <c r="E576" s="143" t="str">
        <f>VLOOKUP(B576,'Element wise-detail Summary'!$A:$D,3,0)</f>
        <v>Zone-6</v>
      </c>
      <c r="F576" s="143" t="str">
        <f>VLOOKUP(B576,'AFC Data details'!$B:$B,1,0)</f>
        <v>AZ6-PV27-T1C6-004</v>
      </c>
    </row>
    <row r="577" spans="1:6" x14ac:dyDescent="0.25">
      <c r="A577" s="149">
        <v>46148</v>
      </c>
      <c r="B577" s="234" t="s">
        <v>2100</v>
      </c>
      <c r="C577" s="3">
        <v>1</v>
      </c>
      <c r="D577" s="3" t="str">
        <f>VLOOKUP(B577,'Element wise-detail Summary'!$A:$D,2,0)</f>
        <v>PV27</v>
      </c>
      <c r="E577" s="143" t="str">
        <f>VLOOKUP(B577,'Element wise-detail Summary'!$A:$D,3,0)</f>
        <v>Zone-6</v>
      </c>
      <c r="F577" s="143" t="str">
        <f>VLOOKUP(B577,'AFC Data details'!$B:$B,1,0)</f>
        <v>AZ6-PV27-T1C6-005</v>
      </c>
    </row>
    <row r="578" spans="1:6" x14ac:dyDescent="0.25">
      <c r="A578" s="149">
        <v>46149</v>
      </c>
      <c r="B578" s="234" t="s">
        <v>1899</v>
      </c>
      <c r="C578" s="3">
        <v>1</v>
      </c>
      <c r="D578" s="3" t="str">
        <f>VLOOKUP(B578,'Element wise-detail Summary'!$A:$D,2,0)</f>
        <v>PV26</v>
      </c>
      <c r="E578" s="143" t="str">
        <f>VLOOKUP(B578,'Element wise-detail Summary'!$A:$D,3,0)</f>
        <v>Zone-6</v>
      </c>
      <c r="F578" s="143" t="str">
        <f>VLOOKUP(B578,'AFC Data details'!$B:$B,1,0)</f>
        <v>AZ6-PV26-T1C6-001</v>
      </c>
    </row>
    <row r="579" spans="1:6" x14ac:dyDescent="0.25">
      <c r="A579" s="149">
        <v>46149</v>
      </c>
      <c r="B579" s="234" t="s">
        <v>1900</v>
      </c>
      <c r="C579" s="3">
        <v>1</v>
      </c>
      <c r="D579" s="3" t="str">
        <f>VLOOKUP(B579,'Element wise-detail Summary'!$A:$D,2,0)</f>
        <v>PV26</v>
      </c>
      <c r="E579" s="143" t="str">
        <f>VLOOKUP(B579,'Element wise-detail Summary'!$A:$D,3,0)</f>
        <v>Zone-6</v>
      </c>
      <c r="F579" s="143" t="str">
        <f>VLOOKUP(B579,'AFC Data details'!$B:$B,1,0)</f>
        <v>AZ6-PV26-T1C6-002</v>
      </c>
    </row>
    <row r="580" spans="1:6" x14ac:dyDescent="0.25">
      <c r="A580" s="149">
        <v>46149</v>
      </c>
      <c r="B580" s="234" t="s">
        <v>2093</v>
      </c>
      <c r="C580" s="3">
        <v>1</v>
      </c>
      <c r="D580" s="3" t="str">
        <f>VLOOKUP(B580,'Element wise-detail Summary'!$A:$D,2,0)</f>
        <v>PV26</v>
      </c>
      <c r="E580" s="143" t="str">
        <f>VLOOKUP(B580,'Element wise-detail Summary'!$A:$D,3,0)</f>
        <v>Zone-6</v>
      </c>
      <c r="F580" s="143" t="str">
        <f>VLOOKUP(B580,'AFC Data details'!$B:$B,1,0)</f>
        <v>AZ6-PV26-T1C6-003</v>
      </c>
    </row>
    <row r="581" spans="1:6" x14ac:dyDescent="0.25">
      <c r="A581" s="149">
        <v>46149</v>
      </c>
      <c r="B581" s="234" t="s">
        <v>2094</v>
      </c>
      <c r="C581" s="3">
        <v>1</v>
      </c>
      <c r="D581" s="3" t="str">
        <f>VLOOKUP(B581,'Element wise-detail Summary'!$A:$D,2,0)</f>
        <v>PV26</v>
      </c>
      <c r="E581" s="143" t="str">
        <f>VLOOKUP(B581,'Element wise-detail Summary'!$A:$D,3,0)</f>
        <v>Zone-6</v>
      </c>
      <c r="F581" s="143" t="str">
        <f>VLOOKUP(B581,'AFC Data details'!$B:$B,1,0)</f>
        <v>AZ6-PV26-T1C6-004</v>
      </c>
    </row>
    <row r="582" spans="1:6" x14ac:dyDescent="0.25">
      <c r="A582" s="149">
        <v>46149</v>
      </c>
      <c r="B582" s="234" t="s">
        <v>2095</v>
      </c>
      <c r="C582" s="3">
        <v>1</v>
      </c>
      <c r="D582" s="3" t="str">
        <f>VLOOKUP(B582,'Element wise-detail Summary'!$A:$D,2,0)</f>
        <v>PV26</v>
      </c>
      <c r="E582" s="143" t="str">
        <f>VLOOKUP(B582,'Element wise-detail Summary'!$A:$D,3,0)</f>
        <v>Zone-6</v>
      </c>
      <c r="F582" s="143" t="str">
        <f>VLOOKUP(B582,'AFC Data details'!$B:$B,1,0)</f>
        <v>AZ6-PV26-T1C6-005</v>
      </c>
    </row>
    <row r="583" spans="1:6" x14ac:dyDescent="0.25">
      <c r="A583" s="149">
        <v>46149</v>
      </c>
      <c r="B583" s="234" t="s">
        <v>2090</v>
      </c>
      <c r="C583" s="3">
        <v>1</v>
      </c>
      <c r="D583" s="3" t="str">
        <f>VLOOKUP(B583,'Element wise-detail Summary'!$A:$D,2,0)</f>
        <v>PV27</v>
      </c>
      <c r="E583" s="143" t="str">
        <f>VLOOKUP(B583,'Element wise-detail Summary'!$A:$D,3,0)</f>
        <v>Zone-6</v>
      </c>
      <c r="F583" s="143" t="str">
        <f>VLOOKUP(B583,'AFC Data details'!$B:$B,1,0)</f>
        <v>AZ6-PV27-T1C6-006</v>
      </c>
    </row>
    <row r="584" spans="1:6" x14ac:dyDescent="0.25">
      <c r="A584" s="149">
        <v>46149</v>
      </c>
      <c r="B584" s="234" t="s">
        <v>2109</v>
      </c>
      <c r="C584" s="3">
        <v>1</v>
      </c>
      <c r="D584" s="3" t="str">
        <f>VLOOKUP(B584,'Element wise-detail Summary'!$A:$D,2,0)</f>
        <v>PV26</v>
      </c>
      <c r="E584" s="143" t="str">
        <f>VLOOKUP(B584,'Element wise-detail Summary'!$A:$D,3,0)</f>
        <v>Zone-6</v>
      </c>
      <c r="F584" s="143" t="str">
        <f>VLOOKUP(B584,'AFC Data details'!$B:$B,1,0)</f>
        <v>AZ6-PV26-T1C6-006</v>
      </c>
    </row>
    <row r="585" spans="1:6" x14ac:dyDescent="0.25">
      <c r="A585" s="149">
        <v>46149</v>
      </c>
      <c r="B585" s="234" t="s">
        <v>1902</v>
      </c>
      <c r="C585" s="3">
        <v>1</v>
      </c>
      <c r="D585" s="3" t="str">
        <f>VLOOKUP(B585,'Element wise-detail Summary'!$A:$D,2,0)</f>
        <v>PV26</v>
      </c>
      <c r="E585" s="143" t="str">
        <f>VLOOKUP(B585,'Element wise-detail Summary'!$A:$D,3,0)</f>
        <v>Zone-6</v>
      </c>
      <c r="F585" s="143" t="str">
        <f>VLOOKUP(B585,'AFC Data details'!$B:$B,1,0)</f>
        <v>AZ6-PV26-T3C4-002</v>
      </c>
    </row>
    <row r="586" spans="1:6" x14ac:dyDescent="0.25">
      <c r="A586" s="149">
        <v>46149</v>
      </c>
      <c r="B586" s="234" t="s">
        <v>1901</v>
      </c>
      <c r="C586" s="3">
        <v>1</v>
      </c>
      <c r="D586" s="3" t="str">
        <f>VLOOKUP(B586,'Element wise-detail Summary'!$A:$D,2,0)</f>
        <v>PV26</v>
      </c>
      <c r="E586" s="143" t="str">
        <f>VLOOKUP(B586,'Element wise-detail Summary'!$A:$D,3,0)</f>
        <v>Zone-6</v>
      </c>
      <c r="F586" s="143" t="str">
        <f>VLOOKUP(B586,'AFC Data details'!$B:$B,1,0)</f>
        <v>AZ6-PV26-T3C4-001</v>
      </c>
    </row>
    <row r="587" spans="1:6" x14ac:dyDescent="0.25">
      <c r="A587" s="149">
        <v>46149</v>
      </c>
      <c r="B587" s="234" t="s">
        <v>1894</v>
      </c>
      <c r="C587" s="3">
        <v>1</v>
      </c>
      <c r="D587" s="3" t="str">
        <f>VLOOKUP(B587,'Element wise-detail Summary'!$A:$D,2,0)</f>
        <v>PV25</v>
      </c>
      <c r="E587" s="143" t="str">
        <f>VLOOKUP(B587,'Element wise-detail Summary'!$A:$D,3,0)</f>
        <v>Zone-6</v>
      </c>
      <c r="F587" s="143" t="str">
        <f>VLOOKUP(B587,'AFC Data details'!$B:$B,1,0)</f>
        <v>AZ6-PV25-T1C1-001</v>
      </c>
    </row>
    <row r="588" spans="1:6" x14ac:dyDescent="0.25">
      <c r="A588" s="149">
        <v>46149</v>
      </c>
      <c r="B588" s="234" t="s">
        <v>1898</v>
      </c>
      <c r="C588" s="3">
        <v>1</v>
      </c>
      <c r="D588" s="3" t="str">
        <f>VLOOKUP(B588,'Element wise-detail Summary'!$A:$D,2,0)</f>
        <v>PV25</v>
      </c>
      <c r="E588" s="143" t="str">
        <f>VLOOKUP(B588,'Element wise-detail Summary'!$A:$D,3,0)</f>
        <v>Zone-6</v>
      </c>
      <c r="F588" s="143" t="str">
        <f>VLOOKUP(B588,'AFC Data details'!$B:$B,1,0)</f>
        <v>AZ6-PV25-T3C4-002</v>
      </c>
    </row>
    <row r="589" spans="1:6" x14ac:dyDescent="0.25">
      <c r="A589" s="149">
        <v>46149</v>
      </c>
      <c r="B589" s="234" t="s">
        <v>1897</v>
      </c>
      <c r="C589" s="3">
        <v>1</v>
      </c>
      <c r="D589" s="3" t="str">
        <f>VLOOKUP(B589,'Element wise-detail Summary'!$A:$D,2,0)</f>
        <v>PV25</v>
      </c>
      <c r="E589" s="143" t="str">
        <f>VLOOKUP(B589,'Element wise-detail Summary'!$A:$D,3,0)</f>
        <v>Zone-6</v>
      </c>
      <c r="F589" s="143" t="str">
        <f>VLOOKUP(B589,'AFC Data details'!$B:$B,1,0)</f>
        <v>AZ6-PV25-T3C4-001</v>
      </c>
    </row>
    <row r="590" spans="1:6" x14ac:dyDescent="0.25">
      <c r="A590" s="149">
        <v>46149</v>
      </c>
      <c r="B590" s="234" t="s">
        <v>1895</v>
      </c>
      <c r="C590" s="3">
        <v>1</v>
      </c>
      <c r="D590" s="3" t="str">
        <f>VLOOKUP(B590,'Element wise-detail Summary'!$A:$D,2,0)</f>
        <v>PV25</v>
      </c>
      <c r="E590" s="143" t="str">
        <f>VLOOKUP(B590,'Element wise-detail Summary'!$A:$D,3,0)</f>
        <v>Zone-6</v>
      </c>
      <c r="F590" s="143" t="str">
        <f>VLOOKUP(B590,'AFC Data details'!$B:$B,1,0)</f>
        <v>AZ6-PV25-T1C13-001</v>
      </c>
    </row>
    <row r="591" spans="1:6" x14ac:dyDescent="0.25">
      <c r="A591" s="149">
        <v>46149</v>
      </c>
      <c r="B591" s="234" t="s">
        <v>2085</v>
      </c>
      <c r="C591" s="3">
        <v>1</v>
      </c>
      <c r="D591" s="3" t="str">
        <f>VLOOKUP(B591,'Element wise-detail Summary'!$A:$D,2,0)</f>
        <v>PV25</v>
      </c>
      <c r="E591" s="143" t="str">
        <f>VLOOKUP(B591,'Element wise-detail Summary'!$A:$D,3,0)</f>
        <v>Zone-6</v>
      </c>
      <c r="F591" s="143" t="str">
        <f>VLOOKUP(B591,'AFC Data details'!$B:$B,1,0)</f>
        <v>AZ6-PV25-T1C13-002</v>
      </c>
    </row>
    <row r="592" spans="1:6" x14ac:dyDescent="0.25">
      <c r="A592" s="149">
        <v>46149</v>
      </c>
      <c r="B592" s="234" t="s">
        <v>2086</v>
      </c>
      <c r="C592" s="3">
        <v>1</v>
      </c>
      <c r="D592" s="3" t="str">
        <f>VLOOKUP(B592,'Element wise-detail Summary'!$A:$D,2,0)</f>
        <v>PV25</v>
      </c>
      <c r="E592" s="143" t="str">
        <f>VLOOKUP(B592,'Element wise-detail Summary'!$A:$D,3,0)</f>
        <v>Zone-6</v>
      </c>
      <c r="F592" s="143" t="str">
        <f>VLOOKUP(B592,'AFC Data details'!$B:$B,1,0)</f>
        <v>AZ6-PV25-T1C13-003</v>
      </c>
    </row>
    <row r="593" spans="1:6" x14ac:dyDescent="0.25">
      <c r="A593" s="149">
        <v>46149</v>
      </c>
      <c r="B593" s="234" t="s">
        <v>2087</v>
      </c>
      <c r="C593" s="3">
        <v>1</v>
      </c>
      <c r="D593" s="3" t="str">
        <f>VLOOKUP(B593,'Element wise-detail Summary'!$A:$D,2,0)</f>
        <v>PV25</v>
      </c>
      <c r="E593" s="143" t="str">
        <f>VLOOKUP(B593,'Element wise-detail Summary'!$A:$D,3,0)</f>
        <v>Zone-6</v>
      </c>
      <c r="F593" s="143" t="str">
        <f>VLOOKUP(B593,'AFC Data details'!$B:$B,1,0)</f>
        <v>AZ6-PV25-T1C13-004</v>
      </c>
    </row>
    <row r="594" spans="1:6" x14ac:dyDescent="0.25">
      <c r="A594" s="149">
        <v>46149</v>
      </c>
      <c r="B594" s="234" t="s">
        <v>2088</v>
      </c>
      <c r="C594" s="3">
        <v>1</v>
      </c>
      <c r="D594" s="3" t="str">
        <f>VLOOKUP(B594,'Element wise-detail Summary'!$A:$D,2,0)</f>
        <v>PV25</v>
      </c>
      <c r="E594" s="143" t="str">
        <f>VLOOKUP(B594,'Element wise-detail Summary'!$A:$D,3,0)</f>
        <v>Zone-6</v>
      </c>
      <c r="F594" s="143" t="str">
        <f>VLOOKUP(B594,'AFC Data details'!$B:$B,1,0)</f>
        <v>AZ6-PV25-T1C13-005</v>
      </c>
    </row>
    <row r="595" spans="1:6" x14ac:dyDescent="0.25">
      <c r="A595" s="149">
        <v>46149</v>
      </c>
      <c r="B595" s="234" t="s">
        <v>1896</v>
      </c>
      <c r="C595" s="3">
        <v>1</v>
      </c>
      <c r="D595" s="3" t="str">
        <f>VLOOKUP(B595,'Element wise-detail Summary'!$A:$D,2,0)</f>
        <v>PV25</v>
      </c>
      <c r="E595" s="143" t="str">
        <f>VLOOKUP(B595,'Element wise-detail Summary'!$A:$D,3,0)</f>
        <v>Zone-6</v>
      </c>
      <c r="F595" s="143" t="str">
        <f>VLOOKUP(B595,'AFC Data details'!$B:$B,1,0)</f>
        <v>AZ6-PV25-T1C13-006</v>
      </c>
    </row>
    <row r="596" spans="1:6" x14ac:dyDescent="0.25">
      <c r="A596" s="149">
        <v>46149</v>
      </c>
      <c r="B596" s="234" t="s">
        <v>1891</v>
      </c>
      <c r="C596" s="3">
        <v>1</v>
      </c>
      <c r="D596" s="3" t="str">
        <f>VLOOKUP(B596,'Element wise-detail Summary'!$A:$D,2,0)</f>
        <v>PV24</v>
      </c>
      <c r="E596" s="143" t="str">
        <f>VLOOKUP(B596,'Element wise-detail Summary'!$A:$D,3,0)</f>
        <v>Zone-6</v>
      </c>
      <c r="F596" s="143" t="str">
        <f>VLOOKUP(B596,'AFC Data details'!$B:$B,1,0)</f>
        <v>AZ6-PV24-T1C13-006</v>
      </c>
    </row>
    <row r="597" spans="1:6" x14ac:dyDescent="0.25">
      <c r="A597" s="149">
        <v>46149</v>
      </c>
      <c r="B597" s="234" t="s">
        <v>2083</v>
      </c>
      <c r="C597" s="3">
        <v>1</v>
      </c>
      <c r="D597" s="3" t="str">
        <f>VLOOKUP(B597,'Element wise-detail Summary'!$A:$D,2,0)</f>
        <v>PV24</v>
      </c>
      <c r="E597" s="143" t="str">
        <f>VLOOKUP(B597,'Element wise-detail Summary'!$A:$D,3,0)</f>
        <v>Zone-6</v>
      </c>
      <c r="F597" s="143" t="str">
        <f>VLOOKUP(B597,'AFC Data details'!$B:$B,1,0)</f>
        <v>AZ6-PV24-T1C13-005</v>
      </c>
    </row>
    <row r="598" spans="1:6" x14ac:dyDescent="0.25">
      <c r="A598" s="149">
        <v>46149</v>
      </c>
      <c r="B598" s="234" t="s">
        <v>2105</v>
      </c>
      <c r="C598" s="3">
        <v>1</v>
      </c>
      <c r="D598" s="3" t="str">
        <f>VLOOKUP(B598,'Element wise-detail Summary'!$A:$D,2,0)</f>
        <v>PV23</v>
      </c>
      <c r="E598" s="143" t="str">
        <f>VLOOKUP(B598,'Element wise-detail Summary'!$A:$D,3,0)</f>
        <v>Zone-6</v>
      </c>
      <c r="F598" s="143" t="str">
        <f>VLOOKUP(B598,'AFC Data details'!$B:$B,1,0)</f>
        <v>AZ6-PV23-T1C6-002</v>
      </c>
    </row>
    <row r="599" spans="1:6" x14ac:dyDescent="0.25">
      <c r="A599" s="149">
        <v>46149</v>
      </c>
      <c r="B599" s="234" t="s">
        <v>2101</v>
      </c>
      <c r="C599" s="3">
        <v>1</v>
      </c>
      <c r="D599" s="3" t="str">
        <f>VLOOKUP(B599,'Element wise-detail Summary'!$A:$D,2,0)</f>
        <v>PV22</v>
      </c>
      <c r="E599" s="143" t="str">
        <f>VLOOKUP(B599,'Element wise-detail Summary'!$A:$D,3,0)</f>
        <v>Zone-6</v>
      </c>
      <c r="F599" s="143" t="str">
        <f>VLOOKUP(B599,'AFC Data details'!$B:$B,1,0)</f>
        <v>AZ6-PV22-T1C6-002</v>
      </c>
    </row>
    <row r="600" spans="1:6" x14ac:dyDescent="0.25">
      <c r="A600" s="149">
        <v>46149</v>
      </c>
      <c r="B600" s="234" t="s">
        <v>2106</v>
      </c>
      <c r="C600" s="3">
        <v>1</v>
      </c>
      <c r="D600" s="3" t="str">
        <f>VLOOKUP(B600,'Element wise-detail Summary'!$A:$D,2,0)</f>
        <v>PV23</v>
      </c>
      <c r="E600" s="143" t="str">
        <f>VLOOKUP(B600,'Element wise-detail Summary'!$A:$D,3,0)</f>
        <v>Zone-6</v>
      </c>
      <c r="F600" s="143" t="str">
        <f>VLOOKUP(B600,'AFC Data details'!$B:$B,1,0)</f>
        <v>AZ6-PV23-T1C6-003</v>
      </c>
    </row>
    <row r="601" spans="1:6" x14ac:dyDescent="0.25">
      <c r="A601" s="149">
        <v>46149</v>
      </c>
      <c r="B601" s="234" t="s">
        <v>2102</v>
      </c>
      <c r="C601" s="3">
        <v>1</v>
      </c>
      <c r="D601" s="3" t="str">
        <f>VLOOKUP(B601,'Element wise-detail Summary'!$A:$D,2,0)</f>
        <v>PV22</v>
      </c>
      <c r="E601" s="143" t="str">
        <f>VLOOKUP(B601,'Element wise-detail Summary'!$A:$D,3,0)</f>
        <v>Zone-6</v>
      </c>
      <c r="F601" s="143" t="str">
        <f>VLOOKUP(B601,'AFC Data details'!$B:$B,1,0)</f>
        <v>AZ6-PV22-T1C6-003</v>
      </c>
    </row>
    <row r="602" spans="1:6" x14ac:dyDescent="0.25">
      <c r="A602" s="149">
        <v>46149</v>
      </c>
      <c r="B602" s="234" t="s">
        <v>2107</v>
      </c>
      <c r="C602" s="3">
        <v>1</v>
      </c>
      <c r="D602" s="3" t="str">
        <f>VLOOKUP(B602,'Element wise-detail Summary'!$A:$D,2,0)</f>
        <v>PV23</v>
      </c>
      <c r="E602" s="143" t="str">
        <f>VLOOKUP(B602,'Element wise-detail Summary'!$A:$D,3,0)</f>
        <v>Zone-6</v>
      </c>
      <c r="F602" s="143" t="str">
        <f>VLOOKUP(B602,'AFC Data details'!$B:$B,1,0)</f>
        <v>AZ6-PV23-T1C6-004</v>
      </c>
    </row>
    <row r="603" spans="1:6" x14ac:dyDescent="0.25">
      <c r="A603" s="149">
        <v>46149</v>
      </c>
      <c r="B603" s="234" t="s">
        <v>2103</v>
      </c>
      <c r="C603" s="3">
        <v>1</v>
      </c>
      <c r="D603" s="3" t="str">
        <f>VLOOKUP(B603,'Element wise-detail Summary'!$A:$D,2,0)</f>
        <v>PV22</v>
      </c>
      <c r="E603" s="143" t="str">
        <f>VLOOKUP(B603,'Element wise-detail Summary'!$A:$D,3,0)</f>
        <v>Zone-6</v>
      </c>
      <c r="F603" s="143" t="str">
        <f>VLOOKUP(B603,'AFC Data details'!$B:$B,1,0)</f>
        <v>AZ6-PV22-T1C6-004</v>
      </c>
    </row>
    <row r="604" spans="1:6" x14ac:dyDescent="0.25">
      <c r="A604" s="149">
        <v>46149</v>
      </c>
      <c r="B604" s="234" t="s">
        <v>2108</v>
      </c>
      <c r="C604" s="3">
        <v>1</v>
      </c>
      <c r="D604" s="3" t="str">
        <f>VLOOKUP(B604,'Element wise-detail Summary'!$A:$D,2,0)</f>
        <v>PV23</v>
      </c>
      <c r="E604" s="143" t="str">
        <f>VLOOKUP(B604,'Element wise-detail Summary'!$A:$D,3,0)</f>
        <v>Zone-6</v>
      </c>
      <c r="F604" s="143" t="str">
        <f>VLOOKUP(B604,'AFC Data details'!$B:$B,1,0)</f>
        <v>AZ6-PV23-T1C6-005</v>
      </c>
    </row>
    <row r="605" spans="1:6" x14ac:dyDescent="0.25">
      <c r="A605" s="149">
        <v>46149</v>
      </c>
      <c r="B605" s="234" t="s">
        <v>2104</v>
      </c>
      <c r="C605" s="3">
        <v>1</v>
      </c>
      <c r="D605" s="3" t="str">
        <f>VLOOKUP(B605,'Element wise-detail Summary'!$A:$D,2,0)</f>
        <v>PV22</v>
      </c>
      <c r="E605" s="143" t="str">
        <f>VLOOKUP(B605,'Element wise-detail Summary'!$A:$D,3,0)</f>
        <v>Zone-6</v>
      </c>
      <c r="F605" s="143" t="str">
        <f>VLOOKUP(B605,'AFC Data details'!$B:$B,1,0)</f>
        <v>AZ6-PV22-T1C6-005</v>
      </c>
    </row>
  </sheetData>
  <autoFilter ref="A1:F472" xr:uid="{CCD9AD59-039E-4644-9D49-D654BC089FDF}"/>
  <conditionalFormatting sqref="B1:B1048576">
    <cfRule type="duplicateValues" dxfId="4" priority="1"/>
  </conditionalFormatting>
  <conditionalFormatting sqref="B406:B472">
    <cfRule type="duplicateValues" dxfId="3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777B-802B-48F2-8565-A2105FF46BF2}">
  <dimension ref="A1:V1197"/>
  <sheetViews>
    <sheetView zoomScale="85" zoomScaleNormal="85" workbookViewId="0">
      <pane ySplit="1" topLeftCell="A693" activePane="bottomLeft" state="frozen"/>
      <selection activeCell="C1" sqref="C1"/>
      <selection pane="bottomLeft" activeCell="E714" sqref="E714"/>
    </sheetView>
  </sheetViews>
  <sheetFormatPr defaultRowHeight="15" x14ac:dyDescent="0.25"/>
  <cols>
    <col min="1" max="1" width="8.140625" style="57" customWidth="1"/>
    <col min="2" max="2" width="23" style="57" customWidth="1"/>
    <col min="3" max="9" width="8.85546875" style="57"/>
    <col min="10" max="10" width="14.5703125" style="57" bestFit="1" customWidth="1"/>
    <col min="11" max="12" width="8.85546875" style="57"/>
    <col min="13" max="13" width="15.28515625" style="156" bestFit="1" customWidth="1"/>
    <col min="14" max="14" width="8.85546875" style="57"/>
    <col min="15" max="15" width="10.7109375" style="165" customWidth="1"/>
    <col min="16" max="17" width="8.85546875" style="57"/>
    <col min="18" max="18" width="19.42578125" style="166" customWidth="1"/>
    <col min="22" max="22" width="14.7109375" bestFit="1" customWidth="1"/>
  </cols>
  <sheetData>
    <row r="1" spans="1:22" x14ac:dyDescent="0.25">
      <c r="A1" s="57" t="s">
        <v>0</v>
      </c>
      <c r="B1" s="57" t="s">
        <v>1</v>
      </c>
      <c r="C1" s="57" t="s">
        <v>1205</v>
      </c>
      <c r="D1" s="57" t="s">
        <v>1140</v>
      </c>
      <c r="E1" s="57" t="s">
        <v>2</v>
      </c>
      <c r="F1" s="57" t="s">
        <v>3</v>
      </c>
      <c r="G1" s="57" t="s">
        <v>4</v>
      </c>
      <c r="H1" s="57" t="s">
        <v>44</v>
      </c>
      <c r="I1" s="57" t="s">
        <v>6</v>
      </c>
      <c r="J1" s="57" t="s">
        <v>7</v>
      </c>
      <c r="K1" s="57" t="s">
        <v>1159</v>
      </c>
      <c r="L1" s="57" t="s">
        <v>39</v>
      </c>
      <c r="M1" s="156" t="s">
        <v>8</v>
      </c>
      <c r="N1" s="57" t="s">
        <v>9</v>
      </c>
      <c r="O1" s="165" t="s">
        <v>10</v>
      </c>
      <c r="P1" s="57" t="s">
        <v>11</v>
      </c>
      <c r="Q1" s="57" t="s">
        <v>12</v>
      </c>
      <c r="R1" s="166" t="s">
        <v>2434</v>
      </c>
      <c r="S1" t="s">
        <v>353</v>
      </c>
      <c r="T1" t="s">
        <v>14</v>
      </c>
      <c r="U1" t="s">
        <v>15</v>
      </c>
      <c r="V1" t="s">
        <v>16</v>
      </c>
    </row>
    <row r="2" spans="1:22" x14ac:dyDescent="0.25">
      <c r="A2" s="57">
        <v>1</v>
      </c>
      <c r="B2" s="57" t="s">
        <v>1166</v>
      </c>
      <c r="C2" s="57">
        <v>1</v>
      </c>
      <c r="D2" s="57" t="s">
        <v>1718</v>
      </c>
      <c r="E2" s="57" t="s">
        <v>1719</v>
      </c>
      <c r="F2" s="57">
        <v>4480</v>
      </c>
      <c r="G2" s="57">
        <v>3140</v>
      </c>
      <c r="H2" s="57">
        <v>120</v>
      </c>
      <c r="I2" s="57" t="s">
        <v>1206</v>
      </c>
      <c r="J2" s="57" t="s">
        <v>1207</v>
      </c>
      <c r="L2" s="57" t="s">
        <v>47</v>
      </c>
      <c r="M2" s="156">
        <v>45895</v>
      </c>
      <c r="N2" s="57">
        <v>1</v>
      </c>
      <c r="P2" s="167">
        <v>1.7869999999999999</v>
      </c>
      <c r="Q2" s="171">
        <v>4.468</v>
      </c>
      <c r="R2" s="166">
        <f>IFERROR(VLOOKUP(B2,#REF!,1,0),0)</f>
        <v>0</v>
      </c>
    </row>
    <row r="3" spans="1:22" x14ac:dyDescent="0.25">
      <c r="A3" s="57">
        <v>2</v>
      </c>
      <c r="B3" s="57" t="s">
        <v>1176</v>
      </c>
      <c r="C3" s="57">
        <v>1</v>
      </c>
      <c r="D3" s="57" t="s">
        <v>1718</v>
      </c>
      <c r="E3" s="57" t="s">
        <v>1719</v>
      </c>
      <c r="F3" s="57">
        <v>4450</v>
      </c>
      <c r="G3" s="57">
        <v>3140</v>
      </c>
      <c r="H3" s="57">
        <v>120</v>
      </c>
      <c r="I3" s="57" t="s">
        <v>1206</v>
      </c>
      <c r="J3" s="57" t="s">
        <v>1207</v>
      </c>
      <c r="L3" s="57" t="s">
        <v>47</v>
      </c>
      <c r="M3" s="156">
        <v>45895</v>
      </c>
      <c r="N3" s="57">
        <v>1</v>
      </c>
      <c r="P3" s="167">
        <v>1.7789999999999999</v>
      </c>
      <c r="Q3" s="171">
        <v>4.4480000000000004</v>
      </c>
      <c r="R3" s="166">
        <f>IFERROR(VLOOKUP(B3,#REF!,1,0),0)</f>
        <v>0</v>
      </c>
    </row>
    <row r="4" spans="1:22" x14ac:dyDescent="0.25">
      <c r="A4" s="57">
        <v>3</v>
      </c>
      <c r="B4" s="57" t="s">
        <v>1181</v>
      </c>
      <c r="C4" s="57">
        <v>1</v>
      </c>
      <c r="D4" s="57" t="s">
        <v>1718</v>
      </c>
      <c r="E4" s="57" t="s">
        <v>1719</v>
      </c>
      <c r="F4" s="57">
        <v>4450</v>
      </c>
      <c r="G4" s="57">
        <v>3140</v>
      </c>
      <c r="H4" s="57">
        <v>120</v>
      </c>
      <c r="I4" s="57" t="s">
        <v>1206</v>
      </c>
      <c r="J4" s="57" t="s">
        <v>1207</v>
      </c>
      <c r="L4" s="57" t="s">
        <v>47</v>
      </c>
      <c r="M4" s="156">
        <v>45895</v>
      </c>
      <c r="N4" s="57">
        <v>1</v>
      </c>
      <c r="P4" s="167">
        <v>1.7789999999999999</v>
      </c>
      <c r="Q4" s="171">
        <v>4.4480000000000004</v>
      </c>
      <c r="R4" s="166">
        <f>IFERROR(VLOOKUP(B4,#REF!,1,0),0)</f>
        <v>0</v>
      </c>
    </row>
    <row r="5" spans="1:22" x14ac:dyDescent="0.25">
      <c r="A5" s="57">
        <v>4</v>
      </c>
      <c r="B5" s="57" t="s">
        <v>1178</v>
      </c>
      <c r="C5" s="57">
        <v>1</v>
      </c>
      <c r="D5" s="57" t="s">
        <v>1718</v>
      </c>
      <c r="E5" s="57" t="s">
        <v>1719</v>
      </c>
      <c r="F5" s="57">
        <v>4450</v>
      </c>
      <c r="G5" s="57">
        <v>3250</v>
      </c>
      <c r="H5" s="57">
        <v>120</v>
      </c>
      <c r="I5" s="57" t="s">
        <v>1206</v>
      </c>
      <c r="J5" s="57" t="s">
        <v>1208</v>
      </c>
      <c r="L5" s="57" t="s">
        <v>47</v>
      </c>
      <c r="M5" s="156">
        <v>45895</v>
      </c>
      <c r="N5" s="57">
        <v>1</v>
      </c>
      <c r="P5" s="167">
        <v>1.8939999999999999</v>
      </c>
      <c r="Q5" s="171">
        <v>4.7350000000000003</v>
      </c>
      <c r="R5" s="166">
        <f>IFERROR(VLOOKUP(B5,#REF!,1,0),0)</f>
        <v>0</v>
      </c>
    </row>
    <row r="6" spans="1:22" x14ac:dyDescent="0.25">
      <c r="A6" s="57">
        <v>5</v>
      </c>
      <c r="B6" s="57" t="s">
        <v>1180</v>
      </c>
      <c r="C6" s="57">
        <v>1</v>
      </c>
      <c r="D6" s="57" t="s">
        <v>1718</v>
      </c>
      <c r="E6" s="57" t="s">
        <v>1719</v>
      </c>
      <c r="F6" s="57">
        <v>4450</v>
      </c>
      <c r="G6" s="57">
        <v>3250</v>
      </c>
      <c r="H6" s="57">
        <v>120</v>
      </c>
      <c r="I6" s="57" t="s">
        <v>1206</v>
      </c>
      <c r="J6" s="57" t="s">
        <v>1208</v>
      </c>
      <c r="L6" s="57" t="s">
        <v>47</v>
      </c>
      <c r="M6" s="156">
        <v>45895</v>
      </c>
      <c r="N6" s="57">
        <v>1</v>
      </c>
      <c r="P6" s="167">
        <v>1.8939999999999999</v>
      </c>
      <c r="Q6" s="171">
        <v>4.7350000000000003</v>
      </c>
      <c r="R6" s="166">
        <f>IFERROR(VLOOKUP(B6,#REF!,1,0),0)</f>
        <v>0</v>
      </c>
    </row>
    <row r="7" spans="1:22" x14ac:dyDescent="0.25">
      <c r="A7" s="57">
        <v>6</v>
      </c>
      <c r="B7" s="57" t="s">
        <v>1168</v>
      </c>
      <c r="C7" s="57">
        <v>1</v>
      </c>
      <c r="D7" s="57" t="s">
        <v>1718</v>
      </c>
      <c r="E7" s="57" t="s">
        <v>1719</v>
      </c>
      <c r="F7" s="57">
        <v>4450</v>
      </c>
      <c r="G7" s="57">
        <v>3405</v>
      </c>
      <c r="H7" s="57">
        <v>120</v>
      </c>
      <c r="I7" s="57" t="s">
        <v>1206</v>
      </c>
      <c r="J7" s="57" t="s">
        <v>1208</v>
      </c>
      <c r="L7" s="57" t="s">
        <v>47</v>
      </c>
      <c r="M7" s="156">
        <v>45895</v>
      </c>
      <c r="N7" s="57">
        <v>1</v>
      </c>
      <c r="P7" s="167">
        <v>1.9770000000000001</v>
      </c>
      <c r="Q7" s="171">
        <v>4.9429999999999996</v>
      </c>
      <c r="R7" s="166">
        <f>IFERROR(VLOOKUP(B7,#REF!,1,0),0)</f>
        <v>0</v>
      </c>
    </row>
    <row r="8" spans="1:22" x14ac:dyDescent="0.25">
      <c r="A8" s="57">
        <v>7</v>
      </c>
      <c r="B8" s="57" t="s">
        <v>1187</v>
      </c>
      <c r="C8" s="57">
        <v>1</v>
      </c>
      <c r="D8" s="57" t="s">
        <v>1718</v>
      </c>
      <c r="E8" s="57" t="s">
        <v>1719</v>
      </c>
      <c r="F8" s="57">
        <v>4450</v>
      </c>
      <c r="G8" s="57">
        <v>3530</v>
      </c>
      <c r="H8" s="57">
        <v>120</v>
      </c>
      <c r="I8" s="57" t="s">
        <v>1206</v>
      </c>
      <c r="J8" s="57" t="s">
        <v>1209</v>
      </c>
      <c r="L8" s="57" t="s">
        <v>47</v>
      </c>
      <c r="M8" s="156">
        <v>45895</v>
      </c>
      <c r="N8" s="57">
        <v>1</v>
      </c>
      <c r="P8" s="167">
        <v>2.1379999999999999</v>
      </c>
      <c r="Q8" s="171">
        <v>5.3449999999999998</v>
      </c>
      <c r="R8" s="166">
        <f>IFERROR(VLOOKUP(B8,#REF!,1,0),0)</f>
        <v>0</v>
      </c>
    </row>
    <row r="9" spans="1:22" x14ac:dyDescent="0.25">
      <c r="A9" s="57">
        <v>8</v>
      </c>
      <c r="B9" s="57" t="s">
        <v>1194</v>
      </c>
      <c r="C9" s="57">
        <v>1</v>
      </c>
      <c r="D9" s="57" t="s">
        <v>1718</v>
      </c>
      <c r="E9" s="57" t="s">
        <v>1719</v>
      </c>
      <c r="F9" s="57">
        <v>5300</v>
      </c>
      <c r="G9" s="57">
        <v>2980</v>
      </c>
      <c r="H9" s="57">
        <v>120</v>
      </c>
      <c r="I9" s="57" t="s">
        <v>1206</v>
      </c>
      <c r="J9" s="57" t="s">
        <v>1210</v>
      </c>
      <c r="L9" s="57" t="s">
        <v>47</v>
      </c>
      <c r="M9" s="156">
        <v>45895</v>
      </c>
      <c r="N9" s="57">
        <v>1</v>
      </c>
      <c r="P9" s="167">
        <v>1.9910000000000001</v>
      </c>
      <c r="Q9" s="171">
        <v>4.9779999999999998</v>
      </c>
      <c r="R9" s="166">
        <f>IFERROR(VLOOKUP(B9,#REF!,1,0),0)</f>
        <v>0</v>
      </c>
    </row>
    <row r="10" spans="1:22" x14ac:dyDescent="0.25">
      <c r="A10" s="57">
        <v>9</v>
      </c>
      <c r="B10" s="57" t="s">
        <v>1190</v>
      </c>
      <c r="C10" s="57">
        <v>1</v>
      </c>
      <c r="D10" s="57" t="s">
        <v>1718</v>
      </c>
      <c r="E10" s="57" t="s">
        <v>1719</v>
      </c>
      <c r="F10" s="57">
        <v>5770</v>
      </c>
      <c r="G10" s="57">
        <v>2980</v>
      </c>
      <c r="H10" s="57">
        <v>120</v>
      </c>
      <c r="I10" s="57" t="s">
        <v>1206</v>
      </c>
      <c r="J10" s="57" t="s">
        <v>1211</v>
      </c>
      <c r="L10" s="57" t="s">
        <v>47</v>
      </c>
      <c r="M10" s="156">
        <v>45895</v>
      </c>
      <c r="N10" s="57">
        <v>1</v>
      </c>
      <c r="P10" s="167">
        <v>2.2160000000000002</v>
      </c>
      <c r="Q10" s="171">
        <v>5.54</v>
      </c>
      <c r="R10" s="166">
        <f>IFERROR(VLOOKUP(B10,#REF!,1,0),0)</f>
        <v>0</v>
      </c>
    </row>
    <row r="11" spans="1:22" x14ac:dyDescent="0.25">
      <c r="A11" s="57">
        <v>10</v>
      </c>
      <c r="B11" s="57" t="s">
        <v>1172</v>
      </c>
      <c r="C11" s="57">
        <v>1</v>
      </c>
      <c r="D11" s="57" t="s">
        <v>1718</v>
      </c>
      <c r="E11" s="57" t="s">
        <v>1719</v>
      </c>
      <c r="F11" s="57">
        <v>4310</v>
      </c>
      <c r="G11" s="57">
        <v>2800</v>
      </c>
      <c r="H11" s="57">
        <v>120</v>
      </c>
      <c r="I11" s="57" t="s">
        <v>1161</v>
      </c>
      <c r="J11" s="57" t="s">
        <v>797</v>
      </c>
      <c r="L11" s="57" t="s">
        <v>165</v>
      </c>
      <c r="M11" s="156">
        <v>45895</v>
      </c>
      <c r="N11" s="57">
        <v>2</v>
      </c>
      <c r="O11" s="165">
        <v>45899</v>
      </c>
      <c r="P11" s="167">
        <v>1.413</v>
      </c>
      <c r="Q11" s="171">
        <v>3.5329999999999999</v>
      </c>
      <c r="R11" s="166">
        <f>IFERROR(VLOOKUP(B11,#REF!,1,0),0)</f>
        <v>0</v>
      </c>
    </row>
    <row r="12" spans="1:22" x14ac:dyDescent="0.25">
      <c r="A12" s="57">
        <v>11</v>
      </c>
      <c r="B12" s="57" t="s">
        <v>1177</v>
      </c>
      <c r="C12" s="57">
        <v>1</v>
      </c>
      <c r="D12" s="57" t="s">
        <v>1718</v>
      </c>
      <c r="E12" s="57" t="s">
        <v>1719</v>
      </c>
      <c r="F12" s="57">
        <v>4925</v>
      </c>
      <c r="G12" s="57">
        <v>2380</v>
      </c>
      <c r="H12" s="57">
        <v>120</v>
      </c>
      <c r="I12" s="57" t="s">
        <v>1212</v>
      </c>
      <c r="J12" s="57" t="s">
        <v>1213</v>
      </c>
      <c r="L12" s="57" t="s">
        <v>47</v>
      </c>
      <c r="M12" s="156">
        <v>45895</v>
      </c>
      <c r="N12" s="57">
        <v>2</v>
      </c>
      <c r="P12" s="167">
        <v>1.69</v>
      </c>
      <c r="Q12" s="171">
        <v>4.2249999999999996</v>
      </c>
      <c r="R12" s="166">
        <f>IFERROR(VLOOKUP(B12,#REF!,1,0),0)</f>
        <v>0</v>
      </c>
    </row>
    <row r="13" spans="1:22" x14ac:dyDescent="0.25">
      <c r="A13" s="57">
        <v>12</v>
      </c>
      <c r="B13" s="57" t="s">
        <v>1175</v>
      </c>
      <c r="C13" s="57">
        <v>1</v>
      </c>
      <c r="D13" s="57" t="s">
        <v>1718</v>
      </c>
      <c r="E13" s="57" t="s">
        <v>1719</v>
      </c>
      <c r="F13" s="57">
        <v>4925</v>
      </c>
      <c r="G13" s="57">
        <v>2380</v>
      </c>
      <c r="H13" s="57">
        <v>120</v>
      </c>
      <c r="I13" s="57" t="s">
        <v>1212</v>
      </c>
      <c r="J13" s="57" t="s">
        <v>1213</v>
      </c>
      <c r="L13" s="57" t="s">
        <v>47</v>
      </c>
      <c r="M13" s="156">
        <v>45895</v>
      </c>
      <c r="N13" s="57">
        <v>2</v>
      </c>
      <c r="P13" s="167">
        <v>1.69</v>
      </c>
      <c r="Q13" s="171">
        <v>4.2249999999999996</v>
      </c>
      <c r="R13" s="166">
        <f>IFERROR(VLOOKUP(B13,#REF!,1,0),0)</f>
        <v>0</v>
      </c>
    </row>
    <row r="14" spans="1:22" x14ac:dyDescent="0.25">
      <c r="A14" s="57">
        <v>13</v>
      </c>
      <c r="B14" s="57" t="s">
        <v>1185</v>
      </c>
      <c r="C14" s="57">
        <v>1</v>
      </c>
      <c r="D14" s="57" t="s">
        <v>1718</v>
      </c>
      <c r="E14" s="57" t="s">
        <v>1719</v>
      </c>
      <c r="F14" s="57">
        <v>4920</v>
      </c>
      <c r="G14" s="57">
        <v>3580</v>
      </c>
      <c r="H14" s="57">
        <v>120</v>
      </c>
      <c r="I14" s="57" t="s">
        <v>1212</v>
      </c>
      <c r="J14" s="57" t="s">
        <v>1213</v>
      </c>
      <c r="L14" s="57" t="s">
        <v>47</v>
      </c>
      <c r="M14" s="156">
        <v>45895</v>
      </c>
      <c r="N14" s="57">
        <v>2</v>
      </c>
      <c r="P14" s="167">
        <v>1.8620000000000001</v>
      </c>
      <c r="Q14" s="171">
        <v>4.6550000000000002</v>
      </c>
      <c r="R14" s="166">
        <f>IFERROR(VLOOKUP(B14,#REF!,1,0),0)</f>
        <v>0</v>
      </c>
    </row>
    <row r="15" spans="1:22" x14ac:dyDescent="0.25">
      <c r="A15" s="57">
        <v>14</v>
      </c>
      <c r="B15" s="57" t="s">
        <v>1174</v>
      </c>
      <c r="C15" s="57">
        <v>1</v>
      </c>
      <c r="D15" s="57" t="s">
        <v>1718</v>
      </c>
      <c r="E15" s="57" t="s">
        <v>1720</v>
      </c>
      <c r="F15" s="57">
        <v>2400</v>
      </c>
      <c r="G15" s="57">
        <v>3580</v>
      </c>
      <c r="H15" s="57">
        <v>120</v>
      </c>
      <c r="I15" s="57" t="s">
        <v>46</v>
      </c>
      <c r="J15" s="57" t="s">
        <v>1214</v>
      </c>
      <c r="L15" s="57" t="s">
        <v>47</v>
      </c>
      <c r="M15" s="156">
        <v>45895</v>
      </c>
      <c r="N15" s="57">
        <v>1</v>
      </c>
      <c r="P15" s="167">
        <v>1.2509999999999999</v>
      </c>
      <c r="Q15" s="171">
        <v>3.1280000000000001</v>
      </c>
      <c r="R15" s="166">
        <f>IFERROR(VLOOKUP(B15,#REF!,1,0),0)</f>
        <v>0</v>
      </c>
    </row>
    <row r="16" spans="1:22" x14ac:dyDescent="0.25">
      <c r="A16" s="57">
        <v>15</v>
      </c>
      <c r="B16" s="57" t="s">
        <v>1197</v>
      </c>
      <c r="C16" s="57">
        <v>1</v>
      </c>
      <c r="D16" s="57" t="s">
        <v>1718</v>
      </c>
      <c r="E16" s="57" t="s">
        <v>1720</v>
      </c>
      <c r="F16" s="57">
        <v>4315</v>
      </c>
      <c r="G16" s="57">
        <v>2860</v>
      </c>
      <c r="H16" s="57">
        <v>120</v>
      </c>
      <c r="I16" s="57" t="s">
        <v>1206</v>
      </c>
      <c r="J16" s="57" t="s">
        <v>1207</v>
      </c>
      <c r="L16" s="57" t="s">
        <v>47</v>
      </c>
      <c r="M16" s="156">
        <v>45895</v>
      </c>
      <c r="N16" s="57">
        <v>1</v>
      </c>
      <c r="P16" s="167">
        <v>1.595</v>
      </c>
      <c r="Q16" s="171">
        <v>3.988</v>
      </c>
      <c r="R16" s="166">
        <f>IFERROR(VLOOKUP(B16,#REF!,1,0),0)</f>
        <v>0</v>
      </c>
    </row>
    <row r="17" spans="1:18" x14ac:dyDescent="0.25">
      <c r="A17" s="57">
        <v>16</v>
      </c>
      <c r="B17" s="57" t="s">
        <v>1167</v>
      </c>
      <c r="C17" s="57">
        <v>1</v>
      </c>
      <c r="D17" s="57" t="s">
        <v>1718</v>
      </c>
      <c r="E17" s="57" t="s">
        <v>1720</v>
      </c>
      <c r="F17" s="57">
        <v>4400</v>
      </c>
      <c r="G17" s="57">
        <v>2860</v>
      </c>
      <c r="H17" s="57">
        <v>120</v>
      </c>
      <c r="I17" s="57" t="s">
        <v>1206</v>
      </c>
      <c r="J17" s="57" t="s">
        <v>1207</v>
      </c>
      <c r="L17" s="57" t="s">
        <v>47</v>
      </c>
      <c r="M17" s="156">
        <v>45895</v>
      </c>
      <c r="N17" s="57">
        <v>1</v>
      </c>
      <c r="P17" s="167">
        <v>1.617</v>
      </c>
      <c r="Q17" s="171">
        <v>4.0430000000000001</v>
      </c>
      <c r="R17" s="166">
        <f>IFERROR(VLOOKUP(B17,#REF!,1,0),0)</f>
        <v>0</v>
      </c>
    </row>
    <row r="18" spans="1:18" x14ac:dyDescent="0.25">
      <c r="A18" s="57">
        <v>17</v>
      </c>
      <c r="B18" s="57" t="s">
        <v>1184</v>
      </c>
      <c r="C18" s="57">
        <v>1</v>
      </c>
      <c r="D18" s="57" t="s">
        <v>1718</v>
      </c>
      <c r="E18" s="57" t="s">
        <v>1720</v>
      </c>
      <c r="F18" s="57">
        <v>4400</v>
      </c>
      <c r="G18" s="57">
        <v>2860</v>
      </c>
      <c r="H18" s="57">
        <v>120</v>
      </c>
      <c r="I18" s="57" t="s">
        <v>1206</v>
      </c>
      <c r="J18" s="57" t="s">
        <v>1207</v>
      </c>
      <c r="L18" s="57" t="s">
        <v>47</v>
      </c>
      <c r="M18" s="156">
        <v>45895</v>
      </c>
      <c r="N18" s="57">
        <v>1</v>
      </c>
      <c r="P18" s="167">
        <v>1.617</v>
      </c>
      <c r="Q18" s="171">
        <v>4.0430000000000001</v>
      </c>
      <c r="R18" s="166">
        <f>IFERROR(VLOOKUP(B18,#REF!,1,0),0)</f>
        <v>0</v>
      </c>
    </row>
    <row r="19" spans="1:18" x14ac:dyDescent="0.25">
      <c r="A19" s="57">
        <v>18</v>
      </c>
      <c r="B19" s="57" t="s">
        <v>1189</v>
      </c>
      <c r="C19" s="57">
        <v>1</v>
      </c>
      <c r="D19" s="57" t="s">
        <v>1718</v>
      </c>
      <c r="E19" s="57" t="s">
        <v>1720</v>
      </c>
      <c r="F19" s="57">
        <v>4400</v>
      </c>
      <c r="G19" s="57">
        <v>2860</v>
      </c>
      <c r="H19" s="57">
        <v>120</v>
      </c>
      <c r="I19" s="57" t="s">
        <v>1206</v>
      </c>
      <c r="J19" s="57" t="s">
        <v>1207</v>
      </c>
      <c r="L19" s="57" t="s">
        <v>47</v>
      </c>
      <c r="M19" s="156">
        <v>45895</v>
      </c>
      <c r="N19" s="57">
        <v>1</v>
      </c>
      <c r="P19" s="167">
        <v>1.617</v>
      </c>
      <c r="Q19" s="171">
        <v>4.0430000000000001</v>
      </c>
      <c r="R19" s="166">
        <f>IFERROR(VLOOKUP(B19,#REF!,1,0),0)</f>
        <v>0</v>
      </c>
    </row>
    <row r="20" spans="1:18" x14ac:dyDescent="0.25">
      <c r="A20" s="57">
        <v>19</v>
      </c>
      <c r="B20" s="57" t="s">
        <v>1196</v>
      </c>
      <c r="C20" s="57">
        <v>1</v>
      </c>
      <c r="D20" s="57" t="s">
        <v>1718</v>
      </c>
      <c r="E20" s="57" t="s">
        <v>1720</v>
      </c>
      <c r="F20" s="57">
        <v>4400</v>
      </c>
      <c r="G20" s="57">
        <v>2860</v>
      </c>
      <c r="H20" s="57">
        <v>120</v>
      </c>
      <c r="I20" s="57" t="s">
        <v>1206</v>
      </c>
      <c r="J20" s="57" t="s">
        <v>1207</v>
      </c>
      <c r="L20" s="57" t="s">
        <v>47</v>
      </c>
      <c r="M20" s="156">
        <v>45895</v>
      </c>
      <c r="N20" s="57">
        <v>1</v>
      </c>
      <c r="P20" s="167">
        <v>1.617</v>
      </c>
      <c r="Q20" s="171">
        <v>4.0430000000000001</v>
      </c>
      <c r="R20" s="166">
        <f>IFERROR(VLOOKUP(B20,#REF!,1,0),0)</f>
        <v>0</v>
      </c>
    </row>
    <row r="21" spans="1:18" x14ac:dyDescent="0.25">
      <c r="A21" s="57">
        <v>20</v>
      </c>
      <c r="B21" s="57" t="s">
        <v>1192</v>
      </c>
      <c r="C21" s="57">
        <v>1</v>
      </c>
      <c r="D21" s="57" t="s">
        <v>1718</v>
      </c>
      <c r="E21" s="57" t="s">
        <v>1720</v>
      </c>
      <c r="F21" s="57">
        <v>4400</v>
      </c>
      <c r="G21" s="57">
        <v>2860</v>
      </c>
      <c r="H21" s="57">
        <v>120</v>
      </c>
      <c r="I21" s="57" t="s">
        <v>1206</v>
      </c>
      <c r="J21" s="57" t="s">
        <v>1207</v>
      </c>
      <c r="L21" s="57" t="s">
        <v>47</v>
      </c>
      <c r="M21" s="156">
        <v>45895</v>
      </c>
      <c r="N21" s="57">
        <v>1</v>
      </c>
      <c r="P21" s="167">
        <v>1.617</v>
      </c>
      <c r="Q21" s="171">
        <v>4.0430000000000001</v>
      </c>
      <c r="R21" s="166">
        <f>IFERROR(VLOOKUP(B21,#REF!,1,0),0)</f>
        <v>0</v>
      </c>
    </row>
    <row r="22" spans="1:18" x14ac:dyDescent="0.25">
      <c r="A22" s="57">
        <v>21</v>
      </c>
      <c r="B22" s="57" t="s">
        <v>1183</v>
      </c>
      <c r="C22" s="57">
        <v>1</v>
      </c>
      <c r="D22" s="57" t="s">
        <v>1718</v>
      </c>
      <c r="E22" s="57" t="s">
        <v>1720</v>
      </c>
      <c r="F22" s="57">
        <v>3525</v>
      </c>
      <c r="G22" s="57">
        <v>2860</v>
      </c>
      <c r="H22" s="57">
        <v>120</v>
      </c>
      <c r="I22" s="57" t="s">
        <v>1206</v>
      </c>
      <c r="J22" s="57" t="s">
        <v>1207</v>
      </c>
      <c r="L22" s="57" t="s">
        <v>47</v>
      </c>
      <c r="M22" s="156">
        <v>45895</v>
      </c>
      <c r="N22" s="57">
        <v>1</v>
      </c>
      <c r="P22" s="167">
        <v>1.401</v>
      </c>
      <c r="Q22" s="171">
        <v>3.5030000000000001</v>
      </c>
      <c r="R22" s="166">
        <f>IFERROR(VLOOKUP(B22,#REF!,1,0),0)</f>
        <v>0</v>
      </c>
    </row>
    <row r="23" spans="1:18" x14ac:dyDescent="0.25">
      <c r="A23" s="57">
        <v>22</v>
      </c>
      <c r="B23" s="57" t="s">
        <v>1188</v>
      </c>
      <c r="C23" s="57">
        <v>1</v>
      </c>
      <c r="D23" s="57" t="s">
        <v>1718</v>
      </c>
      <c r="E23" s="57" t="s">
        <v>1720</v>
      </c>
      <c r="F23" s="57">
        <v>3525</v>
      </c>
      <c r="G23" s="57">
        <v>2860</v>
      </c>
      <c r="H23" s="57">
        <v>120</v>
      </c>
      <c r="I23" s="57" t="s">
        <v>1206</v>
      </c>
      <c r="J23" s="57" t="s">
        <v>1207</v>
      </c>
      <c r="L23" s="57" t="s">
        <v>47</v>
      </c>
      <c r="M23" s="156">
        <v>45895</v>
      </c>
      <c r="N23" s="57">
        <v>1</v>
      </c>
      <c r="P23" s="167">
        <v>1.401</v>
      </c>
      <c r="Q23" s="171">
        <v>3.5030000000000001</v>
      </c>
      <c r="R23" s="166">
        <f>IFERROR(VLOOKUP(B23,#REF!,1,0),0)</f>
        <v>0</v>
      </c>
    </row>
    <row r="24" spans="1:18" x14ac:dyDescent="0.25">
      <c r="A24" s="57">
        <v>23</v>
      </c>
      <c r="B24" s="57" t="s">
        <v>1193</v>
      </c>
      <c r="C24" s="57">
        <v>1</v>
      </c>
      <c r="D24" s="57" t="s">
        <v>1718</v>
      </c>
      <c r="E24" s="57" t="s">
        <v>1720</v>
      </c>
      <c r="F24" s="57">
        <v>2796</v>
      </c>
      <c r="G24" s="57">
        <v>2860</v>
      </c>
      <c r="H24" s="57">
        <v>120</v>
      </c>
      <c r="I24" s="57" t="s">
        <v>1206</v>
      </c>
      <c r="J24" s="57" t="s">
        <v>1207</v>
      </c>
      <c r="L24" s="57" t="s">
        <v>47</v>
      </c>
      <c r="M24" s="156">
        <v>45895</v>
      </c>
      <c r="N24" s="57">
        <v>1</v>
      </c>
      <c r="P24" s="167">
        <v>1.2210000000000001</v>
      </c>
      <c r="Q24" s="171">
        <v>3.0529999999999999</v>
      </c>
      <c r="R24" s="166">
        <f>IFERROR(VLOOKUP(B24,#REF!,1,0),0)</f>
        <v>0</v>
      </c>
    </row>
    <row r="25" spans="1:18" x14ac:dyDescent="0.25">
      <c r="A25" s="57">
        <v>24</v>
      </c>
      <c r="B25" s="57" t="s">
        <v>1165</v>
      </c>
      <c r="C25" s="57">
        <v>1</v>
      </c>
      <c r="D25" s="57" t="s">
        <v>1718</v>
      </c>
      <c r="E25" s="57" t="s">
        <v>1720</v>
      </c>
      <c r="F25" s="57">
        <v>5790</v>
      </c>
      <c r="G25" s="57">
        <v>2860</v>
      </c>
      <c r="H25" s="57">
        <v>120</v>
      </c>
      <c r="I25" s="57" t="s">
        <v>1206</v>
      </c>
      <c r="J25" s="57" t="s">
        <v>1211</v>
      </c>
      <c r="L25" s="57" t="s">
        <v>47</v>
      </c>
      <c r="M25" s="156">
        <v>45895</v>
      </c>
      <c r="N25" s="57">
        <v>1</v>
      </c>
      <c r="P25" s="167">
        <v>2.1379999999999999</v>
      </c>
      <c r="Q25" s="171">
        <v>5.3449999999999998</v>
      </c>
      <c r="R25" s="166">
        <f>IFERROR(VLOOKUP(B25,#REF!,1,0),0)</f>
        <v>0</v>
      </c>
    </row>
    <row r="26" spans="1:18" x14ac:dyDescent="0.25">
      <c r="A26" s="57">
        <v>25</v>
      </c>
      <c r="B26" s="57" t="s">
        <v>1169</v>
      </c>
      <c r="C26" s="57">
        <v>1</v>
      </c>
      <c r="D26" s="57" t="s">
        <v>1718</v>
      </c>
      <c r="E26" s="57" t="s">
        <v>1720</v>
      </c>
      <c r="F26" s="57">
        <v>4065</v>
      </c>
      <c r="G26" s="57">
        <v>2410</v>
      </c>
      <c r="H26" s="57">
        <v>120</v>
      </c>
      <c r="I26" s="57" t="s">
        <v>46</v>
      </c>
      <c r="J26" s="57" t="s">
        <v>1208</v>
      </c>
      <c r="L26" s="57" t="s">
        <v>47</v>
      </c>
      <c r="M26" s="156">
        <v>45895</v>
      </c>
      <c r="N26" s="57">
        <v>2</v>
      </c>
      <c r="P26" s="167">
        <v>1.462</v>
      </c>
      <c r="Q26" s="171">
        <v>3.6549999999999998</v>
      </c>
      <c r="R26" s="166">
        <f>IFERROR(VLOOKUP(B26,#REF!,1,0),0)</f>
        <v>0</v>
      </c>
    </row>
    <row r="27" spans="1:18" x14ac:dyDescent="0.25">
      <c r="A27" s="57">
        <v>26</v>
      </c>
      <c r="B27" s="57" t="s">
        <v>1170</v>
      </c>
      <c r="C27" s="57">
        <v>1</v>
      </c>
      <c r="D27" s="57" t="s">
        <v>1718</v>
      </c>
      <c r="E27" s="57" t="s">
        <v>1720</v>
      </c>
      <c r="F27" s="57">
        <v>4065</v>
      </c>
      <c r="G27" s="57">
        <v>2410</v>
      </c>
      <c r="H27" s="57">
        <v>120</v>
      </c>
      <c r="I27" s="57" t="s">
        <v>46</v>
      </c>
      <c r="J27" s="57" t="s">
        <v>1208</v>
      </c>
      <c r="L27" s="57" t="s">
        <v>47</v>
      </c>
      <c r="M27" s="156">
        <v>45895</v>
      </c>
      <c r="N27" s="57">
        <v>2</v>
      </c>
      <c r="P27" s="167">
        <v>1.462</v>
      </c>
      <c r="Q27" s="171">
        <v>3.6549999999999998</v>
      </c>
      <c r="R27" s="166">
        <f>IFERROR(VLOOKUP(B27,#REF!,1,0),0)</f>
        <v>0</v>
      </c>
    </row>
    <row r="28" spans="1:18" x14ac:dyDescent="0.25">
      <c r="A28" s="57">
        <v>27</v>
      </c>
      <c r="B28" s="57" t="s">
        <v>1171</v>
      </c>
      <c r="C28" s="57">
        <v>1</v>
      </c>
      <c r="D28" s="57" t="s">
        <v>1718</v>
      </c>
      <c r="E28" s="57" t="s">
        <v>1720</v>
      </c>
      <c r="F28" s="57">
        <v>4065</v>
      </c>
      <c r="G28" s="57">
        <v>2410</v>
      </c>
      <c r="H28" s="57">
        <v>120</v>
      </c>
      <c r="I28" s="57" t="s">
        <v>46</v>
      </c>
      <c r="J28" s="57" t="s">
        <v>1208</v>
      </c>
      <c r="L28" s="57" t="s">
        <v>47</v>
      </c>
      <c r="M28" s="156">
        <v>45895</v>
      </c>
      <c r="N28" s="57">
        <v>2</v>
      </c>
      <c r="P28" s="167">
        <v>1.462</v>
      </c>
      <c r="Q28" s="171">
        <v>3.6549999999999998</v>
      </c>
      <c r="R28" s="166">
        <f>IFERROR(VLOOKUP(B28,#REF!,1,0),0)</f>
        <v>0</v>
      </c>
    </row>
    <row r="29" spans="1:18" x14ac:dyDescent="0.25">
      <c r="A29" s="57">
        <v>28</v>
      </c>
      <c r="B29" s="57" t="s">
        <v>1173</v>
      </c>
      <c r="C29" s="57">
        <v>1</v>
      </c>
      <c r="D29" s="57" t="s">
        <v>1718</v>
      </c>
      <c r="E29" s="57" t="s">
        <v>1720</v>
      </c>
      <c r="F29" s="57">
        <v>5065</v>
      </c>
      <c r="G29" s="57">
        <v>3610</v>
      </c>
      <c r="H29" s="57">
        <v>120</v>
      </c>
      <c r="I29" s="57" t="s">
        <v>1212</v>
      </c>
      <c r="J29" s="57" t="s">
        <v>1213</v>
      </c>
      <c r="L29" s="57" t="s">
        <v>47</v>
      </c>
      <c r="M29" s="156">
        <v>45895</v>
      </c>
      <c r="N29" s="57">
        <v>2</v>
      </c>
      <c r="P29" s="167">
        <v>1.8580000000000001</v>
      </c>
      <c r="Q29" s="171">
        <v>4.6449999999999996</v>
      </c>
      <c r="R29" s="166">
        <f>IFERROR(VLOOKUP(B29,#REF!,1,0),0)</f>
        <v>0</v>
      </c>
    </row>
    <row r="30" spans="1:18" x14ac:dyDescent="0.25">
      <c r="A30" s="57">
        <v>29</v>
      </c>
      <c r="B30" s="57" t="s">
        <v>1215</v>
      </c>
      <c r="C30" s="57">
        <v>1</v>
      </c>
      <c r="D30" s="57" t="s">
        <v>1721</v>
      </c>
      <c r="E30" s="57" t="s">
        <v>1722</v>
      </c>
      <c r="F30" s="57">
        <v>3130</v>
      </c>
      <c r="G30" s="57">
        <v>2930</v>
      </c>
      <c r="H30" s="57">
        <v>120</v>
      </c>
      <c r="I30" s="57" t="s">
        <v>1206</v>
      </c>
      <c r="J30" s="57" t="s">
        <v>1207</v>
      </c>
      <c r="L30" s="57" t="s">
        <v>378</v>
      </c>
      <c r="M30" s="156">
        <v>45898</v>
      </c>
      <c r="N30" s="57">
        <v>0</v>
      </c>
      <c r="P30" s="167">
        <v>1.33</v>
      </c>
      <c r="Q30" s="171">
        <v>3.3250000000000002</v>
      </c>
      <c r="R30" s="166">
        <f>IFERROR(VLOOKUP(B30,#REF!,1,0),0)</f>
        <v>0</v>
      </c>
    </row>
    <row r="31" spans="1:18" x14ac:dyDescent="0.25">
      <c r="A31" s="57">
        <v>30</v>
      </c>
      <c r="B31" s="57" t="s">
        <v>1216</v>
      </c>
      <c r="C31" s="57">
        <v>1</v>
      </c>
      <c r="D31" s="57" t="s">
        <v>1721</v>
      </c>
      <c r="E31" s="57" t="s">
        <v>1722</v>
      </c>
      <c r="F31" s="57">
        <v>3130</v>
      </c>
      <c r="G31" s="57">
        <v>2930</v>
      </c>
      <c r="H31" s="57">
        <v>120</v>
      </c>
      <c r="I31" s="57" t="s">
        <v>1206</v>
      </c>
      <c r="J31" s="57" t="s">
        <v>1207</v>
      </c>
      <c r="L31" s="57" t="s">
        <v>378</v>
      </c>
      <c r="M31" s="156">
        <v>45898</v>
      </c>
      <c r="N31" s="57">
        <v>0</v>
      </c>
      <c r="P31" s="167">
        <v>1.33</v>
      </c>
      <c r="Q31" s="171">
        <v>3.3250000000000002</v>
      </c>
      <c r="R31" s="166">
        <f>IFERROR(VLOOKUP(B31,#REF!,1,0),0)</f>
        <v>0</v>
      </c>
    </row>
    <row r="32" spans="1:18" x14ac:dyDescent="0.25">
      <c r="A32" s="57">
        <v>31</v>
      </c>
      <c r="B32" s="57" t="s">
        <v>1217</v>
      </c>
      <c r="C32" s="57">
        <v>1</v>
      </c>
      <c r="D32" s="57" t="s">
        <v>1721</v>
      </c>
      <c r="E32" s="57" t="s">
        <v>1722</v>
      </c>
      <c r="F32" s="57">
        <v>4085</v>
      </c>
      <c r="G32" s="57">
        <v>3250</v>
      </c>
      <c r="H32" s="57">
        <v>120</v>
      </c>
      <c r="I32" s="57" t="s">
        <v>1206</v>
      </c>
      <c r="J32" s="57" t="s">
        <v>1207</v>
      </c>
      <c r="L32" s="57" t="s">
        <v>378</v>
      </c>
      <c r="M32" s="156">
        <v>45898</v>
      </c>
      <c r="N32" s="57">
        <v>0</v>
      </c>
      <c r="P32" s="167">
        <v>1.73</v>
      </c>
      <c r="Q32" s="171">
        <v>4.3250000000000002</v>
      </c>
      <c r="R32" s="166">
        <f>IFERROR(VLOOKUP(B32,#REF!,1,0),0)</f>
        <v>0</v>
      </c>
    </row>
    <row r="33" spans="1:18" x14ac:dyDescent="0.25">
      <c r="A33" s="57">
        <v>32</v>
      </c>
      <c r="B33" s="57" t="s">
        <v>1218</v>
      </c>
      <c r="C33" s="57">
        <v>1</v>
      </c>
      <c r="D33" s="57" t="s">
        <v>1721</v>
      </c>
      <c r="E33" s="57" t="s">
        <v>1722</v>
      </c>
      <c r="F33" s="57">
        <v>4085</v>
      </c>
      <c r="G33" s="57">
        <v>3580</v>
      </c>
      <c r="H33" s="57">
        <v>120</v>
      </c>
      <c r="I33" s="57" t="s">
        <v>1206</v>
      </c>
      <c r="J33" s="57" t="s">
        <v>1208</v>
      </c>
      <c r="L33" s="57" t="s">
        <v>378</v>
      </c>
      <c r="M33" s="156">
        <v>45898</v>
      </c>
      <c r="N33" s="57">
        <v>0</v>
      </c>
      <c r="P33" s="167">
        <v>1.9490000000000001</v>
      </c>
      <c r="Q33" s="171">
        <v>4.8730000000000002</v>
      </c>
      <c r="R33" s="166">
        <f>IFERROR(VLOOKUP(B33,#REF!,1,0),0)</f>
        <v>0</v>
      </c>
    </row>
    <row r="34" spans="1:18" x14ac:dyDescent="0.25">
      <c r="A34" s="57">
        <v>33</v>
      </c>
      <c r="B34" s="57" t="s">
        <v>1219</v>
      </c>
      <c r="C34" s="57">
        <v>1</v>
      </c>
      <c r="D34" s="57" t="s">
        <v>1721</v>
      </c>
      <c r="E34" s="57" t="s">
        <v>1722</v>
      </c>
      <c r="F34" s="57">
        <v>4085</v>
      </c>
      <c r="G34" s="57">
        <v>3920</v>
      </c>
      <c r="H34" s="57">
        <v>120</v>
      </c>
      <c r="I34" s="57" t="s">
        <v>46</v>
      </c>
      <c r="J34" s="57" t="s">
        <v>1220</v>
      </c>
      <c r="L34" s="57" t="s">
        <v>378</v>
      </c>
      <c r="M34" s="156">
        <v>45898</v>
      </c>
      <c r="N34" s="57">
        <v>0</v>
      </c>
      <c r="P34" s="167">
        <v>2.508</v>
      </c>
      <c r="Q34" s="171">
        <v>6.27</v>
      </c>
      <c r="R34" s="166">
        <f>IFERROR(VLOOKUP(B34,#REF!,1,0),0)</f>
        <v>0</v>
      </c>
    </row>
    <row r="35" spans="1:18" x14ac:dyDescent="0.25">
      <c r="A35" s="57">
        <v>34</v>
      </c>
      <c r="B35" s="57" t="s">
        <v>1221</v>
      </c>
      <c r="C35" s="57">
        <v>1</v>
      </c>
      <c r="D35" s="57" t="s">
        <v>1721</v>
      </c>
      <c r="E35" s="57" t="s">
        <v>1722</v>
      </c>
      <c r="F35" s="57">
        <v>4817</v>
      </c>
      <c r="G35" s="57">
        <v>3825</v>
      </c>
      <c r="H35" s="57">
        <v>120</v>
      </c>
      <c r="I35" s="57" t="s">
        <v>46</v>
      </c>
      <c r="J35" s="57" t="s">
        <v>1222</v>
      </c>
      <c r="L35" s="57" t="s">
        <v>378</v>
      </c>
      <c r="M35" s="156">
        <v>45898</v>
      </c>
      <c r="N35" s="57">
        <v>0</v>
      </c>
      <c r="P35" s="167">
        <v>2.8479999999999999</v>
      </c>
      <c r="Q35" s="171">
        <v>7.12</v>
      </c>
      <c r="R35" s="166">
        <f>IFERROR(VLOOKUP(B35,#REF!,1,0),0)</f>
        <v>0</v>
      </c>
    </row>
    <row r="36" spans="1:18" x14ac:dyDescent="0.25">
      <c r="A36" s="57">
        <v>35</v>
      </c>
      <c r="B36" s="57" t="s">
        <v>1182</v>
      </c>
      <c r="C36" s="57">
        <v>1</v>
      </c>
      <c r="D36" s="57" t="s">
        <v>1721</v>
      </c>
      <c r="E36" s="57" t="s">
        <v>1722</v>
      </c>
      <c r="F36" s="57">
        <v>4817</v>
      </c>
      <c r="G36" s="57">
        <v>3950</v>
      </c>
      <c r="H36" s="57">
        <v>120</v>
      </c>
      <c r="I36" s="57" t="s">
        <v>46</v>
      </c>
      <c r="J36" s="57" t="s">
        <v>1222</v>
      </c>
      <c r="L36" s="57" t="s">
        <v>378</v>
      </c>
      <c r="M36" s="156">
        <v>45898</v>
      </c>
      <c r="N36" s="57">
        <v>0</v>
      </c>
      <c r="P36" s="167">
        <v>2.923</v>
      </c>
      <c r="Q36" s="171">
        <v>7.3079999999999998</v>
      </c>
      <c r="R36" s="166">
        <f>IFERROR(VLOOKUP(B36,#REF!,1,0),0)</f>
        <v>0</v>
      </c>
    </row>
    <row r="37" spans="1:18" x14ac:dyDescent="0.25">
      <c r="A37" s="57">
        <v>36</v>
      </c>
      <c r="B37" s="57" t="s">
        <v>1204</v>
      </c>
      <c r="C37" s="57">
        <v>1</v>
      </c>
      <c r="D37" s="57" t="s">
        <v>1721</v>
      </c>
      <c r="E37" s="57" t="s">
        <v>1722</v>
      </c>
      <c r="F37" s="57">
        <v>4816</v>
      </c>
      <c r="G37" s="57">
        <v>3950</v>
      </c>
      <c r="H37" s="57">
        <v>120</v>
      </c>
      <c r="I37" s="57" t="s">
        <v>46</v>
      </c>
      <c r="J37" s="57" t="s">
        <v>1222</v>
      </c>
      <c r="L37" s="57" t="s">
        <v>378</v>
      </c>
      <c r="M37" s="156">
        <v>45898</v>
      </c>
      <c r="N37" s="57">
        <v>0</v>
      </c>
      <c r="P37" s="167">
        <v>2.923</v>
      </c>
      <c r="Q37" s="171">
        <v>7.3079999999999998</v>
      </c>
      <c r="R37" s="166">
        <f>IFERROR(VLOOKUP(B37,#REF!,1,0),0)</f>
        <v>0</v>
      </c>
    </row>
    <row r="38" spans="1:18" x14ac:dyDescent="0.25">
      <c r="A38" s="57">
        <v>37</v>
      </c>
      <c r="B38" s="57" t="s">
        <v>1223</v>
      </c>
      <c r="C38" s="57">
        <v>1</v>
      </c>
      <c r="D38" s="57" t="s">
        <v>1721</v>
      </c>
      <c r="E38" s="57" t="s">
        <v>1722</v>
      </c>
      <c r="F38" s="57">
        <v>5964</v>
      </c>
      <c r="G38" s="57">
        <v>3425</v>
      </c>
      <c r="H38" s="57">
        <v>120</v>
      </c>
      <c r="I38" s="57" t="s">
        <v>1206</v>
      </c>
      <c r="J38" s="57" t="s">
        <v>1224</v>
      </c>
      <c r="L38" s="57" t="s">
        <v>378</v>
      </c>
      <c r="M38" s="156">
        <v>45898</v>
      </c>
      <c r="N38" s="57">
        <v>0</v>
      </c>
      <c r="P38" s="167">
        <v>2.6349999999999998</v>
      </c>
      <c r="Q38" s="171">
        <v>6.5880000000000001</v>
      </c>
      <c r="R38" s="166">
        <f>IFERROR(VLOOKUP(B38,#REF!,1,0),0)</f>
        <v>0</v>
      </c>
    </row>
    <row r="39" spans="1:18" x14ac:dyDescent="0.25">
      <c r="A39" s="57">
        <v>38</v>
      </c>
      <c r="B39" s="57" t="s">
        <v>1225</v>
      </c>
      <c r="C39" s="57">
        <v>1</v>
      </c>
      <c r="D39" s="57" t="s">
        <v>1721</v>
      </c>
      <c r="E39" s="57" t="s">
        <v>1722</v>
      </c>
      <c r="F39" s="57">
        <v>5962</v>
      </c>
      <c r="G39" s="57">
        <v>3540</v>
      </c>
      <c r="H39" s="57">
        <v>120</v>
      </c>
      <c r="I39" s="57" t="s">
        <v>46</v>
      </c>
      <c r="J39" s="57" t="s">
        <v>860</v>
      </c>
      <c r="L39" s="57" t="s">
        <v>378</v>
      </c>
      <c r="M39" s="156">
        <v>45898</v>
      </c>
      <c r="N39" s="57">
        <v>0</v>
      </c>
      <c r="P39" s="167">
        <v>2.96</v>
      </c>
      <c r="Q39" s="171">
        <v>7.4</v>
      </c>
      <c r="R39" s="166">
        <f>IFERROR(VLOOKUP(B39,#REF!,1,0),0)</f>
        <v>0</v>
      </c>
    </row>
    <row r="40" spans="1:18" x14ac:dyDescent="0.25">
      <c r="A40" s="57">
        <v>39</v>
      </c>
      <c r="B40" s="57" t="s">
        <v>1226</v>
      </c>
      <c r="C40" s="57">
        <v>1</v>
      </c>
      <c r="D40" s="57" t="s">
        <v>1721</v>
      </c>
      <c r="E40" s="57" t="s">
        <v>1722</v>
      </c>
      <c r="F40" s="57">
        <v>5963</v>
      </c>
      <c r="G40" s="57">
        <v>3640</v>
      </c>
      <c r="H40" s="57">
        <v>120</v>
      </c>
      <c r="I40" s="57" t="s">
        <v>46</v>
      </c>
      <c r="J40" s="57" t="s">
        <v>860</v>
      </c>
      <c r="L40" s="57" t="s">
        <v>378</v>
      </c>
      <c r="M40" s="156">
        <v>45898</v>
      </c>
      <c r="N40" s="57">
        <v>0</v>
      </c>
      <c r="P40" s="167">
        <v>3.032</v>
      </c>
      <c r="Q40" s="171">
        <v>7.58</v>
      </c>
      <c r="R40" s="166">
        <f>IFERROR(VLOOKUP(B40,#REF!,1,0),0)</f>
        <v>0</v>
      </c>
    </row>
    <row r="41" spans="1:18" x14ac:dyDescent="0.25">
      <c r="A41" s="57">
        <v>40</v>
      </c>
      <c r="B41" s="57" t="s">
        <v>1227</v>
      </c>
      <c r="C41" s="57">
        <v>1</v>
      </c>
      <c r="D41" s="57" t="s">
        <v>1721</v>
      </c>
      <c r="E41" s="57" t="s">
        <v>1722</v>
      </c>
      <c r="F41" s="57">
        <v>5963</v>
      </c>
      <c r="G41" s="57">
        <v>3740</v>
      </c>
      <c r="H41" s="57">
        <v>120</v>
      </c>
      <c r="I41" s="57" t="s">
        <v>46</v>
      </c>
      <c r="J41" s="57" t="s">
        <v>860</v>
      </c>
      <c r="L41" s="57" t="s">
        <v>378</v>
      </c>
      <c r="M41" s="156">
        <v>45898</v>
      </c>
      <c r="N41" s="57">
        <v>0</v>
      </c>
      <c r="P41" s="167">
        <v>3.1030000000000002</v>
      </c>
      <c r="Q41" s="171">
        <v>7.758</v>
      </c>
      <c r="R41" s="166">
        <f>IFERROR(VLOOKUP(B41,#REF!,1,0),0)</f>
        <v>0</v>
      </c>
    </row>
    <row r="42" spans="1:18" x14ac:dyDescent="0.25">
      <c r="A42" s="57">
        <v>41</v>
      </c>
      <c r="B42" s="57" t="s">
        <v>1198</v>
      </c>
      <c r="C42" s="57">
        <v>1</v>
      </c>
      <c r="D42" s="57" t="s">
        <v>1721</v>
      </c>
      <c r="E42" s="57" t="s">
        <v>1722</v>
      </c>
      <c r="F42" s="57">
        <v>2400</v>
      </c>
      <c r="G42" s="57">
        <v>3320</v>
      </c>
      <c r="H42" s="57">
        <v>120</v>
      </c>
      <c r="I42" s="57" t="s">
        <v>1206</v>
      </c>
      <c r="J42" s="57" t="s">
        <v>1228</v>
      </c>
      <c r="L42" s="57" t="s">
        <v>378</v>
      </c>
      <c r="M42" s="156">
        <v>45898</v>
      </c>
      <c r="N42" s="57">
        <v>0</v>
      </c>
      <c r="P42" s="167">
        <v>1.0660000000000001</v>
      </c>
      <c r="Q42" s="171">
        <v>2.665</v>
      </c>
      <c r="R42" s="166">
        <f>IFERROR(VLOOKUP(B42,#REF!,1,0),0)</f>
        <v>0</v>
      </c>
    </row>
    <row r="43" spans="1:18" x14ac:dyDescent="0.25">
      <c r="A43" s="57">
        <v>42</v>
      </c>
      <c r="B43" s="57" t="s">
        <v>1229</v>
      </c>
      <c r="C43" s="57">
        <v>1</v>
      </c>
      <c r="D43" s="57" t="s">
        <v>1721</v>
      </c>
      <c r="E43" s="57" t="s">
        <v>1723</v>
      </c>
      <c r="F43" s="57">
        <v>2400</v>
      </c>
      <c r="G43" s="57">
        <v>3320</v>
      </c>
      <c r="H43" s="57">
        <v>120</v>
      </c>
      <c r="I43" s="57" t="s">
        <v>1206</v>
      </c>
      <c r="J43" s="57" t="s">
        <v>1228</v>
      </c>
      <c r="L43" s="57" t="s">
        <v>378</v>
      </c>
      <c r="M43" s="156">
        <v>45898</v>
      </c>
      <c r="N43" s="57">
        <v>0</v>
      </c>
      <c r="P43" s="167">
        <v>1.0660000000000001</v>
      </c>
      <c r="Q43" s="171">
        <v>2.665</v>
      </c>
      <c r="R43" s="166">
        <f>IFERROR(VLOOKUP(B43,#REF!,1,0),0)</f>
        <v>0</v>
      </c>
    </row>
    <row r="44" spans="1:18" x14ac:dyDescent="0.25">
      <c r="A44" s="57">
        <v>43</v>
      </c>
      <c r="B44" s="57" t="s">
        <v>1179</v>
      </c>
      <c r="C44" s="57">
        <v>1</v>
      </c>
      <c r="D44" s="57" t="s">
        <v>1721</v>
      </c>
      <c r="E44" s="57" t="s">
        <v>1722</v>
      </c>
      <c r="F44" s="57">
        <v>4310</v>
      </c>
      <c r="G44" s="57">
        <v>2810</v>
      </c>
      <c r="H44" s="57">
        <v>120</v>
      </c>
      <c r="I44" s="57" t="s">
        <v>356</v>
      </c>
      <c r="J44" s="57" t="s">
        <v>797</v>
      </c>
      <c r="L44" s="57" t="s">
        <v>1230</v>
      </c>
      <c r="M44" s="156">
        <v>45898</v>
      </c>
      <c r="N44" s="57">
        <v>1</v>
      </c>
      <c r="O44" s="165">
        <v>45899</v>
      </c>
      <c r="P44" s="167">
        <v>1.4179999999999999</v>
      </c>
      <c r="Q44" s="171">
        <v>3.5449999999999999</v>
      </c>
      <c r="R44" s="166">
        <f>IFERROR(VLOOKUP(B44,#REF!,1,0),0)</f>
        <v>0</v>
      </c>
    </row>
    <row r="45" spans="1:18" x14ac:dyDescent="0.25">
      <c r="A45" s="57">
        <v>44</v>
      </c>
      <c r="B45" s="57" t="s">
        <v>1231</v>
      </c>
      <c r="C45" s="57">
        <v>1</v>
      </c>
      <c r="D45" s="57" t="s">
        <v>1721</v>
      </c>
      <c r="E45" s="57" t="s">
        <v>1724</v>
      </c>
      <c r="F45" s="57">
        <v>4310</v>
      </c>
      <c r="G45" s="57">
        <v>2810</v>
      </c>
      <c r="H45" s="57">
        <v>120</v>
      </c>
      <c r="I45" s="57" t="s">
        <v>356</v>
      </c>
      <c r="J45" s="57" t="s">
        <v>797</v>
      </c>
      <c r="L45" s="57" t="s">
        <v>1230</v>
      </c>
      <c r="M45" s="156">
        <v>45898</v>
      </c>
      <c r="N45" s="57">
        <v>1</v>
      </c>
      <c r="O45" s="165">
        <v>45899</v>
      </c>
      <c r="P45" s="167">
        <v>1.4179999999999999</v>
      </c>
      <c r="Q45" s="171">
        <v>3.5449999999999999</v>
      </c>
      <c r="R45" s="166">
        <f>IFERROR(VLOOKUP(B45,#REF!,1,0),0)</f>
        <v>0</v>
      </c>
    </row>
    <row r="46" spans="1:18" x14ac:dyDescent="0.25">
      <c r="A46" s="57">
        <v>45</v>
      </c>
      <c r="B46" s="57" t="s">
        <v>1232</v>
      </c>
      <c r="C46" s="57">
        <v>1</v>
      </c>
      <c r="D46" s="57" t="s">
        <v>1721</v>
      </c>
      <c r="E46" s="57" t="s">
        <v>1725</v>
      </c>
      <c r="F46" s="57">
        <v>4310</v>
      </c>
      <c r="G46" s="57">
        <v>2810</v>
      </c>
      <c r="H46" s="57">
        <v>120</v>
      </c>
      <c r="I46" s="57" t="s">
        <v>356</v>
      </c>
      <c r="J46" s="57" t="s">
        <v>797</v>
      </c>
      <c r="L46" s="57" t="s">
        <v>1230</v>
      </c>
      <c r="M46" s="156">
        <v>45898</v>
      </c>
      <c r="N46" s="57">
        <v>1</v>
      </c>
      <c r="O46" s="165">
        <v>45899</v>
      </c>
      <c r="P46" s="167">
        <v>1.4179999999999999</v>
      </c>
      <c r="Q46" s="171">
        <v>3.5449999999999999</v>
      </c>
      <c r="R46" s="166">
        <f>IFERROR(VLOOKUP(B46,#REF!,1,0),0)</f>
        <v>0</v>
      </c>
    </row>
    <row r="47" spans="1:18" x14ac:dyDescent="0.25">
      <c r="A47" s="57">
        <v>46</v>
      </c>
      <c r="B47" s="57" t="s">
        <v>1186</v>
      </c>
      <c r="C47" s="57">
        <v>1</v>
      </c>
      <c r="D47" s="57" t="s">
        <v>1721</v>
      </c>
      <c r="E47" s="57" t="s">
        <v>1722</v>
      </c>
      <c r="F47" s="57">
        <v>5017</v>
      </c>
      <c r="G47" s="57">
        <v>3320</v>
      </c>
      <c r="H47" s="57">
        <v>120</v>
      </c>
      <c r="I47" s="57" t="s">
        <v>1212</v>
      </c>
      <c r="J47" s="57" t="s">
        <v>1233</v>
      </c>
      <c r="L47" s="57" t="s">
        <v>378</v>
      </c>
      <c r="M47" s="156">
        <v>45898</v>
      </c>
      <c r="N47" s="57">
        <v>0</v>
      </c>
      <c r="P47" s="167">
        <v>1.5740000000000001</v>
      </c>
      <c r="Q47" s="171">
        <v>3.9350000000000001</v>
      </c>
      <c r="R47" s="166">
        <f>IFERROR(VLOOKUP(B47,#REF!,1,0),0)</f>
        <v>0</v>
      </c>
    </row>
    <row r="48" spans="1:18" x14ac:dyDescent="0.25">
      <c r="A48" s="57">
        <v>47</v>
      </c>
      <c r="B48" s="57" t="s">
        <v>1234</v>
      </c>
      <c r="C48" s="57">
        <v>1</v>
      </c>
      <c r="D48" s="57" t="s">
        <v>1721</v>
      </c>
      <c r="E48" s="57" t="s">
        <v>1726</v>
      </c>
      <c r="F48" s="57">
        <v>5220</v>
      </c>
      <c r="G48" s="57">
        <v>2940</v>
      </c>
      <c r="H48" s="57">
        <v>120</v>
      </c>
      <c r="I48" s="57" t="s">
        <v>1206</v>
      </c>
      <c r="J48" s="57" t="s">
        <v>1224</v>
      </c>
      <c r="L48" s="57" t="s">
        <v>378</v>
      </c>
      <c r="M48" s="156">
        <v>45898</v>
      </c>
      <c r="N48" s="57">
        <v>0</v>
      </c>
      <c r="P48" s="167">
        <v>2.097</v>
      </c>
      <c r="Q48" s="171">
        <v>5.2430000000000003</v>
      </c>
      <c r="R48" s="166">
        <f>IFERROR(VLOOKUP(B48,#REF!,1,0),0)</f>
        <v>0</v>
      </c>
    </row>
    <row r="49" spans="1:18" x14ac:dyDescent="0.25">
      <c r="A49" s="57">
        <v>48</v>
      </c>
      <c r="B49" s="57" t="s">
        <v>1235</v>
      </c>
      <c r="C49" s="57">
        <v>1</v>
      </c>
      <c r="D49" s="57" t="s">
        <v>1721</v>
      </c>
      <c r="E49" s="57" t="s">
        <v>1726</v>
      </c>
      <c r="F49" s="57">
        <v>5220</v>
      </c>
      <c r="G49" s="57">
        <v>2940</v>
      </c>
      <c r="H49" s="57">
        <v>120</v>
      </c>
      <c r="I49" s="57" t="s">
        <v>1206</v>
      </c>
      <c r="J49" s="57" t="s">
        <v>1224</v>
      </c>
      <c r="L49" s="57" t="s">
        <v>378</v>
      </c>
      <c r="M49" s="156">
        <v>45898</v>
      </c>
      <c r="N49" s="57">
        <v>0</v>
      </c>
      <c r="P49" s="167">
        <v>2.097</v>
      </c>
      <c r="Q49" s="171">
        <v>5.2430000000000003</v>
      </c>
      <c r="R49" s="166">
        <f>IFERROR(VLOOKUP(B49,#REF!,1,0),0)</f>
        <v>0</v>
      </c>
    </row>
    <row r="50" spans="1:18" x14ac:dyDescent="0.25">
      <c r="A50" s="57">
        <v>49</v>
      </c>
      <c r="B50" s="57" t="s">
        <v>1236</v>
      </c>
      <c r="C50" s="57">
        <v>1</v>
      </c>
      <c r="D50" s="57" t="s">
        <v>1721</v>
      </c>
      <c r="E50" s="57" t="s">
        <v>1727</v>
      </c>
      <c r="F50" s="57">
        <v>5220</v>
      </c>
      <c r="G50" s="57">
        <v>2940</v>
      </c>
      <c r="H50" s="57">
        <v>120</v>
      </c>
      <c r="I50" s="57" t="s">
        <v>1206</v>
      </c>
      <c r="J50" s="57" t="s">
        <v>1224</v>
      </c>
      <c r="L50" s="57" t="s">
        <v>378</v>
      </c>
      <c r="M50" s="156">
        <v>45898</v>
      </c>
      <c r="N50" s="57">
        <v>0</v>
      </c>
      <c r="P50" s="167">
        <v>2.097</v>
      </c>
      <c r="Q50" s="171">
        <v>5.2430000000000003</v>
      </c>
      <c r="R50" s="166">
        <f>IFERROR(VLOOKUP(B50,#REF!,1,0),0)</f>
        <v>0</v>
      </c>
    </row>
    <row r="51" spans="1:18" x14ac:dyDescent="0.25">
      <c r="A51" s="57">
        <v>50</v>
      </c>
      <c r="B51" s="57" t="s">
        <v>1237</v>
      </c>
      <c r="C51" s="57">
        <v>1</v>
      </c>
      <c r="D51" s="57" t="s">
        <v>1721</v>
      </c>
      <c r="E51" s="57" t="s">
        <v>1726</v>
      </c>
      <c r="F51" s="57">
        <v>5220</v>
      </c>
      <c r="G51" s="57">
        <v>2940</v>
      </c>
      <c r="H51" s="57">
        <v>120</v>
      </c>
      <c r="I51" s="57" t="s">
        <v>1206</v>
      </c>
      <c r="J51" s="57" t="s">
        <v>1224</v>
      </c>
      <c r="L51" s="57" t="s">
        <v>378</v>
      </c>
      <c r="M51" s="156">
        <v>45898</v>
      </c>
      <c r="N51" s="57">
        <v>0</v>
      </c>
      <c r="P51" s="167">
        <v>2.097</v>
      </c>
      <c r="Q51" s="171">
        <v>5.2430000000000003</v>
      </c>
      <c r="R51" s="166">
        <f>IFERROR(VLOOKUP(B51,#REF!,1,0),0)</f>
        <v>0</v>
      </c>
    </row>
    <row r="52" spans="1:18" x14ac:dyDescent="0.25">
      <c r="A52" s="57">
        <v>51</v>
      </c>
      <c r="B52" s="57" t="s">
        <v>1238</v>
      </c>
      <c r="C52" s="57">
        <v>1</v>
      </c>
      <c r="D52" s="57" t="s">
        <v>1721</v>
      </c>
      <c r="E52" s="57" t="s">
        <v>1727</v>
      </c>
      <c r="F52" s="57">
        <v>5220</v>
      </c>
      <c r="G52" s="57">
        <v>2940</v>
      </c>
      <c r="H52" s="57">
        <v>120</v>
      </c>
      <c r="I52" s="57" t="s">
        <v>1206</v>
      </c>
      <c r="J52" s="57" t="s">
        <v>1224</v>
      </c>
      <c r="L52" s="57" t="s">
        <v>378</v>
      </c>
      <c r="M52" s="156">
        <v>45898</v>
      </c>
      <c r="N52" s="57">
        <v>0</v>
      </c>
      <c r="P52" s="167">
        <v>2.097</v>
      </c>
      <c r="Q52" s="171">
        <v>5.2430000000000003</v>
      </c>
      <c r="R52" s="166">
        <f>IFERROR(VLOOKUP(B52,#REF!,1,0),0)</f>
        <v>0</v>
      </c>
    </row>
    <row r="53" spans="1:18" x14ac:dyDescent="0.25">
      <c r="A53" s="57">
        <v>52</v>
      </c>
      <c r="B53" s="57" t="s">
        <v>1195</v>
      </c>
      <c r="C53" s="57">
        <v>1</v>
      </c>
      <c r="D53" s="57" t="s">
        <v>1721</v>
      </c>
      <c r="E53" s="57" t="s">
        <v>1726</v>
      </c>
      <c r="F53" s="57">
        <v>4862</v>
      </c>
      <c r="G53" s="57">
        <v>3320</v>
      </c>
      <c r="H53" s="57">
        <v>120</v>
      </c>
      <c r="I53" s="57" t="s">
        <v>1212</v>
      </c>
      <c r="J53" s="57" t="s">
        <v>1233</v>
      </c>
      <c r="L53" s="57" t="s">
        <v>378</v>
      </c>
      <c r="M53" s="156">
        <v>45898</v>
      </c>
      <c r="N53" s="57">
        <v>0</v>
      </c>
      <c r="P53" s="167">
        <v>1.55</v>
      </c>
      <c r="Q53" s="171">
        <v>3.875</v>
      </c>
      <c r="R53" s="166">
        <f>IFERROR(VLOOKUP(B53,#REF!,1,0),0)</f>
        <v>0</v>
      </c>
    </row>
    <row r="54" spans="1:18" x14ac:dyDescent="0.25">
      <c r="A54" s="57">
        <v>53</v>
      </c>
      <c r="B54" s="57" t="s">
        <v>1191</v>
      </c>
      <c r="C54" s="57">
        <v>1</v>
      </c>
      <c r="D54" s="57" t="s">
        <v>1721</v>
      </c>
      <c r="E54" s="57" t="s">
        <v>1726</v>
      </c>
      <c r="F54" s="57">
        <v>4863</v>
      </c>
      <c r="G54" s="57">
        <v>2120</v>
      </c>
      <c r="H54" s="57">
        <v>120</v>
      </c>
      <c r="I54" s="57" t="s">
        <v>1212</v>
      </c>
      <c r="J54" s="57" t="s">
        <v>1233</v>
      </c>
      <c r="L54" s="57" t="s">
        <v>378</v>
      </c>
      <c r="M54" s="156">
        <v>45898</v>
      </c>
      <c r="N54" s="57">
        <v>0</v>
      </c>
      <c r="P54" s="167">
        <v>1.377</v>
      </c>
      <c r="Q54" s="171">
        <v>3.4430000000000001</v>
      </c>
      <c r="R54" s="166">
        <f>IFERROR(VLOOKUP(B54,#REF!,1,0),0)</f>
        <v>0</v>
      </c>
    </row>
    <row r="55" spans="1:18" x14ac:dyDescent="0.25">
      <c r="A55" s="57">
        <v>54</v>
      </c>
      <c r="B55" s="57" t="s">
        <v>1239</v>
      </c>
      <c r="C55" s="57">
        <v>1</v>
      </c>
      <c r="D55" s="57" t="s">
        <v>1721</v>
      </c>
      <c r="E55" s="57" t="s">
        <v>1727</v>
      </c>
      <c r="F55" s="57">
        <v>2400</v>
      </c>
      <c r="G55" s="57">
        <v>3255</v>
      </c>
      <c r="H55" s="57">
        <v>120</v>
      </c>
      <c r="I55" s="57" t="s">
        <v>1206</v>
      </c>
      <c r="J55" s="57" t="s">
        <v>110</v>
      </c>
      <c r="L55" s="57" t="s">
        <v>378</v>
      </c>
      <c r="M55" s="156">
        <v>45898</v>
      </c>
      <c r="N55" s="57">
        <v>0</v>
      </c>
      <c r="P55" s="167">
        <v>1.0229999999999999</v>
      </c>
      <c r="Q55" s="171">
        <v>2.5579999999999998</v>
      </c>
      <c r="R55" s="166">
        <f>IFERROR(VLOOKUP(B55,#REF!,1,0),0)</f>
        <v>0</v>
      </c>
    </row>
    <row r="56" spans="1:18" x14ac:dyDescent="0.25">
      <c r="A56" s="57">
        <v>55</v>
      </c>
      <c r="B56" s="57" t="s">
        <v>1240</v>
      </c>
      <c r="C56" s="57">
        <v>1</v>
      </c>
      <c r="D56" s="57" t="s">
        <v>1721</v>
      </c>
      <c r="E56" s="57" t="s">
        <v>1727</v>
      </c>
      <c r="F56" s="57">
        <v>5220</v>
      </c>
      <c r="G56" s="57">
        <v>2940</v>
      </c>
      <c r="H56" s="57">
        <v>120</v>
      </c>
      <c r="I56" s="57" t="s">
        <v>1206</v>
      </c>
      <c r="J56" s="57" t="s">
        <v>1224</v>
      </c>
      <c r="L56" s="57" t="s">
        <v>378</v>
      </c>
      <c r="M56" s="156">
        <v>45898</v>
      </c>
      <c r="N56" s="57">
        <v>0</v>
      </c>
      <c r="P56" s="167">
        <v>2.097</v>
      </c>
      <c r="Q56" s="171">
        <v>5.2430000000000003</v>
      </c>
      <c r="R56" s="166">
        <f>IFERROR(VLOOKUP(B56,#REF!,1,0),0)</f>
        <v>0</v>
      </c>
    </row>
    <row r="57" spans="1:18" x14ac:dyDescent="0.25">
      <c r="A57" s="57">
        <v>56</v>
      </c>
      <c r="B57" s="57" t="s">
        <v>1241</v>
      </c>
      <c r="C57" s="57">
        <v>1</v>
      </c>
      <c r="D57" s="57" t="s">
        <v>1721</v>
      </c>
      <c r="E57" s="57" t="s">
        <v>1727</v>
      </c>
      <c r="F57" s="57">
        <v>4310</v>
      </c>
      <c r="G57" s="57">
        <v>2870</v>
      </c>
      <c r="H57" s="57">
        <v>120</v>
      </c>
      <c r="I57" s="57" t="s">
        <v>356</v>
      </c>
      <c r="J57" s="57" t="s">
        <v>797</v>
      </c>
      <c r="L57" s="57" t="s">
        <v>1230</v>
      </c>
      <c r="M57" s="156">
        <v>45898</v>
      </c>
      <c r="N57" s="57">
        <v>1</v>
      </c>
      <c r="O57" s="165">
        <v>45899</v>
      </c>
      <c r="P57" s="167">
        <v>1.4490000000000001</v>
      </c>
      <c r="Q57" s="171">
        <v>3.6230000000000002</v>
      </c>
      <c r="R57" s="166">
        <f>IFERROR(VLOOKUP(B57,#REF!,1,0),0)</f>
        <v>0</v>
      </c>
    </row>
    <row r="58" spans="1:18" x14ac:dyDescent="0.25">
      <c r="A58" s="57">
        <v>57</v>
      </c>
      <c r="B58" s="57" t="s">
        <v>1242</v>
      </c>
      <c r="C58" s="57">
        <v>1</v>
      </c>
      <c r="D58" s="57" t="s">
        <v>1721</v>
      </c>
      <c r="E58" s="57" t="s">
        <v>1727</v>
      </c>
      <c r="F58" s="57">
        <v>4862</v>
      </c>
      <c r="G58" s="57">
        <v>2055</v>
      </c>
      <c r="H58" s="57">
        <v>120</v>
      </c>
      <c r="I58" s="57" t="s">
        <v>1212</v>
      </c>
      <c r="J58" s="57" t="s">
        <v>1243</v>
      </c>
      <c r="L58" s="57" t="s">
        <v>378</v>
      </c>
      <c r="M58" s="156">
        <v>45898</v>
      </c>
      <c r="N58" s="57">
        <v>0</v>
      </c>
      <c r="P58" s="167">
        <v>1.3140000000000001</v>
      </c>
      <c r="Q58" s="171">
        <v>3.2850000000000001</v>
      </c>
      <c r="R58" s="166">
        <f>IFERROR(VLOOKUP(B58,#REF!,1,0),0)</f>
        <v>0</v>
      </c>
    </row>
    <row r="59" spans="1:18" x14ac:dyDescent="0.25">
      <c r="A59" s="57">
        <v>58</v>
      </c>
      <c r="B59" s="57" t="s">
        <v>1244</v>
      </c>
      <c r="C59" s="57">
        <v>1</v>
      </c>
      <c r="D59" s="57" t="s">
        <v>1721</v>
      </c>
      <c r="E59" s="57" t="s">
        <v>1727</v>
      </c>
      <c r="F59" s="57">
        <v>4862</v>
      </c>
      <c r="G59" s="57">
        <v>3255</v>
      </c>
      <c r="H59" s="57">
        <v>120</v>
      </c>
      <c r="I59" s="57" t="s">
        <v>1212</v>
      </c>
      <c r="J59" s="57" t="s">
        <v>1243</v>
      </c>
      <c r="L59" s="57" t="s">
        <v>378</v>
      </c>
      <c r="M59" s="156">
        <v>45898</v>
      </c>
      <c r="N59" s="57">
        <v>0</v>
      </c>
      <c r="P59" s="167">
        <v>1.4870000000000001</v>
      </c>
      <c r="Q59" s="171">
        <v>3.718</v>
      </c>
      <c r="R59" s="166">
        <f>IFERROR(VLOOKUP(B59,#REF!,1,0),0)</f>
        <v>0</v>
      </c>
    </row>
    <row r="60" spans="1:18" x14ac:dyDescent="0.25">
      <c r="A60" s="57">
        <v>59</v>
      </c>
      <c r="B60" s="57" t="s">
        <v>1245</v>
      </c>
      <c r="C60" s="57">
        <v>1</v>
      </c>
      <c r="D60" s="57" t="s">
        <v>1721</v>
      </c>
      <c r="E60" s="57" t="s">
        <v>1728</v>
      </c>
      <c r="F60" s="57">
        <v>5220</v>
      </c>
      <c r="G60" s="57">
        <v>2930</v>
      </c>
      <c r="H60" s="57">
        <v>120</v>
      </c>
      <c r="I60" s="57" t="s">
        <v>1206</v>
      </c>
      <c r="J60" s="57" t="s">
        <v>1224</v>
      </c>
      <c r="L60" s="57" t="s">
        <v>378</v>
      </c>
      <c r="M60" s="156">
        <v>45898</v>
      </c>
      <c r="N60" s="57">
        <v>0</v>
      </c>
      <c r="P60" s="167">
        <v>2.09</v>
      </c>
      <c r="Q60" s="171">
        <v>5.2249999999999996</v>
      </c>
      <c r="R60" s="166">
        <f>IFERROR(VLOOKUP(B60,#REF!,1,0),0)</f>
        <v>0</v>
      </c>
    </row>
    <row r="61" spans="1:18" x14ac:dyDescent="0.25">
      <c r="A61" s="57">
        <v>60</v>
      </c>
      <c r="B61" s="57" t="s">
        <v>1246</v>
      </c>
      <c r="C61" s="57">
        <v>1</v>
      </c>
      <c r="D61" s="57" t="s">
        <v>1721</v>
      </c>
      <c r="E61" s="57" t="s">
        <v>1728</v>
      </c>
      <c r="F61" s="57">
        <v>5220</v>
      </c>
      <c r="G61" s="57">
        <v>2930</v>
      </c>
      <c r="H61" s="57">
        <v>120</v>
      </c>
      <c r="I61" s="57" t="s">
        <v>1206</v>
      </c>
      <c r="J61" s="57" t="s">
        <v>1224</v>
      </c>
      <c r="L61" s="57" t="s">
        <v>378</v>
      </c>
      <c r="M61" s="156">
        <v>45898</v>
      </c>
      <c r="N61" s="57">
        <v>0</v>
      </c>
      <c r="P61" s="167">
        <v>2.09</v>
      </c>
      <c r="Q61" s="171">
        <v>5.2249999999999996</v>
      </c>
      <c r="R61" s="166">
        <f>IFERROR(VLOOKUP(B61,#REF!,1,0),0)</f>
        <v>0</v>
      </c>
    </row>
    <row r="62" spans="1:18" x14ac:dyDescent="0.25">
      <c r="A62" s="57">
        <v>61</v>
      </c>
      <c r="B62" s="57" t="s">
        <v>1247</v>
      </c>
      <c r="C62" s="57">
        <v>1</v>
      </c>
      <c r="D62" s="57" t="s">
        <v>1721</v>
      </c>
      <c r="E62" s="57" t="s">
        <v>1729</v>
      </c>
      <c r="F62" s="57">
        <v>5220</v>
      </c>
      <c r="G62" s="57">
        <v>2930</v>
      </c>
      <c r="H62" s="57">
        <v>120</v>
      </c>
      <c r="I62" s="57" t="s">
        <v>1206</v>
      </c>
      <c r="J62" s="57" t="s">
        <v>1224</v>
      </c>
      <c r="L62" s="57" t="s">
        <v>378</v>
      </c>
      <c r="M62" s="156">
        <v>45898</v>
      </c>
      <c r="N62" s="57">
        <v>0</v>
      </c>
      <c r="P62" s="167">
        <v>2.09</v>
      </c>
      <c r="Q62" s="171">
        <v>5.2249999999999996</v>
      </c>
      <c r="R62" s="166">
        <f>IFERROR(VLOOKUP(B62,#REF!,1,0),0)</f>
        <v>0</v>
      </c>
    </row>
    <row r="63" spans="1:18" x14ac:dyDescent="0.25">
      <c r="A63" s="57">
        <v>62</v>
      </c>
      <c r="B63" s="57" t="s">
        <v>1248</v>
      </c>
      <c r="C63" s="57">
        <v>1</v>
      </c>
      <c r="D63" s="57" t="s">
        <v>1721</v>
      </c>
      <c r="E63" s="57" t="s">
        <v>1728</v>
      </c>
      <c r="F63" s="57">
        <v>5220</v>
      </c>
      <c r="G63" s="57">
        <v>2930</v>
      </c>
      <c r="H63" s="57">
        <v>120</v>
      </c>
      <c r="I63" s="57" t="s">
        <v>1206</v>
      </c>
      <c r="J63" s="57" t="s">
        <v>1224</v>
      </c>
      <c r="L63" s="57" t="s">
        <v>378</v>
      </c>
      <c r="M63" s="156">
        <v>45898</v>
      </c>
      <c r="N63" s="57">
        <v>0</v>
      </c>
      <c r="P63" s="167">
        <v>2.09</v>
      </c>
      <c r="Q63" s="171">
        <v>5.2249999999999996</v>
      </c>
      <c r="R63" s="166">
        <f>IFERROR(VLOOKUP(B63,#REF!,1,0),0)</f>
        <v>0</v>
      </c>
    </row>
    <row r="64" spans="1:18" x14ac:dyDescent="0.25">
      <c r="A64" s="57">
        <v>63</v>
      </c>
      <c r="B64" s="57" t="s">
        <v>1249</v>
      </c>
      <c r="C64" s="57">
        <v>1</v>
      </c>
      <c r="D64" s="57" t="s">
        <v>1721</v>
      </c>
      <c r="E64" s="57" t="s">
        <v>1729</v>
      </c>
      <c r="F64" s="57">
        <v>5220</v>
      </c>
      <c r="G64" s="57">
        <v>2930</v>
      </c>
      <c r="H64" s="57">
        <v>120</v>
      </c>
      <c r="I64" s="57" t="s">
        <v>1206</v>
      </c>
      <c r="J64" s="57" t="s">
        <v>1224</v>
      </c>
      <c r="L64" s="57" t="s">
        <v>378</v>
      </c>
      <c r="M64" s="156">
        <v>45898</v>
      </c>
      <c r="N64" s="57">
        <v>0</v>
      </c>
      <c r="P64" s="167">
        <v>2.09</v>
      </c>
      <c r="Q64" s="171">
        <v>5.2249999999999996</v>
      </c>
      <c r="R64" s="166">
        <f>IFERROR(VLOOKUP(B64,#REF!,1,0),0)</f>
        <v>0</v>
      </c>
    </row>
    <row r="65" spans="1:18" x14ac:dyDescent="0.25">
      <c r="A65" s="57">
        <v>64</v>
      </c>
      <c r="B65" s="57" t="s">
        <v>1250</v>
      </c>
      <c r="C65" s="57">
        <v>1</v>
      </c>
      <c r="D65" s="57" t="s">
        <v>1721</v>
      </c>
      <c r="E65" s="57" t="s">
        <v>1728</v>
      </c>
      <c r="F65" s="57">
        <v>5220</v>
      </c>
      <c r="G65" s="57">
        <v>2870</v>
      </c>
      <c r="H65" s="57">
        <v>120</v>
      </c>
      <c r="I65" s="57" t="s">
        <v>1206</v>
      </c>
      <c r="J65" s="57" t="s">
        <v>1224</v>
      </c>
      <c r="L65" s="57" t="s">
        <v>378</v>
      </c>
      <c r="M65" s="156">
        <v>45898</v>
      </c>
      <c r="N65" s="57">
        <v>0</v>
      </c>
      <c r="P65" s="167">
        <v>2.0529999999999999</v>
      </c>
      <c r="Q65" s="171">
        <v>5.133</v>
      </c>
      <c r="R65" s="166">
        <f>IFERROR(VLOOKUP(B65,#REF!,1,0),0)</f>
        <v>0</v>
      </c>
    </row>
    <row r="66" spans="1:18" x14ac:dyDescent="0.25">
      <c r="A66" s="57">
        <v>65</v>
      </c>
      <c r="B66" s="57" t="s">
        <v>1251</v>
      </c>
      <c r="C66" s="57">
        <v>1</v>
      </c>
      <c r="D66" s="57" t="s">
        <v>1721</v>
      </c>
      <c r="E66" s="57" t="s">
        <v>1729</v>
      </c>
      <c r="F66" s="57">
        <v>5220</v>
      </c>
      <c r="G66" s="57">
        <v>2870</v>
      </c>
      <c r="H66" s="57">
        <v>120</v>
      </c>
      <c r="I66" s="57" t="s">
        <v>1206</v>
      </c>
      <c r="J66" s="57" t="s">
        <v>1224</v>
      </c>
      <c r="L66" s="57" t="s">
        <v>378</v>
      </c>
      <c r="M66" s="156">
        <v>45898</v>
      </c>
      <c r="N66" s="57">
        <v>0</v>
      </c>
      <c r="P66" s="167">
        <v>2.0529999999999999</v>
      </c>
      <c r="Q66" s="171">
        <v>5.133</v>
      </c>
      <c r="R66" s="166">
        <f>IFERROR(VLOOKUP(B66,#REF!,1,0),0)</f>
        <v>0</v>
      </c>
    </row>
    <row r="67" spans="1:18" x14ac:dyDescent="0.25">
      <c r="A67" s="57">
        <v>66</v>
      </c>
      <c r="B67" s="57" t="s">
        <v>1252</v>
      </c>
      <c r="C67" s="57">
        <v>1</v>
      </c>
      <c r="D67" s="57" t="s">
        <v>1721</v>
      </c>
      <c r="E67" s="57" t="s">
        <v>1728</v>
      </c>
      <c r="F67" s="57">
        <v>5220</v>
      </c>
      <c r="G67" s="57">
        <v>2870</v>
      </c>
      <c r="H67" s="57">
        <v>120</v>
      </c>
      <c r="I67" s="57" t="s">
        <v>1206</v>
      </c>
      <c r="J67" s="57" t="s">
        <v>1224</v>
      </c>
      <c r="L67" s="57" t="s">
        <v>378</v>
      </c>
      <c r="M67" s="156">
        <v>45898</v>
      </c>
      <c r="N67" s="57">
        <v>0</v>
      </c>
      <c r="P67" s="167">
        <v>2.0529999999999999</v>
      </c>
      <c r="Q67" s="171">
        <v>5.133</v>
      </c>
      <c r="R67" s="166">
        <f>IFERROR(VLOOKUP(B67,#REF!,1,0),0)</f>
        <v>0</v>
      </c>
    </row>
    <row r="68" spans="1:18" x14ac:dyDescent="0.25">
      <c r="A68" s="57">
        <v>67</v>
      </c>
      <c r="B68" s="57" t="s">
        <v>1253</v>
      </c>
      <c r="C68" s="57">
        <v>1</v>
      </c>
      <c r="D68" s="57" t="s">
        <v>1721</v>
      </c>
      <c r="E68" s="57" t="s">
        <v>1729</v>
      </c>
      <c r="F68" s="57">
        <v>5220</v>
      </c>
      <c r="G68" s="57">
        <v>2870</v>
      </c>
      <c r="H68" s="57">
        <v>120</v>
      </c>
      <c r="I68" s="57" t="s">
        <v>1206</v>
      </c>
      <c r="J68" s="57" t="s">
        <v>1224</v>
      </c>
      <c r="L68" s="57" t="s">
        <v>378</v>
      </c>
      <c r="M68" s="156">
        <v>45898</v>
      </c>
      <c r="N68" s="57">
        <v>0</v>
      </c>
      <c r="P68" s="167">
        <v>2.0529999999999999</v>
      </c>
      <c r="Q68" s="171">
        <v>5.133</v>
      </c>
      <c r="R68" s="166">
        <f>IFERROR(VLOOKUP(B68,#REF!,1,0),0)</f>
        <v>0</v>
      </c>
    </row>
    <row r="69" spans="1:18" x14ac:dyDescent="0.25">
      <c r="A69" s="57">
        <v>68</v>
      </c>
      <c r="B69" s="57" t="s">
        <v>1202</v>
      </c>
      <c r="C69" s="57">
        <v>1</v>
      </c>
      <c r="D69" s="57" t="s">
        <v>1721</v>
      </c>
      <c r="E69" s="57" t="s">
        <v>1726</v>
      </c>
      <c r="F69" s="57">
        <v>5220</v>
      </c>
      <c r="G69" s="57">
        <v>2870</v>
      </c>
      <c r="H69" s="57">
        <v>120</v>
      </c>
      <c r="I69" s="57" t="s">
        <v>1206</v>
      </c>
      <c r="J69" s="57" t="s">
        <v>1224</v>
      </c>
      <c r="L69" s="57" t="s">
        <v>378</v>
      </c>
      <c r="M69" s="156">
        <v>45898</v>
      </c>
      <c r="N69" s="57">
        <v>0</v>
      </c>
      <c r="P69" s="167">
        <v>2.0529999999999999</v>
      </c>
      <c r="Q69" s="171">
        <v>5.133</v>
      </c>
      <c r="R69" s="166">
        <f>IFERROR(VLOOKUP(B69,#REF!,1,0),0)</f>
        <v>0</v>
      </c>
    </row>
    <row r="70" spans="1:18" x14ac:dyDescent="0.25">
      <c r="A70" s="57">
        <v>69</v>
      </c>
      <c r="B70" s="57" t="s">
        <v>1254</v>
      </c>
      <c r="C70" s="57">
        <v>1</v>
      </c>
      <c r="D70" s="57" t="s">
        <v>1721</v>
      </c>
      <c r="E70" s="57" t="s">
        <v>1727</v>
      </c>
      <c r="F70" s="57">
        <v>5220</v>
      </c>
      <c r="G70" s="57">
        <v>2870</v>
      </c>
      <c r="H70" s="57">
        <v>120</v>
      </c>
      <c r="I70" s="57" t="s">
        <v>1206</v>
      </c>
      <c r="J70" s="57" t="s">
        <v>1224</v>
      </c>
      <c r="L70" s="57" t="s">
        <v>378</v>
      </c>
      <c r="M70" s="156">
        <v>45898</v>
      </c>
      <c r="N70" s="57">
        <v>0</v>
      </c>
      <c r="P70" s="167">
        <v>2.0529999999999999</v>
      </c>
      <c r="Q70" s="171">
        <v>5.133</v>
      </c>
      <c r="R70" s="166">
        <f>IFERROR(VLOOKUP(B70,#REF!,1,0),0)</f>
        <v>0</v>
      </c>
    </row>
    <row r="71" spans="1:18" x14ac:dyDescent="0.25">
      <c r="A71" s="57">
        <v>70</v>
      </c>
      <c r="B71" s="57" t="s">
        <v>1255</v>
      </c>
      <c r="C71" s="57">
        <v>1</v>
      </c>
      <c r="D71" s="57" t="s">
        <v>1721</v>
      </c>
      <c r="E71" s="57" t="s">
        <v>1726</v>
      </c>
      <c r="F71" s="57">
        <v>5220</v>
      </c>
      <c r="G71" s="57">
        <v>2870</v>
      </c>
      <c r="H71" s="57">
        <v>120</v>
      </c>
      <c r="I71" s="57" t="s">
        <v>1206</v>
      </c>
      <c r="J71" s="57" t="s">
        <v>1224</v>
      </c>
      <c r="L71" s="57" t="s">
        <v>378</v>
      </c>
      <c r="M71" s="156">
        <v>45898</v>
      </c>
      <c r="N71" s="57">
        <v>0</v>
      </c>
      <c r="P71" s="167">
        <v>2.0529999999999999</v>
      </c>
      <c r="Q71" s="171">
        <v>5.133</v>
      </c>
      <c r="R71" s="166">
        <f>IFERROR(VLOOKUP(B71,#REF!,1,0),0)</f>
        <v>0</v>
      </c>
    </row>
    <row r="72" spans="1:18" x14ac:dyDescent="0.25">
      <c r="A72" s="57">
        <v>71</v>
      </c>
      <c r="B72" s="57" t="s">
        <v>1256</v>
      </c>
      <c r="C72" s="57">
        <v>1</v>
      </c>
      <c r="D72" s="57" t="s">
        <v>1721</v>
      </c>
      <c r="E72" s="57" t="s">
        <v>1727</v>
      </c>
      <c r="F72" s="57">
        <v>5220</v>
      </c>
      <c r="G72" s="57">
        <v>2870</v>
      </c>
      <c r="H72" s="57">
        <v>120</v>
      </c>
      <c r="I72" s="57" t="s">
        <v>1206</v>
      </c>
      <c r="J72" s="57" t="s">
        <v>1224</v>
      </c>
      <c r="L72" s="57" t="s">
        <v>378</v>
      </c>
      <c r="M72" s="156">
        <v>45898</v>
      </c>
      <c r="N72" s="57">
        <v>0</v>
      </c>
      <c r="P72" s="167">
        <v>2.0529999999999999</v>
      </c>
      <c r="Q72" s="171">
        <v>5.133</v>
      </c>
      <c r="R72" s="166">
        <f>IFERROR(VLOOKUP(B72,#REF!,1,0),0)</f>
        <v>0</v>
      </c>
    </row>
    <row r="73" spans="1:18" x14ac:dyDescent="0.25">
      <c r="A73" s="57">
        <v>72</v>
      </c>
      <c r="B73" s="57" t="s">
        <v>1257</v>
      </c>
      <c r="C73" s="57">
        <v>1</v>
      </c>
      <c r="D73" s="57" t="s">
        <v>1721</v>
      </c>
      <c r="E73" s="57" t="s">
        <v>1728</v>
      </c>
      <c r="F73" s="57">
        <v>5220</v>
      </c>
      <c r="G73" s="57">
        <v>2870</v>
      </c>
      <c r="H73" s="57">
        <v>120</v>
      </c>
      <c r="I73" s="57" t="s">
        <v>1206</v>
      </c>
      <c r="J73" s="57" t="s">
        <v>1224</v>
      </c>
      <c r="L73" s="57" t="s">
        <v>378</v>
      </c>
      <c r="M73" s="156">
        <v>45898</v>
      </c>
      <c r="N73" s="57">
        <v>0</v>
      </c>
      <c r="P73" s="167">
        <v>2.0529999999999999</v>
      </c>
      <c r="Q73" s="171">
        <v>5.133</v>
      </c>
      <c r="R73" s="166">
        <f>IFERROR(VLOOKUP(B73,#REF!,1,0),0)</f>
        <v>0</v>
      </c>
    </row>
    <row r="74" spans="1:18" x14ac:dyDescent="0.25">
      <c r="A74" s="57">
        <v>73</v>
      </c>
      <c r="B74" s="57" t="s">
        <v>1258</v>
      </c>
      <c r="C74" s="57">
        <v>1</v>
      </c>
      <c r="D74" s="57" t="s">
        <v>1721</v>
      </c>
      <c r="E74" s="57" t="s">
        <v>1726</v>
      </c>
      <c r="F74" s="57">
        <v>5220</v>
      </c>
      <c r="G74" s="57">
        <v>2870</v>
      </c>
      <c r="H74" s="57">
        <v>120</v>
      </c>
      <c r="I74" s="57" t="s">
        <v>1206</v>
      </c>
      <c r="J74" s="57" t="s">
        <v>1224</v>
      </c>
      <c r="L74" s="57" t="s">
        <v>378</v>
      </c>
      <c r="M74" s="156">
        <v>45898</v>
      </c>
      <c r="N74" s="57">
        <v>0</v>
      </c>
      <c r="P74" s="167">
        <v>2.0529999999999999</v>
      </c>
      <c r="Q74" s="171">
        <v>5.133</v>
      </c>
      <c r="R74" s="166">
        <f>IFERROR(VLOOKUP(B74,#REF!,1,0),0)</f>
        <v>0</v>
      </c>
    </row>
    <row r="75" spans="1:18" x14ac:dyDescent="0.25">
      <c r="A75" s="57">
        <v>74</v>
      </c>
      <c r="B75" s="57" t="s">
        <v>1259</v>
      </c>
      <c r="C75" s="57">
        <v>1</v>
      </c>
      <c r="D75" s="57" t="s">
        <v>1721</v>
      </c>
      <c r="E75" s="57" t="s">
        <v>1728</v>
      </c>
      <c r="F75" s="57">
        <v>4862</v>
      </c>
      <c r="G75" s="57">
        <v>3165</v>
      </c>
      <c r="H75" s="57">
        <v>120</v>
      </c>
      <c r="I75" s="57" t="s">
        <v>1212</v>
      </c>
      <c r="J75" s="57" t="s">
        <v>1243</v>
      </c>
      <c r="L75" s="57" t="s">
        <v>378</v>
      </c>
      <c r="M75" s="156">
        <v>45898</v>
      </c>
      <c r="N75" s="57">
        <v>0</v>
      </c>
      <c r="P75" s="167">
        <v>1.4339999999999999</v>
      </c>
      <c r="Q75" s="171">
        <v>3.585</v>
      </c>
      <c r="R75" s="166">
        <f>IFERROR(VLOOKUP(B75,#REF!,1,0),0)</f>
        <v>0</v>
      </c>
    </row>
    <row r="76" spans="1:18" x14ac:dyDescent="0.25">
      <c r="A76" s="57">
        <v>75</v>
      </c>
      <c r="B76" s="57" t="s">
        <v>1260</v>
      </c>
      <c r="C76" s="57">
        <v>1</v>
      </c>
      <c r="D76" s="57" t="s">
        <v>1721</v>
      </c>
      <c r="E76" s="57" t="s">
        <v>1728</v>
      </c>
      <c r="F76" s="57">
        <v>4862</v>
      </c>
      <c r="G76" s="57">
        <v>1965</v>
      </c>
      <c r="H76" s="57">
        <v>120</v>
      </c>
      <c r="I76" s="57" t="s">
        <v>1212</v>
      </c>
      <c r="J76" s="57" t="s">
        <v>1243</v>
      </c>
      <c r="L76" s="57" t="s">
        <v>378</v>
      </c>
      <c r="M76" s="156">
        <v>45898</v>
      </c>
      <c r="N76" s="57">
        <v>0</v>
      </c>
      <c r="P76" s="167">
        <v>1.2609999999999999</v>
      </c>
      <c r="Q76" s="171">
        <v>3.153</v>
      </c>
      <c r="R76" s="166">
        <f>IFERROR(VLOOKUP(B76,#REF!,1,0),0)</f>
        <v>0</v>
      </c>
    </row>
    <row r="77" spans="1:18" x14ac:dyDescent="0.25">
      <c r="A77" s="57">
        <v>76</v>
      </c>
      <c r="B77" s="57" t="s">
        <v>1261</v>
      </c>
      <c r="C77" s="57">
        <v>1</v>
      </c>
      <c r="D77" s="57" t="s">
        <v>1721</v>
      </c>
      <c r="E77" s="57" t="s">
        <v>1729</v>
      </c>
      <c r="F77" s="57">
        <v>5220</v>
      </c>
      <c r="G77" s="57">
        <v>2930</v>
      </c>
      <c r="H77" s="57">
        <v>120</v>
      </c>
      <c r="I77" s="57" t="s">
        <v>1206</v>
      </c>
      <c r="J77" s="57" t="s">
        <v>1224</v>
      </c>
      <c r="L77" s="57" t="s">
        <v>378</v>
      </c>
      <c r="M77" s="156">
        <v>45898</v>
      </c>
      <c r="N77" s="57">
        <v>0</v>
      </c>
      <c r="P77" s="167">
        <v>2.09</v>
      </c>
      <c r="Q77" s="171">
        <v>5.2249999999999996</v>
      </c>
      <c r="R77" s="166">
        <f>IFERROR(VLOOKUP(B77,#REF!,1,0),0)</f>
        <v>0</v>
      </c>
    </row>
    <row r="78" spans="1:18" x14ac:dyDescent="0.25">
      <c r="A78" s="57">
        <v>77</v>
      </c>
      <c r="B78" s="57" t="s">
        <v>1262</v>
      </c>
      <c r="C78" s="57">
        <v>1</v>
      </c>
      <c r="D78" s="57" t="s">
        <v>1721</v>
      </c>
      <c r="E78" s="57" t="s">
        <v>1729</v>
      </c>
      <c r="F78" s="57">
        <v>5220</v>
      </c>
      <c r="G78" s="57">
        <v>2870</v>
      </c>
      <c r="H78" s="57">
        <v>120</v>
      </c>
      <c r="I78" s="57" t="s">
        <v>1206</v>
      </c>
      <c r="J78" s="57" t="s">
        <v>1224</v>
      </c>
      <c r="L78" s="57" t="s">
        <v>378</v>
      </c>
      <c r="M78" s="156">
        <v>45898</v>
      </c>
      <c r="N78" s="57">
        <v>0</v>
      </c>
      <c r="P78" s="167">
        <v>2.0529999999999999</v>
      </c>
      <c r="Q78" s="171">
        <v>5.133</v>
      </c>
      <c r="R78" s="166">
        <f>IFERROR(VLOOKUP(B78,#REF!,1,0),0)</f>
        <v>0</v>
      </c>
    </row>
    <row r="79" spans="1:18" x14ac:dyDescent="0.25">
      <c r="A79" s="57">
        <v>78</v>
      </c>
      <c r="B79" s="57" t="s">
        <v>1263</v>
      </c>
      <c r="C79" s="57">
        <v>1</v>
      </c>
      <c r="D79" s="57" t="s">
        <v>1721</v>
      </c>
      <c r="E79" s="57" t="s">
        <v>1727</v>
      </c>
      <c r="F79" s="57">
        <v>5220</v>
      </c>
      <c r="G79" s="57">
        <v>2870</v>
      </c>
      <c r="H79" s="57">
        <v>120</v>
      </c>
      <c r="I79" s="57" t="s">
        <v>1206</v>
      </c>
      <c r="J79" s="57" t="s">
        <v>1224</v>
      </c>
      <c r="L79" s="57" t="s">
        <v>378</v>
      </c>
      <c r="M79" s="156">
        <v>45898</v>
      </c>
      <c r="N79" s="57">
        <v>0</v>
      </c>
      <c r="P79" s="167">
        <v>2.0529999999999999</v>
      </c>
      <c r="Q79" s="171">
        <v>5.133</v>
      </c>
      <c r="R79" s="166">
        <f>IFERROR(VLOOKUP(B79,#REF!,1,0),0)</f>
        <v>0</v>
      </c>
    </row>
    <row r="80" spans="1:18" x14ac:dyDescent="0.25">
      <c r="A80" s="57">
        <v>79</v>
      </c>
      <c r="B80" s="57" t="s">
        <v>1264</v>
      </c>
      <c r="C80" s="57">
        <v>1</v>
      </c>
      <c r="D80" s="57" t="s">
        <v>1721</v>
      </c>
      <c r="E80" s="57" t="s">
        <v>1729</v>
      </c>
      <c r="F80" s="57">
        <v>4310</v>
      </c>
      <c r="G80" s="57">
        <v>2800</v>
      </c>
      <c r="H80" s="57">
        <v>120</v>
      </c>
      <c r="I80" s="57" t="s">
        <v>1161</v>
      </c>
      <c r="J80" s="57" t="s">
        <v>797</v>
      </c>
      <c r="L80" s="57" t="s">
        <v>1230</v>
      </c>
      <c r="M80" s="156">
        <v>45898</v>
      </c>
      <c r="N80" s="57">
        <v>1</v>
      </c>
      <c r="O80" s="165">
        <v>45899</v>
      </c>
      <c r="P80" s="167">
        <v>1.413</v>
      </c>
      <c r="Q80" s="171">
        <v>3.5329999999999999</v>
      </c>
      <c r="R80" s="166">
        <f>IFERROR(VLOOKUP(B80,#REF!,1,0),0)</f>
        <v>0</v>
      </c>
    </row>
    <row r="81" spans="1:18" x14ac:dyDescent="0.25">
      <c r="A81" s="57">
        <v>80</v>
      </c>
      <c r="B81" s="57" t="s">
        <v>1265</v>
      </c>
      <c r="C81" s="57">
        <v>1</v>
      </c>
      <c r="D81" s="57" t="s">
        <v>1721</v>
      </c>
      <c r="E81" s="57" t="s">
        <v>1730</v>
      </c>
      <c r="F81" s="57">
        <v>4310</v>
      </c>
      <c r="G81" s="57">
        <v>2800</v>
      </c>
      <c r="H81" s="57">
        <v>120</v>
      </c>
      <c r="I81" s="57" t="s">
        <v>1161</v>
      </c>
      <c r="J81" s="57" t="s">
        <v>797</v>
      </c>
      <c r="L81" s="57" t="s">
        <v>1230</v>
      </c>
      <c r="M81" s="156">
        <v>45898</v>
      </c>
      <c r="N81" s="57">
        <v>1</v>
      </c>
      <c r="O81" s="165">
        <v>45899</v>
      </c>
      <c r="P81" s="167">
        <v>1.413</v>
      </c>
      <c r="Q81" s="171">
        <v>3.5329999999999999</v>
      </c>
      <c r="R81" s="166">
        <f>IFERROR(VLOOKUP(B81,#REF!,1,0),0)</f>
        <v>0</v>
      </c>
    </row>
    <row r="82" spans="1:18" x14ac:dyDescent="0.25">
      <c r="A82" s="57">
        <v>81</v>
      </c>
      <c r="B82" s="57" t="s">
        <v>1266</v>
      </c>
      <c r="C82" s="57">
        <v>1</v>
      </c>
      <c r="D82" s="57" t="s">
        <v>1721</v>
      </c>
      <c r="E82" s="57" t="s">
        <v>1731</v>
      </c>
      <c r="F82" s="57">
        <v>4310</v>
      </c>
      <c r="G82" s="57">
        <v>2800</v>
      </c>
      <c r="H82" s="57">
        <v>120</v>
      </c>
      <c r="I82" s="57" t="s">
        <v>1161</v>
      </c>
      <c r="J82" s="57" t="s">
        <v>797</v>
      </c>
      <c r="L82" s="57" t="s">
        <v>1230</v>
      </c>
      <c r="M82" s="156">
        <v>45898</v>
      </c>
      <c r="N82" s="57">
        <v>1</v>
      </c>
      <c r="O82" s="165">
        <v>45899</v>
      </c>
      <c r="P82" s="167">
        <v>1.413</v>
      </c>
      <c r="Q82" s="171">
        <v>3.5329999999999999</v>
      </c>
      <c r="R82" s="166">
        <f>IFERROR(VLOOKUP(B82,#REF!,1,0),0)</f>
        <v>0</v>
      </c>
    </row>
    <row r="83" spans="1:18" x14ac:dyDescent="0.25">
      <c r="A83" s="57">
        <v>82</v>
      </c>
      <c r="B83" s="57" t="s">
        <v>1200</v>
      </c>
      <c r="C83" s="57">
        <v>1</v>
      </c>
      <c r="D83" s="57" t="s">
        <v>1721</v>
      </c>
      <c r="E83" s="57" t="s">
        <v>1729</v>
      </c>
      <c r="F83" s="57">
        <v>4862</v>
      </c>
      <c r="G83" s="57">
        <v>1965</v>
      </c>
      <c r="H83" s="57">
        <v>120</v>
      </c>
      <c r="I83" s="57" t="s">
        <v>1212</v>
      </c>
      <c r="J83" s="57" t="s">
        <v>1243</v>
      </c>
      <c r="L83" s="57" t="s">
        <v>378</v>
      </c>
      <c r="M83" s="156">
        <v>45898</v>
      </c>
      <c r="N83" s="57">
        <v>0</v>
      </c>
      <c r="P83" s="167">
        <v>1.2609999999999999</v>
      </c>
      <c r="Q83" s="171">
        <v>3.153</v>
      </c>
      <c r="R83" s="166">
        <f>IFERROR(VLOOKUP(B83,#REF!,1,0),0)</f>
        <v>0</v>
      </c>
    </row>
    <row r="84" spans="1:18" x14ac:dyDescent="0.25">
      <c r="A84" s="57">
        <v>83</v>
      </c>
      <c r="B84" s="57" t="s">
        <v>1201</v>
      </c>
      <c r="C84" s="57">
        <v>1</v>
      </c>
      <c r="D84" s="57" t="s">
        <v>1721</v>
      </c>
      <c r="E84" s="57" t="s">
        <v>1729</v>
      </c>
      <c r="F84" s="57">
        <v>4862</v>
      </c>
      <c r="G84" s="57">
        <v>3165</v>
      </c>
      <c r="H84" s="57">
        <v>120</v>
      </c>
      <c r="I84" s="57" t="s">
        <v>1212</v>
      </c>
      <c r="J84" s="57" t="s">
        <v>1243</v>
      </c>
      <c r="L84" s="57" t="s">
        <v>378</v>
      </c>
      <c r="M84" s="156">
        <v>45898</v>
      </c>
      <c r="N84" s="57">
        <v>0</v>
      </c>
      <c r="P84" s="167">
        <v>1.4339999999999999</v>
      </c>
      <c r="Q84" s="171">
        <v>3.585</v>
      </c>
      <c r="R84" s="166">
        <f>IFERROR(VLOOKUP(B84,#REF!,1,0),0)</f>
        <v>0</v>
      </c>
    </row>
    <row r="85" spans="1:18" x14ac:dyDescent="0.25">
      <c r="A85" s="57">
        <v>84</v>
      </c>
      <c r="B85" s="57" t="s">
        <v>1203</v>
      </c>
      <c r="C85" s="57">
        <v>1</v>
      </c>
      <c r="D85" s="57" t="s">
        <v>1721</v>
      </c>
      <c r="E85" s="57" t="s">
        <v>1732</v>
      </c>
      <c r="F85" s="57">
        <v>2400</v>
      </c>
      <c r="G85" s="57">
        <v>3165</v>
      </c>
      <c r="H85" s="57">
        <v>120</v>
      </c>
      <c r="I85" s="57" t="s">
        <v>1206</v>
      </c>
      <c r="J85" s="57" t="s">
        <v>110</v>
      </c>
      <c r="L85" s="57" t="s">
        <v>378</v>
      </c>
      <c r="M85" s="156">
        <v>45898</v>
      </c>
      <c r="N85" s="57">
        <v>0</v>
      </c>
      <c r="P85" s="167">
        <v>0.997</v>
      </c>
      <c r="Q85" s="171">
        <v>2.4929999999999999</v>
      </c>
      <c r="R85" s="166">
        <f>IFERROR(VLOOKUP(B85,#REF!,1,0),0)</f>
        <v>0</v>
      </c>
    </row>
    <row r="86" spans="1:18" x14ac:dyDescent="0.25">
      <c r="A86" s="57">
        <v>85</v>
      </c>
      <c r="B86" s="57" t="s">
        <v>1267</v>
      </c>
      <c r="C86" s="57">
        <v>1</v>
      </c>
      <c r="D86" s="57" t="s">
        <v>1721</v>
      </c>
      <c r="E86" s="57" t="s">
        <v>1732</v>
      </c>
      <c r="F86" s="57">
        <v>5220</v>
      </c>
      <c r="G86" s="57">
        <v>2885</v>
      </c>
      <c r="H86" s="57">
        <v>120</v>
      </c>
      <c r="I86" s="57" t="s">
        <v>1206</v>
      </c>
      <c r="J86" s="57" t="s">
        <v>1224</v>
      </c>
      <c r="L86" s="57" t="s">
        <v>378</v>
      </c>
      <c r="M86" s="156">
        <v>45898</v>
      </c>
      <c r="N86" s="57">
        <v>0</v>
      </c>
      <c r="P86" s="167">
        <v>2.0619999999999998</v>
      </c>
      <c r="Q86" s="171">
        <v>5.1550000000000002</v>
      </c>
      <c r="R86" s="166">
        <f>IFERROR(VLOOKUP(B86,#REF!,1,0),0)</f>
        <v>0</v>
      </c>
    </row>
    <row r="87" spans="1:18" x14ac:dyDescent="0.25">
      <c r="A87" s="57">
        <v>86</v>
      </c>
      <c r="B87" s="57" t="s">
        <v>1268</v>
      </c>
      <c r="C87" s="57">
        <v>1</v>
      </c>
      <c r="D87" s="57" t="s">
        <v>1721</v>
      </c>
      <c r="E87" s="57" t="s">
        <v>1732</v>
      </c>
      <c r="F87" s="57">
        <v>5220</v>
      </c>
      <c r="G87" s="57">
        <v>2885</v>
      </c>
      <c r="H87" s="57">
        <v>120</v>
      </c>
      <c r="I87" s="57" t="s">
        <v>1206</v>
      </c>
      <c r="J87" s="57" t="s">
        <v>1224</v>
      </c>
      <c r="L87" s="57" t="s">
        <v>378</v>
      </c>
      <c r="M87" s="156">
        <v>45898</v>
      </c>
      <c r="N87" s="57">
        <v>0</v>
      </c>
      <c r="P87" s="167">
        <v>2.0619999999999998</v>
      </c>
      <c r="Q87" s="171">
        <v>5.1550000000000002</v>
      </c>
      <c r="R87" s="166">
        <f>IFERROR(VLOOKUP(B87,#REF!,1,0),0)</f>
        <v>0</v>
      </c>
    </row>
    <row r="88" spans="1:18" x14ac:dyDescent="0.25">
      <c r="A88" s="57">
        <v>87</v>
      </c>
      <c r="B88" s="57" t="s">
        <v>1269</v>
      </c>
      <c r="C88" s="57">
        <v>1</v>
      </c>
      <c r="D88" s="57" t="s">
        <v>1721</v>
      </c>
      <c r="E88" s="57" t="s">
        <v>1724</v>
      </c>
      <c r="F88" s="57">
        <v>5220</v>
      </c>
      <c r="G88" s="57">
        <v>2885</v>
      </c>
      <c r="H88" s="57">
        <v>120</v>
      </c>
      <c r="I88" s="57" t="s">
        <v>1206</v>
      </c>
      <c r="J88" s="57" t="s">
        <v>1224</v>
      </c>
      <c r="L88" s="57" t="s">
        <v>378</v>
      </c>
      <c r="M88" s="156">
        <v>45898</v>
      </c>
      <c r="N88" s="57">
        <v>0</v>
      </c>
      <c r="P88" s="167">
        <v>2.0619999999999998</v>
      </c>
      <c r="Q88" s="171">
        <v>5.1550000000000002</v>
      </c>
      <c r="R88" s="166">
        <f>IFERROR(VLOOKUP(B88,#REF!,1,0),0)</f>
        <v>0</v>
      </c>
    </row>
    <row r="89" spans="1:18" x14ac:dyDescent="0.25">
      <c r="A89" s="57">
        <v>88</v>
      </c>
      <c r="B89" s="57" t="s">
        <v>1270</v>
      </c>
      <c r="C89" s="57">
        <v>1</v>
      </c>
      <c r="D89" s="57" t="s">
        <v>1721</v>
      </c>
      <c r="E89" s="57" t="s">
        <v>1732</v>
      </c>
      <c r="F89" s="57">
        <v>5220</v>
      </c>
      <c r="G89" s="57">
        <v>2885</v>
      </c>
      <c r="H89" s="57">
        <v>120</v>
      </c>
      <c r="I89" s="57" t="s">
        <v>1206</v>
      </c>
      <c r="J89" s="57" t="s">
        <v>1224</v>
      </c>
      <c r="L89" s="57" t="s">
        <v>378</v>
      </c>
      <c r="M89" s="156">
        <v>45898</v>
      </c>
      <c r="N89" s="57">
        <v>0</v>
      </c>
      <c r="P89" s="167">
        <v>2.0619999999999998</v>
      </c>
      <c r="Q89" s="171">
        <v>5.1550000000000002</v>
      </c>
      <c r="R89" s="166">
        <f>IFERROR(VLOOKUP(B89,#REF!,1,0),0)</f>
        <v>0</v>
      </c>
    </row>
    <row r="90" spans="1:18" x14ac:dyDescent="0.25">
      <c r="A90" s="57">
        <v>89</v>
      </c>
      <c r="B90" s="57" t="s">
        <v>1271</v>
      </c>
      <c r="C90" s="57">
        <v>1</v>
      </c>
      <c r="D90" s="57" t="s">
        <v>1721</v>
      </c>
      <c r="E90" s="57" t="s">
        <v>1724</v>
      </c>
      <c r="F90" s="57">
        <v>5220</v>
      </c>
      <c r="G90" s="57">
        <v>2885</v>
      </c>
      <c r="H90" s="57">
        <v>120</v>
      </c>
      <c r="I90" s="57" t="s">
        <v>1206</v>
      </c>
      <c r="J90" s="57" t="s">
        <v>1224</v>
      </c>
      <c r="L90" s="57" t="s">
        <v>378</v>
      </c>
      <c r="M90" s="156">
        <v>45898</v>
      </c>
      <c r="N90" s="57">
        <v>0</v>
      </c>
      <c r="P90" s="167">
        <v>2.0619999999999998</v>
      </c>
      <c r="Q90" s="171">
        <v>5.1550000000000002</v>
      </c>
      <c r="R90" s="166">
        <f>IFERROR(VLOOKUP(B90,#REF!,1,0),0)</f>
        <v>0</v>
      </c>
    </row>
    <row r="91" spans="1:18" x14ac:dyDescent="0.25">
      <c r="A91" s="57">
        <v>90</v>
      </c>
      <c r="B91" s="57" t="s">
        <v>1272</v>
      </c>
      <c r="C91" s="57">
        <v>1</v>
      </c>
      <c r="D91" s="57" t="s">
        <v>1721</v>
      </c>
      <c r="E91" s="57" t="s">
        <v>1732</v>
      </c>
      <c r="F91" s="57">
        <v>5220</v>
      </c>
      <c r="G91" s="57">
        <v>2810</v>
      </c>
      <c r="H91" s="57">
        <v>120</v>
      </c>
      <c r="I91" s="57" t="s">
        <v>1206</v>
      </c>
      <c r="J91" s="57" t="s">
        <v>1224</v>
      </c>
      <c r="L91" s="57" t="s">
        <v>378</v>
      </c>
      <c r="M91" s="156">
        <v>45898</v>
      </c>
      <c r="N91" s="57">
        <v>0</v>
      </c>
      <c r="P91" s="167">
        <v>2.0150000000000001</v>
      </c>
      <c r="Q91" s="171">
        <v>5.0380000000000003</v>
      </c>
      <c r="R91" s="166">
        <f>IFERROR(VLOOKUP(B91,#REF!,1,0),0)</f>
        <v>0</v>
      </c>
    </row>
    <row r="92" spans="1:18" x14ac:dyDescent="0.25">
      <c r="A92" s="57">
        <v>91</v>
      </c>
      <c r="B92" s="57" t="s">
        <v>1273</v>
      </c>
      <c r="C92" s="57">
        <v>1</v>
      </c>
      <c r="D92" s="57" t="s">
        <v>1721</v>
      </c>
      <c r="E92" s="57" t="s">
        <v>1724</v>
      </c>
      <c r="F92" s="57">
        <v>5220</v>
      </c>
      <c r="G92" s="57">
        <v>2810</v>
      </c>
      <c r="H92" s="57">
        <v>120</v>
      </c>
      <c r="I92" s="57" t="s">
        <v>1206</v>
      </c>
      <c r="J92" s="57" t="s">
        <v>1224</v>
      </c>
      <c r="L92" s="57" t="s">
        <v>378</v>
      </c>
      <c r="M92" s="156">
        <v>45898</v>
      </c>
      <c r="N92" s="57">
        <v>0</v>
      </c>
      <c r="P92" s="167">
        <v>2.0150000000000001</v>
      </c>
      <c r="Q92" s="171">
        <v>5.0380000000000003</v>
      </c>
      <c r="R92" s="166">
        <f>IFERROR(VLOOKUP(B92,#REF!,1,0),0)</f>
        <v>0</v>
      </c>
    </row>
    <row r="93" spans="1:18" x14ac:dyDescent="0.25">
      <c r="A93" s="57">
        <v>92</v>
      </c>
      <c r="B93" s="57" t="s">
        <v>1274</v>
      </c>
      <c r="C93" s="57">
        <v>1</v>
      </c>
      <c r="D93" s="57" t="s">
        <v>1721</v>
      </c>
      <c r="E93" s="57" t="s">
        <v>1732</v>
      </c>
      <c r="F93" s="57">
        <v>5220</v>
      </c>
      <c r="G93" s="57">
        <v>2810</v>
      </c>
      <c r="H93" s="57">
        <v>120</v>
      </c>
      <c r="I93" s="57" t="s">
        <v>1206</v>
      </c>
      <c r="J93" s="57" t="s">
        <v>1224</v>
      </c>
      <c r="L93" s="57" t="s">
        <v>378</v>
      </c>
      <c r="M93" s="156">
        <v>45898</v>
      </c>
      <c r="N93" s="57">
        <v>0</v>
      </c>
      <c r="P93" s="167">
        <v>2.0150000000000001</v>
      </c>
      <c r="Q93" s="171">
        <v>5.0380000000000003</v>
      </c>
      <c r="R93" s="166">
        <f>IFERROR(VLOOKUP(B93,#REF!,1,0),0)</f>
        <v>0</v>
      </c>
    </row>
    <row r="94" spans="1:18" x14ac:dyDescent="0.25">
      <c r="A94" s="57">
        <v>93</v>
      </c>
      <c r="B94" s="57" t="s">
        <v>1275</v>
      </c>
      <c r="C94" s="57">
        <v>1</v>
      </c>
      <c r="D94" s="57" t="s">
        <v>1721</v>
      </c>
      <c r="E94" s="57" t="s">
        <v>1724</v>
      </c>
      <c r="F94" s="57">
        <v>5220</v>
      </c>
      <c r="G94" s="57">
        <v>2810</v>
      </c>
      <c r="H94" s="57">
        <v>120</v>
      </c>
      <c r="I94" s="57" t="s">
        <v>1206</v>
      </c>
      <c r="J94" s="57" t="s">
        <v>1224</v>
      </c>
      <c r="L94" s="57" t="s">
        <v>378</v>
      </c>
      <c r="M94" s="156">
        <v>45898</v>
      </c>
      <c r="N94" s="57">
        <v>0</v>
      </c>
      <c r="P94" s="167">
        <v>2.0150000000000001</v>
      </c>
      <c r="Q94" s="171">
        <v>5.0380000000000003</v>
      </c>
      <c r="R94" s="166">
        <f>IFERROR(VLOOKUP(B94,#REF!,1,0),0)</f>
        <v>0</v>
      </c>
    </row>
    <row r="95" spans="1:18" x14ac:dyDescent="0.25">
      <c r="A95" s="57">
        <v>94</v>
      </c>
      <c r="B95" s="57" t="s">
        <v>1276</v>
      </c>
      <c r="C95" s="57">
        <v>1</v>
      </c>
      <c r="D95" s="57" t="s">
        <v>1721</v>
      </c>
      <c r="E95" s="57" t="s">
        <v>1732</v>
      </c>
      <c r="F95" s="57">
        <v>5220</v>
      </c>
      <c r="G95" s="57">
        <v>2810</v>
      </c>
      <c r="H95" s="57">
        <v>120</v>
      </c>
      <c r="I95" s="57" t="s">
        <v>1206</v>
      </c>
      <c r="J95" s="57" t="s">
        <v>1224</v>
      </c>
      <c r="L95" s="57" t="s">
        <v>378</v>
      </c>
      <c r="M95" s="156">
        <v>45898</v>
      </c>
      <c r="N95" s="57">
        <v>0</v>
      </c>
      <c r="P95" s="167">
        <v>2.0150000000000001</v>
      </c>
      <c r="Q95" s="171">
        <v>5.0380000000000003</v>
      </c>
      <c r="R95" s="166">
        <f>IFERROR(VLOOKUP(B95,#REF!,1,0),0)</f>
        <v>0</v>
      </c>
    </row>
    <row r="96" spans="1:18" x14ac:dyDescent="0.25">
      <c r="A96" s="57">
        <v>95</v>
      </c>
      <c r="B96" s="57" t="s">
        <v>1277</v>
      </c>
      <c r="C96" s="57">
        <v>1</v>
      </c>
      <c r="D96" s="57" t="s">
        <v>1721</v>
      </c>
      <c r="E96" s="57" t="s">
        <v>1733</v>
      </c>
      <c r="F96" s="57">
        <v>4862</v>
      </c>
      <c r="G96" s="57">
        <v>3200</v>
      </c>
      <c r="H96" s="57">
        <v>120</v>
      </c>
      <c r="I96" s="57" t="s">
        <v>1212</v>
      </c>
      <c r="J96" s="57" t="s">
        <v>1243</v>
      </c>
      <c r="L96" s="57" t="s">
        <v>378</v>
      </c>
      <c r="M96" s="156">
        <v>45898</v>
      </c>
      <c r="N96" s="57">
        <v>0</v>
      </c>
      <c r="P96" s="167">
        <v>1.4550000000000001</v>
      </c>
      <c r="Q96" s="171">
        <v>3.6379999999999999</v>
      </c>
      <c r="R96" s="166">
        <f>IFERROR(VLOOKUP(B96,#REF!,1,0),0)</f>
        <v>0</v>
      </c>
    </row>
    <row r="97" spans="1:18" x14ac:dyDescent="0.25">
      <c r="A97" s="57">
        <v>96</v>
      </c>
      <c r="B97" s="57" t="s">
        <v>1278</v>
      </c>
      <c r="C97" s="57">
        <v>1</v>
      </c>
      <c r="D97" s="57" t="s">
        <v>1721</v>
      </c>
      <c r="E97" s="57" t="s">
        <v>1732</v>
      </c>
      <c r="F97" s="57">
        <v>4862</v>
      </c>
      <c r="G97" s="57">
        <v>3200</v>
      </c>
      <c r="H97" s="57">
        <v>120</v>
      </c>
      <c r="I97" s="57" t="s">
        <v>1212</v>
      </c>
      <c r="J97" s="57" t="s">
        <v>1243</v>
      </c>
      <c r="L97" s="57" t="s">
        <v>378</v>
      </c>
      <c r="M97" s="156">
        <v>45898</v>
      </c>
      <c r="N97" s="57">
        <v>0</v>
      </c>
      <c r="P97" s="167">
        <v>1.4550000000000001</v>
      </c>
      <c r="Q97" s="171">
        <v>3.6379999999999999</v>
      </c>
      <c r="R97" s="166">
        <f>IFERROR(VLOOKUP(B97,#REF!,1,0),0)</f>
        <v>0</v>
      </c>
    </row>
    <row r="98" spans="1:18" x14ac:dyDescent="0.25">
      <c r="A98" s="57">
        <v>97</v>
      </c>
      <c r="B98" s="57" t="s">
        <v>1279</v>
      </c>
      <c r="C98" s="57">
        <v>1</v>
      </c>
      <c r="D98" s="57" t="s">
        <v>1721</v>
      </c>
      <c r="E98" s="57" t="s">
        <v>1732</v>
      </c>
      <c r="F98" s="57">
        <v>4862</v>
      </c>
      <c r="G98" s="57">
        <v>2000</v>
      </c>
      <c r="H98" s="57">
        <v>120</v>
      </c>
      <c r="I98" s="57" t="s">
        <v>1212</v>
      </c>
      <c r="J98" s="57" t="s">
        <v>1243</v>
      </c>
      <c r="L98" s="57" t="s">
        <v>378</v>
      </c>
      <c r="M98" s="156">
        <v>45898</v>
      </c>
      <c r="N98" s="57">
        <v>0</v>
      </c>
      <c r="P98" s="167">
        <v>1.282</v>
      </c>
      <c r="Q98" s="171">
        <v>3.2050000000000001</v>
      </c>
      <c r="R98" s="166">
        <f>IFERROR(VLOOKUP(B98,#REF!,1,0),0)</f>
        <v>0</v>
      </c>
    </row>
    <row r="99" spans="1:18" x14ac:dyDescent="0.25">
      <c r="A99" s="57">
        <v>98</v>
      </c>
      <c r="B99" s="57" t="s">
        <v>1280</v>
      </c>
      <c r="C99" s="57">
        <v>1</v>
      </c>
      <c r="D99" s="57" t="s">
        <v>1721</v>
      </c>
      <c r="E99" s="57" t="s">
        <v>1733</v>
      </c>
      <c r="F99" s="57">
        <v>4862</v>
      </c>
      <c r="G99" s="57">
        <v>2000</v>
      </c>
      <c r="H99" s="57">
        <v>120</v>
      </c>
      <c r="I99" s="57" t="s">
        <v>1212</v>
      </c>
      <c r="J99" s="57" t="s">
        <v>1243</v>
      </c>
      <c r="L99" s="57" t="s">
        <v>378</v>
      </c>
      <c r="M99" s="156">
        <v>45898</v>
      </c>
      <c r="N99" s="57">
        <v>0</v>
      </c>
      <c r="P99" s="167">
        <v>1.282</v>
      </c>
      <c r="Q99" s="171">
        <v>3.2050000000000001</v>
      </c>
      <c r="R99" s="166">
        <f>IFERROR(VLOOKUP(B99,#REF!,1,0),0)</f>
        <v>0</v>
      </c>
    </row>
    <row r="100" spans="1:18" x14ac:dyDescent="0.25">
      <c r="A100" s="57">
        <v>99</v>
      </c>
      <c r="B100" s="57" t="s">
        <v>1281</v>
      </c>
      <c r="C100" s="57">
        <v>1</v>
      </c>
      <c r="D100" s="57" t="s">
        <v>1721</v>
      </c>
      <c r="E100" s="57" t="s">
        <v>1724</v>
      </c>
      <c r="F100" s="57">
        <v>2400</v>
      </c>
      <c r="G100" s="57">
        <v>3200</v>
      </c>
      <c r="H100" s="57">
        <v>120</v>
      </c>
      <c r="I100" s="57" t="s">
        <v>1206</v>
      </c>
      <c r="J100" s="57" t="s">
        <v>110</v>
      </c>
      <c r="L100" s="57" t="s">
        <v>378</v>
      </c>
      <c r="M100" s="156">
        <v>45898</v>
      </c>
      <c r="N100" s="57">
        <v>0</v>
      </c>
      <c r="P100" s="167">
        <v>1.0069999999999999</v>
      </c>
      <c r="Q100" s="171">
        <v>2.5179999999999998</v>
      </c>
      <c r="R100" s="166">
        <f>IFERROR(VLOOKUP(B100,#REF!,1,0),0)</f>
        <v>0</v>
      </c>
    </row>
    <row r="101" spans="1:18" x14ac:dyDescent="0.25">
      <c r="A101" s="57">
        <v>100</v>
      </c>
      <c r="B101" s="57" t="s">
        <v>1282</v>
      </c>
      <c r="C101" s="57">
        <v>1</v>
      </c>
      <c r="D101" s="57" t="s">
        <v>1721</v>
      </c>
      <c r="E101" s="57" t="s">
        <v>1724</v>
      </c>
      <c r="F101" s="57">
        <v>5220</v>
      </c>
      <c r="G101" s="57">
        <v>2885</v>
      </c>
      <c r="H101" s="57">
        <v>120</v>
      </c>
      <c r="I101" s="57" t="s">
        <v>1206</v>
      </c>
      <c r="J101" s="57" t="s">
        <v>1224</v>
      </c>
      <c r="L101" s="57" t="s">
        <v>378</v>
      </c>
      <c r="M101" s="156">
        <v>45898</v>
      </c>
      <c r="N101" s="57">
        <v>0</v>
      </c>
      <c r="P101" s="167">
        <v>2.0619999999999998</v>
      </c>
      <c r="Q101" s="171">
        <v>5.1550000000000002</v>
      </c>
      <c r="R101" s="166">
        <f>IFERROR(VLOOKUP(B101,#REF!,1,0),0)</f>
        <v>0</v>
      </c>
    </row>
    <row r="102" spans="1:18" x14ac:dyDescent="0.25">
      <c r="A102" s="57">
        <v>101</v>
      </c>
      <c r="B102" s="57" t="s">
        <v>1283</v>
      </c>
      <c r="C102" s="57">
        <v>1</v>
      </c>
      <c r="D102" s="57" t="s">
        <v>1721</v>
      </c>
      <c r="E102" s="57" t="s">
        <v>1724</v>
      </c>
      <c r="F102" s="57">
        <v>5220</v>
      </c>
      <c r="G102" s="57">
        <v>2810</v>
      </c>
      <c r="H102" s="57">
        <v>120</v>
      </c>
      <c r="I102" s="57" t="s">
        <v>1206</v>
      </c>
      <c r="J102" s="57" t="s">
        <v>1224</v>
      </c>
      <c r="L102" s="57" t="s">
        <v>378</v>
      </c>
      <c r="M102" s="156">
        <v>45898</v>
      </c>
      <c r="N102" s="57">
        <v>0</v>
      </c>
      <c r="P102" s="167">
        <v>2.0150000000000001</v>
      </c>
      <c r="Q102" s="171">
        <v>5.0380000000000003</v>
      </c>
      <c r="R102" s="166">
        <f>IFERROR(VLOOKUP(B102,#REF!,1,0),0)</f>
        <v>0</v>
      </c>
    </row>
    <row r="103" spans="1:18" x14ac:dyDescent="0.25">
      <c r="A103" s="57">
        <v>102</v>
      </c>
      <c r="B103" s="57" t="s">
        <v>1284</v>
      </c>
      <c r="C103" s="57">
        <v>1</v>
      </c>
      <c r="D103" s="57" t="s">
        <v>1721</v>
      </c>
      <c r="E103" s="57" t="s">
        <v>1724</v>
      </c>
      <c r="F103" s="57">
        <v>4862</v>
      </c>
      <c r="G103" s="57">
        <v>2000</v>
      </c>
      <c r="H103" s="57">
        <v>120</v>
      </c>
      <c r="I103" s="57" t="s">
        <v>1206</v>
      </c>
      <c r="J103" s="57" t="s">
        <v>1243</v>
      </c>
      <c r="L103" s="57" t="s">
        <v>378</v>
      </c>
      <c r="M103" s="156">
        <v>45898</v>
      </c>
      <c r="N103" s="57">
        <v>0</v>
      </c>
      <c r="P103" s="167">
        <v>1.282</v>
      </c>
      <c r="Q103" s="171">
        <v>3.2050000000000001</v>
      </c>
      <c r="R103" s="166">
        <f>IFERROR(VLOOKUP(B103,#REF!,1,0),0)</f>
        <v>0</v>
      </c>
    </row>
    <row r="104" spans="1:18" x14ac:dyDescent="0.25">
      <c r="A104" s="57">
        <v>103</v>
      </c>
      <c r="B104" s="57" t="s">
        <v>1285</v>
      </c>
      <c r="C104" s="57">
        <v>1</v>
      </c>
      <c r="D104" s="57" t="s">
        <v>1721</v>
      </c>
      <c r="E104" s="57" t="s">
        <v>1724</v>
      </c>
      <c r="F104" s="57">
        <v>4862</v>
      </c>
      <c r="G104" s="57">
        <v>3200</v>
      </c>
      <c r="H104" s="57">
        <v>120</v>
      </c>
      <c r="I104" s="57" t="s">
        <v>1206</v>
      </c>
      <c r="J104" s="57" t="s">
        <v>1243</v>
      </c>
      <c r="L104" s="57" t="s">
        <v>378</v>
      </c>
      <c r="M104" s="156">
        <v>45898</v>
      </c>
      <c r="N104" s="57">
        <v>0</v>
      </c>
      <c r="P104" s="167">
        <v>1.4550000000000001</v>
      </c>
      <c r="Q104" s="171">
        <v>3.6379999999999999</v>
      </c>
      <c r="R104" s="166">
        <f>IFERROR(VLOOKUP(B104,#REF!,1,0),0)</f>
        <v>0</v>
      </c>
    </row>
    <row r="105" spans="1:18" x14ac:dyDescent="0.25">
      <c r="A105" s="57">
        <v>104</v>
      </c>
      <c r="B105" s="57" t="s">
        <v>1286</v>
      </c>
      <c r="C105" s="57">
        <v>1</v>
      </c>
      <c r="D105" s="57" t="s">
        <v>1721</v>
      </c>
      <c r="E105" s="57" t="s">
        <v>1733</v>
      </c>
      <c r="F105" s="57">
        <v>5220</v>
      </c>
      <c r="G105" s="57">
        <v>2880</v>
      </c>
      <c r="H105" s="57">
        <v>120</v>
      </c>
      <c r="I105" s="57" t="s">
        <v>1206</v>
      </c>
      <c r="J105" s="57" t="s">
        <v>1224</v>
      </c>
      <c r="L105" s="57" t="s">
        <v>378</v>
      </c>
      <c r="M105" s="156">
        <v>45898</v>
      </c>
      <c r="N105" s="57">
        <v>0</v>
      </c>
      <c r="P105" s="167">
        <v>2.0590000000000002</v>
      </c>
      <c r="Q105" s="171">
        <v>5.1479999999999997</v>
      </c>
      <c r="R105" s="166">
        <f>IFERROR(VLOOKUP(B105,#REF!,1,0),0)</f>
        <v>0</v>
      </c>
    </row>
    <row r="106" spans="1:18" x14ac:dyDescent="0.25">
      <c r="A106" s="57">
        <v>105</v>
      </c>
      <c r="B106" s="57" t="s">
        <v>1287</v>
      </c>
      <c r="C106" s="57">
        <v>1</v>
      </c>
      <c r="D106" s="57" t="s">
        <v>1721</v>
      </c>
      <c r="E106" s="57" t="s">
        <v>1730</v>
      </c>
      <c r="F106" s="57">
        <v>5220</v>
      </c>
      <c r="G106" s="57">
        <v>2880</v>
      </c>
      <c r="H106" s="57">
        <v>120</v>
      </c>
      <c r="I106" s="57" t="s">
        <v>1206</v>
      </c>
      <c r="J106" s="57" t="s">
        <v>1224</v>
      </c>
      <c r="L106" s="57" t="s">
        <v>378</v>
      </c>
      <c r="M106" s="156">
        <v>45898</v>
      </c>
      <c r="N106" s="57">
        <v>0</v>
      </c>
      <c r="P106" s="167">
        <v>2.0590000000000002</v>
      </c>
      <c r="Q106" s="171">
        <v>5.1479999999999997</v>
      </c>
      <c r="R106" s="166">
        <f>IFERROR(VLOOKUP(B106,#REF!,1,0),0)</f>
        <v>0</v>
      </c>
    </row>
    <row r="107" spans="1:18" x14ac:dyDescent="0.25">
      <c r="A107" s="57">
        <v>106</v>
      </c>
      <c r="B107" s="57" t="s">
        <v>1288</v>
      </c>
      <c r="C107" s="57">
        <v>1</v>
      </c>
      <c r="D107" s="57" t="s">
        <v>1721</v>
      </c>
      <c r="E107" s="57" t="s">
        <v>1733</v>
      </c>
      <c r="F107" s="57">
        <v>5220</v>
      </c>
      <c r="G107" s="57">
        <v>2880</v>
      </c>
      <c r="H107" s="57">
        <v>120</v>
      </c>
      <c r="I107" s="57" t="s">
        <v>1206</v>
      </c>
      <c r="J107" s="57" t="s">
        <v>1224</v>
      </c>
      <c r="L107" s="57" t="s">
        <v>378</v>
      </c>
      <c r="M107" s="156">
        <v>45898</v>
      </c>
      <c r="N107" s="57">
        <v>0</v>
      </c>
      <c r="P107" s="167">
        <v>2.0590000000000002</v>
      </c>
      <c r="Q107" s="171">
        <v>5.1479999999999997</v>
      </c>
      <c r="R107" s="166">
        <f>IFERROR(VLOOKUP(B107,#REF!,1,0),0)</f>
        <v>0</v>
      </c>
    </row>
    <row r="108" spans="1:18" x14ac:dyDescent="0.25">
      <c r="A108" s="57">
        <v>107</v>
      </c>
      <c r="B108" s="57" t="s">
        <v>1289</v>
      </c>
      <c r="C108" s="57">
        <v>1</v>
      </c>
      <c r="D108" s="57" t="s">
        <v>1721</v>
      </c>
      <c r="E108" s="57" t="s">
        <v>1730</v>
      </c>
      <c r="F108" s="57">
        <v>5220</v>
      </c>
      <c r="G108" s="57">
        <v>2880</v>
      </c>
      <c r="H108" s="57">
        <v>120</v>
      </c>
      <c r="I108" s="57" t="s">
        <v>1206</v>
      </c>
      <c r="J108" s="57" t="s">
        <v>1224</v>
      </c>
      <c r="L108" s="57" t="s">
        <v>378</v>
      </c>
      <c r="M108" s="156">
        <v>45898</v>
      </c>
      <c r="N108" s="57">
        <v>0</v>
      </c>
      <c r="P108" s="167">
        <v>2.0590000000000002</v>
      </c>
      <c r="Q108" s="171">
        <v>5.1479999999999997</v>
      </c>
      <c r="R108" s="166">
        <f>IFERROR(VLOOKUP(B108,#REF!,1,0),0)</f>
        <v>0</v>
      </c>
    </row>
    <row r="109" spans="1:18" x14ac:dyDescent="0.25">
      <c r="A109" s="57">
        <v>108</v>
      </c>
      <c r="B109" s="57" t="s">
        <v>1290</v>
      </c>
      <c r="C109" s="57">
        <v>1</v>
      </c>
      <c r="D109" s="57" t="s">
        <v>1721</v>
      </c>
      <c r="E109" s="57" t="s">
        <v>1733</v>
      </c>
      <c r="F109" s="57">
        <v>5220</v>
      </c>
      <c r="G109" s="57">
        <v>2880</v>
      </c>
      <c r="H109" s="57">
        <v>120</v>
      </c>
      <c r="I109" s="57" t="s">
        <v>1206</v>
      </c>
      <c r="J109" s="57" t="s">
        <v>1224</v>
      </c>
      <c r="L109" s="57" t="s">
        <v>378</v>
      </c>
      <c r="M109" s="156">
        <v>45898</v>
      </c>
      <c r="N109" s="57">
        <v>0</v>
      </c>
      <c r="P109" s="167">
        <v>2.0590000000000002</v>
      </c>
      <c r="Q109" s="171">
        <v>5.1479999999999997</v>
      </c>
      <c r="R109" s="166">
        <f>IFERROR(VLOOKUP(B109,#REF!,1,0),0)</f>
        <v>0</v>
      </c>
    </row>
    <row r="110" spans="1:18" x14ac:dyDescent="0.25">
      <c r="A110" s="57">
        <v>109</v>
      </c>
      <c r="B110" s="57" t="s">
        <v>1291</v>
      </c>
      <c r="C110" s="57">
        <v>1</v>
      </c>
      <c r="D110" s="57" t="s">
        <v>1721</v>
      </c>
      <c r="E110" s="57" t="s">
        <v>1730</v>
      </c>
      <c r="F110" s="57">
        <v>2400</v>
      </c>
      <c r="G110" s="57">
        <v>3280</v>
      </c>
      <c r="H110" s="57">
        <v>120</v>
      </c>
      <c r="I110" s="57" t="s">
        <v>1206</v>
      </c>
      <c r="J110" s="57" t="s">
        <v>1228</v>
      </c>
      <c r="L110" s="57" t="s">
        <v>378</v>
      </c>
      <c r="M110" s="156">
        <v>45898</v>
      </c>
      <c r="N110" s="57">
        <v>0</v>
      </c>
      <c r="P110" s="167">
        <v>1.0549999999999999</v>
      </c>
      <c r="Q110" s="171">
        <v>2.6379999999999999</v>
      </c>
      <c r="R110" s="166">
        <f>IFERROR(VLOOKUP(B110,#REF!,1,0),0)</f>
        <v>0</v>
      </c>
    </row>
    <row r="111" spans="1:18" x14ac:dyDescent="0.25">
      <c r="A111" s="57">
        <v>110</v>
      </c>
      <c r="B111" s="57" t="s">
        <v>1199</v>
      </c>
      <c r="C111" s="57">
        <v>1</v>
      </c>
      <c r="D111" s="57" t="s">
        <v>1721</v>
      </c>
      <c r="E111" s="57" t="s">
        <v>1730</v>
      </c>
      <c r="F111" s="57">
        <v>5220</v>
      </c>
      <c r="G111" s="57">
        <v>2880</v>
      </c>
      <c r="H111" s="57">
        <v>120</v>
      </c>
      <c r="I111" s="57" t="s">
        <v>1206</v>
      </c>
      <c r="J111" s="57" t="s">
        <v>1224</v>
      </c>
      <c r="L111" s="57" t="s">
        <v>378</v>
      </c>
      <c r="M111" s="156">
        <v>45898</v>
      </c>
      <c r="N111" s="57">
        <v>0</v>
      </c>
      <c r="P111" s="167">
        <v>2.0590000000000002</v>
      </c>
      <c r="Q111" s="171">
        <v>5.1479999999999997</v>
      </c>
      <c r="R111" s="166">
        <f>IFERROR(VLOOKUP(B111,#REF!,1,0),0)</f>
        <v>0</v>
      </c>
    </row>
    <row r="112" spans="1:18" x14ac:dyDescent="0.25">
      <c r="A112" s="57">
        <v>111</v>
      </c>
      <c r="B112" s="57" t="s">
        <v>1292</v>
      </c>
      <c r="C112" s="57">
        <v>1</v>
      </c>
      <c r="D112" s="57" t="s">
        <v>1721</v>
      </c>
      <c r="E112" s="57" t="s">
        <v>1730</v>
      </c>
      <c r="F112" s="57">
        <v>4862</v>
      </c>
      <c r="G112" s="57">
        <v>2080</v>
      </c>
      <c r="H112" s="57">
        <v>120</v>
      </c>
      <c r="I112" s="57" t="s">
        <v>1212</v>
      </c>
      <c r="J112" s="57" t="s">
        <v>1233</v>
      </c>
      <c r="L112" s="57" t="s">
        <v>378</v>
      </c>
      <c r="M112" s="156">
        <v>45898</v>
      </c>
      <c r="N112" s="57">
        <v>0</v>
      </c>
      <c r="P112" s="167">
        <v>1.353</v>
      </c>
      <c r="Q112" s="171">
        <v>3.383</v>
      </c>
      <c r="R112" s="166">
        <f>IFERROR(VLOOKUP(B112,#REF!,1,0),0)</f>
        <v>0</v>
      </c>
    </row>
    <row r="113" spans="1:18" x14ac:dyDescent="0.25">
      <c r="A113" s="57">
        <v>112</v>
      </c>
      <c r="B113" s="57" t="s">
        <v>1293</v>
      </c>
      <c r="C113" s="57">
        <v>1</v>
      </c>
      <c r="D113" s="57" t="s">
        <v>1721</v>
      </c>
      <c r="E113" s="57" t="s">
        <v>1730</v>
      </c>
      <c r="F113" s="57">
        <v>4862</v>
      </c>
      <c r="G113" s="57">
        <v>3360</v>
      </c>
      <c r="H113" s="57">
        <v>120</v>
      </c>
      <c r="I113" s="57" t="s">
        <v>1212</v>
      </c>
      <c r="J113" s="57" t="s">
        <v>1233</v>
      </c>
      <c r="L113" s="57" t="s">
        <v>378</v>
      </c>
      <c r="M113" s="156">
        <v>45898</v>
      </c>
      <c r="N113" s="57">
        <v>0</v>
      </c>
      <c r="P113" s="167">
        <v>1.538</v>
      </c>
      <c r="Q113" s="171">
        <v>3.8450000000000002</v>
      </c>
      <c r="R113" s="166">
        <f>IFERROR(VLOOKUP(B113,#REF!,1,0),0)</f>
        <v>0</v>
      </c>
    </row>
    <row r="114" spans="1:18" x14ac:dyDescent="0.25">
      <c r="A114" s="57">
        <v>113</v>
      </c>
      <c r="B114" s="57" t="s">
        <v>1294</v>
      </c>
      <c r="C114" s="57">
        <v>1</v>
      </c>
      <c r="D114" s="57" t="s">
        <v>1721</v>
      </c>
      <c r="E114" s="57" t="s">
        <v>1734</v>
      </c>
      <c r="F114" s="57">
        <v>5220</v>
      </c>
      <c r="G114" s="57">
        <v>2915</v>
      </c>
      <c r="H114" s="57">
        <v>120</v>
      </c>
      <c r="I114" s="57" t="s">
        <v>1206</v>
      </c>
      <c r="J114" s="57" t="s">
        <v>1224</v>
      </c>
      <c r="L114" s="57" t="s">
        <v>378</v>
      </c>
      <c r="M114" s="156">
        <v>45898</v>
      </c>
      <c r="N114" s="57">
        <v>0</v>
      </c>
      <c r="P114" s="167">
        <v>2.081</v>
      </c>
      <c r="Q114" s="171">
        <v>5.2030000000000003</v>
      </c>
      <c r="R114" s="166">
        <f>IFERROR(VLOOKUP(B114,#REF!,1,0),0)</f>
        <v>0</v>
      </c>
    </row>
    <row r="115" spans="1:18" x14ac:dyDescent="0.25">
      <c r="A115" s="57">
        <v>114</v>
      </c>
      <c r="B115" s="57" t="s">
        <v>1295</v>
      </c>
      <c r="C115" s="57">
        <v>1</v>
      </c>
      <c r="D115" s="57" t="s">
        <v>1721</v>
      </c>
      <c r="E115" s="57" t="s">
        <v>1734</v>
      </c>
      <c r="F115" s="57">
        <v>5220</v>
      </c>
      <c r="G115" s="57">
        <v>2915</v>
      </c>
      <c r="H115" s="57">
        <v>120</v>
      </c>
      <c r="I115" s="57" t="s">
        <v>1206</v>
      </c>
      <c r="J115" s="57" t="s">
        <v>1224</v>
      </c>
      <c r="L115" s="57" t="s">
        <v>378</v>
      </c>
      <c r="M115" s="156">
        <v>45898</v>
      </c>
      <c r="N115" s="57">
        <v>0</v>
      </c>
      <c r="P115" s="167">
        <v>2.081</v>
      </c>
      <c r="Q115" s="171">
        <v>5.2030000000000003</v>
      </c>
      <c r="R115" s="166">
        <f>IFERROR(VLOOKUP(B115,#REF!,1,0),0)</f>
        <v>0</v>
      </c>
    </row>
    <row r="116" spans="1:18" x14ac:dyDescent="0.25">
      <c r="A116" s="57">
        <v>115</v>
      </c>
      <c r="B116" s="57" t="s">
        <v>1296</v>
      </c>
      <c r="C116" s="57">
        <v>1</v>
      </c>
      <c r="D116" s="57" t="s">
        <v>1721</v>
      </c>
      <c r="E116" s="57" t="s">
        <v>1735</v>
      </c>
      <c r="F116" s="57">
        <v>5220</v>
      </c>
      <c r="G116" s="57">
        <v>2915</v>
      </c>
      <c r="H116" s="57">
        <v>120</v>
      </c>
      <c r="I116" s="57" t="s">
        <v>1206</v>
      </c>
      <c r="J116" s="57" t="s">
        <v>1224</v>
      </c>
      <c r="L116" s="57" t="s">
        <v>378</v>
      </c>
      <c r="M116" s="156">
        <v>45898</v>
      </c>
      <c r="N116" s="57">
        <v>0</v>
      </c>
      <c r="P116" s="167">
        <v>2.081</v>
      </c>
      <c r="Q116" s="171">
        <v>5.2030000000000003</v>
      </c>
      <c r="R116" s="166">
        <f>IFERROR(VLOOKUP(B116,#REF!,1,0),0)</f>
        <v>0</v>
      </c>
    </row>
    <row r="117" spans="1:18" x14ac:dyDescent="0.25">
      <c r="A117" s="57">
        <v>116</v>
      </c>
      <c r="B117" s="57" t="s">
        <v>1297</v>
      </c>
      <c r="C117" s="57">
        <v>1</v>
      </c>
      <c r="D117" s="57" t="s">
        <v>1721</v>
      </c>
      <c r="E117" s="57" t="s">
        <v>1734</v>
      </c>
      <c r="F117" s="57">
        <v>5220</v>
      </c>
      <c r="G117" s="57">
        <v>2915</v>
      </c>
      <c r="H117" s="57">
        <v>120</v>
      </c>
      <c r="I117" s="57" t="s">
        <v>1206</v>
      </c>
      <c r="J117" s="57" t="s">
        <v>1224</v>
      </c>
      <c r="L117" s="57" t="s">
        <v>378</v>
      </c>
      <c r="M117" s="156">
        <v>45898</v>
      </c>
      <c r="N117" s="57">
        <v>0</v>
      </c>
      <c r="P117" s="167">
        <v>2.081</v>
      </c>
      <c r="Q117" s="171">
        <v>5.2030000000000003</v>
      </c>
      <c r="R117" s="166">
        <f>IFERROR(VLOOKUP(B117,#REF!,1,0),0)</f>
        <v>0</v>
      </c>
    </row>
    <row r="118" spans="1:18" x14ac:dyDescent="0.25">
      <c r="A118" s="57">
        <v>117</v>
      </c>
      <c r="B118" s="57" t="s">
        <v>1298</v>
      </c>
      <c r="C118" s="57">
        <v>1</v>
      </c>
      <c r="D118" s="57" t="s">
        <v>1721</v>
      </c>
      <c r="E118" s="57" t="s">
        <v>1735</v>
      </c>
      <c r="F118" s="57">
        <v>5220</v>
      </c>
      <c r="G118" s="57">
        <v>2915</v>
      </c>
      <c r="H118" s="57">
        <v>120</v>
      </c>
      <c r="I118" s="57" t="s">
        <v>1206</v>
      </c>
      <c r="J118" s="57" t="s">
        <v>1224</v>
      </c>
      <c r="L118" s="57" t="s">
        <v>378</v>
      </c>
      <c r="M118" s="156">
        <v>45898</v>
      </c>
      <c r="N118" s="57">
        <v>0</v>
      </c>
      <c r="P118" s="167">
        <v>2.081</v>
      </c>
      <c r="Q118" s="171">
        <v>5.2030000000000003</v>
      </c>
      <c r="R118" s="166">
        <f>IFERROR(VLOOKUP(B118,#REF!,1,0),0)</f>
        <v>0</v>
      </c>
    </row>
    <row r="119" spans="1:18" x14ac:dyDescent="0.25">
      <c r="A119" s="57">
        <v>118</v>
      </c>
      <c r="B119" s="57" t="s">
        <v>1299</v>
      </c>
      <c r="C119" s="57">
        <v>1</v>
      </c>
      <c r="D119" s="57" t="s">
        <v>1721</v>
      </c>
      <c r="E119" s="57" t="s">
        <v>1734</v>
      </c>
      <c r="F119" s="57">
        <v>4862</v>
      </c>
      <c r="G119" s="57">
        <v>3345</v>
      </c>
      <c r="H119" s="57">
        <v>120</v>
      </c>
      <c r="I119" s="57" t="s">
        <v>1212</v>
      </c>
      <c r="J119" s="57" t="s">
        <v>1233</v>
      </c>
      <c r="L119" s="57" t="s">
        <v>378</v>
      </c>
      <c r="M119" s="156">
        <v>45898</v>
      </c>
      <c r="N119" s="57">
        <v>0</v>
      </c>
      <c r="P119" s="167">
        <v>1.5640000000000001</v>
      </c>
      <c r="Q119" s="171">
        <v>3.91</v>
      </c>
      <c r="R119" s="166">
        <f>IFERROR(VLOOKUP(B119,#REF!,1,0),0)</f>
        <v>0</v>
      </c>
    </row>
    <row r="120" spans="1:18" x14ac:dyDescent="0.25">
      <c r="A120" s="57">
        <v>119</v>
      </c>
      <c r="B120" s="57" t="s">
        <v>1300</v>
      </c>
      <c r="C120" s="57">
        <v>1</v>
      </c>
      <c r="D120" s="57" t="s">
        <v>1721</v>
      </c>
      <c r="E120" s="57" t="s">
        <v>1734</v>
      </c>
      <c r="F120" s="57">
        <v>4862</v>
      </c>
      <c r="G120" s="57">
        <v>2145</v>
      </c>
      <c r="H120" s="57">
        <v>120</v>
      </c>
      <c r="I120" s="57" t="s">
        <v>1212</v>
      </c>
      <c r="J120" s="57" t="s">
        <v>1233</v>
      </c>
      <c r="L120" s="57" t="s">
        <v>378</v>
      </c>
      <c r="M120" s="156">
        <v>45898</v>
      </c>
      <c r="N120" s="57">
        <v>0</v>
      </c>
      <c r="P120" s="167">
        <v>1.391</v>
      </c>
      <c r="Q120" s="171">
        <v>3.4780000000000002</v>
      </c>
      <c r="R120" s="166">
        <f>IFERROR(VLOOKUP(B120,#REF!,1,0),0)</f>
        <v>0</v>
      </c>
    </row>
    <row r="121" spans="1:18" x14ac:dyDescent="0.25">
      <c r="A121" s="57">
        <v>120</v>
      </c>
      <c r="B121" s="57" t="s">
        <v>1301</v>
      </c>
      <c r="C121" s="57">
        <v>1</v>
      </c>
      <c r="D121" s="57" t="s">
        <v>1721</v>
      </c>
      <c r="E121" s="57" t="s">
        <v>1735</v>
      </c>
      <c r="F121" s="57">
        <v>2400</v>
      </c>
      <c r="G121" s="57">
        <v>3355</v>
      </c>
      <c r="H121" s="57">
        <v>120</v>
      </c>
      <c r="I121" s="57" t="s">
        <v>1206</v>
      </c>
      <c r="J121" s="57" t="s">
        <v>1228</v>
      </c>
      <c r="L121" s="57" t="s">
        <v>378</v>
      </c>
      <c r="M121" s="156">
        <v>45898</v>
      </c>
      <c r="N121" s="57">
        <v>0</v>
      </c>
      <c r="P121" s="167">
        <v>1.0760000000000001</v>
      </c>
      <c r="Q121" s="171">
        <v>2.69</v>
      </c>
      <c r="R121" s="166">
        <f>IFERROR(VLOOKUP(B121,#REF!,1,0),0)</f>
        <v>0</v>
      </c>
    </row>
    <row r="122" spans="1:18" x14ac:dyDescent="0.25">
      <c r="A122" s="57">
        <v>121</v>
      </c>
      <c r="B122" s="57" t="s">
        <v>1302</v>
      </c>
      <c r="C122" s="57">
        <v>1</v>
      </c>
      <c r="D122" s="57" t="s">
        <v>1721</v>
      </c>
      <c r="E122" s="57" t="s">
        <v>1735</v>
      </c>
      <c r="F122" s="57">
        <v>5220</v>
      </c>
      <c r="G122" s="57">
        <v>2915</v>
      </c>
      <c r="H122" s="57">
        <v>120</v>
      </c>
      <c r="I122" s="57" t="s">
        <v>1206</v>
      </c>
      <c r="J122" s="57" t="s">
        <v>1224</v>
      </c>
      <c r="L122" s="57" t="s">
        <v>378</v>
      </c>
      <c r="M122" s="156">
        <v>45898</v>
      </c>
      <c r="N122" s="57">
        <v>0</v>
      </c>
      <c r="P122" s="167">
        <v>2.081</v>
      </c>
      <c r="Q122" s="171">
        <v>5.2030000000000003</v>
      </c>
      <c r="R122" s="166">
        <f>IFERROR(VLOOKUP(B122,#REF!,1,0),0)</f>
        <v>0</v>
      </c>
    </row>
    <row r="123" spans="1:18" x14ac:dyDescent="0.25">
      <c r="A123" s="57">
        <v>122</v>
      </c>
      <c r="B123" s="57" t="s">
        <v>1303</v>
      </c>
      <c r="C123" s="57">
        <v>1</v>
      </c>
      <c r="D123" s="57" t="s">
        <v>1721</v>
      </c>
      <c r="E123" s="57" t="s">
        <v>1735</v>
      </c>
      <c r="F123" s="57">
        <v>4310</v>
      </c>
      <c r="G123" s="57">
        <v>2860</v>
      </c>
      <c r="H123" s="57">
        <v>120</v>
      </c>
      <c r="I123" s="57" t="s">
        <v>1161</v>
      </c>
      <c r="J123" s="57" t="s">
        <v>797</v>
      </c>
      <c r="L123" s="57" t="s">
        <v>1230</v>
      </c>
      <c r="M123" s="156">
        <v>45898</v>
      </c>
      <c r="N123" s="57">
        <v>1</v>
      </c>
      <c r="O123" s="165">
        <v>45899</v>
      </c>
      <c r="P123" s="167">
        <v>1.444</v>
      </c>
      <c r="Q123" s="171">
        <v>3.61</v>
      </c>
      <c r="R123" s="166">
        <f>IFERROR(VLOOKUP(B123,#REF!,1,0),0)</f>
        <v>0</v>
      </c>
    </row>
    <row r="124" spans="1:18" x14ac:dyDescent="0.25">
      <c r="A124" s="57">
        <v>123</v>
      </c>
      <c r="B124" s="57" t="s">
        <v>1304</v>
      </c>
      <c r="C124" s="57">
        <v>1</v>
      </c>
      <c r="D124" s="57" t="s">
        <v>1721</v>
      </c>
      <c r="E124" s="57" t="s">
        <v>1735</v>
      </c>
      <c r="F124" s="57">
        <v>4862</v>
      </c>
      <c r="G124" s="57">
        <v>2155</v>
      </c>
      <c r="H124" s="57">
        <v>120</v>
      </c>
      <c r="I124" s="57" t="s">
        <v>1212</v>
      </c>
      <c r="J124" s="57" t="s">
        <v>1233</v>
      </c>
      <c r="L124" s="57" t="s">
        <v>378</v>
      </c>
      <c r="M124" s="156">
        <v>45898</v>
      </c>
      <c r="N124" s="57">
        <v>0</v>
      </c>
      <c r="P124" s="167">
        <v>1.397</v>
      </c>
      <c r="Q124" s="171">
        <v>3.4929999999999999</v>
      </c>
      <c r="R124" s="166">
        <f>IFERROR(VLOOKUP(B124,#REF!,1,0),0)</f>
        <v>0</v>
      </c>
    </row>
    <row r="125" spans="1:18" x14ac:dyDescent="0.25">
      <c r="A125" s="57">
        <v>124</v>
      </c>
      <c r="B125" s="57" t="s">
        <v>1305</v>
      </c>
      <c r="C125" s="57">
        <v>1</v>
      </c>
      <c r="D125" s="57" t="s">
        <v>1721</v>
      </c>
      <c r="E125" s="57" t="s">
        <v>1735</v>
      </c>
      <c r="F125" s="57">
        <v>4862</v>
      </c>
      <c r="G125" s="57">
        <v>3355</v>
      </c>
      <c r="H125" s="57">
        <v>120</v>
      </c>
      <c r="I125" s="57" t="s">
        <v>1212</v>
      </c>
      <c r="J125" s="57" t="s">
        <v>1233</v>
      </c>
      <c r="L125" s="57" t="s">
        <v>378</v>
      </c>
      <c r="M125" s="156">
        <v>45898</v>
      </c>
      <c r="N125" s="57">
        <v>0</v>
      </c>
      <c r="P125" s="167">
        <v>1.57</v>
      </c>
      <c r="Q125" s="171">
        <v>3.9249999999999998</v>
      </c>
      <c r="R125" s="166">
        <f>IFERROR(VLOOKUP(B125,#REF!,1,0),0)</f>
        <v>0</v>
      </c>
    </row>
    <row r="126" spans="1:18" x14ac:dyDescent="0.25">
      <c r="A126" s="57">
        <v>125</v>
      </c>
      <c r="B126" s="57" t="s">
        <v>1306</v>
      </c>
      <c r="C126" s="57">
        <v>1</v>
      </c>
      <c r="D126" s="57" t="s">
        <v>1721</v>
      </c>
      <c r="E126" s="57" t="s">
        <v>1736</v>
      </c>
      <c r="F126" s="57">
        <v>5220</v>
      </c>
      <c r="G126" s="57">
        <v>2935</v>
      </c>
      <c r="H126" s="57">
        <v>120</v>
      </c>
      <c r="I126" s="57" t="s">
        <v>1206</v>
      </c>
      <c r="J126" s="57" t="s">
        <v>1224</v>
      </c>
      <c r="L126" s="57" t="s">
        <v>378</v>
      </c>
      <c r="M126" s="156">
        <v>45898</v>
      </c>
      <c r="N126" s="57">
        <v>0</v>
      </c>
      <c r="P126" s="167">
        <v>2.0939999999999999</v>
      </c>
      <c r="Q126" s="171">
        <v>5.2350000000000003</v>
      </c>
      <c r="R126" s="166">
        <f>IFERROR(VLOOKUP(B126,#REF!,1,0),0)</f>
        <v>0</v>
      </c>
    </row>
    <row r="127" spans="1:18" x14ac:dyDescent="0.25">
      <c r="A127" s="57">
        <v>126</v>
      </c>
      <c r="B127" s="57" t="s">
        <v>1307</v>
      </c>
      <c r="C127" s="57">
        <v>1</v>
      </c>
      <c r="D127" s="57" t="s">
        <v>1721</v>
      </c>
      <c r="E127" s="57" t="s">
        <v>1733</v>
      </c>
      <c r="F127" s="57">
        <v>5220</v>
      </c>
      <c r="G127" s="57">
        <v>2935</v>
      </c>
      <c r="H127" s="57">
        <v>120</v>
      </c>
      <c r="I127" s="57" t="s">
        <v>1206</v>
      </c>
      <c r="J127" s="57" t="s">
        <v>1224</v>
      </c>
      <c r="L127" s="57" t="s">
        <v>378</v>
      </c>
      <c r="M127" s="156">
        <v>45898</v>
      </c>
      <c r="N127" s="57">
        <v>0</v>
      </c>
      <c r="P127" s="167">
        <v>2.0939999999999999</v>
      </c>
      <c r="Q127" s="171">
        <v>5.2350000000000003</v>
      </c>
      <c r="R127" s="166">
        <f>IFERROR(VLOOKUP(B127,#REF!,1,0),0)</f>
        <v>0</v>
      </c>
    </row>
    <row r="128" spans="1:18" x14ac:dyDescent="0.25">
      <c r="A128" s="57">
        <v>127</v>
      </c>
      <c r="B128" s="57" t="s">
        <v>1308</v>
      </c>
      <c r="C128" s="57">
        <v>1</v>
      </c>
      <c r="D128" s="57" t="s">
        <v>1721</v>
      </c>
      <c r="E128" s="57" t="s">
        <v>1736</v>
      </c>
      <c r="F128" s="57">
        <v>5220</v>
      </c>
      <c r="G128" s="57">
        <v>2935</v>
      </c>
      <c r="H128" s="57">
        <v>120</v>
      </c>
      <c r="I128" s="57" t="s">
        <v>1206</v>
      </c>
      <c r="J128" s="57" t="s">
        <v>1224</v>
      </c>
      <c r="L128" s="57" t="s">
        <v>378</v>
      </c>
      <c r="M128" s="156">
        <v>45898</v>
      </c>
      <c r="N128" s="57">
        <v>0</v>
      </c>
      <c r="P128" s="167">
        <v>2.0939999999999999</v>
      </c>
      <c r="Q128" s="171">
        <v>5.2350000000000003</v>
      </c>
      <c r="R128" s="166">
        <f>IFERROR(VLOOKUP(B128,#REF!,1,0),0)</f>
        <v>0</v>
      </c>
    </row>
    <row r="129" spans="1:18" x14ac:dyDescent="0.25">
      <c r="A129" s="57">
        <v>128</v>
      </c>
      <c r="B129" s="57" t="s">
        <v>1309</v>
      </c>
      <c r="C129" s="57">
        <v>1</v>
      </c>
      <c r="D129" s="57" t="s">
        <v>1721</v>
      </c>
      <c r="E129" s="57" t="s">
        <v>1725</v>
      </c>
      <c r="F129" s="57">
        <v>5220</v>
      </c>
      <c r="G129" s="57">
        <v>2935</v>
      </c>
      <c r="H129" s="57">
        <v>120</v>
      </c>
      <c r="I129" s="57" t="s">
        <v>1206</v>
      </c>
      <c r="J129" s="57" t="s">
        <v>1224</v>
      </c>
      <c r="L129" s="57" t="s">
        <v>378</v>
      </c>
      <c r="M129" s="156">
        <v>45898</v>
      </c>
      <c r="N129" s="57">
        <v>0</v>
      </c>
      <c r="P129" s="167">
        <v>2.0939999999999999</v>
      </c>
      <c r="Q129" s="171">
        <v>5.2350000000000003</v>
      </c>
      <c r="R129" s="166">
        <f>IFERROR(VLOOKUP(B129,#REF!,1,0),0)</f>
        <v>0</v>
      </c>
    </row>
    <row r="130" spans="1:18" x14ac:dyDescent="0.25">
      <c r="A130" s="57">
        <v>129</v>
      </c>
      <c r="B130" s="57" t="s">
        <v>1310</v>
      </c>
      <c r="C130" s="57">
        <v>1</v>
      </c>
      <c r="D130" s="57" t="s">
        <v>1721</v>
      </c>
      <c r="E130" s="57" t="s">
        <v>1736</v>
      </c>
      <c r="F130" s="57">
        <v>5220</v>
      </c>
      <c r="G130" s="57">
        <v>2935</v>
      </c>
      <c r="H130" s="57">
        <v>120</v>
      </c>
      <c r="I130" s="57" t="s">
        <v>1206</v>
      </c>
      <c r="J130" s="57" t="s">
        <v>1224</v>
      </c>
      <c r="L130" s="57" t="s">
        <v>378</v>
      </c>
      <c r="M130" s="156">
        <v>45898</v>
      </c>
      <c r="N130" s="57">
        <v>0</v>
      </c>
      <c r="P130" s="167">
        <v>2.0939999999999999</v>
      </c>
      <c r="Q130" s="171">
        <v>5.2350000000000003</v>
      </c>
      <c r="R130" s="166">
        <f>IFERROR(VLOOKUP(B130,#REF!,1,0),0)</f>
        <v>0</v>
      </c>
    </row>
    <row r="131" spans="1:18" x14ac:dyDescent="0.25">
      <c r="A131" s="57">
        <v>130</v>
      </c>
      <c r="B131" s="57" t="s">
        <v>1311</v>
      </c>
      <c r="C131" s="57">
        <v>1</v>
      </c>
      <c r="D131" s="57" t="s">
        <v>1721</v>
      </c>
      <c r="E131" s="57" t="s">
        <v>1725</v>
      </c>
      <c r="F131" s="57">
        <v>5220</v>
      </c>
      <c r="G131" s="57">
        <v>2935</v>
      </c>
      <c r="H131" s="57">
        <v>120</v>
      </c>
      <c r="I131" s="57" t="s">
        <v>1206</v>
      </c>
      <c r="J131" s="57" t="s">
        <v>1224</v>
      </c>
      <c r="L131" s="57" t="s">
        <v>378</v>
      </c>
      <c r="M131" s="156">
        <v>45898</v>
      </c>
      <c r="N131" s="57">
        <v>0</v>
      </c>
      <c r="P131" s="167">
        <v>2.0939999999999999</v>
      </c>
      <c r="Q131" s="171">
        <v>5.2350000000000003</v>
      </c>
      <c r="R131" s="166">
        <f>IFERROR(VLOOKUP(B131,#REF!,1,0),0)</f>
        <v>0</v>
      </c>
    </row>
    <row r="132" spans="1:18" x14ac:dyDescent="0.25">
      <c r="A132" s="57">
        <v>131</v>
      </c>
      <c r="B132" s="57" t="s">
        <v>1312</v>
      </c>
      <c r="C132" s="57">
        <v>1</v>
      </c>
      <c r="D132" s="57" t="s">
        <v>1721</v>
      </c>
      <c r="E132" s="57" t="s">
        <v>1733</v>
      </c>
      <c r="F132" s="57">
        <v>5220</v>
      </c>
      <c r="G132" s="57">
        <v>2935</v>
      </c>
      <c r="H132" s="57">
        <v>120</v>
      </c>
      <c r="I132" s="57" t="s">
        <v>1206</v>
      </c>
      <c r="J132" s="57" t="s">
        <v>1224</v>
      </c>
      <c r="L132" s="57" t="s">
        <v>378</v>
      </c>
      <c r="M132" s="156">
        <v>45898</v>
      </c>
      <c r="N132" s="57">
        <v>0</v>
      </c>
      <c r="P132" s="167">
        <v>2.0939999999999999</v>
      </c>
      <c r="Q132" s="171">
        <v>5.2350000000000003</v>
      </c>
      <c r="R132" s="166">
        <f>IFERROR(VLOOKUP(B132,#REF!,1,0),0)</f>
        <v>0</v>
      </c>
    </row>
    <row r="133" spans="1:18" x14ac:dyDescent="0.25">
      <c r="A133" s="57">
        <v>132</v>
      </c>
      <c r="B133" s="57" t="s">
        <v>1313</v>
      </c>
      <c r="C133" s="57">
        <v>1</v>
      </c>
      <c r="D133" s="57" t="s">
        <v>1721</v>
      </c>
      <c r="E133" s="57" t="s">
        <v>1730</v>
      </c>
      <c r="F133" s="57">
        <v>5220</v>
      </c>
      <c r="G133" s="57">
        <v>2935</v>
      </c>
      <c r="H133" s="57">
        <v>120</v>
      </c>
      <c r="I133" s="57" t="s">
        <v>1206</v>
      </c>
      <c r="J133" s="57" t="s">
        <v>1224</v>
      </c>
      <c r="L133" s="57" t="s">
        <v>378</v>
      </c>
      <c r="M133" s="156">
        <v>45898</v>
      </c>
      <c r="N133" s="57">
        <v>0</v>
      </c>
      <c r="P133" s="167">
        <v>2.0939999999999999</v>
      </c>
      <c r="Q133" s="171">
        <v>5.2350000000000003</v>
      </c>
      <c r="R133" s="166">
        <f>IFERROR(VLOOKUP(B133,#REF!,1,0),0)</f>
        <v>0</v>
      </c>
    </row>
    <row r="134" spans="1:18" x14ac:dyDescent="0.25">
      <c r="A134" s="57">
        <v>133</v>
      </c>
      <c r="B134" s="57" t="s">
        <v>1314</v>
      </c>
      <c r="C134" s="57">
        <v>1</v>
      </c>
      <c r="D134" s="57" t="s">
        <v>1721</v>
      </c>
      <c r="E134" s="57" t="s">
        <v>1733</v>
      </c>
      <c r="F134" s="57">
        <v>5220</v>
      </c>
      <c r="G134" s="57">
        <v>2935</v>
      </c>
      <c r="H134" s="57">
        <v>120</v>
      </c>
      <c r="I134" s="57" t="s">
        <v>1206</v>
      </c>
      <c r="J134" s="57" t="s">
        <v>1224</v>
      </c>
      <c r="L134" s="57" t="s">
        <v>378</v>
      </c>
      <c r="M134" s="156">
        <v>45898</v>
      </c>
      <c r="N134" s="57">
        <v>0</v>
      </c>
      <c r="P134" s="167">
        <v>2.0939999999999999</v>
      </c>
      <c r="Q134" s="171">
        <v>5.2350000000000003</v>
      </c>
      <c r="R134" s="166">
        <f>IFERROR(VLOOKUP(B134,#REF!,1,0),0)</f>
        <v>0</v>
      </c>
    </row>
    <row r="135" spans="1:18" x14ac:dyDescent="0.25">
      <c r="A135" s="57">
        <v>134</v>
      </c>
      <c r="B135" s="57" t="s">
        <v>1315</v>
      </c>
      <c r="C135" s="57">
        <v>1</v>
      </c>
      <c r="D135" s="57" t="s">
        <v>1721</v>
      </c>
      <c r="E135" s="57" t="s">
        <v>1730</v>
      </c>
      <c r="F135" s="57">
        <v>5220</v>
      </c>
      <c r="G135" s="57">
        <v>2935</v>
      </c>
      <c r="H135" s="57">
        <v>120</v>
      </c>
      <c r="I135" s="57" t="s">
        <v>1206</v>
      </c>
      <c r="J135" s="57" t="s">
        <v>1224</v>
      </c>
      <c r="L135" s="57" t="s">
        <v>378</v>
      </c>
      <c r="M135" s="156">
        <v>45898</v>
      </c>
      <c r="N135" s="57">
        <v>0</v>
      </c>
      <c r="P135" s="167">
        <v>2.0939999999999999</v>
      </c>
      <c r="Q135" s="171">
        <v>5.2350000000000003</v>
      </c>
      <c r="R135" s="166">
        <f>IFERROR(VLOOKUP(B135,#REF!,1,0),0)</f>
        <v>0</v>
      </c>
    </row>
    <row r="136" spans="1:18" x14ac:dyDescent="0.25">
      <c r="A136" s="57">
        <v>135</v>
      </c>
      <c r="B136" s="57" t="s">
        <v>1316</v>
      </c>
      <c r="C136" s="57">
        <v>1</v>
      </c>
      <c r="D136" s="57" t="s">
        <v>1721</v>
      </c>
      <c r="E136" s="57" t="s">
        <v>1736</v>
      </c>
      <c r="F136" s="57">
        <v>5220</v>
      </c>
      <c r="G136" s="57">
        <v>2860</v>
      </c>
      <c r="H136" s="57">
        <v>120</v>
      </c>
      <c r="I136" s="57" t="s">
        <v>1206</v>
      </c>
      <c r="J136" s="57" t="s">
        <v>1224</v>
      </c>
      <c r="L136" s="57" t="s">
        <v>378</v>
      </c>
      <c r="M136" s="156">
        <v>45898</v>
      </c>
      <c r="N136" s="57">
        <v>0</v>
      </c>
      <c r="P136" s="167">
        <v>2.0470000000000002</v>
      </c>
      <c r="Q136" s="171">
        <v>5.1180000000000003</v>
      </c>
      <c r="R136" s="166">
        <f>IFERROR(VLOOKUP(B136,#REF!,1,0),0)</f>
        <v>0</v>
      </c>
    </row>
    <row r="137" spans="1:18" x14ac:dyDescent="0.25">
      <c r="A137" s="57">
        <v>136</v>
      </c>
      <c r="B137" s="57" t="s">
        <v>1317</v>
      </c>
      <c r="C137" s="57">
        <v>1</v>
      </c>
      <c r="D137" s="57" t="s">
        <v>1721</v>
      </c>
      <c r="E137" s="57" t="s">
        <v>1725</v>
      </c>
      <c r="F137" s="57">
        <v>5220</v>
      </c>
      <c r="G137" s="57">
        <v>2860</v>
      </c>
      <c r="H137" s="57">
        <v>120</v>
      </c>
      <c r="I137" s="57" t="s">
        <v>1206</v>
      </c>
      <c r="J137" s="57" t="s">
        <v>1224</v>
      </c>
      <c r="L137" s="57" t="s">
        <v>378</v>
      </c>
      <c r="M137" s="156">
        <v>45898</v>
      </c>
      <c r="N137" s="57">
        <v>0</v>
      </c>
      <c r="P137" s="167">
        <v>2.0470000000000002</v>
      </c>
      <c r="Q137" s="171">
        <v>5.1180000000000003</v>
      </c>
      <c r="R137" s="166">
        <f>IFERROR(VLOOKUP(B137,#REF!,1,0),0)</f>
        <v>0</v>
      </c>
    </row>
    <row r="138" spans="1:18" x14ac:dyDescent="0.25">
      <c r="A138" s="57">
        <v>137</v>
      </c>
      <c r="B138" s="57" t="s">
        <v>1318</v>
      </c>
      <c r="C138" s="57">
        <v>1</v>
      </c>
      <c r="D138" s="57" t="s">
        <v>1721</v>
      </c>
      <c r="E138" s="57" t="s">
        <v>1736</v>
      </c>
      <c r="F138" s="57">
        <v>5220</v>
      </c>
      <c r="G138" s="57">
        <v>2860</v>
      </c>
      <c r="H138" s="57">
        <v>120</v>
      </c>
      <c r="I138" s="57" t="s">
        <v>1206</v>
      </c>
      <c r="J138" s="57" t="s">
        <v>1224</v>
      </c>
      <c r="L138" s="57" t="s">
        <v>378</v>
      </c>
      <c r="M138" s="156">
        <v>45898</v>
      </c>
      <c r="N138" s="57">
        <v>0</v>
      </c>
      <c r="P138" s="167">
        <v>2.0470000000000002</v>
      </c>
      <c r="Q138" s="171">
        <v>5.1180000000000003</v>
      </c>
      <c r="R138" s="166">
        <f>IFERROR(VLOOKUP(B138,#REF!,1,0),0)</f>
        <v>0</v>
      </c>
    </row>
    <row r="139" spans="1:18" x14ac:dyDescent="0.25">
      <c r="A139" s="57">
        <v>138</v>
      </c>
      <c r="B139" s="57" t="s">
        <v>1319</v>
      </c>
      <c r="C139" s="57">
        <v>1</v>
      </c>
      <c r="D139" s="57" t="s">
        <v>1721</v>
      </c>
      <c r="E139" s="57" t="s">
        <v>1725</v>
      </c>
      <c r="F139" s="57">
        <v>5220</v>
      </c>
      <c r="G139" s="57">
        <v>2860</v>
      </c>
      <c r="H139" s="57">
        <v>120</v>
      </c>
      <c r="I139" s="57" t="s">
        <v>1206</v>
      </c>
      <c r="J139" s="57" t="s">
        <v>1224</v>
      </c>
      <c r="L139" s="57" t="s">
        <v>378</v>
      </c>
      <c r="M139" s="156">
        <v>45898</v>
      </c>
      <c r="N139" s="57">
        <v>0</v>
      </c>
      <c r="P139" s="167">
        <v>2.0470000000000002</v>
      </c>
      <c r="Q139" s="171">
        <v>5.1180000000000003</v>
      </c>
      <c r="R139" s="166">
        <f>IFERROR(VLOOKUP(B139,#REF!,1,0),0)</f>
        <v>0</v>
      </c>
    </row>
    <row r="140" spans="1:18" x14ac:dyDescent="0.25">
      <c r="A140" s="57">
        <v>139</v>
      </c>
      <c r="B140" s="57" t="s">
        <v>1320</v>
      </c>
      <c r="C140" s="57">
        <v>1</v>
      </c>
      <c r="D140" s="57" t="s">
        <v>1721</v>
      </c>
      <c r="E140" s="57" t="s">
        <v>1734</v>
      </c>
      <c r="F140" s="57">
        <v>5220</v>
      </c>
      <c r="G140" s="57">
        <v>2860</v>
      </c>
      <c r="H140" s="57">
        <v>120</v>
      </c>
      <c r="I140" s="57" t="s">
        <v>1206</v>
      </c>
      <c r="J140" s="57" t="s">
        <v>1224</v>
      </c>
      <c r="L140" s="57" t="s">
        <v>378</v>
      </c>
      <c r="M140" s="156">
        <v>45898</v>
      </c>
      <c r="N140" s="57">
        <v>0</v>
      </c>
      <c r="P140" s="167">
        <v>2.0470000000000002</v>
      </c>
      <c r="Q140" s="171">
        <v>5.1180000000000003</v>
      </c>
      <c r="R140" s="166">
        <f>IFERROR(VLOOKUP(B140,#REF!,1,0),0)</f>
        <v>0</v>
      </c>
    </row>
    <row r="141" spans="1:18" x14ac:dyDescent="0.25">
      <c r="A141" s="57">
        <v>140</v>
      </c>
      <c r="B141" s="57" t="s">
        <v>1321</v>
      </c>
      <c r="C141" s="57">
        <v>1</v>
      </c>
      <c r="D141" s="57" t="s">
        <v>1721</v>
      </c>
      <c r="E141" s="57" t="s">
        <v>1735</v>
      </c>
      <c r="F141" s="57">
        <v>5220</v>
      </c>
      <c r="G141" s="57">
        <v>2860</v>
      </c>
      <c r="H141" s="57">
        <v>120</v>
      </c>
      <c r="I141" s="57" t="s">
        <v>1206</v>
      </c>
      <c r="J141" s="57" t="s">
        <v>1224</v>
      </c>
      <c r="L141" s="57" t="s">
        <v>378</v>
      </c>
      <c r="M141" s="156">
        <v>45898</v>
      </c>
      <c r="N141" s="57">
        <v>0</v>
      </c>
      <c r="P141" s="167">
        <v>2.0470000000000002</v>
      </c>
      <c r="Q141" s="171">
        <v>5.1180000000000003</v>
      </c>
      <c r="R141" s="166">
        <f>IFERROR(VLOOKUP(B141,#REF!,1,0),0)</f>
        <v>0</v>
      </c>
    </row>
    <row r="142" spans="1:18" x14ac:dyDescent="0.25">
      <c r="A142" s="57">
        <v>141</v>
      </c>
      <c r="B142" s="57" t="s">
        <v>1322</v>
      </c>
      <c r="C142" s="57">
        <v>1</v>
      </c>
      <c r="D142" s="57" t="s">
        <v>1721</v>
      </c>
      <c r="E142" s="57" t="s">
        <v>1734</v>
      </c>
      <c r="F142" s="57">
        <v>5220</v>
      </c>
      <c r="G142" s="57">
        <v>2860</v>
      </c>
      <c r="H142" s="57">
        <v>120</v>
      </c>
      <c r="I142" s="57" t="s">
        <v>1206</v>
      </c>
      <c r="J142" s="57" t="s">
        <v>1224</v>
      </c>
      <c r="L142" s="57" t="s">
        <v>378</v>
      </c>
      <c r="M142" s="156">
        <v>45898</v>
      </c>
      <c r="N142" s="57">
        <v>0</v>
      </c>
      <c r="P142" s="167">
        <v>2.0470000000000002</v>
      </c>
      <c r="Q142" s="171">
        <v>5.1180000000000003</v>
      </c>
      <c r="R142" s="166">
        <f>IFERROR(VLOOKUP(B142,#REF!,1,0),0)</f>
        <v>0</v>
      </c>
    </row>
    <row r="143" spans="1:18" x14ac:dyDescent="0.25">
      <c r="A143" s="57">
        <v>142</v>
      </c>
      <c r="B143" s="57" t="s">
        <v>1323</v>
      </c>
      <c r="C143" s="57">
        <v>1</v>
      </c>
      <c r="D143" s="57" t="s">
        <v>1721</v>
      </c>
      <c r="E143" s="57" t="s">
        <v>1735</v>
      </c>
      <c r="F143" s="57">
        <v>5220</v>
      </c>
      <c r="G143" s="57">
        <v>2860</v>
      </c>
      <c r="H143" s="57">
        <v>120</v>
      </c>
      <c r="I143" s="57" t="s">
        <v>1206</v>
      </c>
      <c r="J143" s="57" t="s">
        <v>1224</v>
      </c>
      <c r="L143" s="57" t="s">
        <v>378</v>
      </c>
      <c r="M143" s="156">
        <v>45898</v>
      </c>
      <c r="N143" s="57">
        <v>0</v>
      </c>
      <c r="P143" s="167">
        <v>2.0470000000000002</v>
      </c>
      <c r="Q143" s="171">
        <v>5.1180000000000003</v>
      </c>
      <c r="R143" s="166">
        <f>IFERROR(VLOOKUP(B143,#REF!,1,0),0)</f>
        <v>0</v>
      </c>
    </row>
    <row r="144" spans="1:18" x14ac:dyDescent="0.25">
      <c r="A144" s="57">
        <v>143</v>
      </c>
      <c r="B144" s="57" t="s">
        <v>1324</v>
      </c>
      <c r="C144" s="57">
        <v>1</v>
      </c>
      <c r="D144" s="57" t="s">
        <v>1721</v>
      </c>
      <c r="E144" s="57" t="s">
        <v>1736</v>
      </c>
      <c r="F144" s="57">
        <v>5220</v>
      </c>
      <c r="G144" s="57">
        <v>2860</v>
      </c>
      <c r="H144" s="57">
        <v>120</v>
      </c>
      <c r="I144" s="57" t="s">
        <v>1206</v>
      </c>
      <c r="J144" s="57" t="s">
        <v>1224</v>
      </c>
      <c r="L144" s="57" t="s">
        <v>378</v>
      </c>
      <c r="M144" s="156">
        <v>45898</v>
      </c>
      <c r="N144" s="57">
        <v>0</v>
      </c>
      <c r="P144" s="167">
        <v>2.0470000000000002</v>
      </c>
      <c r="Q144" s="171">
        <v>5.1180000000000003</v>
      </c>
      <c r="R144" s="166">
        <f>IFERROR(VLOOKUP(B144,#REF!,1,0),0)</f>
        <v>0</v>
      </c>
    </row>
    <row r="145" spans="1:18" x14ac:dyDescent="0.25">
      <c r="A145" s="57">
        <v>144</v>
      </c>
      <c r="B145" s="57" t="s">
        <v>1325</v>
      </c>
      <c r="C145" s="57">
        <v>1</v>
      </c>
      <c r="D145" s="57" t="s">
        <v>1721</v>
      </c>
      <c r="E145" s="57" t="s">
        <v>1734</v>
      </c>
      <c r="F145" s="57">
        <v>5220</v>
      </c>
      <c r="G145" s="57">
        <v>2860</v>
      </c>
      <c r="H145" s="57">
        <v>120</v>
      </c>
      <c r="I145" s="57" t="s">
        <v>1206</v>
      </c>
      <c r="J145" s="57" t="s">
        <v>1224</v>
      </c>
      <c r="L145" s="57" t="s">
        <v>378</v>
      </c>
      <c r="M145" s="156">
        <v>45898</v>
      </c>
      <c r="N145" s="57">
        <v>0</v>
      </c>
      <c r="P145" s="167">
        <v>2.0470000000000002</v>
      </c>
      <c r="Q145" s="171">
        <v>5.1180000000000003</v>
      </c>
      <c r="R145" s="166">
        <f>IFERROR(VLOOKUP(B145,#REF!,1,0),0)</f>
        <v>0</v>
      </c>
    </row>
    <row r="146" spans="1:18" x14ac:dyDescent="0.25">
      <c r="A146" s="57">
        <v>145</v>
      </c>
      <c r="B146" s="57" t="s">
        <v>1326</v>
      </c>
      <c r="C146" s="57">
        <v>1</v>
      </c>
      <c r="D146" s="57" t="s">
        <v>1721</v>
      </c>
      <c r="E146" s="57" t="s">
        <v>1736</v>
      </c>
      <c r="F146" s="57">
        <v>4862</v>
      </c>
      <c r="G146" s="57">
        <v>3355</v>
      </c>
      <c r="H146" s="57">
        <v>120</v>
      </c>
      <c r="I146" s="57" t="s">
        <v>1212</v>
      </c>
      <c r="J146" s="57" t="s">
        <v>1233</v>
      </c>
      <c r="L146" s="57" t="s">
        <v>378</v>
      </c>
      <c r="M146" s="156">
        <v>45898</v>
      </c>
      <c r="N146" s="57">
        <v>0</v>
      </c>
      <c r="P146" s="167">
        <v>1.57</v>
      </c>
      <c r="Q146" s="171">
        <v>3.9249999999999998</v>
      </c>
      <c r="R146" s="166">
        <f>IFERROR(VLOOKUP(B146,#REF!,1,0),0)</f>
        <v>0</v>
      </c>
    </row>
    <row r="147" spans="1:18" x14ac:dyDescent="0.25">
      <c r="A147" s="57">
        <v>146</v>
      </c>
      <c r="B147" s="57" t="s">
        <v>1327</v>
      </c>
      <c r="C147" s="57">
        <v>1</v>
      </c>
      <c r="D147" s="57" t="s">
        <v>1721</v>
      </c>
      <c r="E147" s="57" t="s">
        <v>1736</v>
      </c>
      <c r="F147" s="57">
        <v>4862</v>
      </c>
      <c r="G147" s="57">
        <v>2155</v>
      </c>
      <c r="H147" s="57">
        <v>120</v>
      </c>
      <c r="I147" s="57" t="s">
        <v>1212</v>
      </c>
      <c r="J147" s="57" t="s">
        <v>1233</v>
      </c>
      <c r="L147" s="57" t="s">
        <v>378</v>
      </c>
      <c r="M147" s="156">
        <v>45898</v>
      </c>
      <c r="N147" s="57">
        <v>0</v>
      </c>
      <c r="P147" s="167">
        <v>1.397</v>
      </c>
      <c r="Q147" s="171">
        <v>3.4929999999999999</v>
      </c>
      <c r="R147" s="166">
        <f>IFERROR(VLOOKUP(B147,#REF!,1,0),0)</f>
        <v>0</v>
      </c>
    </row>
    <row r="148" spans="1:18" x14ac:dyDescent="0.25">
      <c r="A148" s="57">
        <v>147</v>
      </c>
      <c r="B148" s="57" t="s">
        <v>1328</v>
      </c>
      <c r="C148" s="57">
        <v>1</v>
      </c>
      <c r="D148" s="57" t="s">
        <v>1721</v>
      </c>
      <c r="E148" s="57" t="s">
        <v>1725</v>
      </c>
      <c r="F148" s="57">
        <v>5220</v>
      </c>
      <c r="G148" s="57">
        <v>2935</v>
      </c>
      <c r="H148" s="57">
        <v>120</v>
      </c>
      <c r="I148" s="57" t="s">
        <v>1206</v>
      </c>
      <c r="J148" s="57" t="s">
        <v>1224</v>
      </c>
      <c r="L148" s="57" t="s">
        <v>378</v>
      </c>
      <c r="M148" s="156">
        <v>45898</v>
      </c>
      <c r="N148" s="57">
        <v>0</v>
      </c>
      <c r="P148" s="167">
        <v>2.0939999999999999</v>
      </c>
      <c r="Q148" s="171">
        <v>5.2350000000000003</v>
      </c>
      <c r="R148" s="166">
        <f>IFERROR(VLOOKUP(B148,#REF!,1,0),0)</f>
        <v>0</v>
      </c>
    </row>
    <row r="149" spans="1:18" x14ac:dyDescent="0.25">
      <c r="A149" s="57">
        <v>148</v>
      </c>
      <c r="B149" s="57" t="s">
        <v>1329</v>
      </c>
      <c r="C149" s="57">
        <v>1</v>
      </c>
      <c r="D149" s="57" t="s">
        <v>1721</v>
      </c>
      <c r="E149" s="57" t="s">
        <v>1730</v>
      </c>
      <c r="F149" s="57">
        <v>5220</v>
      </c>
      <c r="G149" s="57">
        <v>2935</v>
      </c>
      <c r="H149" s="57">
        <v>120</v>
      </c>
      <c r="I149" s="57" t="s">
        <v>1206</v>
      </c>
      <c r="J149" s="57" t="s">
        <v>1224</v>
      </c>
      <c r="L149" s="57" t="s">
        <v>378</v>
      </c>
      <c r="M149" s="156">
        <v>45898</v>
      </c>
      <c r="N149" s="57">
        <v>0</v>
      </c>
      <c r="P149" s="167">
        <v>2.0939999999999999</v>
      </c>
      <c r="Q149" s="171">
        <v>5.2350000000000003</v>
      </c>
      <c r="R149" s="166">
        <f>IFERROR(VLOOKUP(B149,#REF!,1,0),0)</f>
        <v>0</v>
      </c>
    </row>
    <row r="150" spans="1:18" x14ac:dyDescent="0.25">
      <c r="A150" s="57">
        <v>149</v>
      </c>
      <c r="B150" s="57" t="s">
        <v>1330</v>
      </c>
      <c r="C150" s="57">
        <v>1</v>
      </c>
      <c r="D150" s="57" t="s">
        <v>1721</v>
      </c>
      <c r="E150" s="57" t="s">
        <v>1725</v>
      </c>
      <c r="F150" s="57">
        <v>5220</v>
      </c>
      <c r="G150" s="57">
        <v>2860</v>
      </c>
      <c r="H150" s="57">
        <v>120</v>
      </c>
      <c r="I150" s="57" t="s">
        <v>1206</v>
      </c>
      <c r="J150" s="57" t="s">
        <v>1224</v>
      </c>
      <c r="L150" s="57" t="s">
        <v>378</v>
      </c>
      <c r="M150" s="156">
        <v>45898</v>
      </c>
      <c r="N150" s="57">
        <v>0</v>
      </c>
      <c r="P150" s="167">
        <v>2.0470000000000002</v>
      </c>
      <c r="Q150" s="171">
        <v>5.1180000000000003</v>
      </c>
      <c r="R150" s="166">
        <f>IFERROR(VLOOKUP(B150,#REF!,1,0),0)</f>
        <v>0</v>
      </c>
    </row>
    <row r="151" spans="1:18" x14ac:dyDescent="0.25">
      <c r="A151" s="57">
        <v>150</v>
      </c>
      <c r="B151" s="57" t="s">
        <v>1331</v>
      </c>
      <c r="C151" s="57">
        <v>1</v>
      </c>
      <c r="D151" s="57" t="s">
        <v>1721</v>
      </c>
      <c r="E151" s="57" t="s">
        <v>1735</v>
      </c>
      <c r="F151" s="57">
        <v>5220</v>
      </c>
      <c r="G151" s="57">
        <v>2860</v>
      </c>
      <c r="H151" s="57">
        <v>120</v>
      </c>
      <c r="I151" s="57" t="s">
        <v>1206</v>
      </c>
      <c r="J151" s="57" t="s">
        <v>1224</v>
      </c>
      <c r="L151" s="57" t="s">
        <v>378</v>
      </c>
      <c r="M151" s="156">
        <v>45898</v>
      </c>
      <c r="N151" s="57">
        <v>0</v>
      </c>
      <c r="P151" s="167">
        <v>2.0470000000000002</v>
      </c>
      <c r="Q151" s="171">
        <v>5.1180000000000003</v>
      </c>
      <c r="R151" s="166">
        <f>IFERROR(VLOOKUP(B151,#REF!,1,0),0)</f>
        <v>0</v>
      </c>
    </row>
    <row r="152" spans="1:18" x14ac:dyDescent="0.25">
      <c r="A152" s="57">
        <v>151</v>
      </c>
      <c r="B152" s="57" t="s">
        <v>1332</v>
      </c>
      <c r="C152" s="57">
        <v>1</v>
      </c>
      <c r="D152" s="57" t="s">
        <v>1721</v>
      </c>
      <c r="E152" s="57" t="s">
        <v>1725</v>
      </c>
      <c r="F152" s="57">
        <v>4862</v>
      </c>
      <c r="G152" s="57">
        <v>2110</v>
      </c>
      <c r="H152" s="57">
        <v>120</v>
      </c>
      <c r="I152" s="57" t="s">
        <v>1212</v>
      </c>
      <c r="J152" s="57" t="s">
        <v>1233</v>
      </c>
      <c r="L152" s="57" t="s">
        <v>378</v>
      </c>
      <c r="M152" s="156">
        <v>45898</v>
      </c>
      <c r="N152" s="57">
        <v>0</v>
      </c>
      <c r="P152" s="167">
        <v>1.371</v>
      </c>
      <c r="Q152" s="171">
        <v>3.4279999999999999</v>
      </c>
      <c r="R152" s="166">
        <f>IFERROR(VLOOKUP(B152,#REF!,1,0),0)</f>
        <v>0</v>
      </c>
    </row>
    <row r="153" spans="1:18" x14ac:dyDescent="0.25">
      <c r="A153" s="57">
        <v>152</v>
      </c>
      <c r="B153" s="57" t="s">
        <v>1333</v>
      </c>
      <c r="C153" s="57">
        <v>1</v>
      </c>
      <c r="D153" s="57" t="s">
        <v>1721</v>
      </c>
      <c r="E153" s="57" t="s">
        <v>1725</v>
      </c>
      <c r="F153" s="57">
        <v>4862</v>
      </c>
      <c r="G153" s="57">
        <v>3310</v>
      </c>
      <c r="H153" s="57">
        <v>120</v>
      </c>
      <c r="I153" s="57" t="s">
        <v>1212</v>
      </c>
      <c r="J153" s="57" t="s">
        <v>1233</v>
      </c>
      <c r="L153" s="57" t="s">
        <v>378</v>
      </c>
      <c r="M153" s="156">
        <v>45898</v>
      </c>
      <c r="N153" s="57">
        <v>0</v>
      </c>
      <c r="P153" s="167">
        <v>1.544</v>
      </c>
      <c r="Q153" s="171">
        <v>3.86</v>
      </c>
      <c r="R153" s="166">
        <f>IFERROR(VLOOKUP(B153,#REF!,1,0),0)</f>
        <v>0</v>
      </c>
    </row>
    <row r="154" spans="1:18" x14ac:dyDescent="0.25">
      <c r="A154" s="57">
        <v>153</v>
      </c>
      <c r="B154" s="57" t="s">
        <v>1334</v>
      </c>
      <c r="C154" s="57">
        <v>1</v>
      </c>
      <c r="D154" s="57" t="s">
        <v>1721</v>
      </c>
      <c r="E154" s="57" t="s">
        <v>1737</v>
      </c>
      <c r="F154" s="57">
        <v>2400</v>
      </c>
      <c r="G154" s="57">
        <v>3310</v>
      </c>
      <c r="H154" s="57">
        <v>120</v>
      </c>
      <c r="I154" s="57" t="s">
        <v>1206</v>
      </c>
      <c r="J154" s="57" t="s">
        <v>1228</v>
      </c>
      <c r="L154" s="57" t="s">
        <v>378</v>
      </c>
      <c r="M154" s="156">
        <v>45898</v>
      </c>
      <c r="N154" s="57">
        <v>0</v>
      </c>
      <c r="P154" s="167">
        <v>1.0629999999999999</v>
      </c>
      <c r="Q154" s="171">
        <v>2.6579999999999999</v>
      </c>
      <c r="R154" s="166">
        <f>IFERROR(VLOOKUP(B154,#REF!,1,0),0)</f>
        <v>0</v>
      </c>
    </row>
    <row r="155" spans="1:18" x14ac:dyDescent="0.25">
      <c r="A155" s="57">
        <v>154</v>
      </c>
      <c r="B155" s="57" t="s">
        <v>1335</v>
      </c>
      <c r="C155" s="57">
        <v>1</v>
      </c>
      <c r="D155" s="57" t="s">
        <v>1721</v>
      </c>
      <c r="E155" s="57" t="s">
        <v>1737</v>
      </c>
      <c r="F155" s="57">
        <v>5200</v>
      </c>
      <c r="G155" s="57">
        <v>2985</v>
      </c>
      <c r="H155" s="57">
        <v>120</v>
      </c>
      <c r="I155" s="57" t="s">
        <v>1206</v>
      </c>
      <c r="J155" s="57" t="s">
        <v>1224</v>
      </c>
      <c r="L155" s="57" t="s">
        <v>378</v>
      </c>
      <c r="M155" s="156">
        <v>45898</v>
      </c>
      <c r="N155" s="57">
        <v>0</v>
      </c>
      <c r="P155" s="167">
        <v>2.125</v>
      </c>
      <c r="Q155" s="171">
        <v>5.3129999999999997</v>
      </c>
      <c r="R155" s="166">
        <f>IFERROR(VLOOKUP(B155,#REF!,1,0),0)</f>
        <v>0</v>
      </c>
    </row>
    <row r="156" spans="1:18" x14ac:dyDescent="0.25">
      <c r="A156" s="57">
        <v>155</v>
      </c>
      <c r="B156" s="57" t="s">
        <v>1336</v>
      </c>
      <c r="C156" s="57">
        <v>1</v>
      </c>
      <c r="D156" s="57" t="s">
        <v>1721</v>
      </c>
      <c r="E156" s="57" t="s">
        <v>1731</v>
      </c>
      <c r="F156" s="57">
        <v>5200</v>
      </c>
      <c r="G156" s="57">
        <v>2985</v>
      </c>
      <c r="H156" s="57">
        <v>120</v>
      </c>
      <c r="I156" s="57" t="s">
        <v>1206</v>
      </c>
      <c r="J156" s="57" t="s">
        <v>1224</v>
      </c>
      <c r="L156" s="57" t="s">
        <v>378</v>
      </c>
      <c r="M156" s="156">
        <v>45898</v>
      </c>
      <c r="N156" s="57">
        <v>0</v>
      </c>
      <c r="P156" s="167">
        <v>2.125</v>
      </c>
      <c r="Q156" s="171">
        <v>5.3129999999999997</v>
      </c>
      <c r="R156" s="166">
        <f>IFERROR(VLOOKUP(B156,#REF!,1,0),0)</f>
        <v>0</v>
      </c>
    </row>
    <row r="157" spans="1:18" x14ac:dyDescent="0.25">
      <c r="A157" s="57">
        <v>156</v>
      </c>
      <c r="B157" s="57" t="s">
        <v>1337</v>
      </c>
      <c r="C157" s="57">
        <v>1</v>
      </c>
      <c r="D157" s="57" t="s">
        <v>1721</v>
      </c>
      <c r="E157" s="57" t="s">
        <v>1737</v>
      </c>
      <c r="F157" s="57">
        <v>5200</v>
      </c>
      <c r="G157" s="57">
        <v>2985</v>
      </c>
      <c r="H157" s="57">
        <v>120</v>
      </c>
      <c r="I157" s="57" t="s">
        <v>1206</v>
      </c>
      <c r="J157" s="57" t="s">
        <v>1224</v>
      </c>
      <c r="L157" s="57" t="s">
        <v>378</v>
      </c>
      <c r="M157" s="156">
        <v>45898</v>
      </c>
      <c r="N157" s="57">
        <v>0</v>
      </c>
      <c r="P157" s="167">
        <v>2.125</v>
      </c>
      <c r="Q157" s="171">
        <v>5.3129999999999997</v>
      </c>
      <c r="R157" s="166">
        <f>IFERROR(VLOOKUP(B157,#REF!,1,0),0)</f>
        <v>0</v>
      </c>
    </row>
    <row r="158" spans="1:18" x14ac:dyDescent="0.25">
      <c r="A158" s="57">
        <v>157</v>
      </c>
      <c r="B158" s="57" t="s">
        <v>1338</v>
      </c>
      <c r="C158" s="57">
        <v>1</v>
      </c>
      <c r="D158" s="57" t="s">
        <v>1721</v>
      </c>
      <c r="E158" s="57" t="s">
        <v>1731</v>
      </c>
      <c r="F158" s="57">
        <v>5200</v>
      </c>
      <c r="G158" s="57">
        <v>2985</v>
      </c>
      <c r="H158" s="57">
        <v>120</v>
      </c>
      <c r="I158" s="57" t="s">
        <v>1206</v>
      </c>
      <c r="J158" s="57" t="s">
        <v>1224</v>
      </c>
      <c r="L158" s="57" t="s">
        <v>378</v>
      </c>
      <c r="M158" s="156">
        <v>45898</v>
      </c>
      <c r="N158" s="57">
        <v>0</v>
      </c>
      <c r="P158" s="167">
        <v>2.125</v>
      </c>
      <c r="Q158" s="171">
        <v>5.3129999999999997</v>
      </c>
      <c r="R158" s="166">
        <f>IFERROR(VLOOKUP(B158,#REF!,1,0),0)</f>
        <v>0</v>
      </c>
    </row>
    <row r="159" spans="1:18" x14ac:dyDescent="0.25">
      <c r="A159" s="57">
        <v>158</v>
      </c>
      <c r="B159" s="57" t="s">
        <v>1339</v>
      </c>
      <c r="C159" s="57">
        <v>1</v>
      </c>
      <c r="D159" s="57" t="s">
        <v>1721</v>
      </c>
      <c r="E159" s="57" t="s">
        <v>1737</v>
      </c>
      <c r="F159" s="57">
        <v>5200</v>
      </c>
      <c r="G159" s="57">
        <v>2985</v>
      </c>
      <c r="H159" s="57">
        <v>120</v>
      </c>
      <c r="I159" s="57" t="s">
        <v>1206</v>
      </c>
      <c r="J159" s="57" t="s">
        <v>1224</v>
      </c>
      <c r="L159" s="57" t="s">
        <v>378</v>
      </c>
      <c r="M159" s="156">
        <v>45898</v>
      </c>
      <c r="N159" s="57">
        <v>0</v>
      </c>
      <c r="P159" s="167">
        <v>2.125</v>
      </c>
      <c r="Q159" s="171">
        <v>5.3129999999999997</v>
      </c>
      <c r="R159" s="166">
        <f>IFERROR(VLOOKUP(B159,#REF!,1,0),0)</f>
        <v>0</v>
      </c>
    </row>
    <row r="160" spans="1:18" x14ac:dyDescent="0.25">
      <c r="A160" s="57">
        <v>159</v>
      </c>
      <c r="B160" s="57" t="s">
        <v>1340</v>
      </c>
      <c r="C160" s="57">
        <v>1</v>
      </c>
      <c r="D160" s="57" t="s">
        <v>1721</v>
      </c>
      <c r="E160" s="57" t="s">
        <v>1731</v>
      </c>
      <c r="F160" s="57">
        <v>5200</v>
      </c>
      <c r="G160" s="57">
        <v>2985</v>
      </c>
      <c r="H160" s="57">
        <v>120</v>
      </c>
      <c r="I160" s="57" t="s">
        <v>1206</v>
      </c>
      <c r="J160" s="57" t="s">
        <v>1224</v>
      </c>
      <c r="L160" s="57" t="s">
        <v>378</v>
      </c>
      <c r="M160" s="156">
        <v>45898</v>
      </c>
      <c r="N160" s="57">
        <v>0</v>
      </c>
      <c r="P160" s="167">
        <v>2.125</v>
      </c>
      <c r="Q160" s="171">
        <v>5.3129999999999997</v>
      </c>
      <c r="R160" s="166">
        <f>IFERROR(VLOOKUP(B160,#REF!,1,0),0)</f>
        <v>0</v>
      </c>
    </row>
    <row r="161" spans="1:18" x14ac:dyDescent="0.25">
      <c r="A161" s="57">
        <v>160</v>
      </c>
      <c r="B161" s="57" t="s">
        <v>1341</v>
      </c>
      <c r="C161" s="57">
        <v>1</v>
      </c>
      <c r="D161" s="57" t="s">
        <v>1721</v>
      </c>
      <c r="E161" s="57" t="s">
        <v>1737</v>
      </c>
      <c r="F161" s="57">
        <v>5200</v>
      </c>
      <c r="G161" s="57">
        <v>2985</v>
      </c>
      <c r="H161" s="57">
        <v>120</v>
      </c>
      <c r="I161" s="57" t="s">
        <v>1206</v>
      </c>
      <c r="J161" s="57" t="s">
        <v>1224</v>
      </c>
      <c r="L161" s="57" t="s">
        <v>378</v>
      </c>
      <c r="M161" s="156">
        <v>45898</v>
      </c>
      <c r="N161" s="57">
        <v>0</v>
      </c>
      <c r="P161" s="167">
        <v>2.125</v>
      </c>
      <c r="Q161" s="171">
        <v>5.3129999999999997</v>
      </c>
      <c r="R161" s="166">
        <f>IFERROR(VLOOKUP(B161,#REF!,1,0),0)</f>
        <v>0</v>
      </c>
    </row>
    <row r="162" spans="1:18" x14ac:dyDescent="0.25">
      <c r="A162" s="57">
        <v>161</v>
      </c>
      <c r="B162" s="57" t="s">
        <v>1342</v>
      </c>
      <c r="C162" s="57">
        <v>1</v>
      </c>
      <c r="D162" s="57" t="s">
        <v>1721</v>
      </c>
      <c r="E162" s="57" t="s">
        <v>1731</v>
      </c>
      <c r="F162" s="57">
        <v>5200</v>
      </c>
      <c r="G162" s="57">
        <v>2985</v>
      </c>
      <c r="H162" s="57">
        <v>120</v>
      </c>
      <c r="I162" s="57" t="s">
        <v>1206</v>
      </c>
      <c r="J162" s="57" t="s">
        <v>1224</v>
      </c>
      <c r="L162" s="57" t="s">
        <v>378</v>
      </c>
      <c r="M162" s="156">
        <v>45898</v>
      </c>
      <c r="N162" s="57">
        <v>0</v>
      </c>
      <c r="P162" s="167">
        <v>2.125</v>
      </c>
      <c r="Q162" s="171">
        <v>5.3129999999999997</v>
      </c>
      <c r="R162" s="166">
        <f>IFERROR(VLOOKUP(B162,#REF!,1,0),0)</f>
        <v>0</v>
      </c>
    </row>
    <row r="163" spans="1:18" x14ac:dyDescent="0.25">
      <c r="A163" s="57">
        <v>162</v>
      </c>
      <c r="B163" s="57" t="s">
        <v>1343</v>
      </c>
      <c r="C163" s="57">
        <v>1</v>
      </c>
      <c r="D163" s="57" t="s">
        <v>1721</v>
      </c>
      <c r="E163" s="57" t="s">
        <v>1737</v>
      </c>
      <c r="F163" s="57">
        <v>5220</v>
      </c>
      <c r="G163" s="57">
        <v>2985</v>
      </c>
      <c r="H163" s="57">
        <v>120</v>
      </c>
      <c r="I163" s="57" t="s">
        <v>1206</v>
      </c>
      <c r="J163" s="57" t="s">
        <v>1224</v>
      </c>
      <c r="L163" s="57" t="s">
        <v>378</v>
      </c>
      <c r="M163" s="156">
        <v>45898</v>
      </c>
      <c r="N163" s="57">
        <v>0</v>
      </c>
      <c r="P163" s="167">
        <v>2.125</v>
      </c>
      <c r="Q163" s="171">
        <v>5.3129999999999997</v>
      </c>
      <c r="R163" s="166">
        <f>IFERROR(VLOOKUP(B163,#REF!,1,0),0)</f>
        <v>0</v>
      </c>
    </row>
    <row r="164" spans="1:18" x14ac:dyDescent="0.25">
      <c r="A164" s="57">
        <v>163</v>
      </c>
      <c r="B164" s="57" t="s">
        <v>1344</v>
      </c>
      <c r="C164" s="57">
        <v>1</v>
      </c>
      <c r="D164" s="57" t="s">
        <v>1721</v>
      </c>
      <c r="E164" s="57" t="s">
        <v>1731</v>
      </c>
      <c r="F164" s="57">
        <v>5220</v>
      </c>
      <c r="G164" s="57">
        <v>2985</v>
      </c>
      <c r="H164" s="57">
        <v>120</v>
      </c>
      <c r="I164" s="57" t="s">
        <v>1206</v>
      </c>
      <c r="J164" s="57" t="s">
        <v>1224</v>
      </c>
      <c r="L164" s="57" t="s">
        <v>378</v>
      </c>
      <c r="M164" s="156">
        <v>45898</v>
      </c>
      <c r="N164" s="57">
        <v>0</v>
      </c>
      <c r="P164" s="167">
        <v>2.125</v>
      </c>
      <c r="Q164" s="171">
        <v>5.3129999999999997</v>
      </c>
      <c r="R164" s="166">
        <f>IFERROR(VLOOKUP(B164,#REF!,1,0),0)</f>
        <v>0</v>
      </c>
    </row>
    <row r="165" spans="1:18" x14ac:dyDescent="0.25">
      <c r="A165" s="57">
        <v>164</v>
      </c>
      <c r="B165" s="57" t="s">
        <v>1345</v>
      </c>
      <c r="C165" s="57">
        <v>1</v>
      </c>
      <c r="D165" s="57" t="s">
        <v>1721</v>
      </c>
      <c r="E165" s="57" t="s">
        <v>1737</v>
      </c>
      <c r="F165" s="57">
        <v>4862</v>
      </c>
      <c r="G165" s="57">
        <v>3390</v>
      </c>
      <c r="H165" s="57">
        <v>120</v>
      </c>
      <c r="I165" s="57" t="s">
        <v>1212</v>
      </c>
      <c r="J165" s="57" t="s">
        <v>1233</v>
      </c>
      <c r="L165" s="57" t="s">
        <v>378</v>
      </c>
      <c r="M165" s="156">
        <v>45898</v>
      </c>
      <c r="N165" s="57">
        <v>0</v>
      </c>
      <c r="P165" s="167">
        <v>1.5249999999999999</v>
      </c>
      <c r="Q165" s="171">
        <v>3.8130000000000002</v>
      </c>
      <c r="R165" s="166">
        <f>IFERROR(VLOOKUP(B165,#REF!,1,0),0)</f>
        <v>0</v>
      </c>
    </row>
    <row r="166" spans="1:18" x14ac:dyDescent="0.25">
      <c r="A166" s="57">
        <v>165</v>
      </c>
      <c r="B166" s="57" t="s">
        <v>1346</v>
      </c>
      <c r="C166" s="57">
        <v>1</v>
      </c>
      <c r="D166" s="57" t="s">
        <v>1721</v>
      </c>
      <c r="E166" s="57" t="s">
        <v>1737</v>
      </c>
      <c r="F166" s="57">
        <v>4862</v>
      </c>
      <c r="G166" s="57">
        <v>3040</v>
      </c>
      <c r="H166" s="57">
        <v>120</v>
      </c>
      <c r="I166" s="57" t="s">
        <v>1212</v>
      </c>
      <c r="J166" s="57" t="s">
        <v>1233</v>
      </c>
      <c r="L166" s="57" t="s">
        <v>378</v>
      </c>
      <c r="M166" s="156">
        <v>45898</v>
      </c>
      <c r="N166" s="57">
        <v>0</v>
      </c>
      <c r="P166" s="167">
        <v>1.33</v>
      </c>
      <c r="Q166" s="171">
        <v>3.3250000000000002</v>
      </c>
      <c r="R166" s="166">
        <f>IFERROR(VLOOKUP(B166,#REF!,1,0),0)</f>
        <v>0</v>
      </c>
    </row>
    <row r="167" spans="1:18" x14ac:dyDescent="0.25">
      <c r="A167" s="57">
        <v>166</v>
      </c>
      <c r="B167" s="57" t="s">
        <v>1347</v>
      </c>
      <c r="C167" s="57">
        <v>1</v>
      </c>
      <c r="D167" s="57" t="s">
        <v>1721</v>
      </c>
      <c r="E167" s="57" t="s">
        <v>1731</v>
      </c>
      <c r="F167" s="57">
        <v>5220</v>
      </c>
      <c r="G167" s="57">
        <v>2985</v>
      </c>
      <c r="H167" s="57">
        <v>120</v>
      </c>
      <c r="I167" s="57" t="s">
        <v>1206</v>
      </c>
      <c r="J167" s="57" t="s">
        <v>1224</v>
      </c>
      <c r="L167" s="57" t="s">
        <v>378</v>
      </c>
      <c r="M167" s="156">
        <v>45898</v>
      </c>
      <c r="N167" s="57">
        <v>0</v>
      </c>
      <c r="P167" s="167">
        <v>2.125</v>
      </c>
      <c r="Q167" s="171">
        <v>5.3129999999999997</v>
      </c>
      <c r="R167" s="166">
        <f>IFERROR(VLOOKUP(B167,#REF!,1,0),0)</f>
        <v>0</v>
      </c>
    </row>
    <row r="168" spans="1:18" x14ac:dyDescent="0.25">
      <c r="A168" s="57">
        <v>167</v>
      </c>
      <c r="B168" s="57" t="s">
        <v>1348</v>
      </c>
      <c r="C168" s="57">
        <v>1</v>
      </c>
      <c r="D168" s="57" t="s">
        <v>1721</v>
      </c>
      <c r="E168" s="57" t="s">
        <v>1737</v>
      </c>
      <c r="F168" s="57">
        <v>5220</v>
      </c>
      <c r="G168" s="57">
        <v>2985</v>
      </c>
      <c r="H168" s="57">
        <v>120</v>
      </c>
      <c r="I168" s="57" t="s">
        <v>1206</v>
      </c>
      <c r="J168" s="57" t="s">
        <v>1224</v>
      </c>
      <c r="L168" s="57" t="s">
        <v>378</v>
      </c>
      <c r="M168" s="156">
        <v>45898</v>
      </c>
      <c r="N168" s="57">
        <v>0</v>
      </c>
      <c r="P168" s="167">
        <v>2.125</v>
      </c>
      <c r="Q168" s="171">
        <v>5.3129999999999997</v>
      </c>
      <c r="R168" s="166">
        <f>IFERROR(VLOOKUP(B168,#REF!,1,0),0)</f>
        <v>0</v>
      </c>
    </row>
    <row r="169" spans="1:18" x14ac:dyDescent="0.25">
      <c r="A169" s="57">
        <v>168</v>
      </c>
      <c r="B169" s="57" t="s">
        <v>1349</v>
      </c>
      <c r="C169" s="57">
        <v>1</v>
      </c>
      <c r="D169" s="57" t="s">
        <v>1721</v>
      </c>
      <c r="E169" s="57" t="s">
        <v>1731</v>
      </c>
      <c r="F169" s="57">
        <v>4862</v>
      </c>
      <c r="G169" s="57">
        <v>2120</v>
      </c>
      <c r="H169" s="57">
        <v>120</v>
      </c>
      <c r="I169" s="57" t="s">
        <v>1212</v>
      </c>
      <c r="J169" s="57" t="s">
        <v>1233</v>
      </c>
      <c r="L169" s="57" t="s">
        <v>378</v>
      </c>
      <c r="M169" s="156">
        <v>45898</v>
      </c>
      <c r="N169" s="57">
        <v>0</v>
      </c>
      <c r="P169" s="167">
        <v>1.377</v>
      </c>
      <c r="Q169" s="171">
        <v>3.4430000000000001</v>
      </c>
      <c r="R169" s="166">
        <f>IFERROR(VLOOKUP(B169,#REF!,1,0),0)</f>
        <v>0</v>
      </c>
    </row>
    <row r="170" spans="1:18" x14ac:dyDescent="0.25">
      <c r="A170" s="57">
        <v>169</v>
      </c>
      <c r="B170" s="57" t="s">
        <v>1350</v>
      </c>
      <c r="C170" s="57">
        <v>1</v>
      </c>
      <c r="D170" s="57" t="s">
        <v>1721</v>
      </c>
      <c r="E170" s="57" t="s">
        <v>1731</v>
      </c>
      <c r="F170" s="57">
        <v>4862</v>
      </c>
      <c r="G170" s="57">
        <v>3320</v>
      </c>
      <c r="H170" s="57">
        <v>120</v>
      </c>
      <c r="I170" s="57" t="s">
        <v>1212</v>
      </c>
      <c r="J170" s="57" t="s">
        <v>1233</v>
      </c>
      <c r="L170" s="57" t="s">
        <v>378</v>
      </c>
      <c r="M170" s="156">
        <v>45898</v>
      </c>
      <c r="N170" s="57">
        <v>0</v>
      </c>
      <c r="P170" s="167">
        <v>1.55</v>
      </c>
      <c r="Q170" s="171">
        <v>3.875</v>
      </c>
      <c r="R170" s="166">
        <f>IFERROR(VLOOKUP(B170,#REF!,1,0),0)</f>
        <v>0</v>
      </c>
    </row>
    <row r="171" spans="1:18" x14ac:dyDescent="0.25">
      <c r="A171" s="57">
        <v>170</v>
      </c>
      <c r="B171" s="57" t="s">
        <v>1351</v>
      </c>
      <c r="C171" s="57">
        <v>1</v>
      </c>
      <c r="D171" s="57" t="s">
        <v>1721</v>
      </c>
      <c r="E171" s="57" t="s">
        <v>1723</v>
      </c>
      <c r="F171" s="57">
        <v>5220</v>
      </c>
      <c r="G171" s="57">
        <v>2375</v>
      </c>
      <c r="H171" s="57">
        <v>120</v>
      </c>
      <c r="I171" s="57" t="s">
        <v>1206</v>
      </c>
      <c r="J171" s="57" t="s">
        <v>1210</v>
      </c>
      <c r="L171" s="57" t="s">
        <v>378</v>
      </c>
      <c r="M171" s="156">
        <v>45898</v>
      </c>
      <c r="N171" s="57">
        <v>0</v>
      </c>
      <c r="P171" s="167">
        <v>2.0920000000000001</v>
      </c>
      <c r="Q171" s="171">
        <v>5.23</v>
      </c>
      <c r="R171" s="166">
        <f>IFERROR(VLOOKUP(B171,#REF!,1,0),0)</f>
        <v>0</v>
      </c>
    </row>
    <row r="172" spans="1:18" x14ac:dyDescent="0.25">
      <c r="A172" s="57">
        <v>171</v>
      </c>
      <c r="B172" s="57" t="s">
        <v>1352</v>
      </c>
      <c r="C172" s="57">
        <v>1</v>
      </c>
      <c r="D172" s="57" t="s">
        <v>1721</v>
      </c>
      <c r="E172" s="57" t="s">
        <v>1723</v>
      </c>
      <c r="F172" s="57">
        <v>5220</v>
      </c>
      <c r="G172" s="57">
        <v>3175</v>
      </c>
      <c r="H172" s="57">
        <v>120</v>
      </c>
      <c r="I172" s="57" t="s">
        <v>1206</v>
      </c>
      <c r="J172" s="57" t="s">
        <v>1210</v>
      </c>
      <c r="L172" s="57" t="s">
        <v>378</v>
      </c>
      <c r="M172" s="156">
        <v>45898</v>
      </c>
      <c r="N172" s="57">
        <v>0</v>
      </c>
      <c r="P172" s="167">
        <v>2.0920000000000001</v>
      </c>
      <c r="Q172" s="171">
        <v>5.23</v>
      </c>
      <c r="R172" s="166">
        <f>IFERROR(VLOOKUP(B172,#REF!,1,0),0)</f>
        <v>0</v>
      </c>
    </row>
    <row r="173" spans="1:18" x14ac:dyDescent="0.25">
      <c r="A173" s="57">
        <v>172</v>
      </c>
      <c r="B173" s="57" t="s">
        <v>1353</v>
      </c>
      <c r="C173" s="57">
        <v>1</v>
      </c>
      <c r="D173" s="57" t="s">
        <v>1721</v>
      </c>
      <c r="E173" s="57" t="s">
        <v>1723</v>
      </c>
      <c r="F173" s="57">
        <v>5220</v>
      </c>
      <c r="G173" s="57">
        <v>3050</v>
      </c>
      <c r="H173" s="57">
        <v>120</v>
      </c>
      <c r="I173" s="57" t="s">
        <v>1206</v>
      </c>
      <c r="J173" s="57" t="s">
        <v>1210</v>
      </c>
      <c r="L173" s="57" t="s">
        <v>378</v>
      </c>
      <c r="M173" s="156">
        <v>45898</v>
      </c>
      <c r="N173" s="57">
        <v>0</v>
      </c>
      <c r="P173" s="167">
        <v>2.0139999999999998</v>
      </c>
      <c r="Q173" s="171">
        <v>5.0350000000000001</v>
      </c>
      <c r="R173" s="166">
        <f>IFERROR(VLOOKUP(B173,#REF!,1,0),0)</f>
        <v>0</v>
      </c>
    </row>
    <row r="174" spans="1:18" x14ac:dyDescent="0.25">
      <c r="A174" s="57">
        <v>173</v>
      </c>
      <c r="B174" s="57" t="s">
        <v>1354</v>
      </c>
      <c r="C174" s="57">
        <v>1</v>
      </c>
      <c r="D174" s="57" t="s">
        <v>1721</v>
      </c>
      <c r="E174" s="57" t="s">
        <v>1723</v>
      </c>
      <c r="F174" s="57">
        <v>5220</v>
      </c>
      <c r="G174" s="57">
        <v>3050</v>
      </c>
      <c r="H174" s="57">
        <v>120</v>
      </c>
      <c r="I174" s="57" t="s">
        <v>1206</v>
      </c>
      <c r="J174" s="57" t="s">
        <v>1210</v>
      </c>
      <c r="L174" s="57" t="s">
        <v>378</v>
      </c>
      <c r="M174" s="156">
        <v>45898</v>
      </c>
      <c r="N174" s="57">
        <v>0</v>
      </c>
      <c r="P174" s="167">
        <v>2.0139999999999998</v>
      </c>
      <c r="Q174" s="171">
        <v>5.0350000000000001</v>
      </c>
      <c r="R174" s="166">
        <f>IFERROR(VLOOKUP(B174,#REF!,1,0),0)</f>
        <v>0</v>
      </c>
    </row>
    <row r="175" spans="1:18" x14ac:dyDescent="0.25">
      <c r="A175" s="57">
        <v>174</v>
      </c>
      <c r="B175" s="57" t="s">
        <v>1355</v>
      </c>
      <c r="C175" s="57">
        <v>1</v>
      </c>
      <c r="D175" s="57" t="s">
        <v>1721</v>
      </c>
      <c r="E175" s="57" t="s">
        <v>1723</v>
      </c>
      <c r="F175" s="57">
        <v>5220</v>
      </c>
      <c r="G175" s="57">
        <v>2950</v>
      </c>
      <c r="H175" s="57">
        <v>120</v>
      </c>
      <c r="I175" s="57" t="s">
        <v>1206</v>
      </c>
      <c r="J175" s="57" t="s">
        <v>1210</v>
      </c>
      <c r="L175" s="57" t="s">
        <v>378</v>
      </c>
      <c r="M175" s="156">
        <v>45898</v>
      </c>
      <c r="N175" s="57">
        <v>0</v>
      </c>
      <c r="P175" s="167">
        <v>1.952</v>
      </c>
      <c r="Q175" s="171">
        <v>4.88</v>
      </c>
      <c r="R175" s="166">
        <f>IFERROR(VLOOKUP(B175,#REF!,1,0),0)</f>
        <v>0</v>
      </c>
    </row>
    <row r="176" spans="1:18" x14ac:dyDescent="0.25">
      <c r="A176" s="57">
        <v>175</v>
      </c>
      <c r="B176" s="57" t="s">
        <v>1356</v>
      </c>
      <c r="C176" s="57">
        <v>1</v>
      </c>
      <c r="D176" s="57" t="s">
        <v>1721</v>
      </c>
      <c r="E176" s="57" t="s">
        <v>1723</v>
      </c>
      <c r="F176" s="57">
        <v>5220</v>
      </c>
      <c r="G176" s="57">
        <v>2950</v>
      </c>
      <c r="H176" s="57">
        <v>120</v>
      </c>
      <c r="I176" s="57" t="s">
        <v>1206</v>
      </c>
      <c r="J176" s="57" t="s">
        <v>1210</v>
      </c>
      <c r="L176" s="57" t="s">
        <v>378</v>
      </c>
      <c r="M176" s="156">
        <v>45898</v>
      </c>
      <c r="N176" s="57">
        <v>0</v>
      </c>
      <c r="P176" s="167">
        <v>1.952</v>
      </c>
      <c r="Q176" s="171">
        <v>4880</v>
      </c>
      <c r="R176" s="166">
        <f>IFERROR(VLOOKUP(B176,#REF!,1,0),0)</f>
        <v>0</v>
      </c>
    </row>
    <row r="177" spans="1:18" x14ac:dyDescent="0.25">
      <c r="A177" s="57">
        <v>176</v>
      </c>
      <c r="B177" s="57" t="s">
        <v>1357</v>
      </c>
      <c r="C177" s="57">
        <v>1</v>
      </c>
      <c r="D177" s="57" t="s">
        <v>1721</v>
      </c>
      <c r="E177" s="57" t="s">
        <v>1723</v>
      </c>
      <c r="F177" s="57">
        <v>4865</v>
      </c>
      <c r="G177" s="57">
        <v>3240</v>
      </c>
      <c r="H177" s="57">
        <v>120</v>
      </c>
      <c r="I177" s="57" t="s">
        <v>1212</v>
      </c>
      <c r="J177" s="57" t="s">
        <v>1233</v>
      </c>
      <c r="L177" s="57" t="s">
        <v>378</v>
      </c>
      <c r="M177" s="156">
        <v>45898</v>
      </c>
      <c r="N177" s="57">
        <v>0</v>
      </c>
      <c r="P177" s="167">
        <v>1.5029999999999999</v>
      </c>
      <c r="Q177" s="171">
        <v>3.758</v>
      </c>
      <c r="R177" s="166">
        <f>IFERROR(VLOOKUP(B177,#REF!,1,0),0)</f>
        <v>0</v>
      </c>
    </row>
    <row r="178" spans="1:18" x14ac:dyDescent="0.25">
      <c r="A178" s="57">
        <v>177</v>
      </c>
      <c r="B178" s="57" t="s">
        <v>1358</v>
      </c>
      <c r="C178" s="57">
        <v>1</v>
      </c>
      <c r="D178" s="57" t="s">
        <v>1721</v>
      </c>
      <c r="E178" s="57" t="s">
        <v>1723</v>
      </c>
      <c r="F178" s="57">
        <v>4865</v>
      </c>
      <c r="G178" s="57">
        <v>2040</v>
      </c>
      <c r="H178" s="57">
        <v>120</v>
      </c>
      <c r="I178" s="57" t="s">
        <v>1212</v>
      </c>
      <c r="J178" s="57" t="s">
        <v>1233</v>
      </c>
      <c r="L178" s="57" t="s">
        <v>378</v>
      </c>
      <c r="M178" s="156">
        <v>45898</v>
      </c>
      <c r="N178" s="57">
        <v>0</v>
      </c>
      <c r="P178" s="167">
        <v>1.33</v>
      </c>
      <c r="Q178" s="171">
        <v>3.3250000000000002</v>
      </c>
      <c r="R178" s="166">
        <f>IFERROR(VLOOKUP(B178,#REF!,1,0),0)</f>
        <v>0</v>
      </c>
    </row>
    <row r="179" spans="1:18" x14ac:dyDescent="0.25">
      <c r="A179" s="57">
        <v>178</v>
      </c>
      <c r="B179" s="57" t="s">
        <v>1359</v>
      </c>
      <c r="C179" s="57">
        <v>1</v>
      </c>
      <c r="D179" s="57" t="s">
        <v>1738</v>
      </c>
      <c r="E179" s="57" t="s">
        <v>1739</v>
      </c>
      <c r="F179" s="57">
        <v>5220</v>
      </c>
      <c r="G179" s="57">
        <v>3140</v>
      </c>
      <c r="H179" s="57">
        <v>120</v>
      </c>
      <c r="I179" s="57" t="s">
        <v>1206</v>
      </c>
      <c r="J179" s="57" t="s">
        <v>1210</v>
      </c>
      <c r="L179" s="57" t="s">
        <v>40</v>
      </c>
      <c r="M179" s="156">
        <v>45908</v>
      </c>
      <c r="N179" s="57">
        <v>0</v>
      </c>
      <c r="P179" s="167">
        <v>2.0710000000000002</v>
      </c>
      <c r="Q179" s="171">
        <v>5.1779999999999999</v>
      </c>
      <c r="R179" s="166">
        <f>IFERROR(VLOOKUP(B179,#REF!,1,0),0)</f>
        <v>0</v>
      </c>
    </row>
    <row r="180" spans="1:18" x14ac:dyDescent="0.25">
      <c r="A180" s="57">
        <v>179</v>
      </c>
      <c r="B180" s="57" t="s">
        <v>1360</v>
      </c>
      <c r="C180" s="57">
        <v>1</v>
      </c>
      <c r="D180" s="57" t="s">
        <v>1738</v>
      </c>
      <c r="E180" s="57" t="s">
        <v>1739</v>
      </c>
      <c r="F180" s="57">
        <v>5220</v>
      </c>
      <c r="G180" s="57">
        <v>3140</v>
      </c>
      <c r="H180" s="57">
        <v>120</v>
      </c>
      <c r="I180" s="57" t="s">
        <v>1206</v>
      </c>
      <c r="J180" s="57" t="s">
        <v>1210</v>
      </c>
      <c r="L180" s="57" t="s">
        <v>40</v>
      </c>
      <c r="M180" s="156">
        <v>45908</v>
      </c>
      <c r="N180" s="57">
        <v>0</v>
      </c>
      <c r="P180" s="167">
        <v>2.0710000000000002</v>
      </c>
      <c r="Q180" s="171">
        <v>5.1779999999999999</v>
      </c>
      <c r="R180" s="166">
        <f>IFERROR(VLOOKUP(B180,#REF!,1,0),0)</f>
        <v>0</v>
      </c>
    </row>
    <row r="181" spans="1:18" x14ac:dyDescent="0.25">
      <c r="A181" s="57">
        <v>180</v>
      </c>
      <c r="B181" s="57" t="s">
        <v>1361</v>
      </c>
      <c r="C181" s="57">
        <v>1</v>
      </c>
      <c r="D181" s="57" t="s">
        <v>1738</v>
      </c>
      <c r="E181" s="57" t="s">
        <v>1739</v>
      </c>
      <c r="F181" s="57">
        <v>5220</v>
      </c>
      <c r="G181" s="57">
        <v>3235</v>
      </c>
      <c r="H181" s="57">
        <v>120</v>
      </c>
      <c r="I181" s="57" t="s">
        <v>1206</v>
      </c>
      <c r="J181" s="57" t="s">
        <v>1362</v>
      </c>
      <c r="L181" s="57" t="s">
        <v>40</v>
      </c>
      <c r="M181" s="156">
        <v>45908</v>
      </c>
      <c r="N181" s="57">
        <v>0</v>
      </c>
      <c r="P181" s="167">
        <v>2.2109999999999999</v>
      </c>
      <c r="Q181" s="171">
        <v>5.5279999999999996</v>
      </c>
      <c r="R181" s="166">
        <f>IFERROR(VLOOKUP(B181,#REF!,1,0),0)</f>
        <v>0</v>
      </c>
    </row>
    <row r="182" spans="1:18" x14ac:dyDescent="0.25">
      <c r="A182" s="57">
        <v>181</v>
      </c>
      <c r="B182" s="57" t="s">
        <v>1363</v>
      </c>
      <c r="C182" s="57">
        <v>1</v>
      </c>
      <c r="D182" s="57" t="s">
        <v>1738</v>
      </c>
      <c r="E182" s="57" t="s">
        <v>1739</v>
      </c>
      <c r="F182" s="57">
        <v>5220</v>
      </c>
      <c r="G182" s="57">
        <v>3375</v>
      </c>
      <c r="H182" s="57">
        <v>120</v>
      </c>
      <c r="I182" s="57" t="s">
        <v>1206</v>
      </c>
      <c r="J182" s="57" t="s">
        <v>1362</v>
      </c>
      <c r="L182" s="57" t="s">
        <v>40</v>
      </c>
      <c r="M182" s="156">
        <v>45908</v>
      </c>
      <c r="N182" s="57">
        <v>0</v>
      </c>
      <c r="P182" s="167">
        <v>2.298</v>
      </c>
      <c r="Q182" s="171">
        <v>5.7450000000000001</v>
      </c>
      <c r="R182" s="166">
        <f>IFERROR(VLOOKUP(B182,#REF!,1,0),0)</f>
        <v>0</v>
      </c>
    </row>
    <row r="183" spans="1:18" x14ac:dyDescent="0.25">
      <c r="A183" s="57">
        <v>182</v>
      </c>
      <c r="B183" s="57" t="s">
        <v>1364</v>
      </c>
      <c r="C183" s="57">
        <v>1</v>
      </c>
      <c r="D183" s="57" t="s">
        <v>1738</v>
      </c>
      <c r="E183" s="57" t="s">
        <v>1739</v>
      </c>
      <c r="F183" s="57">
        <v>5220</v>
      </c>
      <c r="G183" s="57">
        <v>3375</v>
      </c>
      <c r="H183" s="57">
        <v>120</v>
      </c>
      <c r="I183" s="57" t="s">
        <v>1206</v>
      </c>
      <c r="J183" s="57" t="s">
        <v>1362</v>
      </c>
      <c r="L183" s="57" t="s">
        <v>40</v>
      </c>
      <c r="M183" s="156">
        <v>45908</v>
      </c>
      <c r="N183" s="57">
        <v>0</v>
      </c>
      <c r="P183" s="167">
        <v>2.298</v>
      </c>
      <c r="Q183" s="171">
        <v>5.7450000000000001</v>
      </c>
      <c r="R183" s="166">
        <f>IFERROR(VLOOKUP(B183,#REF!,1,0),0)</f>
        <v>0</v>
      </c>
    </row>
    <row r="184" spans="1:18" x14ac:dyDescent="0.25">
      <c r="A184" s="57">
        <v>183</v>
      </c>
      <c r="B184" s="57" t="s">
        <v>1365</v>
      </c>
      <c r="C184" s="57">
        <v>1</v>
      </c>
      <c r="D184" s="57" t="s">
        <v>1738</v>
      </c>
      <c r="E184" s="57" t="s">
        <v>1739</v>
      </c>
      <c r="F184" s="57">
        <v>5220</v>
      </c>
      <c r="G184" s="57">
        <v>3235</v>
      </c>
      <c r="H184" s="57">
        <v>120</v>
      </c>
      <c r="I184" s="57" t="s">
        <v>1206</v>
      </c>
      <c r="J184" s="57" t="s">
        <v>1362</v>
      </c>
      <c r="L184" s="57" t="s">
        <v>40</v>
      </c>
      <c r="M184" s="156">
        <v>45908</v>
      </c>
      <c r="N184" s="57">
        <v>0</v>
      </c>
      <c r="P184" s="167">
        <v>2.2109999999999999</v>
      </c>
      <c r="Q184" s="171">
        <v>5.5279999999999996</v>
      </c>
      <c r="R184" s="166">
        <f>IFERROR(VLOOKUP(B184,#REF!,1,0),0)</f>
        <v>0</v>
      </c>
    </row>
    <row r="185" spans="1:18" x14ac:dyDescent="0.25">
      <c r="A185" s="57">
        <v>184</v>
      </c>
      <c r="B185" s="57" t="s">
        <v>1366</v>
      </c>
      <c r="C185" s="57">
        <v>1</v>
      </c>
      <c r="D185" s="57" t="s">
        <v>1738</v>
      </c>
      <c r="E185" s="57" t="s">
        <v>1739</v>
      </c>
      <c r="F185" s="57">
        <v>4310</v>
      </c>
      <c r="G185" s="57">
        <v>2800</v>
      </c>
      <c r="H185" s="57">
        <v>120</v>
      </c>
      <c r="I185" s="57" t="s">
        <v>1161</v>
      </c>
      <c r="J185" s="57" t="s">
        <v>797</v>
      </c>
      <c r="L185" s="57" t="s">
        <v>40</v>
      </c>
      <c r="M185" s="156">
        <v>45908</v>
      </c>
      <c r="N185" s="57">
        <v>0</v>
      </c>
      <c r="P185" s="167">
        <v>1.413</v>
      </c>
      <c r="Q185" s="171">
        <v>3.5329999999999999</v>
      </c>
      <c r="R185" s="166">
        <f>IFERROR(VLOOKUP(B185,#REF!,1,0),0)</f>
        <v>0</v>
      </c>
    </row>
    <row r="186" spans="1:18" x14ac:dyDescent="0.25">
      <c r="A186" s="57">
        <v>185</v>
      </c>
      <c r="B186" s="57" t="s">
        <v>1367</v>
      </c>
      <c r="C186" s="57">
        <v>1</v>
      </c>
      <c r="D186" s="57" t="s">
        <v>1738</v>
      </c>
      <c r="E186" s="57" t="s">
        <v>1739</v>
      </c>
      <c r="F186" s="57">
        <v>4865</v>
      </c>
      <c r="G186" s="57">
        <v>3375</v>
      </c>
      <c r="H186" s="57">
        <v>120</v>
      </c>
      <c r="I186" s="57" t="s">
        <v>1212</v>
      </c>
      <c r="J186" s="57" t="s">
        <v>1233</v>
      </c>
      <c r="L186" s="57" t="s">
        <v>40</v>
      </c>
      <c r="M186" s="156">
        <v>45908</v>
      </c>
      <c r="N186" s="57">
        <v>0</v>
      </c>
      <c r="P186" s="167">
        <v>1.5820000000000001</v>
      </c>
      <c r="Q186" s="171">
        <v>3.9550000000000001</v>
      </c>
      <c r="R186" s="166">
        <f>IFERROR(VLOOKUP(B186,#REF!,1,0),0)</f>
        <v>0</v>
      </c>
    </row>
    <row r="187" spans="1:18" x14ac:dyDescent="0.25">
      <c r="A187" s="57">
        <v>186</v>
      </c>
      <c r="B187" s="57" t="s">
        <v>1368</v>
      </c>
      <c r="C187" s="57">
        <v>1</v>
      </c>
      <c r="D187" s="57" t="s">
        <v>1738</v>
      </c>
      <c r="E187" s="57" t="s">
        <v>1739</v>
      </c>
      <c r="F187" s="57">
        <v>4865</v>
      </c>
      <c r="G187" s="57">
        <v>2175</v>
      </c>
      <c r="H187" s="57">
        <v>120</v>
      </c>
      <c r="I187" s="57" t="s">
        <v>1212</v>
      </c>
      <c r="J187" s="57" t="s">
        <v>1233</v>
      </c>
      <c r="L187" s="57" t="s">
        <v>40</v>
      </c>
      <c r="M187" s="156">
        <v>45908</v>
      </c>
      <c r="N187" s="57">
        <v>0</v>
      </c>
      <c r="P187" s="167">
        <v>1.409</v>
      </c>
      <c r="Q187" s="171">
        <v>3.5230000000000001</v>
      </c>
      <c r="R187" s="166">
        <f>IFERROR(VLOOKUP(B187,#REF!,1,0),0)</f>
        <v>0</v>
      </c>
    </row>
    <row r="188" spans="1:18" x14ac:dyDescent="0.25">
      <c r="A188" s="57">
        <v>187</v>
      </c>
      <c r="B188" s="57" t="s">
        <v>1369</v>
      </c>
      <c r="C188" s="57">
        <v>1</v>
      </c>
      <c r="D188" s="57" t="s">
        <v>1738</v>
      </c>
      <c r="E188" s="57" t="s">
        <v>1740</v>
      </c>
      <c r="F188" s="57">
        <v>2400</v>
      </c>
      <c r="G188" s="57">
        <v>3375</v>
      </c>
      <c r="H188" s="57">
        <v>120</v>
      </c>
      <c r="I188" s="57" t="s">
        <v>1206</v>
      </c>
      <c r="J188" s="57" t="s">
        <v>1228</v>
      </c>
      <c r="L188" s="57" t="s">
        <v>40</v>
      </c>
      <c r="M188" s="156">
        <v>45908</v>
      </c>
      <c r="N188" s="57">
        <v>0</v>
      </c>
      <c r="P188" s="167">
        <v>1.0820000000000001</v>
      </c>
      <c r="Q188" s="171">
        <v>2.7050000000000001</v>
      </c>
      <c r="R188" s="166">
        <f>IFERROR(VLOOKUP(B188,#REF!,1,0),0)</f>
        <v>0</v>
      </c>
    </row>
    <row r="189" spans="1:18" x14ac:dyDescent="0.25">
      <c r="A189" s="57">
        <v>188</v>
      </c>
      <c r="B189" s="57" t="s">
        <v>1370</v>
      </c>
      <c r="C189" s="57">
        <v>1</v>
      </c>
      <c r="D189" s="57" t="s">
        <v>1738</v>
      </c>
      <c r="E189" s="57" t="s">
        <v>1740</v>
      </c>
      <c r="F189" s="57">
        <v>5220</v>
      </c>
      <c r="G189" s="57">
        <v>2990</v>
      </c>
      <c r="H189" s="57">
        <v>120</v>
      </c>
      <c r="I189" s="57" t="s">
        <v>1206</v>
      </c>
      <c r="J189" s="57" t="s">
        <v>1224</v>
      </c>
      <c r="L189" s="57" t="s">
        <v>40</v>
      </c>
      <c r="M189" s="156">
        <v>45908</v>
      </c>
      <c r="N189" s="57">
        <v>0</v>
      </c>
      <c r="P189" s="167">
        <v>2.129</v>
      </c>
      <c r="Q189" s="171">
        <v>5.3230000000000004</v>
      </c>
      <c r="R189" s="166">
        <f>IFERROR(VLOOKUP(B189,#REF!,1,0),0)</f>
        <v>0</v>
      </c>
    </row>
    <row r="190" spans="1:18" x14ac:dyDescent="0.25">
      <c r="A190" s="57">
        <v>189</v>
      </c>
      <c r="B190" s="57" t="s">
        <v>1371</v>
      </c>
      <c r="C190" s="57">
        <v>1</v>
      </c>
      <c r="D190" s="57" t="s">
        <v>1738</v>
      </c>
      <c r="E190" s="57" t="s">
        <v>1741</v>
      </c>
      <c r="F190" s="57">
        <v>5220</v>
      </c>
      <c r="G190" s="57">
        <v>2990</v>
      </c>
      <c r="H190" s="57">
        <v>120</v>
      </c>
      <c r="I190" s="57" t="s">
        <v>1206</v>
      </c>
      <c r="J190" s="57" t="s">
        <v>1224</v>
      </c>
      <c r="L190" s="57" t="s">
        <v>40</v>
      </c>
      <c r="M190" s="156">
        <v>45908</v>
      </c>
      <c r="N190" s="57">
        <v>0</v>
      </c>
      <c r="P190" s="167">
        <v>2.129</v>
      </c>
      <c r="Q190" s="171">
        <v>5.3230000000000004</v>
      </c>
      <c r="R190" s="166">
        <f>IFERROR(VLOOKUP(B190,#REF!,1,0),0)</f>
        <v>0</v>
      </c>
    </row>
    <row r="191" spans="1:18" x14ac:dyDescent="0.25">
      <c r="A191" s="57">
        <v>190</v>
      </c>
      <c r="B191" s="57" t="s">
        <v>1372</v>
      </c>
      <c r="C191" s="57">
        <v>1</v>
      </c>
      <c r="D191" s="57" t="s">
        <v>1738</v>
      </c>
      <c r="E191" s="57" t="s">
        <v>1740</v>
      </c>
      <c r="F191" s="57">
        <v>5220</v>
      </c>
      <c r="G191" s="57">
        <v>2990</v>
      </c>
      <c r="H191" s="57">
        <v>120</v>
      </c>
      <c r="I191" s="57" t="s">
        <v>1206</v>
      </c>
      <c r="J191" s="57" t="s">
        <v>1224</v>
      </c>
      <c r="L191" s="57" t="s">
        <v>40</v>
      </c>
      <c r="M191" s="156">
        <v>45908</v>
      </c>
      <c r="N191" s="57">
        <v>0</v>
      </c>
      <c r="P191" s="167">
        <v>2.129</v>
      </c>
      <c r="Q191" s="171">
        <v>5.3230000000000004</v>
      </c>
      <c r="R191" s="166">
        <f>IFERROR(VLOOKUP(B191,#REF!,1,0),0)</f>
        <v>0</v>
      </c>
    </row>
    <row r="192" spans="1:18" x14ac:dyDescent="0.25">
      <c r="A192" s="57">
        <v>191</v>
      </c>
      <c r="B192" s="57" t="s">
        <v>1373</v>
      </c>
      <c r="C192" s="57">
        <v>1</v>
      </c>
      <c r="D192" s="57" t="s">
        <v>1738</v>
      </c>
      <c r="E192" s="57" t="s">
        <v>1740</v>
      </c>
      <c r="F192" s="57">
        <v>5220</v>
      </c>
      <c r="G192" s="57">
        <v>2990</v>
      </c>
      <c r="H192" s="57">
        <v>120</v>
      </c>
      <c r="I192" s="57" t="s">
        <v>1206</v>
      </c>
      <c r="J192" s="57" t="s">
        <v>1224</v>
      </c>
      <c r="L192" s="57" t="s">
        <v>40</v>
      </c>
      <c r="M192" s="156">
        <v>45908</v>
      </c>
      <c r="N192" s="57">
        <v>0</v>
      </c>
      <c r="P192" s="167">
        <v>2.129</v>
      </c>
      <c r="Q192" s="171">
        <v>5.3230000000000004</v>
      </c>
      <c r="R192" s="166">
        <f>IFERROR(VLOOKUP(B192,#REF!,1,0),0)</f>
        <v>0</v>
      </c>
    </row>
    <row r="193" spans="1:18" x14ac:dyDescent="0.25">
      <c r="A193" s="57">
        <v>192</v>
      </c>
      <c r="B193" s="57" t="s">
        <v>1374</v>
      </c>
      <c r="C193" s="57">
        <v>1</v>
      </c>
      <c r="D193" s="57" t="s">
        <v>1738</v>
      </c>
      <c r="E193" s="57" t="s">
        <v>1740</v>
      </c>
      <c r="F193" s="57">
        <v>5220</v>
      </c>
      <c r="G193" s="57">
        <v>2990</v>
      </c>
      <c r="H193" s="57">
        <v>120</v>
      </c>
      <c r="I193" s="57" t="s">
        <v>1206</v>
      </c>
      <c r="J193" s="57" t="s">
        <v>1224</v>
      </c>
      <c r="L193" s="57" t="s">
        <v>40</v>
      </c>
      <c r="M193" s="156">
        <v>45908</v>
      </c>
      <c r="N193" s="57">
        <v>0</v>
      </c>
      <c r="P193" s="167">
        <v>2.129</v>
      </c>
      <c r="Q193" s="171">
        <v>5.3230000000000004</v>
      </c>
      <c r="R193" s="166">
        <f>IFERROR(VLOOKUP(B193,#REF!,1,0),0)</f>
        <v>0</v>
      </c>
    </row>
    <row r="194" spans="1:18" x14ac:dyDescent="0.25">
      <c r="A194" s="57">
        <v>193</v>
      </c>
      <c r="B194" s="57" t="s">
        <v>1375</v>
      </c>
      <c r="C194" s="57">
        <v>1</v>
      </c>
      <c r="D194" s="57" t="s">
        <v>1738</v>
      </c>
      <c r="E194" s="57" t="s">
        <v>1740</v>
      </c>
      <c r="F194" s="57">
        <v>5220</v>
      </c>
      <c r="G194" s="57">
        <v>2990</v>
      </c>
      <c r="H194" s="57">
        <v>120</v>
      </c>
      <c r="I194" s="57" t="s">
        <v>1206</v>
      </c>
      <c r="J194" s="57" t="s">
        <v>1224</v>
      </c>
      <c r="L194" s="57" t="s">
        <v>40</v>
      </c>
      <c r="M194" s="156">
        <v>45908</v>
      </c>
      <c r="N194" s="57">
        <v>0</v>
      </c>
      <c r="P194" s="167">
        <v>2.129</v>
      </c>
      <c r="Q194" s="171">
        <v>5.3230000000000004</v>
      </c>
      <c r="R194" s="166">
        <f>IFERROR(VLOOKUP(B194,#REF!,1,0),0)</f>
        <v>0</v>
      </c>
    </row>
    <row r="195" spans="1:18" x14ac:dyDescent="0.25">
      <c r="A195" s="57">
        <v>194</v>
      </c>
      <c r="B195" s="57" t="s">
        <v>1376</v>
      </c>
      <c r="C195" s="57">
        <v>1</v>
      </c>
      <c r="D195" s="57" t="s">
        <v>1738</v>
      </c>
      <c r="E195" s="57" t="s">
        <v>1741</v>
      </c>
      <c r="F195" s="57">
        <v>5220</v>
      </c>
      <c r="G195" s="57">
        <v>2990</v>
      </c>
      <c r="H195" s="57">
        <v>120</v>
      </c>
      <c r="I195" s="57" t="s">
        <v>1206</v>
      </c>
      <c r="J195" s="57" t="s">
        <v>1224</v>
      </c>
      <c r="L195" s="57" t="s">
        <v>40</v>
      </c>
      <c r="M195" s="156">
        <v>45908</v>
      </c>
      <c r="N195" s="57">
        <v>0</v>
      </c>
      <c r="P195" s="167">
        <v>2.129</v>
      </c>
      <c r="Q195" s="171">
        <v>5.3230000000000004</v>
      </c>
      <c r="R195" s="166">
        <f>IFERROR(VLOOKUP(B195,#REF!,1,0),0)</f>
        <v>0</v>
      </c>
    </row>
    <row r="196" spans="1:18" x14ac:dyDescent="0.25">
      <c r="A196" s="57">
        <v>195</v>
      </c>
      <c r="B196" s="57" t="s">
        <v>1377</v>
      </c>
      <c r="C196" s="57">
        <v>1</v>
      </c>
      <c r="D196" s="57" t="s">
        <v>1738</v>
      </c>
      <c r="E196" s="57" t="s">
        <v>1741</v>
      </c>
      <c r="F196" s="57">
        <v>5220</v>
      </c>
      <c r="G196" s="57">
        <v>2990</v>
      </c>
      <c r="H196" s="57">
        <v>120</v>
      </c>
      <c r="I196" s="57" t="s">
        <v>1206</v>
      </c>
      <c r="J196" s="57" t="s">
        <v>1224</v>
      </c>
      <c r="L196" s="57" t="s">
        <v>40</v>
      </c>
      <c r="M196" s="156">
        <v>45908</v>
      </c>
      <c r="N196" s="57">
        <v>0</v>
      </c>
      <c r="P196" s="167">
        <v>2.129</v>
      </c>
      <c r="Q196" s="171">
        <v>5.3230000000000004</v>
      </c>
      <c r="R196" s="166">
        <f>IFERROR(VLOOKUP(B196,#REF!,1,0),0)</f>
        <v>0</v>
      </c>
    </row>
    <row r="197" spans="1:18" x14ac:dyDescent="0.25">
      <c r="A197" s="57">
        <v>196</v>
      </c>
      <c r="B197" s="57" t="s">
        <v>1378</v>
      </c>
      <c r="C197" s="57">
        <v>1</v>
      </c>
      <c r="D197" s="57" t="s">
        <v>1738</v>
      </c>
      <c r="E197" s="57" t="s">
        <v>1741</v>
      </c>
      <c r="F197" s="57">
        <v>5220</v>
      </c>
      <c r="G197" s="57">
        <v>2990</v>
      </c>
      <c r="H197" s="57">
        <v>120</v>
      </c>
      <c r="I197" s="57" t="s">
        <v>1206</v>
      </c>
      <c r="J197" s="57" t="s">
        <v>1224</v>
      </c>
      <c r="L197" s="57" t="s">
        <v>40</v>
      </c>
      <c r="M197" s="156">
        <v>45908</v>
      </c>
      <c r="N197" s="57">
        <v>0</v>
      </c>
      <c r="P197" s="167">
        <v>2.129</v>
      </c>
      <c r="Q197" s="171">
        <v>5.3230000000000004</v>
      </c>
      <c r="R197" s="166">
        <f>IFERROR(VLOOKUP(B197,#REF!,1,0),0)</f>
        <v>0</v>
      </c>
    </row>
    <row r="198" spans="1:18" x14ac:dyDescent="0.25">
      <c r="A198" s="57">
        <v>197</v>
      </c>
      <c r="B198" s="57" t="s">
        <v>1379</v>
      </c>
      <c r="C198" s="57">
        <v>1</v>
      </c>
      <c r="D198" s="57" t="s">
        <v>1738</v>
      </c>
      <c r="E198" s="57" t="s">
        <v>1741</v>
      </c>
      <c r="F198" s="57">
        <v>5220</v>
      </c>
      <c r="G198" s="57">
        <v>2990</v>
      </c>
      <c r="H198" s="57">
        <v>120</v>
      </c>
      <c r="I198" s="57" t="s">
        <v>1206</v>
      </c>
      <c r="J198" s="57" t="s">
        <v>1224</v>
      </c>
      <c r="L198" s="57" t="s">
        <v>40</v>
      </c>
      <c r="M198" s="156">
        <v>45908</v>
      </c>
      <c r="N198" s="57">
        <v>0</v>
      </c>
      <c r="P198" s="167">
        <v>2.129</v>
      </c>
      <c r="Q198" s="171">
        <v>5.3230000000000004</v>
      </c>
      <c r="R198" s="166">
        <f>IFERROR(VLOOKUP(B198,#REF!,1,0),0)</f>
        <v>0</v>
      </c>
    </row>
    <row r="199" spans="1:18" x14ac:dyDescent="0.25">
      <c r="A199" s="57">
        <v>198</v>
      </c>
      <c r="B199" s="57" t="s">
        <v>1380</v>
      </c>
      <c r="C199" s="57">
        <v>1</v>
      </c>
      <c r="D199" s="57" t="s">
        <v>1738</v>
      </c>
      <c r="E199" s="57" t="s">
        <v>1740</v>
      </c>
      <c r="F199" s="57">
        <v>5220</v>
      </c>
      <c r="G199" s="57">
        <v>2990</v>
      </c>
      <c r="H199" s="57">
        <v>120</v>
      </c>
      <c r="I199" s="57" t="s">
        <v>1206</v>
      </c>
      <c r="J199" s="57" t="s">
        <v>1224</v>
      </c>
      <c r="L199" s="57" t="s">
        <v>40</v>
      </c>
      <c r="M199" s="156">
        <v>45908</v>
      </c>
      <c r="N199" s="57">
        <v>0</v>
      </c>
      <c r="P199" s="167">
        <v>2.129</v>
      </c>
      <c r="Q199" s="171">
        <v>5.3230000000000004</v>
      </c>
      <c r="R199" s="166">
        <f>IFERROR(VLOOKUP(B199,#REF!,1,0),0)</f>
        <v>0</v>
      </c>
    </row>
    <row r="200" spans="1:18" x14ac:dyDescent="0.25">
      <c r="A200" s="57">
        <v>199</v>
      </c>
      <c r="B200" s="57" t="s">
        <v>1381</v>
      </c>
      <c r="C200" s="57">
        <v>1</v>
      </c>
      <c r="D200" s="57" t="s">
        <v>1738</v>
      </c>
      <c r="E200" s="57" t="s">
        <v>1741</v>
      </c>
      <c r="F200" s="57">
        <v>5220</v>
      </c>
      <c r="G200" s="57">
        <v>2990</v>
      </c>
      <c r="H200" s="57">
        <v>120</v>
      </c>
      <c r="I200" s="57" t="s">
        <v>1206</v>
      </c>
      <c r="J200" s="57" t="s">
        <v>1224</v>
      </c>
      <c r="L200" s="57" t="s">
        <v>40</v>
      </c>
      <c r="M200" s="156">
        <v>45908</v>
      </c>
      <c r="N200" s="57">
        <v>0</v>
      </c>
      <c r="P200" s="167">
        <v>2.129</v>
      </c>
      <c r="Q200" s="171">
        <v>5.3230000000000004</v>
      </c>
      <c r="R200" s="166">
        <f>IFERROR(VLOOKUP(B200,#REF!,1,0),0)</f>
        <v>0</v>
      </c>
    </row>
    <row r="201" spans="1:18" x14ac:dyDescent="0.25">
      <c r="A201" s="57">
        <v>200</v>
      </c>
      <c r="B201" s="57" t="s">
        <v>1382</v>
      </c>
      <c r="C201" s="57">
        <v>1</v>
      </c>
      <c r="D201" s="57" t="s">
        <v>1738</v>
      </c>
      <c r="E201" s="57" t="s">
        <v>1740</v>
      </c>
      <c r="F201" s="57">
        <v>4862</v>
      </c>
      <c r="G201" s="57">
        <v>2085</v>
      </c>
      <c r="H201" s="57">
        <v>120</v>
      </c>
      <c r="I201" s="57" t="s">
        <v>1212</v>
      </c>
      <c r="J201" s="57" t="s">
        <v>1233</v>
      </c>
      <c r="L201" s="57" t="s">
        <v>40</v>
      </c>
      <c r="M201" s="156">
        <v>45908</v>
      </c>
      <c r="N201" s="57">
        <v>0</v>
      </c>
      <c r="P201" s="167">
        <v>1.3560000000000001</v>
      </c>
      <c r="Q201" s="171">
        <v>3.39</v>
      </c>
      <c r="R201" s="166">
        <f>IFERROR(VLOOKUP(B201,#REF!,1,0),0)</f>
        <v>0</v>
      </c>
    </row>
    <row r="202" spans="1:18" x14ac:dyDescent="0.25">
      <c r="A202" s="57">
        <v>201</v>
      </c>
      <c r="B202" s="57" t="s">
        <v>1383</v>
      </c>
      <c r="C202" s="57">
        <v>1</v>
      </c>
      <c r="D202" s="57" t="s">
        <v>1738</v>
      </c>
      <c r="E202" s="57" t="s">
        <v>1740</v>
      </c>
      <c r="F202" s="57">
        <v>4862</v>
      </c>
      <c r="G202" s="57">
        <v>3455</v>
      </c>
      <c r="H202" s="57">
        <v>120</v>
      </c>
      <c r="I202" s="57" t="s">
        <v>1212</v>
      </c>
      <c r="J202" s="57" t="s">
        <v>1233</v>
      </c>
      <c r="L202" s="57" t="s">
        <v>40</v>
      </c>
      <c r="M202" s="156">
        <v>45908</v>
      </c>
      <c r="N202" s="57">
        <v>0</v>
      </c>
      <c r="P202" s="167">
        <v>1.5529999999999999</v>
      </c>
      <c r="Q202" s="171">
        <v>3.883</v>
      </c>
      <c r="R202" s="166">
        <f>IFERROR(VLOOKUP(B202,#REF!,1,0),0)</f>
        <v>0</v>
      </c>
    </row>
    <row r="203" spans="1:18" x14ac:dyDescent="0.25">
      <c r="A203" s="57">
        <v>202</v>
      </c>
      <c r="B203" s="57" t="s">
        <v>1384</v>
      </c>
      <c r="C203" s="57">
        <v>1</v>
      </c>
      <c r="D203" s="57" t="s">
        <v>1738</v>
      </c>
      <c r="E203" s="57" t="s">
        <v>1741</v>
      </c>
      <c r="F203" s="57">
        <v>4310</v>
      </c>
      <c r="G203" s="57">
        <v>2800</v>
      </c>
      <c r="H203" s="57">
        <v>120</v>
      </c>
      <c r="I203" s="57" t="s">
        <v>1161</v>
      </c>
      <c r="J203" s="57" t="s">
        <v>797</v>
      </c>
      <c r="L203" s="57" t="s">
        <v>40</v>
      </c>
      <c r="M203" s="156">
        <v>45908</v>
      </c>
      <c r="N203" s="57">
        <v>0</v>
      </c>
      <c r="P203" s="167">
        <v>1.413</v>
      </c>
      <c r="Q203" s="171">
        <v>3.5329999999999999</v>
      </c>
      <c r="R203" s="166">
        <f>IFERROR(VLOOKUP(B203,#REF!,1,0),0)</f>
        <v>0</v>
      </c>
    </row>
    <row r="204" spans="1:18" x14ac:dyDescent="0.25">
      <c r="A204" s="57">
        <v>203</v>
      </c>
      <c r="B204" s="57" t="s">
        <v>1385</v>
      </c>
      <c r="C204" s="57">
        <v>1</v>
      </c>
      <c r="D204" s="57" t="s">
        <v>1738</v>
      </c>
      <c r="E204" s="57" t="s">
        <v>1741</v>
      </c>
      <c r="F204" s="57">
        <v>4862</v>
      </c>
      <c r="G204" s="57">
        <v>3365</v>
      </c>
      <c r="H204" s="57">
        <v>120</v>
      </c>
      <c r="I204" s="57" t="s">
        <v>1212</v>
      </c>
      <c r="J204" s="57" t="s">
        <v>1233</v>
      </c>
      <c r="L204" s="57" t="s">
        <v>40</v>
      </c>
      <c r="M204" s="156">
        <v>45908</v>
      </c>
      <c r="N204" s="57">
        <v>0</v>
      </c>
      <c r="P204" s="167">
        <v>1.5820000000000001</v>
      </c>
      <c r="Q204" s="171">
        <v>3.9550000000000001</v>
      </c>
      <c r="R204" s="166">
        <f>IFERROR(VLOOKUP(B204,#REF!,1,0),0)</f>
        <v>0</v>
      </c>
    </row>
    <row r="205" spans="1:18" x14ac:dyDescent="0.25">
      <c r="A205" s="57">
        <v>204</v>
      </c>
      <c r="B205" s="57" t="s">
        <v>1386</v>
      </c>
      <c r="C205" s="57">
        <v>1</v>
      </c>
      <c r="D205" s="57" t="s">
        <v>1738</v>
      </c>
      <c r="E205" s="57" t="s">
        <v>1741</v>
      </c>
      <c r="F205" s="57">
        <v>4862</v>
      </c>
      <c r="G205" s="57">
        <v>2165</v>
      </c>
      <c r="H205" s="57">
        <v>120</v>
      </c>
      <c r="I205" s="57" t="s">
        <v>1212</v>
      </c>
      <c r="J205" s="57" t="s">
        <v>1233</v>
      </c>
      <c r="L205" s="57" t="s">
        <v>40</v>
      </c>
      <c r="M205" s="156">
        <v>45908</v>
      </c>
      <c r="N205" s="57">
        <v>0</v>
      </c>
      <c r="P205" s="167">
        <v>1.403</v>
      </c>
      <c r="Q205" s="171">
        <v>3.508</v>
      </c>
      <c r="R205" s="166">
        <f>IFERROR(VLOOKUP(B205,#REF!,1,0),0)</f>
        <v>0</v>
      </c>
    </row>
    <row r="206" spans="1:18" x14ac:dyDescent="0.25">
      <c r="A206" s="57">
        <v>205</v>
      </c>
      <c r="B206" s="57" t="s">
        <v>1387</v>
      </c>
      <c r="C206" s="57">
        <v>1</v>
      </c>
      <c r="D206" s="57" t="s">
        <v>1738</v>
      </c>
      <c r="E206" s="57" t="s">
        <v>1742</v>
      </c>
      <c r="F206" s="57">
        <v>2400</v>
      </c>
      <c r="G206" s="57">
        <v>3235</v>
      </c>
      <c r="H206" s="57">
        <v>120</v>
      </c>
      <c r="I206" s="57" t="s">
        <v>1206</v>
      </c>
      <c r="J206" s="57" t="s">
        <v>1228</v>
      </c>
      <c r="L206" s="57" t="s">
        <v>40</v>
      </c>
      <c r="M206" s="156">
        <v>45908</v>
      </c>
      <c r="N206" s="57">
        <v>0</v>
      </c>
      <c r="P206" s="167">
        <v>1.042</v>
      </c>
      <c r="Q206" s="171">
        <v>2.605</v>
      </c>
      <c r="R206" s="166">
        <f>IFERROR(VLOOKUP(B206,#REF!,1,0),0)</f>
        <v>0</v>
      </c>
    </row>
    <row r="207" spans="1:18" x14ac:dyDescent="0.25">
      <c r="A207" s="57">
        <v>206</v>
      </c>
      <c r="B207" s="57" t="s">
        <v>1388</v>
      </c>
      <c r="C207" s="57">
        <v>1</v>
      </c>
      <c r="D207" s="57" t="s">
        <v>1738</v>
      </c>
      <c r="E207" s="57" t="s">
        <v>1742</v>
      </c>
      <c r="F207" s="57">
        <v>5220</v>
      </c>
      <c r="G207" s="57">
        <v>2980</v>
      </c>
      <c r="H207" s="57">
        <v>120</v>
      </c>
      <c r="I207" s="57" t="s">
        <v>1206</v>
      </c>
      <c r="J207" s="57" t="s">
        <v>1224</v>
      </c>
      <c r="L207" s="57" t="s">
        <v>40</v>
      </c>
      <c r="M207" s="156">
        <v>45908</v>
      </c>
      <c r="N207" s="57">
        <v>0</v>
      </c>
      <c r="P207" s="167">
        <v>2.1219999999999999</v>
      </c>
      <c r="Q207" s="171">
        <v>5.3049999999999997</v>
      </c>
      <c r="R207" s="166">
        <f>IFERROR(VLOOKUP(B207,#REF!,1,0),0)</f>
        <v>0</v>
      </c>
    </row>
    <row r="208" spans="1:18" x14ac:dyDescent="0.25">
      <c r="A208" s="57">
        <v>207</v>
      </c>
      <c r="B208" s="57" t="s">
        <v>1389</v>
      </c>
      <c r="C208" s="57">
        <v>1</v>
      </c>
      <c r="D208" s="57" t="s">
        <v>1738</v>
      </c>
      <c r="E208" s="57" t="s">
        <v>1743</v>
      </c>
      <c r="F208" s="57">
        <v>5220</v>
      </c>
      <c r="G208" s="57">
        <v>2980</v>
      </c>
      <c r="H208" s="57">
        <v>120</v>
      </c>
      <c r="I208" s="57" t="s">
        <v>1206</v>
      </c>
      <c r="J208" s="57" t="s">
        <v>1224</v>
      </c>
      <c r="L208" s="57" t="s">
        <v>40</v>
      </c>
      <c r="M208" s="156">
        <v>45908</v>
      </c>
      <c r="N208" s="57">
        <v>0</v>
      </c>
      <c r="P208" s="167">
        <v>2.1219999999999999</v>
      </c>
      <c r="Q208" s="171">
        <v>5.3049999999999997</v>
      </c>
      <c r="R208" s="166">
        <f>IFERROR(VLOOKUP(B208,#REF!,1,0),0)</f>
        <v>0</v>
      </c>
    </row>
    <row r="209" spans="1:18" x14ac:dyDescent="0.25">
      <c r="A209" s="57">
        <v>208</v>
      </c>
      <c r="B209" s="57" t="s">
        <v>1390</v>
      </c>
      <c r="C209" s="57">
        <v>1</v>
      </c>
      <c r="D209" s="57" t="s">
        <v>1738</v>
      </c>
      <c r="E209" s="57" t="s">
        <v>1742</v>
      </c>
      <c r="F209" s="57">
        <v>5220</v>
      </c>
      <c r="G209" s="57">
        <v>2980</v>
      </c>
      <c r="H209" s="57">
        <v>120</v>
      </c>
      <c r="I209" s="57" t="s">
        <v>1206</v>
      </c>
      <c r="J209" s="57" t="s">
        <v>1224</v>
      </c>
      <c r="L209" s="57" t="s">
        <v>40</v>
      </c>
      <c r="M209" s="156">
        <v>45908</v>
      </c>
      <c r="N209" s="57">
        <v>0</v>
      </c>
      <c r="P209" s="167">
        <v>2.12</v>
      </c>
      <c r="Q209" s="171">
        <v>5.3049999999999997</v>
      </c>
      <c r="R209" s="166">
        <f>IFERROR(VLOOKUP(B209,#REF!,1,0),0)</f>
        <v>0</v>
      </c>
    </row>
    <row r="210" spans="1:18" x14ac:dyDescent="0.25">
      <c r="A210" s="57">
        <v>209</v>
      </c>
      <c r="B210" s="57" t="s">
        <v>1391</v>
      </c>
      <c r="C210" s="57">
        <v>1</v>
      </c>
      <c r="D210" s="57" t="s">
        <v>1738</v>
      </c>
      <c r="E210" s="57" t="s">
        <v>1742</v>
      </c>
      <c r="F210" s="57">
        <v>5220</v>
      </c>
      <c r="G210" s="57">
        <v>2980</v>
      </c>
      <c r="H210" s="57">
        <v>120</v>
      </c>
      <c r="I210" s="57" t="s">
        <v>1206</v>
      </c>
      <c r="J210" s="57" t="s">
        <v>1224</v>
      </c>
      <c r="L210" s="57" t="s">
        <v>40</v>
      </c>
      <c r="M210" s="156">
        <v>45908</v>
      </c>
      <c r="N210" s="57">
        <v>0</v>
      </c>
      <c r="P210" s="167">
        <v>2.12</v>
      </c>
      <c r="Q210" s="171">
        <v>5.3049999999999997</v>
      </c>
      <c r="R210" s="166">
        <f>IFERROR(VLOOKUP(B210,#REF!,1,0),0)</f>
        <v>0</v>
      </c>
    </row>
    <row r="211" spans="1:18" x14ac:dyDescent="0.25">
      <c r="A211" s="57">
        <v>210</v>
      </c>
      <c r="B211" s="57" t="s">
        <v>1392</v>
      </c>
      <c r="C211" s="57">
        <v>1</v>
      </c>
      <c r="D211" s="57" t="s">
        <v>1738</v>
      </c>
      <c r="E211" s="57" t="s">
        <v>1742</v>
      </c>
      <c r="F211" s="57">
        <v>5220</v>
      </c>
      <c r="G211" s="57">
        <v>2980</v>
      </c>
      <c r="H211" s="57">
        <v>120</v>
      </c>
      <c r="I211" s="57" t="s">
        <v>1206</v>
      </c>
      <c r="J211" s="57" t="s">
        <v>1224</v>
      </c>
      <c r="L211" s="57" t="s">
        <v>40</v>
      </c>
      <c r="M211" s="156">
        <v>45908</v>
      </c>
      <c r="N211" s="57">
        <v>0</v>
      </c>
      <c r="P211" s="167">
        <v>2.12</v>
      </c>
      <c r="Q211" s="171">
        <v>5.3049999999999997</v>
      </c>
      <c r="R211" s="166">
        <f>IFERROR(VLOOKUP(B211,#REF!,1,0),0)</f>
        <v>0</v>
      </c>
    </row>
    <row r="212" spans="1:18" x14ac:dyDescent="0.25">
      <c r="A212" s="57">
        <v>211</v>
      </c>
      <c r="B212" s="57" t="s">
        <v>1393</v>
      </c>
      <c r="C212" s="57">
        <v>1</v>
      </c>
      <c r="D212" s="57" t="s">
        <v>1738</v>
      </c>
      <c r="E212" s="57" t="s">
        <v>1742</v>
      </c>
      <c r="F212" s="57">
        <v>5220</v>
      </c>
      <c r="G212" s="57">
        <v>2980</v>
      </c>
      <c r="H212" s="57">
        <v>120</v>
      </c>
      <c r="I212" s="57" t="s">
        <v>1206</v>
      </c>
      <c r="J212" s="57" t="s">
        <v>1224</v>
      </c>
      <c r="L212" s="57" t="s">
        <v>40</v>
      </c>
      <c r="M212" s="156">
        <v>45908</v>
      </c>
      <c r="N212" s="57">
        <v>0</v>
      </c>
      <c r="P212" s="167">
        <v>2.12</v>
      </c>
      <c r="Q212" s="171">
        <v>5.3049999999999997</v>
      </c>
      <c r="R212" s="166">
        <f>IFERROR(VLOOKUP(B212,#REF!,1,0),0)</f>
        <v>0</v>
      </c>
    </row>
    <row r="213" spans="1:18" x14ac:dyDescent="0.25">
      <c r="A213" s="57">
        <v>212</v>
      </c>
      <c r="B213" s="57" t="s">
        <v>1394</v>
      </c>
      <c r="C213" s="57">
        <v>1</v>
      </c>
      <c r="D213" s="57" t="s">
        <v>1738</v>
      </c>
      <c r="E213" s="57" t="s">
        <v>1743</v>
      </c>
      <c r="F213" s="57">
        <v>5220</v>
      </c>
      <c r="G213" s="57">
        <v>2980</v>
      </c>
      <c r="H213" s="57">
        <v>120</v>
      </c>
      <c r="I213" s="57" t="s">
        <v>1206</v>
      </c>
      <c r="J213" s="57" t="s">
        <v>1224</v>
      </c>
      <c r="L213" s="57" t="s">
        <v>40</v>
      </c>
      <c r="M213" s="156">
        <v>45908</v>
      </c>
      <c r="N213" s="57">
        <v>0</v>
      </c>
      <c r="P213" s="167">
        <v>2.12</v>
      </c>
      <c r="Q213" s="171">
        <v>5.3049999999999997</v>
      </c>
      <c r="R213" s="166">
        <f>IFERROR(VLOOKUP(B213,#REF!,1,0),0)</f>
        <v>0</v>
      </c>
    </row>
    <row r="214" spans="1:18" x14ac:dyDescent="0.25">
      <c r="A214" s="57">
        <v>213</v>
      </c>
      <c r="B214" s="57" t="s">
        <v>1395</v>
      </c>
      <c r="C214" s="57">
        <v>1</v>
      </c>
      <c r="D214" s="57" t="s">
        <v>1738</v>
      </c>
      <c r="E214" s="57" t="s">
        <v>1743</v>
      </c>
      <c r="F214" s="57">
        <v>5220</v>
      </c>
      <c r="G214" s="57">
        <v>2980</v>
      </c>
      <c r="H214" s="57">
        <v>120</v>
      </c>
      <c r="I214" s="57" t="s">
        <v>1206</v>
      </c>
      <c r="J214" s="57" t="s">
        <v>1224</v>
      </c>
      <c r="L214" s="57" t="s">
        <v>40</v>
      </c>
      <c r="M214" s="156">
        <v>45908</v>
      </c>
      <c r="N214" s="57">
        <v>0</v>
      </c>
      <c r="P214" s="167">
        <v>2.12</v>
      </c>
      <c r="Q214" s="171">
        <v>5.3049999999999997</v>
      </c>
      <c r="R214" s="166">
        <f>IFERROR(VLOOKUP(B214,#REF!,1,0),0)</f>
        <v>0</v>
      </c>
    </row>
    <row r="215" spans="1:18" x14ac:dyDescent="0.25">
      <c r="A215" s="57">
        <v>214</v>
      </c>
      <c r="B215" s="57" t="s">
        <v>1396</v>
      </c>
      <c r="C215" s="57">
        <v>1</v>
      </c>
      <c r="D215" s="57" t="s">
        <v>1738</v>
      </c>
      <c r="E215" s="57" t="s">
        <v>1743</v>
      </c>
      <c r="F215" s="57">
        <v>5220</v>
      </c>
      <c r="G215" s="57">
        <v>2980</v>
      </c>
      <c r="H215" s="57">
        <v>120</v>
      </c>
      <c r="I215" s="57" t="s">
        <v>1206</v>
      </c>
      <c r="J215" s="57" t="s">
        <v>1224</v>
      </c>
      <c r="L215" s="57" t="s">
        <v>40</v>
      </c>
      <c r="M215" s="156">
        <v>45908</v>
      </c>
      <c r="N215" s="57">
        <v>0</v>
      </c>
      <c r="P215" s="167">
        <v>2.12</v>
      </c>
      <c r="Q215" s="171">
        <v>5.3049999999999997</v>
      </c>
      <c r="R215" s="166">
        <f>IFERROR(VLOOKUP(B215,#REF!,1,0),0)</f>
        <v>0</v>
      </c>
    </row>
    <row r="216" spans="1:18" x14ac:dyDescent="0.25">
      <c r="A216" s="57">
        <v>215</v>
      </c>
      <c r="B216" s="57" t="s">
        <v>1397</v>
      </c>
      <c r="C216" s="57">
        <v>1</v>
      </c>
      <c r="D216" s="57" t="s">
        <v>1738</v>
      </c>
      <c r="E216" s="57" t="s">
        <v>1743</v>
      </c>
      <c r="F216" s="57">
        <v>5220</v>
      </c>
      <c r="G216" s="57">
        <v>2980</v>
      </c>
      <c r="H216" s="57">
        <v>120</v>
      </c>
      <c r="I216" s="57" t="s">
        <v>1206</v>
      </c>
      <c r="J216" s="57" t="s">
        <v>1224</v>
      </c>
      <c r="L216" s="57" t="s">
        <v>40</v>
      </c>
      <c r="M216" s="156">
        <v>45908</v>
      </c>
      <c r="N216" s="57">
        <v>0</v>
      </c>
      <c r="P216" s="167">
        <v>2.12</v>
      </c>
      <c r="Q216" s="171">
        <v>5.3049999999999997</v>
      </c>
      <c r="R216" s="166">
        <f>IFERROR(VLOOKUP(B216,#REF!,1,0),0)</f>
        <v>0</v>
      </c>
    </row>
    <row r="217" spans="1:18" x14ac:dyDescent="0.25">
      <c r="A217" s="57">
        <v>216</v>
      </c>
      <c r="B217" s="57" t="s">
        <v>1398</v>
      </c>
      <c r="C217" s="57">
        <v>1</v>
      </c>
      <c r="D217" s="57" t="s">
        <v>1738</v>
      </c>
      <c r="E217" s="57" t="s">
        <v>1742</v>
      </c>
      <c r="F217" s="57">
        <v>5220</v>
      </c>
      <c r="G217" s="57">
        <v>2980</v>
      </c>
      <c r="H217" s="57">
        <v>120</v>
      </c>
      <c r="I217" s="57" t="s">
        <v>1206</v>
      </c>
      <c r="J217" s="57" t="s">
        <v>1224</v>
      </c>
      <c r="L217" s="57" t="s">
        <v>40</v>
      </c>
      <c r="M217" s="156">
        <v>45908</v>
      </c>
      <c r="N217" s="57">
        <v>0</v>
      </c>
      <c r="P217" s="167">
        <v>2.1219999999999999</v>
      </c>
      <c r="Q217" s="171">
        <v>5.3049999999999997</v>
      </c>
      <c r="R217" s="166">
        <f>IFERROR(VLOOKUP(B217,#REF!,1,0),0)</f>
        <v>0</v>
      </c>
    </row>
    <row r="218" spans="1:18" x14ac:dyDescent="0.25">
      <c r="A218" s="57">
        <v>217</v>
      </c>
      <c r="B218" s="57" t="s">
        <v>1399</v>
      </c>
      <c r="C218" s="57">
        <v>1</v>
      </c>
      <c r="D218" s="57" t="s">
        <v>1738</v>
      </c>
      <c r="E218" s="57" t="s">
        <v>1743</v>
      </c>
      <c r="F218" s="57">
        <v>5220</v>
      </c>
      <c r="G218" s="57">
        <v>2980</v>
      </c>
      <c r="H218" s="57">
        <v>120</v>
      </c>
      <c r="I218" s="57" t="s">
        <v>1206</v>
      </c>
      <c r="J218" s="57" t="s">
        <v>1224</v>
      </c>
      <c r="L218" s="57" t="s">
        <v>40</v>
      </c>
      <c r="M218" s="156">
        <v>45908</v>
      </c>
      <c r="N218" s="57">
        <v>0</v>
      </c>
      <c r="P218" s="167">
        <v>2.1219999999999999</v>
      </c>
      <c r="Q218" s="171">
        <v>5.3049999999999997</v>
      </c>
      <c r="R218" s="166">
        <f>IFERROR(VLOOKUP(B218,#REF!,1,0),0)</f>
        <v>0</v>
      </c>
    </row>
    <row r="219" spans="1:18" x14ac:dyDescent="0.25">
      <c r="A219" s="57">
        <v>218</v>
      </c>
      <c r="B219" s="57" t="s">
        <v>1400</v>
      </c>
      <c r="C219" s="57">
        <v>1</v>
      </c>
      <c r="D219" s="57" t="s">
        <v>1738</v>
      </c>
      <c r="E219" s="57" t="s">
        <v>1742</v>
      </c>
      <c r="F219" s="57">
        <v>4862</v>
      </c>
      <c r="G219" s="57">
        <v>1980</v>
      </c>
      <c r="H219" s="57">
        <v>120</v>
      </c>
      <c r="I219" s="57" t="s">
        <v>1212</v>
      </c>
      <c r="J219" s="57" t="s">
        <v>1243</v>
      </c>
      <c r="L219" s="57" t="s">
        <v>40</v>
      </c>
      <c r="M219" s="156">
        <v>45908</v>
      </c>
      <c r="N219" s="57">
        <v>0</v>
      </c>
      <c r="P219" s="167">
        <v>1.27</v>
      </c>
      <c r="Q219" s="171">
        <v>3.1749999999999998</v>
      </c>
      <c r="R219" s="166">
        <f>IFERROR(VLOOKUP(B219,#REF!,1,0),0)</f>
        <v>0</v>
      </c>
    </row>
    <row r="220" spans="1:18" x14ac:dyDescent="0.25">
      <c r="A220" s="57">
        <v>219</v>
      </c>
      <c r="B220" s="57" t="s">
        <v>1401</v>
      </c>
      <c r="C220" s="57">
        <v>1</v>
      </c>
      <c r="D220" s="57" t="s">
        <v>1738</v>
      </c>
      <c r="E220" s="57" t="s">
        <v>1742</v>
      </c>
      <c r="F220" s="57">
        <v>4862</v>
      </c>
      <c r="G220" s="57">
        <v>3340</v>
      </c>
      <c r="H220" s="57">
        <v>120</v>
      </c>
      <c r="I220" s="57" t="s">
        <v>1212</v>
      </c>
      <c r="J220" s="57" t="s">
        <v>1243</v>
      </c>
      <c r="L220" s="57" t="s">
        <v>40</v>
      </c>
      <c r="M220" s="156">
        <v>45908</v>
      </c>
      <c r="N220" s="57">
        <v>0</v>
      </c>
      <c r="P220" s="167">
        <v>1.466</v>
      </c>
      <c r="Q220" s="171">
        <v>3.665</v>
      </c>
      <c r="R220" s="166">
        <f>IFERROR(VLOOKUP(B220,#REF!,1,0),0)</f>
        <v>0</v>
      </c>
    </row>
    <row r="221" spans="1:18" x14ac:dyDescent="0.25">
      <c r="A221" s="57">
        <v>220</v>
      </c>
      <c r="B221" s="57" t="s">
        <v>1402</v>
      </c>
      <c r="C221" s="57">
        <v>1</v>
      </c>
      <c r="D221" s="57" t="s">
        <v>1738</v>
      </c>
      <c r="E221" s="57" t="s">
        <v>1743</v>
      </c>
      <c r="F221" s="57">
        <v>4310</v>
      </c>
      <c r="G221" s="57">
        <v>2800</v>
      </c>
      <c r="H221" s="57">
        <v>120</v>
      </c>
      <c r="I221" s="57" t="s">
        <v>1161</v>
      </c>
      <c r="J221" s="57" t="s">
        <v>797</v>
      </c>
      <c r="L221" s="57" t="s">
        <v>40</v>
      </c>
      <c r="M221" s="156">
        <v>45908</v>
      </c>
      <c r="N221" s="57">
        <v>0</v>
      </c>
      <c r="P221" s="167">
        <v>1.413</v>
      </c>
      <c r="Q221" s="171">
        <v>3.5329999999999999</v>
      </c>
      <c r="R221" s="166">
        <f>IFERROR(VLOOKUP(B221,#REF!,1,0),0)</f>
        <v>0</v>
      </c>
    </row>
    <row r="222" spans="1:18" x14ac:dyDescent="0.25">
      <c r="A222" s="57">
        <v>221</v>
      </c>
      <c r="B222" s="57" t="s">
        <v>1403</v>
      </c>
      <c r="C222" s="57">
        <v>1</v>
      </c>
      <c r="D222" s="57" t="s">
        <v>1738</v>
      </c>
      <c r="E222" s="57" t="s">
        <v>1743</v>
      </c>
      <c r="F222" s="57">
        <v>4862</v>
      </c>
      <c r="G222" s="57">
        <v>3210</v>
      </c>
      <c r="H222" s="57">
        <v>120</v>
      </c>
      <c r="I222" s="57" t="s">
        <v>1212</v>
      </c>
      <c r="J222" s="57" t="s">
        <v>1243</v>
      </c>
      <c r="L222" s="57" t="s">
        <v>40</v>
      </c>
      <c r="M222" s="156">
        <v>45908</v>
      </c>
      <c r="N222" s="57">
        <v>0</v>
      </c>
      <c r="P222" s="167">
        <v>1.46</v>
      </c>
      <c r="Q222" s="171">
        <v>3.65</v>
      </c>
      <c r="R222" s="166">
        <f>IFERROR(VLOOKUP(B222,#REF!,1,0),0)</f>
        <v>0</v>
      </c>
    </row>
    <row r="223" spans="1:18" x14ac:dyDescent="0.25">
      <c r="A223" s="57">
        <v>222</v>
      </c>
      <c r="B223" s="57" t="s">
        <v>1404</v>
      </c>
      <c r="C223" s="57">
        <v>1</v>
      </c>
      <c r="D223" s="57" t="s">
        <v>1738</v>
      </c>
      <c r="E223" s="57" t="s">
        <v>1743</v>
      </c>
      <c r="F223" s="57">
        <v>4862</v>
      </c>
      <c r="G223" s="57">
        <v>2010</v>
      </c>
      <c r="H223" s="57">
        <v>120</v>
      </c>
      <c r="I223" s="57" t="s">
        <v>1212</v>
      </c>
      <c r="J223" s="57" t="s">
        <v>1243</v>
      </c>
      <c r="L223" s="57" t="s">
        <v>40</v>
      </c>
      <c r="M223" s="156">
        <v>45908</v>
      </c>
      <c r="N223" s="57">
        <v>0</v>
      </c>
      <c r="P223" s="167">
        <v>1.288</v>
      </c>
      <c r="Q223" s="171">
        <v>3.22</v>
      </c>
      <c r="R223" s="166">
        <f>IFERROR(VLOOKUP(B223,#REF!,1,0),0)</f>
        <v>0</v>
      </c>
    </row>
    <row r="224" spans="1:18" x14ac:dyDescent="0.25">
      <c r="A224" s="57">
        <v>223</v>
      </c>
      <c r="B224" s="57" t="s">
        <v>1405</v>
      </c>
      <c r="C224" s="57">
        <v>1</v>
      </c>
      <c r="D224" s="57" t="s">
        <v>1738</v>
      </c>
      <c r="E224" s="57" t="s">
        <v>1744</v>
      </c>
      <c r="F224" s="57">
        <v>2400</v>
      </c>
      <c r="G224" s="57">
        <v>3210</v>
      </c>
      <c r="H224" s="57">
        <v>120</v>
      </c>
      <c r="I224" s="57" t="s">
        <v>1206</v>
      </c>
      <c r="J224" s="57" t="s">
        <v>110</v>
      </c>
      <c r="L224" s="57" t="s">
        <v>40</v>
      </c>
      <c r="M224" s="156">
        <v>45908</v>
      </c>
      <c r="N224" s="57">
        <v>0</v>
      </c>
      <c r="P224" s="167">
        <v>1.01</v>
      </c>
      <c r="Q224" s="171">
        <v>2.5249999999999999</v>
      </c>
      <c r="R224" s="166">
        <f>IFERROR(VLOOKUP(B224,#REF!,1,0),0)</f>
        <v>0</v>
      </c>
    </row>
    <row r="225" spans="1:18" x14ac:dyDescent="0.25">
      <c r="A225" s="57">
        <v>224</v>
      </c>
      <c r="B225" s="57" t="s">
        <v>1406</v>
      </c>
      <c r="C225" s="57">
        <v>1</v>
      </c>
      <c r="D225" s="57" t="s">
        <v>1738</v>
      </c>
      <c r="E225" s="57" t="s">
        <v>1744</v>
      </c>
      <c r="F225" s="57">
        <v>5220</v>
      </c>
      <c r="G225" s="57">
        <v>2950</v>
      </c>
      <c r="H225" s="57">
        <v>120</v>
      </c>
      <c r="I225" s="57" t="s">
        <v>1206</v>
      </c>
      <c r="J225" s="57" t="s">
        <v>1224</v>
      </c>
      <c r="L225" s="57" t="s">
        <v>40</v>
      </c>
      <c r="M225" s="156">
        <v>45908</v>
      </c>
      <c r="N225" s="57">
        <v>0</v>
      </c>
      <c r="P225" s="167">
        <v>2.1040000000000001</v>
      </c>
      <c r="Q225" s="171">
        <v>5.26</v>
      </c>
      <c r="R225" s="166">
        <f>IFERROR(VLOOKUP(B225,#REF!,1,0),0)</f>
        <v>0</v>
      </c>
    </row>
    <row r="226" spans="1:18" x14ac:dyDescent="0.25">
      <c r="A226" s="57">
        <v>225</v>
      </c>
      <c r="B226" s="57" t="s">
        <v>1407</v>
      </c>
      <c r="C226" s="57">
        <v>1</v>
      </c>
      <c r="D226" s="57" t="s">
        <v>1738</v>
      </c>
      <c r="E226" s="57" t="s">
        <v>1745</v>
      </c>
      <c r="F226" s="57">
        <v>5220</v>
      </c>
      <c r="G226" s="57">
        <v>2950</v>
      </c>
      <c r="H226" s="57">
        <v>120</v>
      </c>
      <c r="I226" s="57" t="s">
        <v>1206</v>
      </c>
      <c r="J226" s="57" t="s">
        <v>1224</v>
      </c>
      <c r="L226" s="57" t="s">
        <v>40</v>
      </c>
      <c r="M226" s="156">
        <v>45908</v>
      </c>
      <c r="N226" s="57">
        <v>0</v>
      </c>
      <c r="P226" s="167">
        <v>2.1040000000000001</v>
      </c>
      <c r="Q226" s="171">
        <v>5.26</v>
      </c>
      <c r="R226" s="166">
        <f>IFERROR(VLOOKUP(B226,#REF!,1,0),0)</f>
        <v>0</v>
      </c>
    </row>
    <row r="227" spans="1:18" x14ac:dyDescent="0.25">
      <c r="A227" s="57">
        <v>226</v>
      </c>
      <c r="B227" s="57" t="s">
        <v>1408</v>
      </c>
      <c r="C227" s="57">
        <v>1</v>
      </c>
      <c r="D227" s="57" t="s">
        <v>1738</v>
      </c>
      <c r="E227" s="57" t="s">
        <v>1744</v>
      </c>
      <c r="F227" s="57">
        <v>5220</v>
      </c>
      <c r="G227" s="57">
        <v>2950</v>
      </c>
      <c r="H227" s="57">
        <v>120</v>
      </c>
      <c r="I227" s="57" t="s">
        <v>1206</v>
      </c>
      <c r="J227" s="57" t="s">
        <v>1224</v>
      </c>
      <c r="L227" s="57" t="s">
        <v>40</v>
      </c>
      <c r="M227" s="156">
        <v>45908</v>
      </c>
      <c r="N227" s="57">
        <v>0</v>
      </c>
      <c r="P227" s="167">
        <v>2.1040000000000001</v>
      </c>
      <c r="Q227" s="171">
        <v>5.26</v>
      </c>
      <c r="R227" s="166">
        <f>IFERROR(VLOOKUP(B227,#REF!,1,0),0)</f>
        <v>0</v>
      </c>
    </row>
    <row r="228" spans="1:18" x14ac:dyDescent="0.25">
      <c r="A228" s="57">
        <v>227</v>
      </c>
      <c r="B228" s="57" t="s">
        <v>1409</v>
      </c>
      <c r="C228" s="57">
        <v>1</v>
      </c>
      <c r="D228" s="57" t="s">
        <v>1738</v>
      </c>
      <c r="E228" s="57" t="s">
        <v>1744</v>
      </c>
      <c r="F228" s="57">
        <v>5220</v>
      </c>
      <c r="G228" s="57">
        <v>2950</v>
      </c>
      <c r="H228" s="57">
        <v>120</v>
      </c>
      <c r="I228" s="57" t="s">
        <v>1206</v>
      </c>
      <c r="J228" s="57" t="s">
        <v>1224</v>
      </c>
      <c r="L228" s="57" t="s">
        <v>40</v>
      </c>
      <c r="M228" s="156">
        <v>45908</v>
      </c>
      <c r="N228" s="57">
        <v>0</v>
      </c>
      <c r="P228" s="167">
        <v>2.1040000000000001</v>
      </c>
      <c r="Q228" s="171">
        <v>5.26</v>
      </c>
      <c r="R228" s="166">
        <f>IFERROR(VLOOKUP(B228,#REF!,1,0),0)</f>
        <v>0</v>
      </c>
    </row>
    <row r="229" spans="1:18" x14ac:dyDescent="0.25">
      <c r="A229" s="57">
        <v>228</v>
      </c>
      <c r="B229" s="57" t="s">
        <v>1410</v>
      </c>
      <c r="C229" s="57">
        <v>1</v>
      </c>
      <c r="D229" s="57" t="s">
        <v>1738</v>
      </c>
      <c r="E229" s="57" t="s">
        <v>1744</v>
      </c>
      <c r="F229" s="57">
        <v>5220</v>
      </c>
      <c r="G229" s="57">
        <v>2950</v>
      </c>
      <c r="H229" s="57">
        <v>120</v>
      </c>
      <c r="I229" s="57" t="s">
        <v>1206</v>
      </c>
      <c r="J229" s="57" t="s">
        <v>1224</v>
      </c>
      <c r="L229" s="57" t="s">
        <v>40</v>
      </c>
      <c r="M229" s="156">
        <v>45908</v>
      </c>
      <c r="N229" s="57">
        <v>0</v>
      </c>
      <c r="P229" s="167">
        <v>2.1040000000000001</v>
      </c>
      <c r="Q229" s="171">
        <v>5.26</v>
      </c>
      <c r="R229" s="166">
        <f>IFERROR(VLOOKUP(B229,#REF!,1,0),0)</f>
        <v>0</v>
      </c>
    </row>
    <row r="230" spans="1:18" x14ac:dyDescent="0.25">
      <c r="A230" s="57">
        <v>229</v>
      </c>
      <c r="B230" s="57" t="s">
        <v>1411</v>
      </c>
      <c r="C230" s="57">
        <v>1</v>
      </c>
      <c r="D230" s="57" t="s">
        <v>1738</v>
      </c>
      <c r="E230" s="57" t="s">
        <v>1744</v>
      </c>
      <c r="F230" s="57">
        <v>5220</v>
      </c>
      <c r="G230" s="57">
        <v>2950</v>
      </c>
      <c r="H230" s="57">
        <v>120</v>
      </c>
      <c r="I230" s="57" t="s">
        <v>1206</v>
      </c>
      <c r="J230" s="57" t="s">
        <v>1224</v>
      </c>
      <c r="L230" s="57" t="s">
        <v>40</v>
      </c>
      <c r="M230" s="156">
        <v>45908</v>
      </c>
      <c r="N230" s="57">
        <v>0</v>
      </c>
      <c r="P230" s="167">
        <v>2.1040000000000001</v>
      </c>
      <c r="Q230" s="171">
        <v>5.26</v>
      </c>
      <c r="R230" s="166">
        <f>IFERROR(VLOOKUP(B230,#REF!,1,0),0)</f>
        <v>0</v>
      </c>
    </row>
    <row r="231" spans="1:18" x14ac:dyDescent="0.25">
      <c r="A231" s="57">
        <v>230</v>
      </c>
      <c r="B231" s="57" t="s">
        <v>1412</v>
      </c>
      <c r="C231" s="57">
        <v>1</v>
      </c>
      <c r="D231" s="57" t="s">
        <v>1738</v>
      </c>
      <c r="E231" s="57" t="s">
        <v>1745</v>
      </c>
      <c r="F231" s="57">
        <v>5220</v>
      </c>
      <c r="G231" s="57">
        <v>2950</v>
      </c>
      <c r="H231" s="57">
        <v>120</v>
      </c>
      <c r="I231" s="57" t="s">
        <v>1206</v>
      </c>
      <c r="J231" s="57" t="s">
        <v>1224</v>
      </c>
      <c r="L231" s="57" t="s">
        <v>40</v>
      </c>
      <c r="M231" s="156">
        <v>45908</v>
      </c>
      <c r="N231" s="57">
        <v>0</v>
      </c>
      <c r="P231" s="167">
        <v>2.1040000000000001</v>
      </c>
      <c r="Q231" s="171">
        <v>5.26</v>
      </c>
      <c r="R231" s="166">
        <f>IFERROR(VLOOKUP(B231,#REF!,1,0),0)</f>
        <v>0</v>
      </c>
    </row>
    <row r="232" spans="1:18" x14ac:dyDescent="0.25">
      <c r="A232" s="57">
        <v>231</v>
      </c>
      <c r="B232" s="57" t="s">
        <v>1413</v>
      </c>
      <c r="C232" s="57">
        <v>1</v>
      </c>
      <c r="D232" s="57" t="s">
        <v>1738</v>
      </c>
      <c r="E232" s="57" t="s">
        <v>1745</v>
      </c>
      <c r="F232" s="57">
        <v>5220</v>
      </c>
      <c r="G232" s="57">
        <v>2950</v>
      </c>
      <c r="H232" s="57">
        <v>120</v>
      </c>
      <c r="I232" s="57" t="s">
        <v>1206</v>
      </c>
      <c r="J232" s="57" t="s">
        <v>1224</v>
      </c>
      <c r="L232" s="57" t="s">
        <v>40</v>
      </c>
      <c r="M232" s="156">
        <v>45908</v>
      </c>
      <c r="N232" s="57">
        <v>0</v>
      </c>
      <c r="P232" s="167">
        <v>2.1040000000000001</v>
      </c>
      <c r="Q232" s="171">
        <v>5.26</v>
      </c>
      <c r="R232" s="166">
        <f>IFERROR(VLOOKUP(B232,#REF!,1,0),0)</f>
        <v>0</v>
      </c>
    </row>
    <row r="233" spans="1:18" x14ac:dyDescent="0.25">
      <c r="A233" s="57">
        <v>232</v>
      </c>
      <c r="B233" s="57" t="s">
        <v>1414</v>
      </c>
      <c r="C233" s="57">
        <v>1</v>
      </c>
      <c r="D233" s="57" t="s">
        <v>1738</v>
      </c>
      <c r="E233" s="57" t="s">
        <v>1745</v>
      </c>
      <c r="F233" s="57">
        <v>5220</v>
      </c>
      <c r="G233" s="57">
        <v>2950</v>
      </c>
      <c r="H233" s="57">
        <v>120</v>
      </c>
      <c r="I233" s="57" t="s">
        <v>1206</v>
      </c>
      <c r="J233" s="57" t="s">
        <v>1224</v>
      </c>
      <c r="L233" s="57" t="s">
        <v>40</v>
      </c>
      <c r="M233" s="156">
        <v>45908</v>
      </c>
      <c r="N233" s="57">
        <v>0</v>
      </c>
      <c r="P233" s="167">
        <v>2.1040000000000001</v>
      </c>
      <c r="Q233" s="171">
        <v>5.26</v>
      </c>
      <c r="R233" s="166">
        <f>IFERROR(VLOOKUP(B233,#REF!,1,0),0)</f>
        <v>0</v>
      </c>
    </row>
    <row r="234" spans="1:18" x14ac:dyDescent="0.25">
      <c r="A234" s="57">
        <v>233</v>
      </c>
      <c r="B234" s="57" t="s">
        <v>1415</v>
      </c>
      <c r="C234" s="57">
        <v>1</v>
      </c>
      <c r="D234" s="57" t="s">
        <v>1738</v>
      </c>
      <c r="E234" s="57" t="s">
        <v>1745</v>
      </c>
      <c r="F234" s="57">
        <v>5220</v>
      </c>
      <c r="G234" s="57">
        <v>2950</v>
      </c>
      <c r="H234" s="57">
        <v>120</v>
      </c>
      <c r="I234" s="57" t="s">
        <v>1206</v>
      </c>
      <c r="J234" s="57" t="s">
        <v>1224</v>
      </c>
      <c r="L234" s="57" t="s">
        <v>40</v>
      </c>
      <c r="M234" s="156">
        <v>45908</v>
      </c>
      <c r="N234" s="57">
        <v>0</v>
      </c>
      <c r="P234" s="167">
        <v>2.1040000000000001</v>
      </c>
      <c r="Q234" s="171">
        <v>5.26</v>
      </c>
      <c r="R234" s="166">
        <f>IFERROR(VLOOKUP(B234,#REF!,1,0),0)</f>
        <v>0</v>
      </c>
    </row>
    <row r="235" spans="1:18" x14ac:dyDescent="0.25">
      <c r="A235" s="57">
        <v>234</v>
      </c>
      <c r="B235" s="57" t="s">
        <v>1416</v>
      </c>
      <c r="C235" s="57">
        <v>1</v>
      </c>
      <c r="D235" s="57" t="s">
        <v>1738</v>
      </c>
      <c r="E235" s="57" t="s">
        <v>1744</v>
      </c>
      <c r="F235" s="57">
        <v>5220</v>
      </c>
      <c r="G235" s="57">
        <v>2950</v>
      </c>
      <c r="H235" s="57">
        <v>120</v>
      </c>
      <c r="I235" s="57" t="s">
        <v>1206</v>
      </c>
      <c r="J235" s="57" t="s">
        <v>1224</v>
      </c>
      <c r="L235" s="57" t="s">
        <v>40</v>
      </c>
      <c r="M235" s="156">
        <v>45908</v>
      </c>
      <c r="N235" s="57">
        <v>0</v>
      </c>
      <c r="P235" s="167">
        <v>2.1040000000000001</v>
      </c>
      <c r="Q235" s="171">
        <v>5.26</v>
      </c>
      <c r="R235" s="166">
        <f>IFERROR(VLOOKUP(B235,#REF!,1,0),0)</f>
        <v>0</v>
      </c>
    </row>
    <row r="236" spans="1:18" x14ac:dyDescent="0.25">
      <c r="A236" s="57">
        <v>235</v>
      </c>
      <c r="B236" s="57" t="s">
        <v>1417</v>
      </c>
      <c r="C236" s="57">
        <v>1</v>
      </c>
      <c r="D236" s="57" t="s">
        <v>1738</v>
      </c>
      <c r="E236" s="57" t="s">
        <v>1745</v>
      </c>
      <c r="F236" s="57">
        <v>5220</v>
      </c>
      <c r="G236" s="57">
        <v>2950</v>
      </c>
      <c r="H236" s="57">
        <v>120</v>
      </c>
      <c r="I236" s="57" t="s">
        <v>1206</v>
      </c>
      <c r="J236" s="57" t="s">
        <v>1224</v>
      </c>
      <c r="L236" s="57" t="s">
        <v>40</v>
      </c>
      <c r="M236" s="156">
        <v>45908</v>
      </c>
      <c r="N236" s="57">
        <v>0</v>
      </c>
      <c r="P236" s="167">
        <v>2.1040000000000001</v>
      </c>
      <c r="Q236" s="171">
        <v>5.26</v>
      </c>
      <c r="R236" s="166">
        <f>IFERROR(VLOOKUP(B236,#REF!,1,0),0)</f>
        <v>0</v>
      </c>
    </row>
    <row r="237" spans="1:18" x14ac:dyDescent="0.25">
      <c r="A237" s="57">
        <v>236</v>
      </c>
      <c r="B237" s="57" t="s">
        <v>1418</v>
      </c>
      <c r="C237" s="57">
        <v>1</v>
      </c>
      <c r="D237" s="57" t="s">
        <v>1738</v>
      </c>
      <c r="E237" s="57" t="s">
        <v>1744</v>
      </c>
      <c r="F237" s="57">
        <v>4862</v>
      </c>
      <c r="G237" s="57">
        <v>1910</v>
      </c>
      <c r="H237" s="57">
        <v>120</v>
      </c>
      <c r="I237" s="57" t="s">
        <v>1212</v>
      </c>
      <c r="J237" s="57" t="s">
        <v>1243</v>
      </c>
      <c r="L237" s="57" t="s">
        <v>40</v>
      </c>
      <c r="M237" s="156">
        <v>45908</v>
      </c>
      <c r="N237" s="57">
        <v>0</v>
      </c>
      <c r="P237" s="167">
        <v>1.2290000000000001</v>
      </c>
      <c r="Q237" s="171">
        <v>3.073</v>
      </c>
      <c r="R237" s="166">
        <f>IFERROR(VLOOKUP(B237,#REF!,1,0),0)</f>
        <v>0</v>
      </c>
    </row>
    <row r="238" spans="1:18" x14ac:dyDescent="0.25">
      <c r="A238" s="57">
        <v>237</v>
      </c>
      <c r="B238" s="57" t="s">
        <v>1419</v>
      </c>
      <c r="C238" s="57">
        <v>1</v>
      </c>
      <c r="D238" s="57" t="s">
        <v>1738</v>
      </c>
      <c r="E238" s="57" t="s">
        <v>1744</v>
      </c>
      <c r="F238" s="57">
        <v>4862</v>
      </c>
      <c r="G238" s="57">
        <v>3240</v>
      </c>
      <c r="H238" s="57">
        <v>120</v>
      </c>
      <c r="I238" s="57" t="s">
        <v>1212</v>
      </c>
      <c r="J238" s="57" t="s">
        <v>1243</v>
      </c>
      <c r="L238" s="57" t="s">
        <v>40</v>
      </c>
      <c r="M238" s="156">
        <v>45908</v>
      </c>
      <c r="N238" s="57">
        <v>0</v>
      </c>
      <c r="P238" s="167">
        <v>1.421</v>
      </c>
      <c r="Q238" s="171">
        <v>3.5529999999999999</v>
      </c>
      <c r="R238" s="166">
        <f>IFERROR(VLOOKUP(B238,#REF!,1,0),0)</f>
        <v>0</v>
      </c>
    </row>
    <row r="239" spans="1:18" x14ac:dyDescent="0.25">
      <c r="A239" s="57">
        <v>238</v>
      </c>
      <c r="B239" s="57" t="s">
        <v>1420</v>
      </c>
      <c r="C239" s="57">
        <v>1</v>
      </c>
      <c r="D239" s="57" t="s">
        <v>1738</v>
      </c>
      <c r="E239" s="57" t="s">
        <v>1745</v>
      </c>
      <c r="F239" s="57">
        <v>4310</v>
      </c>
      <c r="G239" s="57">
        <v>2800</v>
      </c>
      <c r="H239" s="57">
        <v>120</v>
      </c>
      <c r="I239" s="57" t="s">
        <v>1746</v>
      </c>
      <c r="J239" s="57" t="s">
        <v>797</v>
      </c>
      <c r="L239" s="57" t="s">
        <v>40</v>
      </c>
      <c r="M239" s="156">
        <v>45908</v>
      </c>
      <c r="N239" s="57">
        <v>0</v>
      </c>
      <c r="P239" s="167">
        <v>1.413</v>
      </c>
      <c r="Q239" s="171">
        <v>3.5329999999999999</v>
      </c>
      <c r="R239" s="166">
        <f>IFERROR(VLOOKUP(B239,#REF!,1,0),0)</f>
        <v>0</v>
      </c>
    </row>
    <row r="240" spans="1:18" x14ac:dyDescent="0.25">
      <c r="A240" s="57">
        <v>239</v>
      </c>
      <c r="B240" s="57" t="s">
        <v>1421</v>
      </c>
      <c r="C240" s="57">
        <v>1</v>
      </c>
      <c r="D240" s="57" t="s">
        <v>1738</v>
      </c>
      <c r="E240" s="57" t="s">
        <v>1745</v>
      </c>
      <c r="F240" s="57">
        <v>4862</v>
      </c>
      <c r="G240" s="57">
        <v>3170</v>
      </c>
      <c r="H240" s="57">
        <v>120</v>
      </c>
      <c r="I240" s="57" t="s">
        <v>1212</v>
      </c>
      <c r="J240" s="57" t="s">
        <v>1243</v>
      </c>
      <c r="L240" s="57" t="s">
        <v>40</v>
      </c>
      <c r="M240" s="156">
        <v>45908</v>
      </c>
      <c r="N240" s="57">
        <v>0</v>
      </c>
      <c r="P240" s="167">
        <v>1.4370000000000001</v>
      </c>
      <c r="Q240" s="171">
        <v>3.593</v>
      </c>
      <c r="R240" s="166">
        <f>IFERROR(VLOOKUP(B240,#REF!,1,0),0)</f>
        <v>0</v>
      </c>
    </row>
    <row r="241" spans="1:18" x14ac:dyDescent="0.25">
      <c r="A241" s="57">
        <v>240</v>
      </c>
      <c r="B241" s="57" t="s">
        <v>1422</v>
      </c>
      <c r="C241" s="57">
        <v>1</v>
      </c>
      <c r="D241" s="57" t="s">
        <v>1738</v>
      </c>
      <c r="E241" s="57" t="s">
        <v>1745</v>
      </c>
      <c r="F241" s="57">
        <v>4862</v>
      </c>
      <c r="G241" s="57">
        <v>1970</v>
      </c>
      <c r="H241" s="57">
        <v>120</v>
      </c>
      <c r="I241" s="57" t="s">
        <v>1212</v>
      </c>
      <c r="J241" s="57" t="s">
        <v>1243</v>
      </c>
      <c r="L241" s="57" t="s">
        <v>40</v>
      </c>
      <c r="M241" s="156">
        <v>45908</v>
      </c>
      <c r="N241" s="57">
        <v>0</v>
      </c>
      <c r="P241" s="167">
        <v>1.264</v>
      </c>
      <c r="Q241" s="171">
        <v>3.16</v>
      </c>
      <c r="R241" s="166">
        <f>IFERROR(VLOOKUP(B241,#REF!,1,0),0)</f>
        <v>0</v>
      </c>
    </row>
    <row r="242" spans="1:18" x14ac:dyDescent="0.25">
      <c r="A242" s="57">
        <v>241</v>
      </c>
      <c r="B242" s="57" t="s">
        <v>1423</v>
      </c>
      <c r="C242" s="57">
        <v>1</v>
      </c>
      <c r="D242" s="57" t="s">
        <v>1738</v>
      </c>
      <c r="E242" s="57" t="s">
        <v>1747</v>
      </c>
      <c r="F242" s="57">
        <v>2400</v>
      </c>
      <c r="G242" s="57">
        <v>3170</v>
      </c>
      <c r="H242" s="57">
        <v>120</v>
      </c>
      <c r="I242" s="57" t="s">
        <v>1206</v>
      </c>
      <c r="J242" s="57" t="s">
        <v>110</v>
      </c>
      <c r="L242" s="57" t="s">
        <v>40</v>
      </c>
      <c r="M242" s="156">
        <v>45908</v>
      </c>
      <c r="N242" s="57">
        <v>0</v>
      </c>
      <c r="P242" s="167">
        <v>0.998</v>
      </c>
      <c r="Q242" s="171">
        <v>2.4950000000000001</v>
      </c>
      <c r="R242" s="166">
        <f>IFERROR(VLOOKUP(B242,#REF!,1,0),0)</f>
        <v>0</v>
      </c>
    </row>
    <row r="243" spans="1:18" x14ac:dyDescent="0.25">
      <c r="A243" s="57">
        <v>242</v>
      </c>
      <c r="B243" s="57" t="s">
        <v>1424</v>
      </c>
      <c r="C243" s="57">
        <v>1</v>
      </c>
      <c r="D243" s="57" t="s">
        <v>1738</v>
      </c>
      <c r="E243" s="57" t="s">
        <v>1747</v>
      </c>
      <c r="F243" s="57">
        <v>2860</v>
      </c>
      <c r="G243" s="57">
        <v>2900</v>
      </c>
      <c r="H243" s="57">
        <v>120</v>
      </c>
      <c r="I243" s="57" t="s">
        <v>1206</v>
      </c>
      <c r="J243" s="57" t="s">
        <v>1207</v>
      </c>
      <c r="L243" s="57" t="s">
        <v>40</v>
      </c>
      <c r="M243" s="156">
        <v>45908</v>
      </c>
      <c r="N243" s="57">
        <v>0</v>
      </c>
      <c r="P243" s="167">
        <v>1.25</v>
      </c>
      <c r="Q243" s="171">
        <v>3.125</v>
      </c>
      <c r="R243" s="166">
        <f>IFERROR(VLOOKUP(B243,#REF!,1,0),0)</f>
        <v>0</v>
      </c>
    </row>
    <row r="244" spans="1:18" x14ac:dyDescent="0.25">
      <c r="A244" s="57">
        <v>243</v>
      </c>
      <c r="B244" s="57" t="s">
        <v>1425</v>
      </c>
      <c r="C244" s="57">
        <v>1</v>
      </c>
      <c r="D244" s="57" t="s">
        <v>1738</v>
      </c>
      <c r="E244" s="57" t="s">
        <v>1747</v>
      </c>
      <c r="F244" s="57">
        <v>5465</v>
      </c>
      <c r="G244" s="57">
        <v>3000</v>
      </c>
      <c r="H244" s="57">
        <v>120</v>
      </c>
      <c r="I244" s="57" t="s">
        <v>1206</v>
      </c>
      <c r="J244" s="57" t="s">
        <v>1210</v>
      </c>
      <c r="L244" s="57" t="s">
        <v>40</v>
      </c>
      <c r="M244" s="156">
        <v>45908</v>
      </c>
      <c r="N244" s="57">
        <v>0</v>
      </c>
      <c r="P244" s="167">
        <v>2.048</v>
      </c>
      <c r="Q244" s="171">
        <v>5.12</v>
      </c>
      <c r="R244" s="166">
        <f>IFERROR(VLOOKUP(B244,#REF!,1,0),0)</f>
        <v>0</v>
      </c>
    </row>
    <row r="245" spans="1:18" x14ac:dyDescent="0.25">
      <c r="A245" s="57">
        <v>244</v>
      </c>
      <c r="B245" s="57" t="s">
        <v>1426</v>
      </c>
      <c r="C245" s="57">
        <v>1</v>
      </c>
      <c r="D245" s="57" t="s">
        <v>1738</v>
      </c>
      <c r="E245" s="57" t="s">
        <v>1747</v>
      </c>
      <c r="F245" s="57">
        <v>5465</v>
      </c>
      <c r="G245" s="57">
        <v>3000</v>
      </c>
      <c r="H245" s="57">
        <v>120</v>
      </c>
      <c r="I245" s="57" t="s">
        <v>1206</v>
      </c>
      <c r="J245" s="57" t="s">
        <v>1210</v>
      </c>
      <c r="L245" s="57" t="s">
        <v>40</v>
      </c>
      <c r="M245" s="156">
        <v>45908</v>
      </c>
      <c r="N245" s="57">
        <v>0</v>
      </c>
      <c r="P245" s="167">
        <v>2.048</v>
      </c>
      <c r="Q245" s="171">
        <v>5.12</v>
      </c>
      <c r="R245" s="166">
        <f>IFERROR(VLOOKUP(B245,#REF!,1,0),0)</f>
        <v>0</v>
      </c>
    </row>
    <row r="246" spans="1:18" x14ac:dyDescent="0.25">
      <c r="A246" s="57">
        <v>245</v>
      </c>
      <c r="B246" s="57" t="s">
        <v>1427</v>
      </c>
      <c r="C246" s="57">
        <v>1</v>
      </c>
      <c r="D246" s="57" t="s">
        <v>1738</v>
      </c>
      <c r="E246" s="57" t="s">
        <v>1747</v>
      </c>
      <c r="F246" s="57">
        <v>5465</v>
      </c>
      <c r="G246" s="57">
        <v>2900</v>
      </c>
      <c r="H246" s="57">
        <v>120</v>
      </c>
      <c r="I246" s="57" t="s">
        <v>1206</v>
      </c>
      <c r="J246" s="57" t="s">
        <v>1210</v>
      </c>
      <c r="L246" s="57" t="s">
        <v>40</v>
      </c>
      <c r="M246" s="156">
        <v>45908</v>
      </c>
      <c r="N246" s="57">
        <v>0</v>
      </c>
      <c r="P246" s="167">
        <v>1.9830000000000001</v>
      </c>
      <c r="Q246" s="171">
        <v>4.9580000000000002</v>
      </c>
      <c r="R246" s="166">
        <f>IFERROR(VLOOKUP(B246,#REF!,1,0),0)</f>
        <v>0</v>
      </c>
    </row>
    <row r="247" spans="1:18" x14ac:dyDescent="0.25">
      <c r="A247" s="57">
        <v>246</v>
      </c>
      <c r="B247" s="57" t="s">
        <v>1428</v>
      </c>
      <c r="C247" s="57">
        <v>1</v>
      </c>
      <c r="D247" s="57" t="s">
        <v>1738</v>
      </c>
      <c r="E247" s="57" t="s">
        <v>1747</v>
      </c>
      <c r="F247" s="57">
        <v>5465</v>
      </c>
      <c r="G247" s="57">
        <v>2900</v>
      </c>
      <c r="H247" s="57">
        <v>120</v>
      </c>
      <c r="I247" s="57" t="s">
        <v>1206</v>
      </c>
      <c r="J247" s="57" t="s">
        <v>1210</v>
      </c>
      <c r="L247" s="57" t="s">
        <v>40</v>
      </c>
      <c r="M247" s="156">
        <v>45908</v>
      </c>
      <c r="N247" s="57">
        <v>0</v>
      </c>
      <c r="P247" s="167">
        <v>1.9830000000000001</v>
      </c>
      <c r="Q247" s="171">
        <v>4.9580000000000002</v>
      </c>
      <c r="R247" s="166">
        <f>IFERROR(VLOOKUP(B247,#REF!,1,0),0)</f>
        <v>0</v>
      </c>
    </row>
    <row r="248" spans="1:18" x14ac:dyDescent="0.25">
      <c r="A248" s="57">
        <v>247</v>
      </c>
      <c r="B248" s="57" t="s">
        <v>1429</v>
      </c>
      <c r="C248" s="57">
        <v>1</v>
      </c>
      <c r="D248" s="57" t="s">
        <v>1738</v>
      </c>
      <c r="E248" s="57" t="s">
        <v>1747</v>
      </c>
      <c r="F248" s="57">
        <v>5463</v>
      </c>
      <c r="G248" s="57">
        <v>2900</v>
      </c>
      <c r="H248" s="57">
        <v>120</v>
      </c>
      <c r="I248" s="57" t="s">
        <v>1206</v>
      </c>
      <c r="J248" s="57" t="s">
        <v>1210</v>
      </c>
      <c r="L248" s="57" t="s">
        <v>40</v>
      </c>
      <c r="M248" s="156">
        <v>45908</v>
      </c>
      <c r="N248" s="57">
        <v>0</v>
      </c>
      <c r="P248" s="167">
        <v>1.9830000000000001</v>
      </c>
      <c r="Q248" s="171">
        <v>4.9580000000000002</v>
      </c>
      <c r="R248" s="166">
        <f>IFERROR(VLOOKUP(B248,#REF!,1,0),0)</f>
        <v>0</v>
      </c>
    </row>
    <row r="249" spans="1:18" x14ac:dyDescent="0.25">
      <c r="A249" s="57">
        <v>248</v>
      </c>
      <c r="B249" s="57" t="s">
        <v>1430</v>
      </c>
      <c r="C249" s="57">
        <v>1</v>
      </c>
      <c r="D249" s="57" t="s">
        <v>1738</v>
      </c>
      <c r="E249" s="57" t="s">
        <v>1747</v>
      </c>
      <c r="F249" s="57">
        <v>3907</v>
      </c>
      <c r="G249" s="57">
        <v>1890</v>
      </c>
      <c r="H249" s="57">
        <v>120</v>
      </c>
      <c r="I249" s="57" t="s">
        <v>1206</v>
      </c>
      <c r="J249" s="57" t="s">
        <v>1164</v>
      </c>
      <c r="L249" s="57" t="s">
        <v>40</v>
      </c>
      <c r="M249" s="156">
        <v>45908</v>
      </c>
      <c r="N249" s="57">
        <v>0</v>
      </c>
      <c r="P249" s="167">
        <v>0.92</v>
      </c>
      <c r="Q249" s="171">
        <v>2.2999999999999998</v>
      </c>
      <c r="R249" s="166">
        <f>IFERROR(VLOOKUP(B249,#REF!,1,0),0)</f>
        <v>0</v>
      </c>
    </row>
    <row r="250" spans="1:18" x14ac:dyDescent="0.25">
      <c r="A250" s="57">
        <v>249</v>
      </c>
      <c r="B250" s="57" t="s">
        <v>1431</v>
      </c>
      <c r="C250" s="57">
        <v>1</v>
      </c>
      <c r="D250" s="57" t="s">
        <v>1738</v>
      </c>
      <c r="E250" s="57" t="s">
        <v>1747</v>
      </c>
      <c r="F250" s="57">
        <v>3907</v>
      </c>
      <c r="G250" s="57">
        <v>1890</v>
      </c>
      <c r="H250" s="57">
        <v>120</v>
      </c>
      <c r="I250" s="57" t="s">
        <v>1206</v>
      </c>
      <c r="J250" s="57" t="s">
        <v>1164</v>
      </c>
      <c r="L250" s="57" t="s">
        <v>40</v>
      </c>
      <c r="M250" s="156">
        <v>45908</v>
      </c>
      <c r="N250" s="57">
        <v>0</v>
      </c>
      <c r="P250" s="167">
        <v>0.92</v>
      </c>
      <c r="Q250" s="171">
        <v>2.2999999999999998</v>
      </c>
      <c r="R250" s="166">
        <f>IFERROR(VLOOKUP(B250,#REF!,1,0),0)</f>
        <v>0</v>
      </c>
    </row>
    <row r="251" spans="1:18" x14ac:dyDescent="0.25">
      <c r="A251" s="57">
        <v>250</v>
      </c>
      <c r="B251" s="57" t="s">
        <v>1432</v>
      </c>
      <c r="C251" s="57">
        <v>1</v>
      </c>
      <c r="D251" s="57" t="s">
        <v>1738</v>
      </c>
      <c r="E251" s="57" t="s">
        <v>1747</v>
      </c>
      <c r="F251" s="57">
        <v>3906</v>
      </c>
      <c r="G251" s="57">
        <v>3090</v>
      </c>
      <c r="H251" s="57">
        <v>120</v>
      </c>
      <c r="I251" s="57" t="s">
        <v>1206</v>
      </c>
      <c r="J251" s="57" t="s">
        <v>1164</v>
      </c>
      <c r="L251" s="57" t="s">
        <v>40</v>
      </c>
      <c r="M251" s="156">
        <v>45908</v>
      </c>
      <c r="N251" s="57">
        <v>0</v>
      </c>
      <c r="P251" s="167">
        <v>1.093</v>
      </c>
      <c r="Q251" s="171">
        <v>2.7330000000000001</v>
      </c>
      <c r="R251" s="166">
        <f>IFERROR(VLOOKUP(B251,#REF!,1,0),0)</f>
        <v>0</v>
      </c>
    </row>
    <row r="252" spans="1:18" x14ac:dyDescent="0.25">
      <c r="A252" s="57">
        <v>251</v>
      </c>
      <c r="B252" s="57" t="s">
        <v>1433</v>
      </c>
      <c r="C252" s="57">
        <v>1</v>
      </c>
      <c r="D252" s="57" t="s">
        <v>1748</v>
      </c>
      <c r="E252" s="57" t="s">
        <v>1749</v>
      </c>
      <c r="F252" s="57">
        <v>2400</v>
      </c>
      <c r="G252" s="57">
        <v>3515</v>
      </c>
      <c r="H252" s="57">
        <v>120</v>
      </c>
      <c r="I252" s="57" t="s">
        <v>1206</v>
      </c>
      <c r="J252" s="57" t="s">
        <v>1214</v>
      </c>
      <c r="L252" s="57" t="s">
        <v>40</v>
      </c>
      <c r="M252" s="156">
        <v>45913</v>
      </c>
      <c r="N252" s="57">
        <v>0</v>
      </c>
      <c r="P252" s="167">
        <v>1.232</v>
      </c>
      <c r="Q252" s="171">
        <v>3.08</v>
      </c>
      <c r="R252" s="166">
        <f>IFERROR(VLOOKUP(B252,#REF!,1,0),0)</f>
        <v>0</v>
      </c>
    </row>
    <row r="253" spans="1:18" x14ac:dyDescent="0.25">
      <c r="A253" s="57">
        <v>252</v>
      </c>
      <c r="B253" s="57" t="s">
        <v>1434</v>
      </c>
      <c r="C253" s="57">
        <v>1</v>
      </c>
      <c r="D253" s="57" t="s">
        <v>1748</v>
      </c>
      <c r="E253" s="57" t="s">
        <v>1749</v>
      </c>
      <c r="F253" s="57">
        <v>3410</v>
      </c>
      <c r="G253" s="57">
        <v>3075</v>
      </c>
      <c r="H253" s="57">
        <v>120</v>
      </c>
      <c r="I253" s="57" t="s">
        <v>1206</v>
      </c>
      <c r="J253" s="57" t="s">
        <v>1207</v>
      </c>
      <c r="L253" s="57" t="s">
        <v>40</v>
      </c>
      <c r="M253" s="156">
        <v>45913</v>
      </c>
      <c r="N253" s="57">
        <v>0</v>
      </c>
      <c r="P253" s="167">
        <v>1.387</v>
      </c>
      <c r="Q253" s="171">
        <v>3.468</v>
      </c>
      <c r="R253" s="166">
        <f>IFERROR(VLOOKUP(B253,#REF!,1,0),0)</f>
        <v>0</v>
      </c>
    </row>
    <row r="254" spans="1:18" x14ac:dyDescent="0.25">
      <c r="A254" s="57">
        <v>253</v>
      </c>
      <c r="B254" s="57" t="s">
        <v>1435</v>
      </c>
      <c r="C254" s="57">
        <v>1</v>
      </c>
      <c r="D254" s="57" t="s">
        <v>1748</v>
      </c>
      <c r="E254" s="57" t="s">
        <v>1749</v>
      </c>
      <c r="F254" s="57">
        <v>3140</v>
      </c>
      <c r="G254" s="57">
        <v>3075</v>
      </c>
      <c r="H254" s="57">
        <v>120</v>
      </c>
      <c r="I254" s="57" t="s">
        <v>1206</v>
      </c>
      <c r="J254" s="57" t="s">
        <v>1207</v>
      </c>
      <c r="L254" s="57" t="s">
        <v>40</v>
      </c>
      <c r="M254" s="156">
        <v>45913</v>
      </c>
      <c r="N254" s="57">
        <v>0</v>
      </c>
      <c r="P254" s="167">
        <v>1.387</v>
      </c>
      <c r="Q254" s="171">
        <v>3.468</v>
      </c>
      <c r="R254" s="166">
        <f>IFERROR(VLOOKUP(B254,#REF!,1,0),0)</f>
        <v>0</v>
      </c>
    </row>
    <row r="255" spans="1:18" x14ac:dyDescent="0.25">
      <c r="A255" s="57">
        <v>254</v>
      </c>
      <c r="B255" s="57" t="s">
        <v>1436</v>
      </c>
      <c r="C255" s="57">
        <v>1</v>
      </c>
      <c r="D255" s="57" t="s">
        <v>1748</v>
      </c>
      <c r="E255" s="57" t="s">
        <v>1749</v>
      </c>
      <c r="F255" s="57">
        <v>3994</v>
      </c>
      <c r="G255" s="57">
        <v>3175</v>
      </c>
      <c r="H255" s="57">
        <v>120</v>
      </c>
      <c r="I255" s="57" t="s">
        <v>1206</v>
      </c>
      <c r="J255" s="57" t="s">
        <v>1208</v>
      </c>
      <c r="L255" s="57" t="s">
        <v>40</v>
      </c>
      <c r="M255" s="156">
        <v>45913</v>
      </c>
      <c r="N255" s="57">
        <v>0</v>
      </c>
      <c r="P255" s="167">
        <v>1.724</v>
      </c>
      <c r="Q255" s="171">
        <v>4.3099999999999996</v>
      </c>
      <c r="R255" s="166">
        <f>IFERROR(VLOOKUP(B255,#REF!,1,0),0)</f>
        <v>0</v>
      </c>
    </row>
    <row r="256" spans="1:18" x14ac:dyDescent="0.25">
      <c r="A256" s="57">
        <v>255</v>
      </c>
      <c r="B256" s="57" t="s">
        <v>1437</v>
      </c>
      <c r="C256" s="57">
        <v>1</v>
      </c>
      <c r="D256" s="57" t="s">
        <v>1748</v>
      </c>
      <c r="E256" s="57" t="s">
        <v>1749</v>
      </c>
      <c r="F256" s="57">
        <v>3994</v>
      </c>
      <c r="G256" s="57">
        <v>3270</v>
      </c>
      <c r="H256" s="57">
        <v>120</v>
      </c>
      <c r="I256" s="57" t="s">
        <v>1206</v>
      </c>
      <c r="J256" s="57" t="s">
        <v>1208</v>
      </c>
      <c r="L256" s="57" t="s">
        <v>40</v>
      </c>
      <c r="M256" s="156">
        <v>45913</v>
      </c>
      <c r="N256" s="57">
        <v>0</v>
      </c>
      <c r="P256" s="167">
        <v>1.77</v>
      </c>
      <c r="Q256" s="171">
        <v>4.4249999999999998</v>
      </c>
      <c r="R256" s="166">
        <f>IFERROR(VLOOKUP(B256,#REF!,1,0),0)</f>
        <v>0</v>
      </c>
    </row>
    <row r="257" spans="1:18" x14ac:dyDescent="0.25">
      <c r="A257" s="57">
        <v>256</v>
      </c>
      <c r="B257" s="57" t="s">
        <v>1438</v>
      </c>
      <c r="C257" s="57">
        <v>1</v>
      </c>
      <c r="D257" s="57" t="s">
        <v>1748</v>
      </c>
      <c r="E257" s="57" t="s">
        <v>1749</v>
      </c>
      <c r="F257" s="57">
        <v>5595</v>
      </c>
      <c r="G257" s="57">
        <v>3500</v>
      </c>
      <c r="H257" s="57">
        <v>120</v>
      </c>
      <c r="I257" s="57" t="s">
        <v>1206</v>
      </c>
      <c r="J257" s="57" t="s">
        <v>1362</v>
      </c>
      <c r="L257" s="57" t="s">
        <v>40</v>
      </c>
      <c r="M257" s="156">
        <v>45913</v>
      </c>
      <c r="N257" s="57">
        <v>0</v>
      </c>
      <c r="P257" s="167">
        <v>2.4980000000000002</v>
      </c>
      <c r="Q257" s="171">
        <v>6.2450000000000001</v>
      </c>
      <c r="R257" s="166">
        <f>IFERROR(VLOOKUP(B257,#REF!,1,0),0)</f>
        <v>0</v>
      </c>
    </row>
    <row r="258" spans="1:18" x14ac:dyDescent="0.25">
      <c r="A258" s="57">
        <v>257</v>
      </c>
      <c r="B258" s="57" t="s">
        <v>1439</v>
      </c>
      <c r="C258" s="57">
        <v>1</v>
      </c>
      <c r="D258" s="57" t="s">
        <v>1748</v>
      </c>
      <c r="E258" s="57" t="s">
        <v>1749</v>
      </c>
      <c r="F258" s="57">
        <v>4859</v>
      </c>
      <c r="G258" s="57">
        <v>3350</v>
      </c>
      <c r="H258" s="57">
        <v>120</v>
      </c>
      <c r="I258" s="57" t="s">
        <v>1206</v>
      </c>
      <c r="J258" s="57" t="s">
        <v>1362</v>
      </c>
      <c r="L258" s="57" t="s">
        <v>40</v>
      </c>
      <c r="M258" s="156">
        <v>45913</v>
      </c>
      <c r="N258" s="57">
        <v>0</v>
      </c>
      <c r="P258" s="167">
        <v>2.19</v>
      </c>
      <c r="Q258" s="171">
        <v>5.4749999999999996</v>
      </c>
      <c r="R258" s="166">
        <f>IFERROR(VLOOKUP(B258,#REF!,1,0),0)</f>
        <v>0</v>
      </c>
    </row>
    <row r="259" spans="1:18" x14ac:dyDescent="0.25">
      <c r="A259" s="57">
        <v>258</v>
      </c>
      <c r="B259" s="57" t="s">
        <v>1440</v>
      </c>
      <c r="C259" s="57">
        <v>1</v>
      </c>
      <c r="D259" s="57" t="s">
        <v>1748</v>
      </c>
      <c r="E259" s="57" t="s">
        <v>1749</v>
      </c>
      <c r="F259" s="57">
        <v>4859</v>
      </c>
      <c r="G259" s="57">
        <v>3350</v>
      </c>
      <c r="H259" s="57">
        <v>120</v>
      </c>
      <c r="I259" s="57" t="s">
        <v>1206</v>
      </c>
      <c r="J259" s="57" t="s">
        <v>1362</v>
      </c>
      <c r="L259" s="57" t="s">
        <v>40</v>
      </c>
      <c r="M259" s="156">
        <v>45913</v>
      </c>
      <c r="N259" s="57">
        <v>0</v>
      </c>
      <c r="P259" s="167">
        <v>2.19</v>
      </c>
      <c r="Q259" s="171">
        <v>5.4749999999999996</v>
      </c>
      <c r="R259" s="166">
        <f>IFERROR(VLOOKUP(B259,#REF!,1,0),0)</f>
        <v>0</v>
      </c>
    </row>
    <row r="260" spans="1:18" x14ac:dyDescent="0.25">
      <c r="A260" s="57">
        <v>259</v>
      </c>
      <c r="B260" s="57" t="s">
        <v>1441</v>
      </c>
      <c r="C260" s="57">
        <v>1</v>
      </c>
      <c r="D260" s="57" t="s">
        <v>1748</v>
      </c>
      <c r="E260" s="57" t="s">
        <v>1749</v>
      </c>
      <c r="F260" s="57">
        <v>4859</v>
      </c>
      <c r="G260" s="57">
        <v>3350</v>
      </c>
      <c r="H260" s="57">
        <v>120</v>
      </c>
      <c r="I260" s="57" t="s">
        <v>1206</v>
      </c>
      <c r="J260" s="57" t="s">
        <v>1362</v>
      </c>
      <c r="L260" s="57" t="s">
        <v>40</v>
      </c>
      <c r="M260" s="156">
        <v>45913</v>
      </c>
      <c r="N260" s="57">
        <v>0</v>
      </c>
      <c r="P260" s="167">
        <v>2.19</v>
      </c>
      <c r="Q260" s="171">
        <v>5.4749999999999996</v>
      </c>
      <c r="R260" s="166">
        <f>IFERROR(VLOOKUP(B260,#REF!,1,0),0)</f>
        <v>0</v>
      </c>
    </row>
    <row r="261" spans="1:18" x14ac:dyDescent="0.25">
      <c r="A261" s="57">
        <v>260</v>
      </c>
      <c r="B261" s="57" t="s">
        <v>1442</v>
      </c>
      <c r="C261" s="57">
        <v>1</v>
      </c>
      <c r="D261" s="57" t="s">
        <v>1748</v>
      </c>
      <c r="E261" s="57" t="s">
        <v>1749</v>
      </c>
      <c r="F261" s="57">
        <v>4859</v>
      </c>
      <c r="G261" s="57">
        <v>3350</v>
      </c>
      <c r="H261" s="57">
        <v>120</v>
      </c>
      <c r="I261" s="57" t="s">
        <v>1206</v>
      </c>
      <c r="J261" s="57" t="s">
        <v>1362</v>
      </c>
      <c r="L261" s="57" t="s">
        <v>40</v>
      </c>
      <c r="M261" s="156">
        <v>45913</v>
      </c>
      <c r="N261" s="57">
        <v>0</v>
      </c>
      <c r="P261" s="167">
        <v>2.19</v>
      </c>
      <c r="Q261" s="171">
        <v>5.4749999999999996</v>
      </c>
      <c r="R261" s="166">
        <f>IFERROR(VLOOKUP(B261,#REF!,1,0),0)</f>
        <v>0</v>
      </c>
    </row>
    <row r="262" spans="1:18" x14ac:dyDescent="0.25">
      <c r="A262" s="57">
        <v>261</v>
      </c>
      <c r="B262" s="57" t="s">
        <v>1443</v>
      </c>
      <c r="C262" s="57">
        <v>1</v>
      </c>
      <c r="D262" s="57" t="s">
        <v>1748</v>
      </c>
      <c r="E262" s="57" t="s">
        <v>1749</v>
      </c>
      <c r="F262" s="57">
        <v>5595</v>
      </c>
      <c r="G262" s="57">
        <v>3500</v>
      </c>
      <c r="H262" s="57">
        <v>120</v>
      </c>
      <c r="I262" s="57" t="s">
        <v>1206</v>
      </c>
      <c r="J262" s="57" t="s">
        <v>1444</v>
      </c>
      <c r="L262" s="57" t="s">
        <v>40</v>
      </c>
      <c r="M262" s="156">
        <v>45913</v>
      </c>
      <c r="N262" s="57">
        <v>0</v>
      </c>
      <c r="P262" s="167">
        <v>2.5939999999999999</v>
      </c>
      <c r="Q262" s="171">
        <v>6.4850000000000003</v>
      </c>
      <c r="R262" s="166">
        <f>IFERROR(VLOOKUP(B262,#REF!,1,0),0)</f>
        <v>0</v>
      </c>
    </row>
    <row r="263" spans="1:18" x14ac:dyDescent="0.25">
      <c r="A263" s="57">
        <v>262</v>
      </c>
      <c r="B263" s="57" t="s">
        <v>1445</v>
      </c>
      <c r="C263" s="57">
        <v>1</v>
      </c>
      <c r="D263" s="57" t="s">
        <v>1748</v>
      </c>
      <c r="E263" s="57" t="s">
        <v>1749</v>
      </c>
      <c r="F263" s="57">
        <v>5595</v>
      </c>
      <c r="G263" s="57">
        <v>3500</v>
      </c>
      <c r="H263" s="57">
        <v>120</v>
      </c>
      <c r="I263" s="57" t="s">
        <v>1206</v>
      </c>
      <c r="J263" s="57" t="s">
        <v>1444</v>
      </c>
      <c r="L263" s="57" t="s">
        <v>40</v>
      </c>
      <c r="M263" s="156">
        <v>45913</v>
      </c>
      <c r="N263" s="57">
        <v>0</v>
      </c>
      <c r="P263" s="167">
        <v>2.5939999999999999</v>
      </c>
      <c r="Q263" s="171">
        <v>6.4850000000000003</v>
      </c>
      <c r="R263" s="166">
        <f>IFERROR(VLOOKUP(B263,#REF!,1,0),0)</f>
        <v>0</v>
      </c>
    </row>
    <row r="264" spans="1:18" x14ac:dyDescent="0.25">
      <c r="A264" s="57">
        <v>263</v>
      </c>
      <c r="B264" s="57" t="s">
        <v>1446</v>
      </c>
      <c r="C264" s="57">
        <v>1</v>
      </c>
      <c r="D264" s="57" t="s">
        <v>1748</v>
      </c>
      <c r="E264" s="57" t="s">
        <v>1749</v>
      </c>
      <c r="F264" s="57">
        <v>4310</v>
      </c>
      <c r="G264" s="57">
        <v>2800</v>
      </c>
      <c r="H264" s="57">
        <v>120</v>
      </c>
      <c r="I264" s="57" t="s">
        <v>1161</v>
      </c>
      <c r="J264" s="57" t="s">
        <v>797</v>
      </c>
      <c r="L264" s="57" t="s">
        <v>40</v>
      </c>
      <c r="M264" s="156">
        <v>45913</v>
      </c>
      <c r="N264" s="57">
        <v>0</v>
      </c>
      <c r="P264" s="167">
        <v>1.413</v>
      </c>
      <c r="Q264" s="171">
        <v>3.5329999999999999</v>
      </c>
      <c r="R264" s="166">
        <f>IFERROR(VLOOKUP(B264,#REF!,1,0),0)</f>
        <v>0</v>
      </c>
    </row>
    <row r="265" spans="1:18" x14ac:dyDescent="0.25">
      <c r="A265" s="57">
        <v>264</v>
      </c>
      <c r="B265" s="57" t="s">
        <v>1447</v>
      </c>
      <c r="C265" s="57">
        <v>1</v>
      </c>
      <c r="D265" s="57" t="s">
        <v>1748</v>
      </c>
      <c r="E265" s="57" t="s">
        <v>1750</v>
      </c>
      <c r="F265" s="57">
        <v>4310</v>
      </c>
      <c r="G265" s="57">
        <v>2800</v>
      </c>
      <c r="H265" s="57">
        <v>120</v>
      </c>
      <c r="I265" s="57" t="s">
        <v>1161</v>
      </c>
      <c r="J265" s="57" t="s">
        <v>797</v>
      </c>
      <c r="L265" s="57" t="s">
        <v>40</v>
      </c>
      <c r="M265" s="156">
        <v>45913</v>
      </c>
      <c r="N265" s="57">
        <v>0</v>
      </c>
      <c r="P265" s="167">
        <v>1.413</v>
      </c>
      <c r="Q265" s="171">
        <v>3.5329999999999999</v>
      </c>
      <c r="R265" s="166">
        <f>IFERROR(VLOOKUP(B265,#REF!,1,0),0)</f>
        <v>0</v>
      </c>
    </row>
    <row r="266" spans="1:18" x14ac:dyDescent="0.25">
      <c r="A266" s="57">
        <v>265</v>
      </c>
      <c r="B266" s="57" t="s">
        <v>1448</v>
      </c>
      <c r="C266" s="57">
        <v>1</v>
      </c>
      <c r="D266" s="57" t="s">
        <v>1748</v>
      </c>
      <c r="E266" s="57" t="s">
        <v>1751</v>
      </c>
      <c r="F266" s="57">
        <v>4310</v>
      </c>
      <c r="G266" s="57">
        <v>2800</v>
      </c>
      <c r="H266" s="57">
        <v>120</v>
      </c>
      <c r="I266" s="57" t="s">
        <v>1161</v>
      </c>
      <c r="J266" s="57" t="s">
        <v>797</v>
      </c>
      <c r="L266" s="57" t="s">
        <v>40</v>
      </c>
      <c r="M266" s="156">
        <v>45913</v>
      </c>
      <c r="N266" s="57">
        <v>0</v>
      </c>
      <c r="P266" s="167">
        <v>1.413</v>
      </c>
      <c r="Q266" s="171">
        <v>3.5329999999999999</v>
      </c>
      <c r="R266" s="166">
        <f>IFERROR(VLOOKUP(B266,#REF!,1,0),0)</f>
        <v>0</v>
      </c>
    </row>
    <row r="267" spans="1:18" x14ac:dyDescent="0.25">
      <c r="A267" s="57">
        <v>266</v>
      </c>
      <c r="B267" s="57" t="s">
        <v>1449</v>
      </c>
      <c r="C267" s="57">
        <v>1</v>
      </c>
      <c r="D267" s="57" t="s">
        <v>1748</v>
      </c>
      <c r="E267" s="57" t="s">
        <v>1749</v>
      </c>
      <c r="F267" s="57">
        <v>3361</v>
      </c>
      <c r="G267" s="57">
        <v>3515</v>
      </c>
      <c r="H267" s="57">
        <v>120</v>
      </c>
      <c r="I267" s="57" t="s">
        <v>1206</v>
      </c>
      <c r="J267" s="57" t="s">
        <v>1208</v>
      </c>
      <c r="L267" s="57" t="s">
        <v>40</v>
      </c>
      <c r="M267" s="156">
        <v>45913</v>
      </c>
      <c r="N267" s="57">
        <v>0</v>
      </c>
      <c r="P267" s="167">
        <v>1.4650000000000001</v>
      </c>
      <c r="Q267" s="171">
        <v>3.6629999999999998</v>
      </c>
      <c r="R267" s="166">
        <f>IFERROR(VLOOKUP(B267,#REF!,1,0),0)</f>
        <v>0</v>
      </c>
    </row>
    <row r="268" spans="1:18" x14ac:dyDescent="0.25">
      <c r="A268" s="57">
        <v>267</v>
      </c>
      <c r="B268" s="57" t="s">
        <v>1450</v>
      </c>
      <c r="C268" s="57">
        <v>1</v>
      </c>
      <c r="D268" s="57" t="s">
        <v>1748</v>
      </c>
      <c r="E268" s="57" t="s">
        <v>1749</v>
      </c>
      <c r="F268" s="57">
        <v>3361</v>
      </c>
      <c r="G268" s="57">
        <v>2315</v>
      </c>
      <c r="H268" s="57">
        <v>120</v>
      </c>
      <c r="I268" s="57" t="s">
        <v>1206</v>
      </c>
      <c r="J268" s="57" t="s">
        <v>1208</v>
      </c>
      <c r="L268" s="57" t="s">
        <v>40</v>
      </c>
      <c r="M268" s="156">
        <v>45913</v>
      </c>
      <c r="N268" s="57">
        <v>0</v>
      </c>
      <c r="P268" s="167">
        <v>1.2929999999999999</v>
      </c>
      <c r="Q268" s="171">
        <v>3.2330000000000001</v>
      </c>
      <c r="R268" s="166">
        <f>IFERROR(VLOOKUP(B268,#REF!,1,0),0)</f>
        <v>0</v>
      </c>
    </row>
    <row r="269" spans="1:18" x14ac:dyDescent="0.25">
      <c r="A269" s="57">
        <v>268</v>
      </c>
      <c r="B269" s="57" t="s">
        <v>1451</v>
      </c>
      <c r="C269" s="57">
        <v>1</v>
      </c>
      <c r="D269" s="57" t="s">
        <v>1748</v>
      </c>
      <c r="E269" s="57" t="s">
        <v>1752</v>
      </c>
      <c r="F269" s="57">
        <v>5220</v>
      </c>
      <c r="G269" s="57">
        <v>2880</v>
      </c>
      <c r="H269" s="57">
        <v>120</v>
      </c>
      <c r="I269" s="57" t="s">
        <v>1206</v>
      </c>
      <c r="J269" s="57" t="s">
        <v>1224</v>
      </c>
      <c r="L269" s="57" t="s">
        <v>40</v>
      </c>
      <c r="M269" s="156">
        <v>45913</v>
      </c>
      <c r="N269" s="57">
        <v>0</v>
      </c>
      <c r="P269" s="167">
        <v>2.0590000000000002</v>
      </c>
      <c r="Q269" s="171">
        <v>5.1479999999999997</v>
      </c>
      <c r="R269" s="166">
        <f>IFERROR(VLOOKUP(B269,#REF!,1,0),0)</f>
        <v>0</v>
      </c>
    </row>
    <row r="270" spans="1:18" x14ac:dyDescent="0.25">
      <c r="A270" s="57">
        <v>269</v>
      </c>
      <c r="B270" s="57" t="s">
        <v>1452</v>
      </c>
      <c r="C270" s="57">
        <v>1</v>
      </c>
      <c r="D270" s="57" t="s">
        <v>1748</v>
      </c>
      <c r="E270" s="57" t="s">
        <v>1753</v>
      </c>
      <c r="F270" s="57">
        <v>5220</v>
      </c>
      <c r="G270" s="57">
        <v>2880</v>
      </c>
      <c r="H270" s="57">
        <v>120</v>
      </c>
      <c r="I270" s="57" t="s">
        <v>1206</v>
      </c>
      <c r="J270" s="57" t="s">
        <v>1224</v>
      </c>
      <c r="L270" s="57" t="s">
        <v>40</v>
      </c>
      <c r="M270" s="156">
        <v>45913</v>
      </c>
      <c r="N270" s="57">
        <v>0</v>
      </c>
      <c r="P270" s="167">
        <v>2.0590000000000002</v>
      </c>
      <c r="Q270" s="171">
        <v>5.1479999999999997</v>
      </c>
      <c r="R270" s="166">
        <f>IFERROR(VLOOKUP(B270,#REF!,1,0),0)</f>
        <v>0</v>
      </c>
    </row>
    <row r="271" spans="1:18" x14ac:dyDescent="0.25">
      <c r="A271" s="57">
        <v>270</v>
      </c>
      <c r="B271" s="57" t="s">
        <v>1453</v>
      </c>
      <c r="C271" s="57">
        <v>1</v>
      </c>
      <c r="D271" s="57" t="s">
        <v>1748</v>
      </c>
      <c r="E271" s="57" t="s">
        <v>1752</v>
      </c>
      <c r="F271" s="57">
        <v>5220</v>
      </c>
      <c r="G271" s="57">
        <v>2880</v>
      </c>
      <c r="H271" s="57">
        <v>120</v>
      </c>
      <c r="I271" s="57" t="s">
        <v>1206</v>
      </c>
      <c r="J271" s="57" t="s">
        <v>1224</v>
      </c>
      <c r="L271" s="57" t="s">
        <v>40</v>
      </c>
      <c r="M271" s="156">
        <v>45913</v>
      </c>
      <c r="N271" s="57">
        <v>0</v>
      </c>
      <c r="P271" s="167">
        <v>2.0590000000000002</v>
      </c>
      <c r="Q271" s="171">
        <v>5.1479999999999997</v>
      </c>
      <c r="R271" s="166">
        <f>IFERROR(VLOOKUP(B271,#REF!,1,0),0)</f>
        <v>0</v>
      </c>
    </row>
    <row r="272" spans="1:18" x14ac:dyDescent="0.25">
      <c r="A272" s="57">
        <v>271</v>
      </c>
      <c r="B272" s="57" t="s">
        <v>1454</v>
      </c>
      <c r="C272" s="57">
        <v>1</v>
      </c>
      <c r="D272" s="57" t="s">
        <v>1748</v>
      </c>
      <c r="E272" s="57" t="s">
        <v>1752</v>
      </c>
      <c r="F272" s="57">
        <v>5220</v>
      </c>
      <c r="G272" s="57">
        <v>2880</v>
      </c>
      <c r="H272" s="57">
        <v>120</v>
      </c>
      <c r="I272" s="57" t="s">
        <v>1206</v>
      </c>
      <c r="J272" s="57" t="s">
        <v>1224</v>
      </c>
      <c r="L272" s="57" t="s">
        <v>40</v>
      </c>
      <c r="M272" s="156">
        <v>45913</v>
      </c>
      <c r="N272" s="57">
        <v>0</v>
      </c>
      <c r="P272" s="167">
        <v>2.0590000000000002</v>
      </c>
      <c r="Q272" s="171">
        <v>5.1479999999999997</v>
      </c>
      <c r="R272" s="166">
        <f>IFERROR(VLOOKUP(B272,#REF!,1,0),0)</f>
        <v>0</v>
      </c>
    </row>
    <row r="273" spans="1:18" x14ac:dyDescent="0.25">
      <c r="A273" s="57">
        <v>272</v>
      </c>
      <c r="B273" s="57" t="s">
        <v>1455</v>
      </c>
      <c r="C273" s="57">
        <v>1</v>
      </c>
      <c r="D273" s="57" t="s">
        <v>1748</v>
      </c>
      <c r="E273" s="57" t="s">
        <v>1750</v>
      </c>
      <c r="F273" s="57">
        <v>5220</v>
      </c>
      <c r="G273" s="57">
        <v>2880</v>
      </c>
      <c r="H273" s="57">
        <v>120</v>
      </c>
      <c r="I273" s="57" t="s">
        <v>1206</v>
      </c>
      <c r="J273" s="57" t="s">
        <v>1224</v>
      </c>
      <c r="L273" s="57" t="s">
        <v>40</v>
      </c>
      <c r="M273" s="156">
        <v>45913</v>
      </c>
      <c r="N273" s="57">
        <v>0</v>
      </c>
      <c r="P273" s="167">
        <v>2.0590000000000002</v>
      </c>
      <c r="Q273" s="171">
        <v>5.1479999999999997</v>
      </c>
      <c r="R273" s="166">
        <f>IFERROR(VLOOKUP(B273,#REF!,1,0),0)</f>
        <v>0</v>
      </c>
    </row>
    <row r="274" spans="1:18" x14ac:dyDescent="0.25">
      <c r="A274" s="57">
        <v>273</v>
      </c>
      <c r="B274" s="57" t="s">
        <v>1456</v>
      </c>
      <c r="C274" s="57">
        <v>1</v>
      </c>
      <c r="D274" s="57" t="s">
        <v>1748</v>
      </c>
      <c r="E274" s="57" t="s">
        <v>1750</v>
      </c>
      <c r="F274" s="57">
        <v>5220</v>
      </c>
      <c r="G274" s="57">
        <v>2880</v>
      </c>
      <c r="H274" s="57">
        <v>120</v>
      </c>
      <c r="I274" s="57" t="s">
        <v>1206</v>
      </c>
      <c r="J274" s="57" t="s">
        <v>1224</v>
      </c>
      <c r="L274" s="57" t="s">
        <v>40</v>
      </c>
      <c r="M274" s="156">
        <v>45913</v>
      </c>
      <c r="N274" s="57">
        <v>0</v>
      </c>
      <c r="P274" s="167">
        <v>2.0590000000000002</v>
      </c>
      <c r="Q274" s="171">
        <v>5.1479999999999997</v>
      </c>
      <c r="R274" s="166">
        <f>IFERROR(VLOOKUP(B274,#REF!,1,0),0)</f>
        <v>0</v>
      </c>
    </row>
    <row r="275" spans="1:18" x14ac:dyDescent="0.25">
      <c r="A275" s="57">
        <v>274</v>
      </c>
      <c r="B275" s="57" t="s">
        <v>1457</v>
      </c>
      <c r="C275" s="57">
        <v>1</v>
      </c>
      <c r="D275" s="57" t="s">
        <v>1748</v>
      </c>
      <c r="E275" s="57" t="s">
        <v>1753</v>
      </c>
      <c r="F275" s="57">
        <v>5220</v>
      </c>
      <c r="G275" s="57">
        <v>2880</v>
      </c>
      <c r="H275" s="57">
        <v>120</v>
      </c>
      <c r="I275" s="57" t="s">
        <v>1206</v>
      </c>
      <c r="J275" s="57" t="s">
        <v>1224</v>
      </c>
      <c r="L275" s="57" t="s">
        <v>40</v>
      </c>
      <c r="M275" s="156">
        <v>45913</v>
      </c>
      <c r="N275" s="57">
        <v>0</v>
      </c>
      <c r="P275" s="167">
        <v>2.0590000000000002</v>
      </c>
      <c r="Q275" s="171">
        <v>5.1479999999999997</v>
      </c>
      <c r="R275" s="166">
        <f>IFERROR(VLOOKUP(B275,#REF!,1,0),0)</f>
        <v>0</v>
      </c>
    </row>
    <row r="276" spans="1:18" x14ac:dyDescent="0.25">
      <c r="A276" s="57">
        <v>275</v>
      </c>
      <c r="B276" s="57" t="s">
        <v>1458</v>
      </c>
      <c r="C276" s="57">
        <v>1</v>
      </c>
      <c r="D276" s="57" t="s">
        <v>1748</v>
      </c>
      <c r="E276" s="57" t="s">
        <v>1753</v>
      </c>
      <c r="F276" s="57">
        <v>5220</v>
      </c>
      <c r="G276" s="57">
        <v>2880</v>
      </c>
      <c r="H276" s="57">
        <v>120</v>
      </c>
      <c r="I276" s="57" t="s">
        <v>1206</v>
      </c>
      <c r="J276" s="57" t="s">
        <v>1224</v>
      </c>
      <c r="L276" s="57" t="s">
        <v>40</v>
      </c>
      <c r="M276" s="156">
        <v>45913</v>
      </c>
      <c r="N276" s="57">
        <v>0</v>
      </c>
      <c r="P276" s="167">
        <v>2.0590000000000002</v>
      </c>
      <c r="Q276" s="171">
        <v>5.1479999999999997</v>
      </c>
      <c r="R276" s="166">
        <f>IFERROR(VLOOKUP(B276,#REF!,1,0),0)</f>
        <v>0</v>
      </c>
    </row>
    <row r="277" spans="1:18" x14ac:dyDescent="0.25">
      <c r="A277" s="57">
        <v>276</v>
      </c>
      <c r="B277" s="57" t="s">
        <v>1459</v>
      </c>
      <c r="C277" s="57">
        <v>1</v>
      </c>
      <c r="D277" s="57" t="s">
        <v>1748</v>
      </c>
      <c r="E277" s="57" t="s">
        <v>1751</v>
      </c>
      <c r="F277" s="57">
        <v>5220</v>
      </c>
      <c r="G277" s="57">
        <v>2880</v>
      </c>
      <c r="H277" s="57">
        <v>120</v>
      </c>
      <c r="I277" s="57" t="s">
        <v>1206</v>
      </c>
      <c r="J277" s="57" t="s">
        <v>1224</v>
      </c>
      <c r="L277" s="57" t="s">
        <v>40</v>
      </c>
      <c r="M277" s="156">
        <v>45913</v>
      </c>
      <c r="N277" s="57">
        <v>0</v>
      </c>
      <c r="P277" s="167">
        <v>2.0590000000000002</v>
      </c>
      <c r="Q277" s="171">
        <v>5.1479999999999997</v>
      </c>
      <c r="R277" s="166">
        <f>IFERROR(VLOOKUP(B277,#REF!,1,0),0)</f>
        <v>0</v>
      </c>
    </row>
    <row r="278" spans="1:18" x14ac:dyDescent="0.25">
      <c r="A278" s="57">
        <v>277</v>
      </c>
      <c r="B278" s="57" t="s">
        <v>1460</v>
      </c>
      <c r="C278" s="57">
        <v>1</v>
      </c>
      <c r="D278" s="57" t="s">
        <v>1748</v>
      </c>
      <c r="E278" s="57" t="s">
        <v>1751</v>
      </c>
      <c r="F278" s="57">
        <v>5220</v>
      </c>
      <c r="G278" s="57">
        <v>2880</v>
      </c>
      <c r="H278" s="57">
        <v>120</v>
      </c>
      <c r="I278" s="57" t="s">
        <v>1206</v>
      </c>
      <c r="J278" s="57" t="s">
        <v>1224</v>
      </c>
      <c r="L278" s="57" t="s">
        <v>40</v>
      </c>
      <c r="M278" s="156">
        <v>45913</v>
      </c>
      <c r="N278" s="57">
        <v>0</v>
      </c>
      <c r="P278" s="167">
        <v>2.0590000000000002</v>
      </c>
      <c r="Q278" s="171">
        <v>5.1479999999999997</v>
      </c>
      <c r="R278" s="166">
        <f>IFERROR(VLOOKUP(B278,#REF!,1,0),0)</f>
        <v>0</v>
      </c>
    </row>
    <row r="279" spans="1:18" x14ac:dyDescent="0.25">
      <c r="A279" s="57">
        <v>278</v>
      </c>
      <c r="B279" s="57" t="s">
        <v>1461</v>
      </c>
      <c r="C279" s="57">
        <v>1</v>
      </c>
      <c r="D279" s="57" t="s">
        <v>1748</v>
      </c>
      <c r="E279" s="57" t="s">
        <v>1752</v>
      </c>
      <c r="F279" s="57">
        <v>5220</v>
      </c>
      <c r="G279" s="57">
        <v>2930</v>
      </c>
      <c r="H279" s="57">
        <v>120</v>
      </c>
      <c r="I279" s="57" t="s">
        <v>1206</v>
      </c>
      <c r="J279" s="57" t="s">
        <v>1224</v>
      </c>
      <c r="L279" s="57" t="s">
        <v>40</v>
      </c>
      <c r="M279" s="156">
        <v>45913</v>
      </c>
      <c r="N279" s="57">
        <v>0</v>
      </c>
      <c r="P279" s="167">
        <v>2.097</v>
      </c>
      <c r="Q279" s="171">
        <v>5.2430000000000003</v>
      </c>
      <c r="R279" s="166">
        <f>IFERROR(VLOOKUP(B279,#REF!,1,0),0)</f>
        <v>0</v>
      </c>
    </row>
    <row r="280" spans="1:18" x14ac:dyDescent="0.25">
      <c r="A280" s="57">
        <v>279</v>
      </c>
      <c r="B280" s="57" t="s">
        <v>1716</v>
      </c>
      <c r="C280" s="57">
        <v>1</v>
      </c>
      <c r="D280" s="57" t="s">
        <v>1748</v>
      </c>
      <c r="E280" s="57" t="s">
        <v>1752</v>
      </c>
      <c r="F280" s="57">
        <v>5220</v>
      </c>
      <c r="G280" s="57">
        <v>2930</v>
      </c>
      <c r="H280" s="57">
        <v>120</v>
      </c>
      <c r="I280" s="57" t="s">
        <v>1206</v>
      </c>
      <c r="J280" s="57" t="s">
        <v>1224</v>
      </c>
      <c r="L280" s="57" t="s">
        <v>40</v>
      </c>
      <c r="M280" s="156">
        <v>45913</v>
      </c>
      <c r="N280" s="57">
        <v>0</v>
      </c>
      <c r="P280" s="167">
        <v>2.097</v>
      </c>
      <c r="Q280" s="171">
        <v>5.2430000000000003</v>
      </c>
      <c r="R280" s="166">
        <f>IFERROR(VLOOKUP(B280,#REF!,1,0),0)</f>
        <v>0</v>
      </c>
    </row>
    <row r="281" spans="1:18" x14ac:dyDescent="0.25">
      <c r="A281" s="57">
        <v>280</v>
      </c>
      <c r="B281" s="57" t="s">
        <v>1715</v>
      </c>
      <c r="C281" s="57">
        <v>1</v>
      </c>
      <c r="D281" s="57" t="s">
        <v>1748</v>
      </c>
      <c r="E281" s="57" t="s">
        <v>1750</v>
      </c>
      <c r="F281" s="57">
        <v>5220</v>
      </c>
      <c r="G281" s="57">
        <v>2930</v>
      </c>
      <c r="H281" s="57">
        <v>120</v>
      </c>
      <c r="I281" s="57" t="s">
        <v>1206</v>
      </c>
      <c r="J281" s="57" t="s">
        <v>1224</v>
      </c>
      <c r="L281" s="57" t="s">
        <v>40</v>
      </c>
      <c r="M281" s="156">
        <v>45913</v>
      </c>
      <c r="N281" s="57">
        <v>0</v>
      </c>
      <c r="P281" s="167">
        <v>2.097</v>
      </c>
      <c r="Q281" s="171">
        <v>5.2430000000000003</v>
      </c>
      <c r="R281" s="166">
        <f>IFERROR(VLOOKUP(B281,#REF!,1,0),0)</f>
        <v>0</v>
      </c>
    </row>
    <row r="282" spans="1:18" x14ac:dyDescent="0.25">
      <c r="A282" s="57">
        <v>281</v>
      </c>
      <c r="B282" s="57" t="s">
        <v>1714</v>
      </c>
      <c r="C282" s="57">
        <v>1</v>
      </c>
      <c r="D282" s="57" t="s">
        <v>1748</v>
      </c>
      <c r="E282" s="57" t="s">
        <v>1750</v>
      </c>
      <c r="F282" s="57">
        <v>5220</v>
      </c>
      <c r="G282" s="57">
        <v>2930</v>
      </c>
      <c r="H282" s="57">
        <v>120</v>
      </c>
      <c r="I282" s="57" t="s">
        <v>1206</v>
      </c>
      <c r="J282" s="57" t="s">
        <v>1224</v>
      </c>
      <c r="L282" s="57" t="s">
        <v>40</v>
      </c>
      <c r="M282" s="156">
        <v>45913</v>
      </c>
      <c r="N282" s="57">
        <v>0</v>
      </c>
      <c r="P282" s="167">
        <v>2.097</v>
      </c>
      <c r="Q282" s="171">
        <v>5.2430000000000003</v>
      </c>
      <c r="R282" s="166">
        <f>IFERROR(VLOOKUP(B282,#REF!,1,0),0)</f>
        <v>0</v>
      </c>
    </row>
    <row r="283" spans="1:18" x14ac:dyDescent="0.25">
      <c r="A283" s="57">
        <v>282</v>
      </c>
      <c r="B283" s="57" t="s">
        <v>1754</v>
      </c>
      <c r="C283" s="57">
        <v>1</v>
      </c>
      <c r="D283" s="57" t="s">
        <v>1748</v>
      </c>
      <c r="E283" s="57" t="s">
        <v>1753</v>
      </c>
      <c r="F283" s="57">
        <v>5220</v>
      </c>
      <c r="G283" s="57">
        <v>2930</v>
      </c>
      <c r="H283" s="57">
        <v>120</v>
      </c>
      <c r="I283" s="57" t="s">
        <v>1206</v>
      </c>
      <c r="J283" s="57" t="s">
        <v>1224</v>
      </c>
      <c r="L283" s="57" t="s">
        <v>40</v>
      </c>
      <c r="M283" s="156">
        <v>45913</v>
      </c>
      <c r="N283" s="57">
        <v>0</v>
      </c>
      <c r="P283" s="167">
        <v>2.097</v>
      </c>
      <c r="Q283" s="171">
        <v>5.2430000000000003</v>
      </c>
      <c r="R283" s="166">
        <f>IFERROR(VLOOKUP(B283,#REF!,1,0),0)</f>
        <v>0</v>
      </c>
    </row>
    <row r="284" spans="1:18" x14ac:dyDescent="0.25">
      <c r="A284" s="57">
        <v>283</v>
      </c>
      <c r="B284" s="57" t="s">
        <v>1713</v>
      </c>
      <c r="C284" s="57">
        <v>1</v>
      </c>
      <c r="D284" s="57" t="s">
        <v>1748</v>
      </c>
      <c r="E284" s="57" t="s">
        <v>1753</v>
      </c>
      <c r="F284" s="57">
        <v>5220</v>
      </c>
      <c r="G284" s="57">
        <v>2930</v>
      </c>
      <c r="H284" s="57">
        <v>120</v>
      </c>
      <c r="I284" s="57" t="s">
        <v>1206</v>
      </c>
      <c r="J284" s="57" t="s">
        <v>1224</v>
      </c>
      <c r="L284" s="57" t="s">
        <v>40</v>
      </c>
      <c r="M284" s="156">
        <v>45913</v>
      </c>
      <c r="N284" s="57">
        <v>0</v>
      </c>
      <c r="P284" s="167">
        <v>2.097</v>
      </c>
      <c r="Q284" s="171">
        <v>5.2430000000000003</v>
      </c>
      <c r="R284" s="166">
        <f>IFERROR(VLOOKUP(B284,#REF!,1,0),0)</f>
        <v>0</v>
      </c>
    </row>
    <row r="285" spans="1:18" x14ac:dyDescent="0.25">
      <c r="A285" s="57">
        <v>284</v>
      </c>
      <c r="B285" s="57" t="s">
        <v>1717</v>
      </c>
      <c r="C285" s="57">
        <v>1</v>
      </c>
      <c r="D285" s="57" t="s">
        <v>1748</v>
      </c>
      <c r="E285" s="57" t="s">
        <v>1751</v>
      </c>
      <c r="F285" s="57">
        <v>5220</v>
      </c>
      <c r="G285" s="57">
        <v>2930</v>
      </c>
      <c r="H285" s="57">
        <v>120</v>
      </c>
      <c r="I285" s="57" t="s">
        <v>1206</v>
      </c>
      <c r="J285" s="57" t="s">
        <v>1224</v>
      </c>
      <c r="L285" s="57" t="s">
        <v>40</v>
      </c>
      <c r="M285" s="156">
        <v>45913</v>
      </c>
      <c r="N285" s="57">
        <v>0</v>
      </c>
      <c r="P285" s="167">
        <v>2.097</v>
      </c>
      <c r="Q285" s="171">
        <v>5.2430000000000003</v>
      </c>
      <c r="R285" s="166">
        <f>IFERROR(VLOOKUP(B285,#REF!,1,0),0)</f>
        <v>0</v>
      </c>
    </row>
    <row r="286" spans="1:18" x14ac:dyDescent="0.25">
      <c r="A286" s="57">
        <v>285</v>
      </c>
      <c r="B286" s="57" t="s">
        <v>1755</v>
      </c>
      <c r="C286" s="57">
        <v>1</v>
      </c>
      <c r="D286" s="57" t="s">
        <v>1748</v>
      </c>
      <c r="E286" s="57" t="s">
        <v>1751</v>
      </c>
      <c r="F286" s="57">
        <v>5220</v>
      </c>
      <c r="G286" s="57">
        <v>2930</v>
      </c>
      <c r="H286" s="57">
        <v>120</v>
      </c>
      <c r="I286" s="57" t="s">
        <v>1206</v>
      </c>
      <c r="J286" s="57" t="s">
        <v>1224</v>
      </c>
      <c r="L286" s="57" t="s">
        <v>40</v>
      </c>
      <c r="M286" s="156">
        <v>45913</v>
      </c>
      <c r="N286" s="57">
        <v>0</v>
      </c>
      <c r="P286" s="167">
        <v>2.097</v>
      </c>
      <c r="Q286" s="171">
        <v>5.2430000000000003</v>
      </c>
      <c r="R286" s="166">
        <f>IFERROR(VLOOKUP(B286,#REF!,1,0),0)</f>
        <v>0</v>
      </c>
    </row>
    <row r="287" spans="1:18" x14ac:dyDescent="0.25">
      <c r="A287" s="57">
        <v>286</v>
      </c>
      <c r="B287" s="57" t="s">
        <v>1462</v>
      </c>
      <c r="C287" s="57">
        <v>1</v>
      </c>
      <c r="D287" s="57" t="s">
        <v>1748</v>
      </c>
      <c r="E287" s="57" t="s">
        <v>1752</v>
      </c>
      <c r="F287" s="57">
        <v>5220</v>
      </c>
      <c r="G287" s="57">
        <v>2930</v>
      </c>
      <c r="H287" s="57">
        <v>120</v>
      </c>
      <c r="I287" s="57" t="s">
        <v>1206</v>
      </c>
      <c r="J287" s="57" t="s">
        <v>1224</v>
      </c>
      <c r="L287" s="57" t="s">
        <v>40</v>
      </c>
      <c r="M287" s="156">
        <v>45913</v>
      </c>
      <c r="N287" s="57">
        <v>0</v>
      </c>
      <c r="P287" s="167">
        <v>2.097</v>
      </c>
      <c r="Q287" s="171">
        <v>5.2430000000000003</v>
      </c>
      <c r="R287" s="166">
        <f>IFERROR(VLOOKUP(B287,#REF!,1,0),0)</f>
        <v>0</v>
      </c>
    </row>
    <row r="288" spans="1:18" x14ac:dyDescent="0.25">
      <c r="A288" s="57">
        <v>287</v>
      </c>
      <c r="B288" s="57" t="s">
        <v>1463</v>
      </c>
      <c r="C288" s="57">
        <v>1</v>
      </c>
      <c r="D288" s="57" t="s">
        <v>1748</v>
      </c>
      <c r="E288" s="57" t="s">
        <v>1753</v>
      </c>
      <c r="F288" s="57">
        <v>5220</v>
      </c>
      <c r="G288" s="57">
        <v>2930</v>
      </c>
      <c r="H288" s="57">
        <v>120</v>
      </c>
      <c r="I288" s="57" t="s">
        <v>1206</v>
      </c>
      <c r="J288" s="57" t="s">
        <v>1224</v>
      </c>
      <c r="L288" s="57" t="s">
        <v>40</v>
      </c>
      <c r="M288" s="156">
        <v>45913</v>
      </c>
      <c r="N288" s="57">
        <v>0</v>
      </c>
      <c r="P288" s="167">
        <v>2.097</v>
      </c>
      <c r="Q288" s="171">
        <v>5.2430000000000003</v>
      </c>
      <c r="R288" s="166">
        <f>IFERROR(VLOOKUP(B288,#REF!,1,0),0)</f>
        <v>0</v>
      </c>
    </row>
    <row r="289" spans="1:18" x14ac:dyDescent="0.25">
      <c r="A289" s="57">
        <v>288</v>
      </c>
      <c r="B289" s="57" t="s">
        <v>1464</v>
      </c>
      <c r="C289" s="57">
        <v>1</v>
      </c>
      <c r="D289" s="57" t="s">
        <v>1748</v>
      </c>
      <c r="E289" s="57" t="s">
        <v>1752</v>
      </c>
      <c r="F289" s="57">
        <v>3571</v>
      </c>
      <c r="G289" s="57">
        <v>2330</v>
      </c>
      <c r="H289" s="57">
        <v>120</v>
      </c>
      <c r="I289" s="57" t="s">
        <v>1206</v>
      </c>
      <c r="J289" s="57" t="s">
        <v>1208</v>
      </c>
      <c r="L289" s="57" t="s">
        <v>40</v>
      </c>
      <c r="M289" s="156">
        <v>45913</v>
      </c>
      <c r="N289" s="57">
        <v>0</v>
      </c>
      <c r="P289" s="167">
        <v>1.3320000000000001</v>
      </c>
      <c r="Q289" s="171">
        <v>3.33</v>
      </c>
      <c r="R289" s="166">
        <f>IFERROR(VLOOKUP(B289,#REF!,1,0),0)</f>
        <v>0</v>
      </c>
    </row>
    <row r="290" spans="1:18" x14ac:dyDescent="0.25">
      <c r="A290" s="57">
        <v>289</v>
      </c>
      <c r="B290" s="57" t="s">
        <v>1465</v>
      </c>
      <c r="C290" s="57">
        <v>1</v>
      </c>
      <c r="D290" s="57" t="s">
        <v>1748</v>
      </c>
      <c r="E290" s="57" t="s">
        <v>1752</v>
      </c>
      <c r="F290" s="57">
        <v>3571</v>
      </c>
      <c r="G290" s="57">
        <v>2330</v>
      </c>
      <c r="H290" s="57">
        <v>120</v>
      </c>
      <c r="I290" s="57" t="s">
        <v>1206</v>
      </c>
      <c r="J290" s="57" t="s">
        <v>1208</v>
      </c>
      <c r="L290" s="57" t="s">
        <v>40</v>
      </c>
      <c r="M290" s="156">
        <v>45913</v>
      </c>
      <c r="N290" s="57">
        <v>0</v>
      </c>
      <c r="P290" s="167">
        <v>1.3320000000000001</v>
      </c>
      <c r="Q290" s="171">
        <v>3.33</v>
      </c>
      <c r="R290" s="166">
        <f>IFERROR(VLOOKUP(B290,#REF!,1,0),0)</f>
        <v>0</v>
      </c>
    </row>
    <row r="291" spans="1:18" x14ac:dyDescent="0.25">
      <c r="A291" s="57">
        <v>290</v>
      </c>
      <c r="B291" s="57" t="s">
        <v>1466</v>
      </c>
      <c r="C291" s="57">
        <v>1</v>
      </c>
      <c r="D291" s="57" t="s">
        <v>1748</v>
      </c>
      <c r="E291" s="57" t="s">
        <v>1752</v>
      </c>
      <c r="F291" s="57">
        <v>3571</v>
      </c>
      <c r="G291" s="57">
        <v>2330</v>
      </c>
      <c r="H291" s="57">
        <v>120</v>
      </c>
      <c r="I291" s="57" t="s">
        <v>1206</v>
      </c>
      <c r="J291" s="57" t="s">
        <v>1208</v>
      </c>
      <c r="L291" s="57" t="s">
        <v>40</v>
      </c>
      <c r="M291" s="156">
        <v>45913</v>
      </c>
      <c r="N291" s="57">
        <v>0</v>
      </c>
      <c r="P291" s="167">
        <v>1.5049999999999999</v>
      </c>
      <c r="Q291" s="171">
        <v>3.7629999999999999</v>
      </c>
      <c r="R291" s="166">
        <f>IFERROR(VLOOKUP(B291,#REF!,1,0),0)</f>
        <v>0</v>
      </c>
    </row>
    <row r="292" spans="1:18" x14ac:dyDescent="0.25">
      <c r="A292" s="57">
        <v>291</v>
      </c>
      <c r="B292" s="57" t="s">
        <v>1467</v>
      </c>
      <c r="C292" s="57">
        <v>1</v>
      </c>
      <c r="D292" s="57" t="s">
        <v>1748</v>
      </c>
      <c r="E292" s="57" t="s">
        <v>1750</v>
      </c>
      <c r="F292" s="57">
        <v>2400</v>
      </c>
      <c r="G292" s="57">
        <v>3475</v>
      </c>
      <c r="H292" s="57">
        <v>120</v>
      </c>
      <c r="I292" s="57" t="s">
        <v>1206</v>
      </c>
      <c r="J292" s="57" t="s">
        <v>1214</v>
      </c>
      <c r="L292" s="57" t="s">
        <v>40</v>
      </c>
      <c r="M292" s="156">
        <v>45913</v>
      </c>
      <c r="N292" s="57">
        <v>0</v>
      </c>
      <c r="P292" s="167">
        <v>1.2210000000000001</v>
      </c>
      <c r="Q292" s="171">
        <v>3.0529999999999999</v>
      </c>
      <c r="R292" s="166">
        <f>IFERROR(VLOOKUP(B292,#REF!,1,0),0)</f>
        <v>0</v>
      </c>
    </row>
    <row r="293" spans="1:18" x14ac:dyDescent="0.25">
      <c r="A293" s="57">
        <v>292</v>
      </c>
      <c r="B293" s="57" t="s">
        <v>1468</v>
      </c>
      <c r="C293" s="57">
        <v>1</v>
      </c>
      <c r="D293" s="57" t="s">
        <v>1748</v>
      </c>
      <c r="E293" s="57" t="s">
        <v>1750</v>
      </c>
      <c r="F293" s="57">
        <v>5220</v>
      </c>
      <c r="G293" s="57">
        <v>2880</v>
      </c>
      <c r="H293" s="57">
        <v>120</v>
      </c>
      <c r="I293" s="57" t="s">
        <v>1206</v>
      </c>
      <c r="J293" s="57" t="s">
        <v>1224</v>
      </c>
      <c r="L293" s="57" t="s">
        <v>40</v>
      </c>
      <c r="M293" s="156">
        <v>45913</v>
      </c>
      <c r="N293" s="57">
        <v>0</v>
      </c>
      <c r="P293" s="167">
        <v>2.0590000000000002</v>
      </c>
      <c r="Q293" s="171">
        <v>5.1479999999999997</v>
      </c>
      <c r="R293" s="166">
        <f>IFERROR(VLOOKUP(B293,#REF!,1,0),0)</f>
        <v>0</v>
      </c>
    </row>
    <row r="294" spans="1:18" x14ac:dyDescent="0.25">
      <c r="A294" s="57">
        <v>293</v>
      </c>
      <c r="B294" s="57" t="s">
        <v>1469</v>
      </c>
      <c r="C294" s="57">
        <v>1</v>
      </c>
      <c r="D294" s="57" t="s">
        <v>1748</v>
      </c>
      <c r="E294" s="57" t="s">
        <v>1751</v>
      </c>
      <c r="F294" s="57">
        <v>5220</v>
      </c>
      <c r="G294" s="57">
        <v>2880</v>
      </c>
      <c r="H294" s="57">
        <v>120</v>
      </c>
      <c r="I294" s="57" t="s">
        <v>1206</v>
      </c>
      <c r="J294" s="57" t="s">
        <v>1224</v>
      </c>
      <c r="L294" s="57" t="s">
        <v>40</v>
      </c>
      <c r="M294" s="156">
        <v>45913</v>
      </c>
      <c r="N294" s="57">
        <v>0</v>
      </c>
      <c r="P294" s="167">
        <v>2.0590000000000002</v>
      </c>
      <c r="Q294" s="171">
        <v>5.1479999999999997</v>
      </c>
      <c r="R294" s="166">
        <f>IFERROR(VLOOKUP(B294,#REF!,1,0),0)</f>
        <v>0</v>
      </c>
    </row>
    <row r="295" spans="1:18" x14ac:dyDescent="0.25">
      <c r="A295" s="57">
        <v>294</v>
      </c>
      <c r="B295" s="57" t="s">
        <v>1470</v>
      </c>
      <c r="C295" s="57">
        <v>1</v>
      </c>
      <c r="D295" s="57" t="s">
        <v>1748</v>
      </c>
      <c r="E295" s="57" t="s">
        <v>1750</v>
      </c>
      <c r="F295" s="57">
        <v>5220</v>
      </c>
      <c r="G295" s="57">
        <v>2930</v>
      </c>
      <c r="H295" s="57">
        <v>120</v>
      </c>
      <c r="I295" s="57" t="s">
        <v>1206</v>
      </c>
      <c r="J295" s="57" t="s">
        <v>1224</v>
      </c>
      <c r="L295" s="57" t="s">
        <v>40</v>
      </c>
      <c r="M295" s="156">
        <v>45913</v>
      </c>
      <c r="N295" s="57">
        <v>0</v>
      </c>
      <c r="P295" s="167">
        <v>2.097</v>
      </c>
      <c r="Q295" s="171">
        <v>5.2430000000000003</v>
      </c>
      <c r="R295" s="166">
        <f>IFERROR(VLOOKUP(B295,#REF!,1,0),0)</f>
        <v>0</v>
      </c>
    </row>
    <row r="296" spans="1:18" x14ac:dyDescent="0.25">
      <c r="A296" s="57">
        <v>295</v>
      </c>
      <c r="B296" s="57" t="s">
        <v>1471</v>
      </c>
      <c r="C296" s="57">
        <v>1</v>
      </c>
      <c r="D296" s="57" t="s">
        <v>1748</v>
      </c>
      <c r="E296" s="57" t="s">
        <v>1751</v>
      </c>
      <c r="F296" s="57">
        <v>5220</v>
      </c>
      <c r="G296" s="57">
        <v>2930</v>
      </c>
      <c r="H296" s="57">
        <v>120</v>
      </c>
      <c r="I296" s="57" t="s">
        <v>1206</v>
      </c>
      <c r="J296" s="57" t="s">
        <v>1224</v>
      </c>
      <c r="L296" s="57" t="s">
        <v>40</v>
      </c>
      <c r="M296" s="156">
        <v>45913</v>
      </c>
      <c r="N296" s="57">
        <v>0</v>
      </c>
      <c r="P296" s="167">
        <v>2.097</v>
      </c>
      <c r="Q296" s="171">
        <v>5.2430000000000003</v>
      </c>
      <c r="R296" s="166">
        <f>IFERROR(VLOOKUP(B296,#REF!,1,0),0)</f>
        <v>0</v>
      </c>
    </row>
    <row r="297" spans="1:18" x14ac:dyDescent="0.25">
      <c r="A297" s="57">
        <v>296</v>
      </c>
      <c r="B297" s="57" t="s">
        <v>1472</v>
      </c>
      <c r="C297" s="57">
        <v>1</v>
      </c>
      <c r="D297" s="57" t="s">
        <v>1748</v>
      </c>
      <c r="E297" s="57" t="s">
        <v>1750</v>
      </c>
      <c r="F297" s="57">
        <v>4862</v>
      </c>
      <c r="G297" s="57">
        <v>3555</v>
      </c>
      <c r="H297" s="57">
        <v>120</v>
      </c>
      <c r="I297" s="57" t="s">
        <v>1212</v>
      </c>
      <c r="J297" s="57" t="s">
        <v>1473</v>
      </c>
      <c r="L297" s="57" t="s">
        <v>40</v>
      </c>
      <c r="M297" s="156">
        <v>45913</v>
      </c>
      <c r="N297" s="57">
        <v>0</v>
      </c>
      <c r="P297" s="167">
        <v>1.8009999999999999</v>
      </c>
      <c r="Q297" s="171">
        <v>4.5030000000000001</v>
      </c>
      <c r="R297" s="166">
        <f>IFERROR(VLOOKUP(B297,#REF!,1,0),0)</f>
        <v>0</v>
      </c>
    </row>
    <row r="298" spans="1:18" x14ac:dyDescent="0.25">
      <c r="A298" s="57">
        <v>297</v>
      </c>
      <c r="B298" s="57" t="s">
        <v>1474</v>
      </c>
      <c r="C298" s="57">
        <v>1</v>
      </c>
      <c r="D298" s="57" t="s">
        <v>1748</v>
      </c>
      <c r="E298" s="57" t="s">
        <v>1750</v>
      </c>
      <c r="F298" s="57">
        <v>4862</v>
      </c>
      <c r="G298" s="57">
        <v>2275</v>
      </c>
      <c r="H298" s="57">
        <v>120</v>
      </c>
      <c r="I298" s="57" t="s">
        <v>1212</v>
      </c>
      <c r="J298" s="57" t="s">
        <v>1473</v>
      </c>
      <c r="L298" s="57" t="s">
        <v>40</v>
      </c>
      <c r="M298" s="156">
        <v>45913</v>
      </c>
      <c r="N298" s="57">
        <v>0</v>
      </c>
      <c r="P298" s="167">
        <v>1.617</v>
      </c>
      <c r="Q298" s="171">
        <v>4.0430000000000001</v>
      </c>
      <c r="R298" s="166">
        <f>IFERROR(VLOOKUP(B298,#REF!,1,0),0)</f>
        <v>0</v>
      </c>
    </row>
    <row r="299" spans="1:18" x14ac:dyDescent="0.25">
      <c r="A299" s="57">
        <v>298</v>
      </c>
      <c r="B299" s="57" t="s">
        <v>1475</v>
      </c>
      <c r="C299" s="57">
        <v>1</v>
      </c>
      <c r="D299" s="57" t="s">
        <v>1748</v>
      </c>
      <c r="E299" s="57" t="s">
        <v>1753</v>
      </c>
      <c r="F299" s="57">
        <v>4862</v>
      </c>
      <c r="G299" s="57">
        <v>2295</v>
      </c>
      <c r="H299" s="57">
        <v>120</v>
      </c>
      <c r="I299" s="57" t="s">
        <v>1212</v>
      </c>
      <c r="J299" s="57" t="s">
        <v>1473</v>
      </c>
      <c r="L299" s="57" t="s">
        <v>40</v>
      </c>
      <c r="M299" s="156">
        <v>45913</v>
      </c>
      <c r="N299" s="57">
        <v>0</v>
      </c>
      <c r="P299" s="167">
        <v>1.629</v>
      </c>
      <c r="Q299" s="171">
        <v>4.0730000000000004</v>
      </c>
      <c r="R299" s="166">
        <f>IFERROR(VLOOKUP(B299,#REF!,1,0),0)</f>
        <v>0</v>
      </c>
    </row>
    <row r="300" spans="1:18" x14ac:dyDescent="0.25">
      <c r="A300" s="57">
        <v>299</v>
      </c>
      <c r="B300" s="57" t="s">
        <v>1476</v>
      </c>
      <c r="C300" s="57">
        <v>1</v>
      </c>
      <c r="D300" s="57" t="s">
        <v>1748</v>
      </c>
      <c r="E300" s="57" t="s">
        <v>1753</v>
      </c>
      <c r="F300" s="57">
        <v>4862</v>
      </c>
      <c r="G300" s="57">
        <v>3495</v>
      </c>
      <c r="H300" s="57">
        <v>120</v>
      </c>
      <c r="I300" s="57" t="s">
        <v>1212</v>
      </c>
      <c r="J300" s="57" t="s">
        <v>1213</v>
      </c>
      <c r="L300" s="57" t="s">
        <v>40</v>
      </c>
      <c r="M300" s="156">
        <v>45913</v>
      </c>
      <c r="N300" s="57">
        <v>0</v>
      </c>
      <c r="P300" s="167">
        <v>1.802</v>
      </c>
      <c r="Q300" s="171">
        <v>4.5049999999999999</v>
      </c>
      <c r="R300" s="166">
        <f>IFERROR(VLOOKUP(B300,#REF!,1,0),0)</f>
        <v>0</v>
      </c>
    </row>
    <row r="301" spans="1:18" x14ac:dyDescent="0.25">
      <c r="A301" s="57">
        <v>300</v>
      </c>
      <c r="B301" s="57" t="s">
        <v>1477</v>
      </c>
      <c r="C301" s="57">
        <v>1</v>
      </c>
      <c r="D301" s="57" t="s">
        <v>1748</v>
      </c>
      <c r="E301" s="57" t="s">
        <v>1751</v>
      </c>
      <c r="F301" s="57">
        <v>2400</v>
      </c>
      <c r="G301" s="57">
        <v>3440</v>
      </c>
      <c r="H301" s="57">
        <v>120</v>
      </c>
      <c r="I301" s="57" t="s">
        <v>1206</v>
      </c>
      <c r="J301" s="57" t="s">
        <v>1228</v>
      </c>
      <c r="L301" s="57" t="s">
        <v>40</v>
      </c>
      <c r="M301" s="156">
        <v>45913</v>
      </c>
      <c r="N301" s="57">
        <v>0</v>
      </c>
      <c r="P301" s="167">
        <v>1.101</v>
      </c>
      <c r="Q301" s="171">
        <v>2.7530000000000001</v>
      </c>
      <c r="R301" s="166">
        <f>IFERROR(VLOOKUP(B301,#REF!,1,0),0)</f>
        <v>0</v>
      </c>
    </row>
    <row r="302" spans="1:18" x14ac:dyDescent="0.25">
      <c r="A302" s="57">
        <v>301</v>
      </c>
      <c r="B302" s="57" t="s">
        <v>1478</v>
      </c>
      <c r="C302" s="57">
        <v>1</v>
      </c>
      <c r="D302" s="57" t="s">
        <v>1748</v>
      </c>
      <c r="E302" s="57" t="s">
        <v>1751</v>
      </c>
      <c r="F302" s="57">
        <v>4189</v>
      </c>
      <c r="G302" s="57">
        <v>3520</v>
      </c>
      <c r="H302" s="57">
        <v>120</v>
      </c>
      <c r="I302" s="57" t="s">
        <v>1212</v>
      </c>
      <c r="J302" s="57" t="s">
        <v>1473</v>
      </c>
      <c r="L302" s="57" t="s">
        <v>40</v>
      </c>
      <c r="M302" s="156">
        <v>45913</v>
      </c>
      <c r="N302" s="57">
        <v>0</v>
      </c>
      <c r="P302" s="167">
        <v>1.665</v>
      </c>
      <c r="Q302" s="171">
        <v>4.1630000000000003</v>
      </c>
      <c r="R302" s="166">
        <f>IFERROR(VLOOKUP(B302,#REF!,1,0),0)</f>
        <v>0</v>
      </c>
    </row>
    <row r="303" spans="1:18" x14ac:dyDescent="0.25">
      <c r="A303" s="57">
        <v>302</v>
      </c>
      <c r="B303" s="57" t="s">
        <v>1479</v>
      </c>
      <c r="C303" s="57">
        <v>1</v>
      </c>
      <c r="D303" s="57" t="s">
        <v>1748</v>
      </c>
      <c r="E303" s="57" t="s">
        <v>1751</v>
      </c>
      <c r="F303" s="57">
        <v>4189</v>
      </c>
      <c r="G303" s="57">
        <v>2240</v>
      </c>
      <c r="H303" s="57">
        <v>120</v>
      </c>
      <c r="I303" s="57" t="s">
        <v>1212</v>
      </c>
      <c r="J303" s="57" t="s">
        <v>1473</v>
      </c>
      <c r="L303" s="57" t="s">
        <v>40</v>
      </c>
      <c r="M303" s="156">
        <v>45913</v>
      </c>
      <c r="N303" s="57">
        <v>0</v>
      </c>
      <c r="P303" s="167">
        <v>1.48</v>
      </c>
      <c r="Q303" s="171">
        <v>3.7</v>
      </c>
      <c r="R303" s="166">
        <f>IFERROR(VLOOKUP(B303,#REF!,1,0),0)</f>
        <v>0</v>
      </c>
    </row>
    <row r="304" spans="1:18" x14ac:dyDescent="0.25">
      <c r="A304" s="57">
        <v>303</v>
      </c>
      <c r="B304" s="57" t="s">
        <v>1480</v>
      </c>
      <c r="C304" s="57">
        <v>1</v>
      </c>
      <c r="D304" s="57" t="s">
        <v>1748</v>
      </c>
      <c r="E304" s="57" t="s">
        <v>1751</v>
      </c>
      <c r="F304" s="57">
        <v>4189</v>
      </c>
      <c r="G304" s="57">
        <v>2240</v>
      </c>
      <c r="H304" s="57">
        <v>120</v>
      </c>
      <c r="I304" s="57" t="s">
        <v>1212</v>
      </c>
      <c r="J304" s="57" t="s">
        <v>1473</v>
      </c>
      <c r="L304" s="57" t="s">
        <v>40</v>
      </c>
      <c r="M304" s="156">
        <v>45913</v>
      </c>
      <c r="N304" s="57">
        <v>0</v>
      </c>
      <c r="P304" s="167">
        <v>1.48</v>
      </c>
      <c r="Q304" s="171">
        <v>3.7</v>
      </c>
      <c r="R304" s="166">
        <f>IFERROR(VLOOKUP(B304,#REF!,1,0),0)</f>
        <v>0</v>
      </c>
    </row>
    <row r="305" spans="1:18" x14ac:dyDescent="0.25">
      <c r="A305" s="57">
        <v>304</v>
      </c>
      <c r="B305" s="57" t="s">
        <v>1481</v>
      </c>
      <c r="C305" s="57">
        <v>1</v>
      </c>
      <c r="D305" s="57" t="s">
        <v>1748</v>
      </c>
      <c r="E305" s="57" t="s">
        <v>1756</v>
      </c>
      <c r="F305" s="57">
        <v>5220</v>
      </c>
      <c r="G305" s="57">
        <v>3090</v>
      </c>
      <c r="H305" s="57">
        <v>120</v>
      </c>
      <c r="I305" s="57" t="s">
        <v>1206</v>
      </c>
      <c r="J305" s="57" t="s">
        <v>1210</v>
      </c>
      <c r="L305" s="57" t="s">
        <v>40</v>
      </c>
      <c r="M305" s="156">
        <v>45913</v>
      </c>
      <c r="N305" s="57">
        <v>0</v>
      </c>
      <c r="P305" s="167">
        <v>2.04</v>
      </c>
      <c r="Q305" s="171">
        <v>5.0999999999999996</v>
      </c>
      <c r="R305" s="166">
        <f>IFERROR(VLOOKUP(B305,#REF!,1,0),0)</f>
        <v>0</v>
      </c>
    </row>
    <row r="306" spans="1:18" x14ac:dyDescent="0.25">
      <c r="A306" s="57">
        <v>305</v>
      </c>
      <c r="B306" s="57" t="s">
        <v>1482</v>
      </c>
      <c r="C306" s="57">
        <v>1</v>
      </c>
      <c r="D306" s="57" t="s">
        <v>1748</v>
      </c>
      <c r="E306" s="57" t="s">
        <v>1756</v>
      </c>
      <c r="F306" s="57">
        <v>5220</v>
      </c>
      <c r="G306" s="57">
        <v>3090</v>
      </c>
      <c r="H306" s="57">
        <v>120</v>
      </c>
      <c r="I306" s="57" t="s">
        <v>1206</v>
      </c>
      <c r="J306" s="57" t="s">
        <v>1210</v>
      </c>
      <c r="L306" s="57" t="s">
        <v>40</v>
      </c>
      <c r="M306" s="156">
        <v>45913</v>
      </c>
      <c r="N306" s="57">
        <v>0</v>
      </c>
      <c r="P306" s="167">
        <v>2.04</v>
      </c>
      <c r="Q306" s="171">
        <v>5.0999999999999996</v>
      </c>
      <c r="R306" s="166">
        <f>IFERROR(VLOOKUP(B306,#REF!,1,0),0)</f>
        <v>0</v>
      </c>
    </row>
    <row r="307" spans="1:18" x14ac:dyDescent="0.25">
      <c r="A307" s="57">
        <v>306</v>
      </c>
      <c r="B307" s="57" t="s">
        <v>1483</v>
      </c>
      <c r="C307" s="57">
        <v>1</v>
      </c>
      <c r="D307" s="57" t="s">
        <v>1748</v>
      </c>
      <c r="E307" s="57" t="s">
        <v>1756</v>
      </c>
      <c r="F307" s="57">
        <v>5220</v>
      </c>
      <c r="G307" s="57">
        <v>3090</v>
      </c>
      <c r="H307" s="57">
        <v>120</v>
      </c>
      <c r="I307" s="57" t="s">
        <v>1206</v>
      </c>
      <c r="J307" s="57" t="s">
        <v>1210</v>
      </c>
      <c r="L307" s="57" t="s">
        <v>40</v>
      </c>
      <c r="M307" s="156">
        <v>45913</v>
      </c>
      <c r="N307" s="57">
        <v>0</v>
      </c>
      <c r="P307" s="167">
        <v>2.04</v>
      </c>
      <c r="Q307" s="171">
        <v>5.0999999999999996</v>
      </c>
      <c r="R307" s="166">
        <f>IFERROR(VLOOKUP(B307,#REF!,1,0),0)</f>
        <v>0</v>
      </c>
    </row>
    <row r="308" spans="1:18" x14ac:dyDescent="0.25">
      <c r="A308" s="57">
        <v>307</v>
      </c>
      <c r="B308" s="57" t="s">
        <v>1484</v>
      </c>
      <c r="C308" s="57">
        <v>1</v>
      </c>
      <c r="D308" s="57" t="s">
        <v>1748</v>
      </c>
      <c r="E308" s="57" t="s">
        <v>1756</v>
      </c>
      <c r="F308" s="57">
        <v>5220</v>
      </c>
      <c r="G308" s="57">
        <v>3450</v>
      </c>
      <c r="H308" s="57">
        <v>120</v>
      </c>
      <c r="I308" s="57" t="s">
        <v>1206</v>
      </c>
      <c r="J308" s="57" t="s">
        <v>1362</v>
      </c>
      <c r="L308" s="57" t="s">
        <v>40</v>
      </c>
      <c r="M308" s="156">
        <v>45913</v>
      </c>
      <c r="N308" s="57">
        <v>0</v>
      </c>
      <c r="P308" s="167">
        <v>2.3450000000000002</v>
      </c>
      <c r="Q308" s="171">
        <v>5.8630000000000004</v>
      </c>
      <c r="R308" s="166">
        <f>IFERROR(VLOOKUP(B308,#REF!,1,0),0)</f>
        <v>0</v>
      </c>
    </row>
    <row r="309" spans="1:18" x14ac:dyDescent="0.25">
      <c r="A309" s="57">
        <v>308</v>
      </c>
      <c r="B309" s="57" t="s">
        <v>1485</v>
      </c>
      <c r="C309" s="57">
        <v>1</v>
      </c>
      <c r="D309" s="57" t="s">
        <v>1748</v>
      </c>
      <c r="E309" s="57" t="s">
        <v>1756</v>
      </c>
      <c r="F309" s="57">
        <v>5220</v>
      </c>
      <c r="G309" s="57">
        <v>3450</v>
      </c>
      <c r="H309" s="57">
        <v>120</v>
      </c>
      <c r="I309" s="57" t="s">
        <v>1206</v>
      </c>
      <c r="J309" s="57" t="s">
        <v>1362</v>
      </c>
      <c r="L309" s="57" t="s">
        <v>40</v>
      </c>
      <c r="M309" s="156">
        <v>45913</v>
      </c>
      <c r="N309" s="57">
        <v>0</v>
      </c>
      <c r="P309" s="167">
        <v>2.3450000000000002</v>
      </c>
      <c r="Q309" s="171">
        <v>5.8630000000000004</v>
      </c>
      <c r="R309" s="166">
        <f>IFERROR(VLOOKUP(B309,#REF!,1,0),0)</f>
        <v>0</v>
      </c>
    </row>
    <row r="310" spans="1:18" x14ac:dyDescent="0.25">
      <c r="A310" s="57">
        <v>309</v>
      </c>
      <c r="B310" s="57" t="s">
        <v>1486</v>
      </c>
      <c r="C310" s="57">
        <v>1</v>
      </c>
      <c r="D310" s="57" t="s">
        <v>1748</v>
      </c>
      <c r="E310" s="57" t="s">
        <v>1756</v>
      </c>
      <c r="F310" s="57">
        <v>5220</v>
      </c>
      <c r="G310" s="57">
        <v>3450</v>
      </c>
      <c r="H310" s="57">
        <v>120</v>
      </c>
      <c r="I310" s="57" t="s">
        <v>1206</v>
      </c>
      <c r="J310" s="57" t="s">
        <v>1362</v>
      </c>
      <c r="L310" s="57" t="s">
        <v>40</v>
      </c>
      <c r="M310" s="156">
        <v>45913</v>
      </c>
      <c r="N310" s="57">
        <v>0</v>
      </c>
      <c r="P310" s="167">
        <v>2.3450000000000002</v>
      </c>
      <c r="Q310" s="171">
        <v>5.8630000000000004</v>
      </c>
      <c r="R310" s="166">
        <f>IFERROR(VLOOKUP(B310,#REF!,1,0),0)</f>
        <v>0</v>
      </c>
    </row>
    <row r="311" spans="1:18" x14ac:dyDescent="0.25">
      <c r="A311" s="57">
        <v>310</v>
      </c>
      <c r="B311" s="57" t="s">
        <v>1487</v>
      </c>
      <c r="C311" s="57">
        <v>1</v>
      </c>
      <c r="D311" s="57" t="s">
        <v>1748</v>
      </c>
      <c r="E311" s="57" t="s">
        <v>1756</v>
      </c>
      <c r="F311" s="57">
        <v>4191</v>
      </c>
      <c r="G311" s="57">
        <v>2260</v>
      </c>
      <c r="H311" s="57">
        <v>120</v>
      </c>
      <c r="I311" s="57" t="s">
        <v>1212</v>
      </c>
      <c r="J311" s="57" t="s">
        <v>1213</v>
      </c>
      <c r="L311" s="57" t="s">
        <v>40</v>
      </c>
      <c r="M311" s="156">
        <v>45913</v>
      </c>
      <c r="N311" s="57">
        <v>0</v>
      </c>
      <c r="P311" s="167">
        <v>1.49</v>
      </c>
      <c r="Q311" s="171">
        <v>3.7250000000000001</v>
      </c>
      <c r="R311" s="166">
        <f>IFERROR(VLOOKUP(B311,#REF!,1,0),0)</f>
        <v>0</v>
      </c>
    </row>
    <row r="312" spans="1:18" x14ac:dyDescent="0.25">
      <c r="A312" s="57">
        <v>311</v>
      </c>
      <c r="B312" s="57" t="s">
        <v>1488</v>
      </c>
      <c r="C312" s="57">
        <v>1</v>
      </c>
      <c r="D312" s="57" t="s">
        <v>1748</v>
      </c>
      <c r="E312" s="57" t="s">
        <v>1756</v>
      </c>
      <c r="F312" s="57">
        <v>4191</v>
      </c>
      <c r="G312" s="57">
        <v>2260</v>
      </c>
      <c r="H312" s="57">
        <v>120</v>
      </c>
      <c r="I312" s="57" t="s">
        <v>1212</v>
      </c>
      <c r="J312" s="57" t="s">
        <v>1213</v>
      </c>
      <c r="L312" s="57" t="s">
        <v>40</v>
      </c>
      <c r="M312" s="156">
        <v>45913</v>
      </c>
      <c r="N312" s="57">
        <v>0</v>
      </c>
      <c r="P312" s="167">
        <v>1.49</v>
      </c>
      <c r="Q312" s="171">
        <v>3.7250000000000001</v>
      </c>
      <c r="R312" s="166">
        <f>IFERROR(VLOOKUP(B312,#REF!,1,0),0)</f>
        <v>0</v>
      </c>
    </row>
    <row r="313" spans="1:18" x14ac:dyDescent="0.25">
      <c r="A313" s="57">
        <v>312</v>
      </c>
      <c r="B313" s="57" t="s">
        <v>1489</v>
      </c>
      <c r="C313" s="57">
        <v>1</v>
      </c>
      <c r="D313" s="57" t="s">
        <v>1748</v>
      </c>
      <c r="E313" s="57" t="s">
        <v>1756</v>
      </c>
      <c r="F313" s="57">
        <v>4191</v>
      </c>
      <c r="G313" s="57">
        <v>3460</v>
      </c>
      <c r="H313" s="57">
        <v>120</v>
      </c>
      <c r="I313" s="57" t="s">
        <v>1212</v>
      </c>
      <c r="J313" s="57" t="s">
        <v>1213</v>
      </c>
      <c r="L313" s="57" t="s">
        <v>40</v>
      </c>
      <c r="M313" s="156">
        <v>45913</v>
      </c>
      <c r="N313" s="57">
        <v>0</v>
      </c>
      <c r="P313" s="167">
        <v>1.6639999999999999</v>
      </c>
      <c r="Q313" s="171">
        <v>4.16</v>
      </c>
      <c r="R313" s="166">
        <f>IFERROR(VLOOKUP(B313,#REF!,1,0),0)</f>
        <v>0</v>
      </c>
    </row>
    <row r="314" spans="1:18" x14ac:dyDescent="0.25">
      <c r="A314" s="57">
        <v>313</v>
      </c>
      <c r="B314" s="57" t="s">
        <v>1490</v>
      </c>
      <c r="C314" s="57">
        <v>1</v>
      </c>
      <c r="D314" s="57" t="s">
        <v>1748</v>
      </c>
      <c r="E314" s="57" t="s">
        <v>1757</v>
      </c>
      <c r="F314" s="57">
        <v>2400</v>
      </c>
      <c r="G314" s="57">
        <v>3430</v>
      </c>
      <c r="H314" s="57">
        <v>120</v>
      </c>
      <c r="I314" s="57" t="s">
        <v>1206</v>
      </c>
      <c r="J314" s="57" t="s">
        <v>1228</v>
      </c>
      <c r="L314" s="57" t="s">
        <v>40</v>
      </c>
      <c r="M314" s="156">
        <v>45913</v>
      </c>
      <c r="N314" s="57">
        <v>0</v>
      </c>
      <c r="P314" s="167">
        <v>1.0980000000000001</v>
      </c>
      <c r="Q314" s="171">
        <v>2.7450000000000001</v>
      </c>
      <c r="R314" s="166">
        <f>IFERROR(VLOOKUP(B314,#REF!,1,0),0)</f>
        <v>0</v>
      </c>
    </row>
    <row r="315" spans="1:18" x14ac:dyDescent="0.25">
      <c r="A315" s="57">
        <v>314</v>
      </c>
      <c r="B315" s="57" t="s">
        <v>1491</v>
      </c>
      <c r="C315" s="57">
        <v>1</v>
      </c>
      <c r="D315" s="57" t="s">
        <v>1748</v>
      </c>
      <c r="E315" s="57" t="s">
        <v>1757</v>
      </c>
      <c r="F315" s="57">
        <v>5220</v>
      </c>
      <c r="G315" s="57">
        <v>3000</v>
      </c>
      <c r="H315" s="57">
        <v>120</v>
      </c>
      <c r="I315" s="57" t="s">
        <v>1206</v>
      </c>
      <c r="J315" s="57" t="s">
        <v>1210</v>
      </c>
      <c r="L315" s="57" t="s">
        <v>40</v>
      </c>
      <c r="M315" s="156">
        <v>45913</v>
      </c>
      <c r="N315" s="57">
        <v>0</v>
      </c>
      <c r="P315" s="167">
        <v>1.9830000000000001</v>
      </c>
      <c r="Q315" s="171">
        <v>4.9580000000000002</v>
      </c>
      <c r="R315" s="166">
        <f>IFERROR(VLOOKUP(B315,#REF!,1,0),0)</f>
        <v>0</v>
      </c>
    </row>
    <row r="316" spans="1:18" x14ac:dyDescent="0.25">
      <c r="A316" s="57">
        <v>315</v>
      </c>
      <c r="B316" s="57" t="s">
        <v>1492</v>
      </c>
      <c r="C316" s="57">
        <v>1</v>
      </c>
      <c r="D316" s="57" t="s">
        <v>1748</v>
      </c>
      <c r="E316" s="57" t="s">
        <v>1757</v>
      </c>
      <c r="F316" s="57">
        <v>5220</v>
      </c>
      <c r="G316" s="57">
        <v>3000</v>
      </c>
      <c r="H316" s="57">
        <v>120</v>
      </c>
      <c r="I316" s="57" t="s">
        <v>1206</v>
      </c>
      <c r="J316" s="57" t="s">
        <v>1210</v>
      </c>
      <c r="L316" s="57" t="s">
        <v>40</v>
      </c>
      <c r="M316" s="156">
        <v>45913</v>
      </c>
      <c r="N316" s="57">
        <v>0</v>
      </c>
      <c r="P316" s="167">
        <v>1.9830000000000001</v>
      </c>
      <c r="Q316" s="171">
        <v>4.9580000000000002</v>
      </c>
      <c r="R316" s="166">
        <f>IFERROR(VLOOKUP(B316,#REF!,1,0),0)</f>
        <v>0</v>
      </c>
    </row>
    <row r="317" spans="1:18" x14ac:dyDescent="0.25">
      <c r="A317" s="57">
        <v>316</v>
      </c>
      <c r="B317" s="57" t="s">
        <v>1493</v>
      </c>
      <c r="C317" s="57">
        <v>1</v>
      </c>
      <c r="D317" s="57" t="s">
        <v>1748</v>
      </c>
      <c r="E317" s="57" t="s">
        <v>1757</v>
      </c>
      <c r="F317" s="57">
        <v>5220</v>
      </c>
      <c r="G317" s="57">
        <v>3200</v>
      </c>
      <c r="H317" s="57">
        <v>120</v>
      </c>
      <c r="I317" s="57" t="s">
        <v>1206</v>
      </c>
      <c r="J317" s="57" t="s">
        <v>1210</v>
      </c>
      <c r="L317" s="57" t="s">
        <v>40</v>
      </c>
      <c r="M317" s="156">
        <v>45913</v>
      </c>
      <c r="N317" s="57">
        <v>0</v>
      </c>
      <c r="P317" s="167">
        <v>2.1080000000000001</v>
      </c>
      <c r="Q317" s="171">
        <v>5.27</v>
      </c>
      <c r="R317" s="166">
        <f>IFERROR(VLOOKUP(B317,#REF!,1,0),0)</f>
        <v>0</v>
      </c>
    </row>
    <row r="318" spans="1:18" x14ac:dyDescent="0.25">
      <c r="A318" s="57">
        <v>317</v>
      </c>
      <c r="B318" s="57" t="s">
        <v>1494</v>
      </c>
      <c r="C318" s="57">
        <v>1</v>
      </c>
      <c r="D318" s="57" t="s">
        <v>1748</v>
      </c>
      <c r="E318" s="57" t="s">
        <v>1757</v>
      </c>
      <c r="F318" s="57">
        <v>5220</v>
      </c>
      <c r="G318" s="57">
        <v>3200</v>
      </c>
      <c r="H318" s="57">
        <v>120</v>
      </c>
      <c r="I318" s="57" t="s">
        <v>1206</v>
      </c>
      <c r="J318" s="57" t="s">
        <v>1362</v>
      </c>
      <c r="L318" s="57" t="s">
        <v>40</v>
      </c>
      <c r="M318" s="156">
        <v>45913</v>
      </c>
      <c r="N318" s="57">
        <v>0</v>
      </c>
      <c r="P318" s="167">
        <v>2.2090000000000001</v>
      </c>
      <c r="Q318" s="171">
        <v>5.5229999999999997</v>
      </c>
      <c r="R318" s="166">
        <f>IFERROR(VLOOKUP(B318,#REF!,1,0),0)</f>
        <v>0</v>
      </c>
    </row>
    <row r="319" spans="1:18" x14ac:dyDescent="0.25">
      <c r="A319" s="57">
        <v>318</v>
      </c>
      <c r="B319" s="57" t="s">
        <v>1495</v>
      </c>
      <c r="C319" s="57">
        <v>1</v>
      </c>
      <c r="D319" s="57" t="s">
        <v>1748</v>
      </c>
      <c r="E319" s="57" t="s">
        <v>1757</v>
      </c>
      <c r="F319" s="57">
        <v>5220</v>
      </c>
      <c r="G319" s="57">
        <v>3380</v>
      </c>
      <c r="H319" s="57">
        <v>120</v>
      </c>
      <c r="I319" s="57" t="s">
        <v>1206</v>
      </c>
      <c r="J319" s="57" t="s">
        <v>1362</v>
      </c>
      <c r="L319" s="57" t="s">
        <v>40</v>
      </c>
      <c r="M319" s="156">
        <v>45913</v>
      </c>
      <c r="N319" s="57">
        <v>0</v>
      </c>
      <c r="P319" s="167">
        <v>2.3010000000000002</v>
      </c>
      <c r="Q319" s="171">
        <v>5.7530000000000001</v>
      </c>
      <c r="R319" s="166">
        <f>IFERROR(VLOOKUP(B319,#REF!,1,0),0)</f>
        <v>0</v>
      </c>
    </row>
    <row r="320" spans="1:18" x14ac:dyDescent="0.25">
      <c r="A320" s="57">
        <v>319</v>
      </c>
      <c r="B320" s="57" t="s">
        <v>1496</v>
      </c>
      <c r="C320" s="57">
        <v>1</v>
      </c>
      <c r="D320" s="57" t="s">
        <v>1748</v>
      </c>
      <c r="E320" s="57" t="s">
        <v>1757</v>
      </c>
      <c r="F320" s="57">
        <v>5220</v>
      </c>
      <c r="G320" s="57">
        <v>3380</v>
      </c>
      <c r="H320" s="57">
        <v>120</v>
      </c>
      <c r="I320" s="57" t="s">
        <v>1206</v>
      </c>
      <c r="J320" s="57" t="s">
        <v>1362</v>
      </c>
      <c r="L320" s="57" t="s">
        <v>40</v>
      </c>
      <c r="M320" s="156">
        <v>45913</v>
      </c>
      <c r="N320" s="57">
        <v>0</v>
      </c>
      <c r="P320" s="167">
        <v>2.3010000000000002</v>
      </c>
      <c r="Q320" s="171">
        <v>5.7530000000000001</v>
      </c>
      <c r="R320" s="166">
        <f>IFERROR(VLOOKUP(B320,#REF!,1,0),0)</f>
        <v>0</v>
      </c>
    </row>
    <row r="321" spans="1:18" x14ac:dyDescent="0.25">
      <c r="A321" s="57">
        <v>320</v>
      </c>
      <c r="B321" s="57" t="s">
        <v>1497</v>
      </c>
      <c r="C321" s="57">
        <v>1</v>
      </c>
      <c r="D321" s="57" t="s">
        <v>1748</v>
      </c>
      <c r="E321" s="57" t="s">
        <v>1757</v>
      </c>
      <c r="F321" s="57">
        <v>4310</v>
      </c>
      <c r="G321" s="57">
        <v>2800</v>
      </c>
      <c r="H321" s="57">
        <v>120</v>
      </c>
      <c r="I321" s="57" t="s">
        <v>1161</v>
      </c>
      <c r="J321" s="57" t="s">
        <v>797</v>
      </c>
      <c r="L321" s="57" t="s">
        <v>40</v>
      </c>
      <c r="M321" s="156">
        <v>45913</v>
      </c>
      <c r="N321" s="57">
        <v>0</v>
      </c>
      <c r="P321" s="167">
        <v>1.413</v>
      </c>
      <c r="Q321" s="171">
        <v>3.5329999999999999</v>
      </c>
      <c r="R321" s="166">
        <f>IFERROR(VLOOKUP(B321,#REF!,1,0),0)</f>
        <v>0</v>
      </c>
    </row>
    <row r="322" spans="1:18" x14ac:dyDescent="0.25">
      <c r="A322" s="57">
        <v>321</v>
      </c>
      <c r="B322" s="57" t="s">
        <v>1498</v>
      </c>
      <c r="C322" s="57">
        <v>1</v>
      </c>
      <c r="D322" s="57" t="s">
        <v>1748</v>
      </c>
      <c r="E322" s="57" t="s">
        <v>1758</v>
      </c>
      <c r="F322" s="57">
        <v>4310</v>
      </c>
      <c r="G322" s="57">
        <v>2800</v>
      </c>
      <c r="H322" s="57">
        <v>120</v>
      </c>
      <c r="I322" s="57" t="s">
        <v>1161</v>
      </c>
      <c r="J322" s="57" t="s">
        <v>797</v>
      </c>
      <c r="L322" s="57" t="s">
        <v>40</v>
      </c>
      <c r="M322" s="156">
        <v>45913</v>
      </c>
      <c r="N322" s="57">
        <v>0</v>
      </c>
      <c r="P322" s="167">
        <v>1.413</v>
      </c>
      <c r="Q322" s="171">
        <v>3.5329999999999999</v>
      </c>
      <c r="R322" s="166">
        <f>IFERROR(VLOOKUP(B322,#REF!,1,0),0)</f>
        <v>0</v>
      </c>
    </row>
    <row r="323" spans="1:18" x14ac:dyDescent="0.25">
      <c r="A323" s="57">
        <v>322</v>
      </c>
      <c r="B323" s="57" t="s">
        <v>1499</v>
      </c>
      <c r="C323" s="57">
        <v>1</v>
      </c>
      <c r="D323" s="57" t="s">
        <v>1748</v>
      </c>
      <c r="E323" s="57" t="s">
        <v>1759</v>
      </c>
      <c r="F323" s="57">
        <v>4310</v>
      </c>
      <c r="G323" s="57">
        <v>2800</v>
      </c>
      <c r="H323" s="57">
        <v>120</v>
      </c>
      <c r="I323" s="57" t="s">
        <v>1161</v>
      </c>
      <c r="J323" s="57" t="s">
        <v>797</v>
      </c>
      <c r="L323" s="57" t="s">
        <v>40</v>
      </c>
      <c r="M323" s="156">
        <v>45913</v>
      </c>
      <c r="N323" s="57">
        <v>0</v>
      </c>
      <c r="P323" s="167">
        <v>1.413</v>
      </c>
      <c r="Q323" s="171">
        <v>3.5329999999999999</v>
      </c>
      <c r="R323" s="166">
        <f>IFERROR(VLOOKUP(B323,#REF!,1,0),0)</f>
        <v>0</v>
      </c>
    </row>
    <row r="324" spans="1:18" x14ac:dyDescent="0.25">
      <c r="A324" s="57">
        <v>323</v>
      </c>
      <c r="B324" s="57" t="s">
        <v>1500</v>
      </c>
      <c r="C324" s="57">
        <v>1</v>
      </c>
      <c r="D324" s="57" t="s">
        <v>1748</v>
      </c>
      <c r="E324" s="57" t="s">
        <v>1757</v>
      </c>
      <c r="F324" s="57">
        <v>4865</v>
      </c>
      <c r="G324" s="57">
        <v>3430</v>
      </c>
      <c r="H324" s="57">
        <v>120</v>
      </c>
      <c r="I324" s="57" t="s">
        <v>1212</v>
      </c>
      <c r="J324" s="57" t="s">
        <v>1233</v>
      </c>
      <c r="L324" s="57" t="s">
        <v>40</v>
      </c>
      <c r="M324" s="156">
        <v>45913</v>
      </c>
      <c r="N324" s="57">
        <v>0</v>
      </c>
      <c r="P324" s="167">
        <v>1.6140000000000001</v>
      </c>
      <c r="Q324" s="171">
        <v>4.0350000000000001</v>
      </c>
      <c r="R324" s="166">
        <f>IFERROR(VLOOKUP(B324,#REF!,1,0),0)</f>
        <v>0</v>
      </c>
    </row>
    <row r="325" spans="1:18" x14ac:dyDescent="0.25">
      <c r="A325" s="57">
        <v>324</v>
      </c>
      <c r="B325" s="57" t="s">
        <v>1501</v>
      </c>
      <c r="C325" s="57">
        <v>1</v>
      </c>
      <c r="D325" s="57" t="s">
        <v>1748</v>
      </c>
      <c r="E325" s="57" t="s">
        <v>1757</v>
      </c>
      <c r="F325" s="57">
        <v>4865</v>
      </c>
      <c r="G325" s="57">
        <v>2230</v>
      </c>
      <c r="H325" s="57">
        <v>120</v>
      </c>
      <c r="I325" s="57" t="s">
        <v>1212</v>
      </c>
      <c r="J325" s="57" t="s">
        <v>1233</v>
      </c>
      <c r="L325" s="57" t="s">
        <v>40</v>
      </c>
      <c r="M325" s="156">
        <v>45913</v>
      </c>
      <c r="N325" s="57">
        <v>0</v>
      </c>
      <c r="P325" s="167">
        <v>1.4410000000000001</v>
      </c>
      <c r="Q325" s="171">
        <v>3.6030000000000002</v>
      </c>
      <c r="R325" s="166">
        <f>IFERROR(VLOOKUP(B325,#REF!,1,0),0)</f>
        <v>0</v>
      </c>
    </row>
    <row r="326" spans="1:18" x14ac:dyDescent="0.25">
      <c r="A326" s="57">
        <v>325</v>
      </c>
      <c r="B326" s="57" t="s">
        <v>1502</v>
      </c>
      <c r="C326" s="57">
        <v>1</v>
      </c>
      <c r="D326" s="57" t="s">
        <v>1748</v>
      </c>
      <c r="E326" s="57" t="s">
        <v>1760</v>
      </c>
      <c r="F326" s="57">
        <v>5220</v>
      </c>
      <c r="G326" s="57">
        <v>2860</v>
      </c>
      <c r="H326" s="57">
        <v>120</v>
      </c>
      <c r="I326" s="57" t="s">
        <v>1206</v>
      </c>
      <c r="J326" s="57" t="s">
        <v>1224</v>
      </c>
      <c r="L326" s="57" t="s">
        <v>40</v>
      </c>
      <c r="M326" s="156">
        <v>45913</v>
      </c>
      <c r="N326" s="57">
        <v>0</v>
      </c>
      <c r="P326" s="167">
        <v>2.0470000000000002</v>
      </c>
      <c r="Q326" s="171">
        <v>5.1180000000000003</v>
      </c>
      <c r="R326" s="166">
        <f>IFERROR(VLOOKUP(B326,#REF!,1,0),0)</f>
        <v>0</v>
      </c>
    </row>
    <row r="327" spans="1:18" x14ac:dyDescent="0.25">
      <c r="A327" s="57">
        <v>326</v>
      </c>
      <c r="B327" s="57" t="s">
        <v>1503</v>
      </c>
      <c r="C327" s="57">
        <v>1</v>
      </c>
      <c r="D327" s="57" t="s">
        <v>1748</v>
      </c>
      <c r="E327" s="57" t="s">
        <v>1760</v>
      </c>
      <c r="F327" s="57">
        <v>5220</v>
      </c>
      <c r="G327" s="57">
        <v>2860</v>
      </c>
      <c r="H327" s="57">
        <v>120</v>
      </c>
      <c r="I327" s="57" t="s">
        <v>1206</v>
      </c>
      <c r="J327" s="57" t="s">
        <v>1224</v>
      </c>
      <c r="L327" s="57" t="s">
        <v>40</v>
      </c>
      <c r="M327" s="156">
        <v>45913</v>
      </c>
      <c r="N327" s="57">
        <v>0</v>
      </c>
      <c r="P327" s="167">
        <v>2.0470000000000002</v>
      </c>
      <c r="Q327" s="171">
        <v>5.1180000000000003</v>
      </c>
      <c r="R327" s="166">
        <f>IFERROR(VLOOKUP(B327,#REF!,1,0),0)</f>
        <v>0</v>
      </c>
    </row>
    <row r="328" spans="1:18" x14ac:dyDescent="0.25">
      <c r="A328" s="57">
        <v>327</v>
      </c>
      <c r="B328" s="57" t="s">
        <v>1504</v>
      </c>
      <c r="C328" s="57">
        <v>1</v>
      </c>
      <c r="D328" s="57" t="s">
        <v>1748</v>
      </c>
      <c r="E328" s="57" t="s">
        <v>1760</v>
      </c>
      <c r="F328" s="57">
        <v>5220</v>
      </c>
      <c r="G328" s="57">
        <v>2860</v>
      </c>
      <c r="H328" s="57">
        <v>120</v>
      </c>
      <c r="I328" s="57" t="s">
        <v>1206</v>
      </c>
      <c r="J328" s="57" t="s">
        <v>1224</v>
      </c>
      <c r="L328" s="57" t="s">
        <v>40</v>
      </c>
      <c r="M328" s="156">
        <v>45913</v>
      </c>
      <c r="N328" s="57">
        <v>0</v>
      </c>
      <c r="P328" s="167">
        <v>2.0470000000000002</v>
      </c>
      <c r="Q328" s="171">
        <v>5.1180000000000003</v>
      </c>
      <c r="R328" s="166">
        <f>IFERROR(VLOOKUP(B328,#REF!,1,0),0)</f>
        <v>0</v>
      </c>
    </row>
    <row r="329" spans="1:18" x14ac:dyDescent="0.25">
      <c r="A329" s="57">
        <v>328</v>
      </c>
      <c r="B329" s="57" t="s">
        <v>1505</v>
      </c>
      <c r="C329" s="57">
        <v>1</v>
      </c>
      <c r="D329" s="57" t="s">
        <v>1748</v>
      </c>
      <c r="E329" s="57" t="s">
        <v>1758</v>
      </c>
      <c r="F329" s="57">
        <v>5220</v>
      </c>
      <c r="G329" s="57">
        <v>2860</v>
      </c>
      <c r="H329" s="57">
        <v>120</v>
      </c>
      <c r="I329" s="57" t="s">
        <v>1206</v>
      </c>
      <c r="J329" s="57" t="s">
        <v>1224</v>
      </c>
      <c r="L329" s="57" t="s">
        <v>40</v>
      </c>
      <c r="M329" s="156">
        <v>45913</v>
      </c>
      <c r="N329" s="57">
        <v>0</v>
      </c>
      <c r="P329" s="167">
        <v>2.0470000000000002</v>
      </c>
      <c r="Q329" s="171">
        <v>5.1180000000000003</v>
      </c>
      <c r="R329" s="166">
        <f>IFERROR(VLOOKUP(B329,#REF!,1,0),0)</f>
        <v>0</v>
      </c>
    </row>
    <row r="330" spans="1:18" x14ac:dyDescent="0.25">
      <c r="A330" s="57">
        <v>329</v>
      </c>
      <c r="B330" s="57" t="s">
        <v>1506</v>
      </c>
      <c r="C330" s="57">
        <v>1</v>
      </c>
      <c r="D330" s="57" t="s">
        <v>1748</v>
      </c>
      <c r="E330" s="57" t="s">
        <v>1758</v>
      </c>
      <c r="F330" s="57">
        <v>5220</v>
      </c>
      <c r="G330" s="57">
        <v>2860</v>
      </c>
      <c r="H330" s="57">
        <v>120</v>
      </c>
      <c r="I330" s="57" t="s">
        <v>1206</v>
      </c>
      <c r="J330" s="57" t="s">
        <v>1224</v>
      </c>
      <c r="L330" s="57" t="s">
        <v>40</v>
      </c>
      <c r="M330" s="156">
        <v>45913</v>
      </c>
      <c r="N330" s="57">
        <v>0</v>
      </c>
      <c r="P330" s="167">
        <v>2.0470000000000002</v>
      </c>
      <c r="Q330" s="171">
        <v>5.1180000000000003</v>
      </c>
      <c r="R330" s="166">
        <f>IFERROR(VLOOKUP(B330,#REF!,1,0),0)</f>
        <v>0</v>
      </c>
    </row>
    <row r="331" spans="1:18" x14ac:dyDescent="0.25">
      <c r="A331" s="57">
        <v>330</v>
      </c>
      <c r="B331" s="57" t="s">
        <v>1507</v>
      </c>
      <c r="C331" s="57">
        <v>1</v>
      </c>
      <c r="D331" s="57" t="s">
        <v>1748</v>
      </c>
      <c r="E331" s="57" t="s">
        <v>1760</v>
      </c>
      <c r="F331" s="57">
        <v>5220</v>
      </c>
      <c r="G331" s="57">
        <v>2920</v>
      </c>
      <c r="H331" s="57">
        <v>120</v>
      </c>
      <c r="I331" s="57" t="s">
        <v>1206</v>
      </c>
      <c r="J331" s="57" t="s">
        <v>1224</v>
      </c>
      <c r="L331" s="57" t="s">
        <v>40</v>
      </c>
      <c r="M331" s="156">
        <v>45913</v>
      </c>
      <c r="N331" s="57">
        <v>0</v>
      </c>
      <c r="P331" s="167">
        <v>2.0840000000000001</v>
      </c>
      <c r="Q331" s="171">
        <v>5.21</v>
      </c>
      <c r="R331" s="166">
        <f>IFERROR(VLOOKUP(B331,#REF!,1,0),0)</f>
        <v>0</v>
      </c>
    </row>
    <row r="332" spans="1:18" x14ac:dyDescent="0.25">
      <c r="A332" s="57">
        <v>331</v>
      </c>
      <c r="B332" s="57" t="s">
        <v>1508</v>
      </c>
      <c r="C332" s="57">
        <v>1</v>
      </c>
      <c r="D332" s="57" t="s">
        <v>1748</v>
      </c>
      <c r="E332" s="57" t="s">
        <v>1760</v>
      </c>
      <c r="F332" s="57">
        <v>5220</v>
      </c>
      <c r="G332" s="57">
        <v>2920</v>
      </c>
      <c r="H332" s="57">
        <v>120</v>
      </c>
      <c r="I332" s="57" t="s">
        <v>1206</v>
      </c>
      <c r="J332" s="57" t="s">
        <v>1224</v>
      </c>
      <c r="L332" s="57" t="s">
        <v>40</v>
      </c>
      <c r="M332" s="156">
        <v>45913</v>
      </c>
      <c r="N332" s="57">
        <v>0</v>
      </c>
      <c r="P332" s="167">
        <v>2.0840000000000001</v>
      </c>
      <c r="Q332" s="171">
        <v>5.21</v>
      </c>
      <c r="R332" s="166">
        <f>IFERROR(VLOOKUP(B332,#REF!,1,0),0)</f>
        <v>0</v>
      </c>
    </row>
    <row r="333" spans="1:18" x14ac:dyDescent="0.25">
      <c r="A333" s="57">
        <v>332</v>
      </c>
      <c r="B333" s="57" t="s">
        <v>1509</v>
      </c>
      <c r="C333" s="57">
        <v>1</v>
      </c>
      <c r="D333" s="57" t="s">
        <v>1748</v>
      </c>
      <c r="E333" s="57" t="s">
        <v>1758</v>
      </c>
      <c r="F333" s="57">
        <v>5220</v>
      </c>
      <c r="G333" s="57">
        <v>2920</v>
      </c>
      <c r="H333" s="57">
        <v>120</v>
      </c>
      <c r="I333" s="57" t="s">
        <v>1206</v>
      </c>
      <c r="J333" s="57" t="s">
        <v>1224</v>
      </c>
      <c r="L333" s="57" t="s">
        <v>40</v>
      </c>
      <c r="M333" s="156">
        <v>45913</v>
      </c>
      <c r="N333" s="57">
        <v>0</v>
      </c>
      <c r="P333" s="167">
        <v>2.0840000000000001</v>
      </c>
      <c r="Q333" s="171">
        <v>5.21</v>
      </c>
      <c r="R333" s="166">
        <f>IFERROR(VLOOKUP(B333,#REF!,1,0),0)</f>
        <v>0</v>
      </c>
    </row>
    <row r="334" spans="1:18" x14ac:dyDescent="0.25">
      <c r="A334" s="57">
        <v>333</v>
      </c>
      <c r="B334" s="57" t="s">
        <v>1510</v>
      </c>
      <c r="C334" s="57">
        <v>1</v>
      </c>
      <c r="D334" s="57" t="s">
        <v>1748</v>
      </c>
      <c r="E334" s="57" t="s">
        <v>1758</v>
      </c>
      <c r="F334" s="57">
        <v>5220</v>
      </c>
      <c r="G334" s="57">
        <v>2920</v>
      </c>
      <c r="H334" s="57">
        <v>120</v>
      </c>
      <c r="I334" s="57" t="s">
        <v>1206</v>
      </c>
      <c r="J334" s="57" t="s">
        <v>1224</v>
      </c>
      <c r="L334" s="57" t="s">
        <v>40</v>
      </c>
      <c r="M334" s="156">
        <v>45913</v>
      </c>
      <c r="N334" s="57">
        <v>0</v>
      </c>
      <c r="P334" s="167">
        <v>2.0840000000000001</v>
      </c>
      <c r="Q334" s="171">
        <v>5.21</v>
      </c>
      <c r="R334" s="166">
        <f>IFERROR(VLOOKUP(B334,#REF!,1,0),0)</f>
        <v>0</v>
      </c>
    </row>
    <row r="335" spans="1:18" x14ac:dyDescent="0.25">
      <c r="A335" s="57">
        <v>334</v>
      </c>
      <c r="B335" s="57" t="s">
        <v>1511</v>
      </c>
      <c r="C335" s="57">
        <v>1</v>
      </c>
      <c r="D335" s="57" t="s">
        <v>1748</v>
      </c>
      <c r="E335" s="57" t="s">
        <v>1761</v>
      </c>
      <c r="F335" s="57">
        <v>5220</v>
      </c>
      <c r="G335" s="57">
        <v>2920</v>
      </c>
      <c r="H335" s="57">
        <v>120</v>
      </c>
      <c r="I335" s="57" t="s">
        <v>1206</v>
      </c>
      <c r="J335" s="57" t="s">
        <v>1224</v>
      </c>
      <c r="L335" s="57" t="s">
        <v>40</v>
      </c>
      <c r="M335" s="156">
        <v>45913</v>
      </c>
      <c r="N335" s="57">
        <v>0</v>
      </c>
      <c r="P335" s="167">
        <v>2.0840000000000001</v>
      </c>
      <c r="Q335" s="171">
        <v>5.21</v>
      </c>
      <c r="R335" s="166">
        <f>IFERROR(VLOOKUP(B335,#REF!,1,0),0)</f>
        <v>0</v>
      </c>
    </row>
    <row r="336" spans="1:18" x14ac:dyDescent="0.25">
      <c r="A336" s="57">
        <v>335</v>
      </c>
      <c r="B336" s="57" t="s">
        <v>1512</v>
      </c>
      <c r="C336" s="57">
        <v>1</v>
      </c>
      <c r="D336" s="57" t="s">
        <v>1748</v>
      </c>
      <c r="E336" s="57" t="s">
        <v>1761</v>
      </c>
      <c r="F336" s="57">
        <v>5220</v>
      </c>
      <c r="G336" s="57">
        <v>2920</v>
      </c>
      <c r="H336" s="57">
        <v>120</v>
      </c>
      <c r="I336" s="57" t="s">
        <v>1206</v>
      </c>
      <c r="J336" s="57" t="s">
        <v>1224</v>
      </c>
      <c r="L336" s="57" t="s">
        <v>40</v>
      </c>
      <c r="M336" s="156">
        <v>45913</v>
      </c>
      <c r="N336" s="57">
        <v>0</v>
      </c>
      <c r="P336" s="167">
        <v>2.0840000000000001</v>
      </c>
      <c r="Q336" s="171">
        <v>5.21</v>
      </c>
      <c r="R336" s="166">
        <f>IFERROR(VLOOKUP(B336,#REF!,1,0),0)</f>
        <v>0</v>
      </c>
    </row>
    <row r="337" spans="1:18" x14ac:dyDescent="0.25">
      <c r="A337" s="57">
        <v>336</v>
      </c>
      <c r="B337" s="57" t="s">
        <v>1513</v>
      </c>
      <c r="C337" s="57">
        <v>1</v>
      </c>
      <c r="D337" s="57" t="s">
        <v>1748</v>
      </c>
      <c r="E337" s="57" t="s">
        <v>1759</v>
      </c>
      <c r="F337" s="57">
        <v>5220</v>
      </c>
      <c r="G337" s="57">
        <v>2920</v>
      </c>
      <c r="H337" s="57">
        <v>120</v>
      </c>
      <c r="I337" s="57" t="s">
        <v>1206</v>
      </c>
      <c r="J337" s="57" t="s">
        <v>1224</v>
      </c>
      <c r="L337" s="57" t="s">
        <v>40</v>
      </c>
      <c r="M337" s="156">
        <v>45913</v>
      </c>
      <c r="N337" s="57">
        <v>0</v>
      </c>
      <c r="P337" s="167">
        <v>2.0840000000000001</v>
      </c>
      <c r="Q337" s="171">
        <v>5.21</v>
      </c>
      <c r="R337" s="166">
        <f>IFERROR(VLOOKUP(B337,#REF!,1,0),0)</f>
        <v>0</v>
      </c>
    </row>
    <row r="338" spans="1:18" x14ac:dyDescent="0.25">
      <c r="A338" s="57">
        <v>337</v>
      </c>
      <c r="B338" s="57" t="s">
        <v>1514</v>
      </c>
      <c r="C338" s="57">
        <v>1</v>
      </c>
      <c r="D338" s="57" t="s">
        <v>1748</v>
      </c>
      <c r="E338" s="57" t="s">
        <v>1759</v>
      </c>
      <c r="F338" s="57">
        <v>5220</v>
      </c>
      <c r="G338" s="57">
        <v>2920</v>
      </c>
      <c r="H338" s="57">
        <v>120</v>
      </c>
      <c r="I338" s="57" t="s">
        <v>1206</v>
      </c>
      <c r="J338" s="57" t="s">
        <v>1224</v>
      </c>
      <c r="L338" s="57" t="s">
        <v>40</v>
      </c>
      <c r="M338" s="156">
        <v>45913</v>
      </c>
      <c r="N338" s="57">
        <v>0</v>
      </c>
      <c r="P338" s="167">
        <v>2.0840000000000001</v>
      </c>
      <c r="Q338" s="171">
        <v>5.21</v>
      </c>
      <c r="R338" s="166">
        <f>IFERROR(VLOOKUP(B338,#REF!,1,0),0)</f>
        <v>0</v>
      </c>
    </row>
    <row r="339" spans="1:18" x14ac:dyDescent="0.25">
      <c r="A339" s="57">
        <v>338</v>
      </c>
      <c r="B339" s="57" t="s">
        <v>1515</v>
      </c>
      <c r="C339" s="57">
        <v>1</v>
      </c>
      <c r="D339" s="57" t="s">
        <v>1748</v>
      </c>
      <c r="E339" s="57" t="s">
        <v>1760</v>
      </c>
      <c r="F339" s="57">
        <v>5220</v>
      </c>
      <c r="G339" s="57">
        <v>2920</v>
      </c>
      <c r="H339" s="57">
        <v>120</v>
      </c>
      <c r="I339" s="57" t="s">
        <v>1206</v>
      </c>
      <c r="J339" s="57" t="s">
        <v>1224</v>
      </c>
      <c r="L339" s="57" t="s">
        <v>40</v>
      </c>
      <c r="M339" s="156">
        <v>45913</v>
      </c>
      <c r="N339" s="57">
        <v>0</v>
      </c>
      <c r="P339" s="167">
        <v>2.0840000000000001</v>
      </c>
      <c r="Q339" s="171">
        <v>5.21</v>
      </c>
      <c r="R339" s="166">
        <f>IFERROR(VLOOKUP(B339,#REF!,1,0),0)</f>
        <v>0</v>
      </c>
    </row>
    <row r="340" spans="1:18" x14ac:dyDescent="0.25">
      <c r="A340" s="57">
        <v>339</v>
      </c>
      <c r="B340" s="57" t="s">
        <v>1516</v>
      </c>
      <c r="C340" s="57">
        <v>1</v>
      </c>
      <c r="D340" s="57" t="s">
        <v>1748</v>
      </c>
      <c r="E340" s="57" t="s">
        <v>1761</v>
      </c>
      <c r="F340" s="57">
        <v>5220</v>
      </c>
      <c r="G340" s="57">
        <v>2920</v>
      </c>
      <c r="H340" s="57">
        <v>120</v>
      </c>
      <c r="I340" s="57" t="s">
        <v>1206</v>
      </c>
      <c r="J340" s="57" t="s">
        <v>1224</v>
      </c>
      <c r="L340" s="57" t="s">
        <v>40</v>
      </c>
      <c r="M340" s="156">
        <v>45913</v>
      </c>
      <c r="N340" s="57">
        <v>0</v>
      </c>
      <c r="P340" s="167">
        <v>2.0840000000000001</v>
      </c>
      <c r="Q340" s="171">
        <v>5.21</v>
      </c>
      <c r="R340" s="166">
        <f>IFERROR(VLOOKUP(B340,#REF!,1,0),0)</f>
        <v>0</v>
      </c>
    </row>
    <row r="341" spans="1:18" x14ac:dyDescent="0.25">
      <c r="A341" s="57">
        <v>340</v>
      </c>
      <c r="B341" s="57" t="s">
        <v>1517</v>
      </c>
      <c r="C341" s="57">
        <v>1</v>
      </c>
      <c r="D341" s="57" t="s">
        <v>1748</v>
      </c>
      <c r="E341" s="57" t="s">
        <v>1760</v>
      </c>
      <c r="F341" s="57">
        <v>4862</v>
      </c>
      <c r="G341" s="57">
        <v>2230</v>
      </c>
      <c r="H341" s="57">
        <v>120</v>
      </c>
      <c r="I341" s="57" t="s">
        <v>1212</v>
      </c>
      <c r="J341" s="57" t="s">
        <v>1233</v>
      </c>
      <c r="L341" s="57" t="s">
        <v>40</v>
      </c>
      <c r="M341" s="156">
        <v>45913</v>
      </c>
      <c r="N341" s="57">
        <v>0</v>
      </c>
      <c r="P341" s="167">
        <v>1.4410000000000001</v>
      </c>
      <c r="Q341" s="171">
        <v>3.5030000000000001</v>
      </c>
      <c r="R341" s="166">
        <f>IFERROR(VLOOKUP(B341,#REF!,1,0),0)</f>
        <v>0</v>
      </c>
    </row>
    <row r="342" spans="1:18" x14ac:dyDescent="0.25">
      <c r="A342" s="57">
        <v>341</v>
      </c>
      <c r="B342" s="57" t="s">
        <v>1518</v>
      </c>
      <c r="C342" s="57">
        <v>1</v>
      </c>
      <c r="D342" s="57" t="s">
        <v>1748</v>
      </c>
      <c r="E342" s="57" t="s">
        <v>1760</v>
      </c>
      <c r="F342" s="57">
        <v>4862</v>
      </c>
      <c r="G342" s="57">
        <v>3430</v>
      </c>
      <c r="H342" s="57">
        <v>120</v>
      </c>
      <c r="I342" s="57" t="s">
        <v>1212</v>
      </c>
      <c r="J342" s="57" t="s">
        <v>1233</v>
      </c>
      <c r="L342" s="57" t="s">
        <v>40</v>
      </c>
      <c r="M342" s="156">
        <v>45913</v>
      </c>
      <c r="N342" s="57">
        <v>0</v>
      </c>
      <c r="P342" s="167">
        <v>1.6140000000000001</v>
      </c>
      <c r="Q342" s="171">
        <v>4.0350000000000001</v>
      </c>
      <c r="R342" s="166">
        <f>IFERROR(VLOOKUP(B342,#REF!,1,0),0)</f>
        <v>0</v>
      </c>
    </row>
    <row r="343" spans="1:18" x14ac:dyDescent="0.25">
      <c r="A343" s="57">
        <v>342</v>
      </c>
      <c r="B343" s="57" t="s">
        <v>1519</v>
      </c>
      <c r="C343" s="57">
        <v>1</v>
      </c>
      <c r="D343" s="57" t="s">
        <v>1748</v>
      </c>
      <c r="E343" s="57" t="s">
        <v>1758</v>
      </c>
      <c r="F343" s="57">
        <v>2400</v>
      </c>
      <c r="G343" s="57">
        <v>3450</v>
      </c>
      <c r="H343" s="57">
        <v>120</v>
      </c>
      <c r="I343" s="57" t="s">
        <v>1206</v>
      </c>
      <c r="J343" s="57" t="s">
        <v>1228</v>
      </c>
      <c r="L343" s="57" t="s">
        <v>40</v>
      </c>
      <c r="M343" s="156">
        <v>45913</v>
      </c>
      <c r="N343" s="57">
        <v>0</v>
      </c>
      <c r="P343" s="167">
        <v>1.1040000000000001</v>
      </c>
      <c r="Q343" s="171">
        <v>2.76</v>
      </c>
      <c r="R343" s="166">
        <f>IFERROR(VLOOKUP(B343,#REF!,1,0),0)</f>
        <v>0</v>
      </c>
    </row>
    <row r="344" spans="1:18" x14ac:dyDescent="0.25">
      <c r="A344" s="57">
        <v>343</v>
      </c>
      <c r="B344" s="57" t="s">
        <v>1520</v>
      </c>
      <c r="C344" s="57">
        <v>1</v>
      </c>
      <c r="D344" s="57" t="s">
        <v>1748</v>
      </c>
      <c r="E344" s="57" t="s">
        <v>1758</v>
      </c>
      <c r="F344" s="57">
        <v>5220</v>
      </c>
      <c r="G344" s="57">
        <v>2860</v>
      </c>
      <c r="H344" s="57">
        <v>120</v>
      </c>
      <c r="I344" s="57" t="s">
        <v>1206</v>
      </c>
      <c r="J344" s="57" t="s">
        <v>1224</v>
      </c>
      <c r="L344" s="57" t="s">
        <v>40</v>
      </c>
      <c r="M344" s="156">
        <v>45913</v>
      </c>
      <c r="N344" s="57">
        <v>0</v>
      </c>
      <c r="P344" s="167">
        <v>2.0470000000000002</v>
      </c>
      <c r="Q344" s="171">
        <v>5.1180000000000003</v>
      </c>
      <c r="R344" s="166">
        <f>IFERROR(VLOOKUP(B344,#REF!,1,0),0)</f>
        <v>0</v>
      </c>
    </row>
    <row r="345" spans="1:18" x14ac:dyDescent="0.25">
      <c r="A345" s="57">
        <v>344</v>
      </c>
      <c r="B345" s="57" t="s">
        <v>1521</v>
      </c>
      <c r="C345" s="57">
        <v>1</v>
      </c>
      <c r="D345" s="57" t="s">
        <v>1748</v>
      </c>
      <c r="E345" s="57" t="s">
        <v>1758</v>
      </c>
      <c r="F345" s="57">
        <v>5220</v>
      </c>
      <c r="G345" s="57">
        <v>2920</v>
      </c>
      <c r="H345" s="57">
        <v>120</v>
      </c>
      <c r="I345" s="57" t="s">
        <v>1206</v>
      </c>
      <c r="J345" s="57" t="s">
        <v>1224</v>
      </c>
      <c r="L345" s="57" t="s">
        <v>40</v>
      </c>
      <c r="M345" s="156">
        <v>45913</v>
      </c>
      <c r="N345" s="57">
        <v>0</v>
      </c>
      <c r="P345" s="167">
        <v>2.0840000000000001</v>
      </c>
      <c r="Q345" s="171">
        <v>5.21</v>
      </c>
      <c r="R345" s="166">
        <f>IFERROR(VLOOKUP(B345,#REF!,1,0),0)</f>
        <v>0</v>
      </c>
    </row>
    <row r="346" spans="1:18" x14ac:dyDescent="0.25">
      <c r="A346" s="57">
        <v>345</v>
      </c>
      <c r="B346" s="57" t="s">
        <v>1522</v>
      </c>
      <c r="C346" s="57">
        <v>1</v>
      </c>
      <c r="D346" s="57" t="s">
        <v>1748</v>
      </c>
      <c r="E346" s="57" t="s">
        <v>1759</v>
      </c>
      <c r="F346" s="57">
        <v>5220</v>
      </c>
      <c r="G346" s="57">
        <v>2920</v>
      </c>
      <c r="H346" s="57">
        <v>120</v>
      </c>
      <c r="I346" s="57" t="s">
        <v>1206</v>
      </c>
      <c r="J346" s="57" t="s">
        <v>1224</v>
      </c>
      <c r="L346" s="57" t="s">
        <v>40</v>
      </c>
      <c r="M346" s="156">
        <v>45913</v>
      </c>
      <c r="N346" s="57">
        <v>0</v>
      </c>
      <c r="P346" s="167">
        <v>2.0840000000000001</v>
      </c>
      <c r="Q346" s="171">
        <v>5.21</v>
      </c>
      <c r="R346" s="166">
        <f>IFERROR(VLOOKUP(B346,#REF!,1,0),0)</f>
        <v>0</v>
      </c>
    </row>
    <row r="347" spans="1:18" x14ac:dyDescent="0.25">
      <c r="A347" s="57">
        <v>346</v>
      </c>
      <c r="B347" s="57" t="s">
        <v>1523</v>
      </c>
      <c r="C347" s="57">
        <v>1</v>
      </c>
      <c r="D347" s="57" t="s">
        <v>1748</v>
      </c>
      <c r="E347" s="57" t="s">
        <v>1758</v>
      </c>
      <c r="F347" s="57">
        <v>4862</v>
      </c>
      <c r="G347" s="57">
        <v>3510</v>
      </c>
      <c r="H347" s="57">
        <v>120</v>
      </c>
      <c r="I347" s="57" t="s">
        <v>1212</v>
      </c>
      <c r="J347" s="57" t="s">
        <v>1233</v>
      </c>
      <c r="L347" s="57" t="s">
        <v>40</v>
      </c>
      <c r="M347" s="156">
        <v>45913</v>
      </c>
      <c r="N347" s="57">
        <v>0</v>
      </c>
      <c r="P347" s="167">
        <v>1.6339999999999999</v>
      </c>
      <c r="Q347" s="171">
        <v>4.085</v>
      </c>
      <c r="R347" s="166">
        <f>IFERROR(VLOOKUP(B347,#REF!,1,0),0)</f>
        <v>0</v>
      </c>
    </row>
    <row r="348" spans="1:18" x14ac:dyDescent="0.25">
      <c r="A348" s="57">
        <v>347</v>
      </c>
      <c r="B348" s="57" t="s">
        <v>1524</v>
      </c>
      <c r="C348" s="57">
        <v>1</v>
      </c>
      <c r="D348" s="57" t="s">
        <v>1748</v>
      </c>
      <c r="E348" s="57" t="s">
        <v>1758</v>
      </c>
      <c r="F348" s="57">
        <v>4862</v>
      </c>
      <c r="G348" s="57">
        <v>2250</v>
      </c>
      <c r="H348" s="57">
        <v>120</v>
      </c>
      <c r="I348" s="57" t="s">
        <v>1212</v>
      </c>
      <c r="J348" s="57" t="s">
        <v>1233</v>
      </c>
      <c r="L348" s="57" t="s">
        <v>40</v>
      </c>
      <c r="M348" s="156">
        <v>45913</v>
      </c>
      <c r="N348" s="57">
        <v>0</v>
      </c>
      <c r="P348" s="167">
        <v>1.452</v>
      </c>
      <c r="Q348" s="171">
        <v>3.63</v>
      </c>
      <c r="R348" s="166">
        <f>IFERROR(VLOOKUP(B348,#REF!,1,0),0)</f>
        <v>0</v>
      </c>
    </row>
    <row r="349" spans="1:18" x14ac:dyDescent="0.25">
      <c r="A349" s="57">
        <v>348</v>
      </c>
      <c r="B349" s="57" t="s">
        <v>1525</v>
      </c>
      <c r="C349" s="57">
        <v>1</v>
      </c>
      <c r="D349" s="57" t="s">
        <v>1748</v>
      </c>
      <c r="E349" s="57" t="s">
        <v>1761</v>
      </c>
      <c r="F349" s="57">
        <v>5220</v>
      </c>
      <c r="G349" s="57">
        <v>2870</v>
      </c>
      <c r="H349" s="57">
        <v>120</v>
      </c>
      <c r="I349" s="57" t="s">
        <v>1206</v>
      </c>
      <c r="J349" s="57" t="s">
        <v>1224</v>
      </c>
      <c r="L349" s="57" t="s">
        <v>40</v>
      </c>
      <c r="M349" s="156">
        <v>45913</v>
      </c>
      <c r="N349" s="57">
        <v>0</v>
      </c>
      <c r="P349" s="167">
        <v>2.0499999999999998</v>
      </c>
      <c r="Q349" s="171">
        <v>5.125</v>
      </c>
      <c r="R349" s="166">
        <f>IFERROR(VLOOKUP(B349,#REF!,1,0),0)</f>
        <v>0</v>
      </c>
    </row>
    <row r="350" spans="1:18" x14ac:dyDescent="0.25">
      <c r="A350" s="57">
        <v>349</v>
      </c>
      <c r="B350" s="57" t="s">
        <v>1526</v>
      </c>
      <c r="C350" s="57">
        <v>1</v>
      </c>
      <c r="D350" s="57" t="s">
        <v>1748</v>
      </c>
      <c r="E350" s="57" t="s">
        <v>1761</v>
      </c>
      <c r="F350" s="57">
        <v>5220</v>
      </c>
      <c r="G350" s="57">
        <v>2870</v>
      </c>
      <c r="H350" s="57">
        <v>120</v>
      </c>
      <c r="I350" s="57" t="s">
        <v>1206</v>
      </c>
      <c r="J350" s="57" t="s">
        <v>1224</v>
      </c>
      <c r="L350" s="57" t="s">
        <v>40</v>
      </c>
      <c r="M350" s="156">
        <v>45913</v>
      </c>
      <c r="N350" s="57">
        <v>0</v>
      </c>
      <c r="P350" s="167">
        <v>2.0499999999999998</v>
      </c>
      <c r="Q350" s="171">
        <v>5.125</v>
      </c>
      <c r="R350" s="166">
        <f>IFERROR(VLOOKUP(B350,#REF!,1,0),0)</f>
        <v>0</v>
      </c>
    </row>
    <row r="351" spans="1:18" x14ac:dyDescent="0.25">
      <c r="A351" s="57">
        <v>350</v>
      </c>
      <c r="B351" s="57" t="s">
        <v>1527</v>
      </c>
      <c r="C351" s="57">
        <v>1</v>
      </c>
      <c r="D351" s="57" t="s">
        <v>1748</v>
      </c>
      <c r="E351" s="57" t="s">
        <v>1761</v>
      </c>
      <c r="F351" s="57">
        <v>5220</v>
      </c>
      <c r="G351" s="57">
        <v>2870</v>
      </c>
      <c r="H351" s="57">
        <v>120</v>
      </c>
      <c r="I351" s="57" t="s">
        <v>1206</v>
      </c>
      <c r="J351" s="57" t="s">
        <v>1224</v>
      </c>
      <c r="L351" s="57" t="s">
        <v>40</v>
      </c>
      <c r="M351" s="156">
        <v>45913</v>
      </c>
      <c r="N351" s="57">
        <v>0</v>
      </c>
      <c r="P351" s="167">
        <v>2.0499999999999998</v>
      </c>
      <c r="Q351" s="171">
        <v>5.125</v>
      </c>
      <c r="R351" s="166">
        <f>IFERROR(VLOOKUP(B351,#REF!,1,0),0)</f>
        <v>0</v>
      </c>
    </row>
    <row r="352" spans="1:18" x14ac:dyDescent="0.25">
      <c r="A352" s="57">
        <v>351</v>
      </c>
      <c r="B352" s="57" t="s">
        <v>1528</v>
      </c>
      <c r="C352" s="57">
        <v>1</v>
      </c>
      <c r="D352" s="57" t="s">
        <v>1748</v>
      </c>
      <c r="E352" s="57" t="s">
        <v>1759</v>
      </c>
      <c r="F352" s="57">
        <v>5220</v>
      </c>
      <c r="G352" s="57">
        <v>2870</v>
      </c>
      <c r="H352" s="57">
        <v>120</v>
      </c>
      <c r="I352" s="57" t="s">
        <v>1206</v>
      </c>
      <c r="J352" s="57" t="s">
        <v>1224</v>
      </c>
      <c r="L352" s="57" t="s">
        <v>40</v>
      </c>
      <c r="M352" s="156">
        <v>45913</v>
      </c>
      <c r="N352" s="57">
        <v>0</v>
      </c>
      <c r="P352" s="167">
        <v>2.0499999999999998</v>
      </c>
      <c r="Q352" s="171">
        <v>5.125</v>
      </c>
      <c r="R352" s="166">
        <f>IFERROR(VLOOKUP(B352,#REF!,1,0),0)</f>
        <v>0</v>
      </c>
    </row>
    <row r="353" spans="1:18" x14ac:dyDescent="0.25">
      <c r="A353" s="57">
        <v>352</v>
      </c>
      <c r="B353" s="57" t="s">
        <v>1529</v>
      </c>
      <c r="C353" s="57">
        <v>1</v>
      </c>
      <c r="D353" s="57" t="s">
        <v>1748</v>
      </c>
      <c r="E353" s="57" t="s">
        <v>1759</v>
      </c>
      <c r="F353" s="57">
        <v>5220</v>
      </c>
      <c r="G353" s="57">
        <v>2870</v>
      </c>
      <c r="H353" s="57">
        <v>120</v>
      </c>
      <c r="I353" s="57" t="s">
        <v>1206</v>
      </c>
      <c r="J353" s="57" t="s">
        <v>1224</v>
      </c>
      <c r="L353" s="57" t="s">
        <v>40</v>
      </c>
      <c r="M353" s="156">
        <v>45913</v>
      </c>
      <c r="N353" s="57">
        <v>0</v>
      </c>
      <c r="P353" s="167">
        <v>2.0499999999999998</v>
      </c>
      <c r="Q353" s="171">
        <v>5.125</v>
      </c>
      <c r="R353" s="166">
        <f>IFERROR(VLOOKUP(B353,#REF!,1,0),0)</f>
        <v>0</v>
      </c>
    </row>
    <row r="354" spans="1:18" x14ac:dyDescent="0.25">
      <c r="A354" s="57">
        <v>353</v>
      </c>
      <c r="B354" s="57" t="s">
        <v>1530</v>
      </c>
      <c r="C354" s="57">
        <v>1</v>
      </c>
      <c r="D354" s="57" t="s">
        <v>1748</v>
      </c>
      <c r="E354" s="57" t="s">
        <v>1761</v>
      </c>
      <c r="F354" s="57">
        <v>4862</v>
      </c>
      <c r="G354" s="57">
        <v>2250</v>
      </c>
      <c r="H354" s="57">
        <v>120</v>
      </c>
      <c r="I354" s="57" t="s">
        <v>1212</v>
      </c>
      <c r="J354" s="57" t="s">
        <v>1233</v>
      </c>
      <c r="L354" s="57" t="s">
        <v>40</v>
      </c>
      <c r="M354" s="156">
        <v>45913</v>
      </c>
      <c r="N354" s="57">
        <v>0</v>
      </c>
      <c r="P354" s="167">
        <v>1.452</v>
      </c>
      <c r="Q354" s="171">
        <v>3.63</v>
      </c>
      <c r="R354" s="166">
        <f>IFERROR(VLOOKUP(B354,#REF!,1,0),0)</f>
        <v>0</v>
      </c>
    </row>
    <row r="355" spans="1:18" x14ac:dyDescent="0.25">
      <c r="A355" s="57">
        <v>354</v>
      </c>
      <c r="B355" s="57" t="s">
        <v>1531</v>
      </c>
      <c r="C355" s="57">
        <v>1</v>
      </c>
      <c r="D355" s="57" t="s">
        <v>1748</v>
      </c>
      <c r="E355" s="57" t="s">
        <v>1761</v>
      </c>
      <c r="F355" s="57">
        <v>4862</v>
      </c>
      <c r="G355" s="57">
        <v>3450</v>
      </c>
      <c r="H355" s="57">
        <v>120</v>
      </c>
      <c r="I355" s="57" t="s">
        <v>1212</v>
      </c>
      <c r="J355" s="57" t="s">
        <v>1233</v>
      </c>
      <c r="L355" s="57" t="s">
        <v>40</v>
      </c>
      <c r="M355" s="156">
        <v>45913</v>
      </c>
      <c r="N355" s="57">
        <v>0</v>
      </c>
      <c r="P355" s="167">
        <v>1.625</v>
      </c>
      <c r="Q355" s="171">
        <v>4.0629999999999997</v>
      </c>
      <c r="R355" s="166">
        <f>IFERROR(VLOOKUP(B355,#REF!,1,0),0)</f>
        <v>0</v>
      </c>
    </row>
    <row r="356" spans="1:18" x14ac:dyDescent="0.25">
      <c r="A356" s="57">
        <v>355</v>
      </c>
      <c r="B356" s="57" t="s">
        <v>1532</v>
      </c>
      <c r="C356" s="57">
        <v>1</v>
      </c>
      <c r="D356" s="57" t="s">
        <v>1748</v>
      </c>
      <c r="E356" s="57" t="s">
        <v>1759</v>
      </c>
      <c r="F356" s="57">
        <v>2400</v>
      </c>
      <c r="G356" s="57">
        <v>3380</v>
      </c>
      <c r="H356" s="57">
        <v>120</v>
      </c>
      <c r="I356" s="57" t="s">
        <v>1206</v>
      </c>
      <c r="J356" s="57" t="s">
        <v>1228</v>
      </c>
      <c r="L356" s="57" t="s">
        <v>40</v>
      </c>
      <c r="M356" s="156">
        <v>45913</v>
      </c>
      <c r="N356" s="57">
        <v>0</v>
      </c>
      <c r="P356" s="167">
        <v>1.0840000000000001</v>
      </c>
      <c r="Q356" s="171">
        <v>2.71</v>
      </c>
      <c r="R356" s="166">
        <f>IFERROR(VLOOKUP(B356,#REF!,1,0),0)</f>
        <v>0</v>
      </c>
    </row>
    <row r="357" spans="1:18" x14ac:dyDescent="0.25">
      <c r="A357" s="57">
        <v>356</v>
      </c>
      <c r="B357" s="57" t="s">
        <v>1533</v>
      </c>
      <c r="C357" s="57">
        <v>1</v>
      </c>
      <c r="D357" s="57" t="s">
        <v>1748</v>
      </c>
      <c r="E357" s="57" t="s">
        <v>1759</v>
      </c>
      <c r="F357" s="57">
        <v>5220</v>
      </c>
      <c r="G357" s="57">
        <v>2870</v>
      </c>
      <c r="H357" s="57">
        <v>120</v>
      </c>
      <c r="I357" s="57" t="s">
        <v>1206</v>
      </c>
      <c r="J357" s="57" t="s">
        <v>1224</v>
      </c>
      <c r="L357" s="57" t="s">
        <v>40</v>
      </c>
      <c r="M357" s="156">
        <v>45913</v>
      </c>
      <c r="N357" s="57">
        <v>0</v>
      </c>
      <c r="P357" s="167">
        <v>2.0499999999999998</v>
      </c>
      <c r="Q357" s="171">
        <v>5.125</v>
      </c>
      <c r="R357" s="166">
        <f>IFERROR(VLOOKUP(B357,#REF!,1,0),0)</f>
        <v>0</v>
      </c>
    </row>
    <row r="358" spans="1:18" x14ac:dyDescent="0.25">
      <c r="A358" s="57">
        <v>357</v>
      </c>
      <c r="B358" s="57" t="s">
        <v>1534</v>
      </c>
      <c r="C358" s="57">
        <v>1</v>
      </c>
      <c r="D358" s="57" t="s">
        <v>1748</v>
      </c>
      <c r="E358" s="57" t="s">
        <v>1759</v>
      </c>
      <c r="F358" s="57">
        <v>4862</v>
      </c>
      <c r="G358" s="57">
        <v>3450</v>
      </c>
      <c r="H358" s="57">
        <v>120</v>
      </c>
      <c r="I358" s="57" t="s">
        <v>1212</v>
      </c>
      <c r="J358" s="57" t="s">
        <v>1233</v>
      </c>
      <c r="L358" s="57" t="s">
        <v>40</v>
      </c>
      <c r="M358" s="156">
        <v>45913</v>
      </c>
      <c r="N358" s="57">
        <v>0</v>
      </c>
      <c r="P358" s="167">
        <v>1.5940000000000001</v>
      </c>
      <c r="Q358" s="171">
        <v>3.9849999999999999</v>
      </c>
      <c r="R358" s="166">
        <f>IFERROR(VLOOKUP(B358,#REF!,1,0),0)</f>
        <v>0</v>
      </c>
    </row>
    <row r="359" spans="1:18" x14ac:dyDescent="0.25">
      <c r="A359" s="57">
        <v>358</v>
      </c>
      <c r="B359" s="57" t="s">
        <v>1535</v>
      </c>
      <c r="C359" s="57">
        <v>1</v>
      </c>
      <c r="D359" s="57" t="s">
        <v>1748</v>
      </c>
      <c r="E359" s="57" t="s">
        <v>1759</v>
      </c>
      <c r="F359" s="57">
        <v>4862</v>
      </c>
      <c r="G359" s="57">
        <v>2180</v>
      </c>
      <c r="H359" s="57">
        <v>120</v>
      </c>
      <c r="I359" s="57" t="s">
        <v>1212</v>
      </c>
      <c r="J359" s="57" t="s">
        <v>1233</v>
      </c>
      <c r="L359" s="57" t="s">
        <v>40</v>
      </c>
      <c r="M359" s="156">
        <v>45913</v>
      </c>
      <c r="N359" s="57">
        <v>0</v>
      </c>
      <c r="P359" s="167">
        <v>1.4119999999999999</v>
      </c>
      <c r="Q359" s="171">
        <v>3.53</v>
      </c>
      <c r="R359" s="166">
        <f>IFERROR(VLOOKUP(B359,#REF!,1,0),0)</f>
        <v>0</v>
      </c>
    </row>
    <row r="360" spans="1:18" x14ac:dyDescent="0.25">
      <c r="A360" s="57">
        <v>359</v>
      </c>
      <c r="B360" s="57" t="s">
        <v>1536</v>
      </c>
      <c r="C360" s="57">
        <v>1</v>
      </c>
      <c r="D360" s="57" t="s">
        <v>1748</v>
      </c>
      <c r="E360" s="57" t="s">
        <v>1762</v>
      </c>
      <c r="F360" s="57">
        <v>5271</v>
      </c>
      <c r="G360" s="57">
        <v>3170</v>
      </c>
      <c r="H360" s="57">
        <v>120</v>
      </c>
      <c r="I360" s="57" t="s">
        <v>1206</v>
      </c>
      <c r="J360" s="57" t="s">
        <v>1210</v>
      </c>
      <c r="L360" s="57" t="s">
        <v>40</v>
      </c>
      <c r="M360" s="156">
        <v>45913</v>
      </c>
      <c r="N360" s="57">
        <v>0</v>
      </c>
      <c r="P360" s="167">
        <v>2.1040000000000001</v>
      </c>
      <c r="Q360" s="171">
        <v>5.26</v>
      </c>
      <c r="R360" s="166">
        <f>IFERROR(VLOOKUP(B360,#REF!,1,0),0)</f>
        <v>0</v>
      </c>
    </row>
    <row r="361" spans="1:18" x14ac:dyDescent="0.25">
      <c r="A361" s="57">
        <v>360</v>
      </c>
      <c r="B361" s="57" t="s">
        <v>1537</v>
      </c>
      <c r="C361" s="57">
        <v>1</v>
      </c>
      <c r="D361" s="57" t="s">
        <v>1748</v>
      </c>
      <c r="E361" s="57" t="s">
        <v>1762</v>
      </c>
      <c r="F361" s="57">
        <v>5271</v>
      </c>
      <c r="G361" s="57">
        <v>3010</v>
      </c>
      <c r="H361" s="57">
        <v>120</v>
      </c>
      <c r="I361" s="57" t="s">
        <v>1206</v>
      </c>
      <c r="J361" s="57" t="s">
        <v>1210</v>
      </c>
      <c r="L361" s="57" t="s">
        <v>40</v>
      </c>
      <c r="M361" s="156">
        <v>45913</v>
      </c>
      <c r="N361" s="57">
        <v>0</v>
      </c>
      <c r="P361" s="167">
        <v>2.0030000000000001</v>
      </c>
      <c r="Q361" s="171">
        <v>5.008</v>
      </c>
      <c r="R361" s="166">
        <f>IFERROR(VLOOKUP(B361,#REF!,1,0),0)</f>
        <v>0</v>
      </c>
    </row>
    <row r="362" spans="1:18" x14ac:dyDescent="0.25">
      <c r="A362" s="57">
        <v>361</v>
      </c>
      <c r="B362" s="57" t="s">
        <v>1538</v>
      </c>
      <c r="C362" s="57">
        <v>1</v>
      </c>
      <c r="D362" s="57" t="s">
        <v>1748</v>
      </c>
      <c r="E362" s="57" t="s">
        <v>1762</v>
      </c>
      <c r="F362" s="57">
        <v>5271</v>
      </c>
      <c r="G362" s="57">
        <v>3010</v>
      </c>
      <c r="H362" s="57">
        <v>120</v>
      </c>
      <c r="I362" s="57" t="s">
        <v>1206</v>
      </c>
      <c r="J362" s="57" t="s">
        <v>1210</v>
      </c>
      <c r="L362" s="57" t="s">
        <v>40</v>
      </c>
      <c r="M362" s="156">
        <v>45913</v>
      </c>
      <c r="N362" s="57">
        <v>0</v>
      </c>
      <c r="P362" s="167">
        <v>2.0030000000000001</v>
      </c>
      <c r="Q362" s="171">
        <v>5.008</v>
      </c>
      <c r="R362" s="166">
        <f>IFERROR(VLOOKUP(B362,#REF!,1,0),0)</f>
        <v>0</v>
      </c>
    </row>
    <row r="363" spans="1:18" x14ac:dyDescent="0.25">
      <c r="A363" s="57">
        <v>362</v>
      </c>
      <c r="B363" s="57" t="s">
        <v>1539</v>
      </c>
      <c r="C363" s="57">
        <v>1</v>
      </c>
      <c r="D363" s="57" t="s">
        <v>1748</v>
      </c>
      <c r="E363" s="57" t="s">
        <v>1762</v>
      </c>
      <c r="F363" s="57">
        <v>5271</v>
      </c>
      <c r="G363" s="57">
        <v>3010</v>
      </c>
      <c r="H363" s="57">
        <v>120</v>
      </c>
      <c r="I363" s="57" t="s">
        <v>1206</v>
      </c>
      <c r="J363" s="57" t="s">
        <v>1210</v>
      </c>
      <c r="L363" s="57" t="s">
        <v>40</v>
      </c>
      <c r="M363" s="156">
        <v>45913</v>
      </c>
      <c r="N363" s="57">
        <v>0</v>
      </c>
      <c r="P363" s="167">
        <v>2.0030000000000001</v>
      </c>
      <c r="Q363" s="171">
        <v>5.008</v>
      </c>
      <c r="R363" s="166">
        <f>IFERROR(VLOOKUP(B363,#REF!,1,0),0)</f>
        <v>0</v>
      </c>
    </row>
    <row r="364" spans="1:18" x14ac:dyDescent="0.25">
      <c r="A364" s="57">
        <v>363</v>
      </c>
      <c r="B364" s="57" t="s">
        <v>1540</v>
      </c>
      <c r="C364" s="57">
        <v>1</v>
      </c>
      <c r="D364" s="57" t="s">
        <v>1748</v>
      </c>
      <c r="E364" s="57" t="s">
        <v>1762</v>
      </c>
      <c r="F364" s="57">
        <v>5271</v>
      </c>
      <c r="G364" s="57">
        <v>3320</v>
      </c>
      <c r="H364" s="57">
        <v>120</v>
      </c>
      <c r="I364" s="57" t="s">
        <v>1206</v>
      </c>
      <c r="J364" s="57" t="s">
        <v>1362</v>
      </c>
      <c r="L364" s="57" t="s">
        <v>40</v>
      </c>
      <c r="M364" s="156">
        <v>45913</v>
      </c>
      <c r="N364" s="57">
        <v>0</v>
      </c>
      <c r="P364" s="167">
        <v>2.2789999999999999</v>
      </c>
      <c r="Q364" s="171">
        <v>5.6980000000000004</v>
      </c>
      <c r="R364" s="166">
        <f>IFERROR(VLOOKUP(B364,#REF!,1,0),0)</f>
        <v>0</v>
      </c>
    </row>
    <row r="365" spans="1:18" x14ac:dyDescent="0.25">
      <c r="A365" s="57">
        <v>364</v>
      </c>
      <c r="B365" s="57" t="s">
        <v>1541</v>
      </c>
      <c r="C365" s="57">
        <v>1</v>
      </c>
      <c r="D365" s="57" t="s">
        <v>1748</v>
      </c>
      <c r="E365" s="57" t="s">
        <v>1762</v>
      </c>
      <c r="F365" s="57">
        <v>4165</v>
      </c>
      <c r="G365" s="57">
        <v>2180</v>
      </c>
      <c r="H365" s="57">
        <v>120</v>
      </c>
      <c r="I365" s="57" t="s">
        <v>1212</v>
      </c>
      <c r="J365" s="57" t="s">
        <v>1233</v>
      </c>
      <c r="L365" s="57" t="s">
        <v>40</v>
      </c>
      <c r="M365" s="156">
        <v>45913</v>
      </c>
      <c r="N365" s="57">
        <v>0</v>
      </c>
      <c r="P365" s="167">
        <v>1.296</v>
      </c>
      <c r="Q365" s="171">
        <v>3.24</v>
      </c>
      <c r="R365" s="166">
        <f>IFERROR(VLOOKUP(B365,#REF!,1,0),0)</f>
        <v>0</v>
      </c>
    </row>
    <row r="366" spans="1:18" x14ac:dyDescent="0.25">
      <c r="A366" s="57">
        <v>365</v>
      </c>
      <c r="B366" s="57" t="s">
        <v>1542</v>
      </c>
      <c r="C366" s="57">
        <v>1</v>
      </c>
      <c r="D366" s="57" t="s">
        <v>1748</v>
      </c>
      <c r="E366" s="57" t="s">
        <v>1762</v>
      </c>
      <c r="F366" s="57">
        <v>4165</v>
      </c>
      <c r="G366" s="57">
        <v>2180</v>
      </c>
      <c r="H366" s="57">
        <v>120</v>
      </c>
      <c r="I366" s="57" t="s">
        <v>1212</v>
      </c>
      <c r="J366" s="57" t="s">
        <v>1233</v>
      </c>
      <c r="L366" s="57" t="s">
        <v>40</v>
      </c>
      <c r="M366" s="156">
        <v>45913</v>
      </c>
      <c r="N366" s="57">
        <v>0</v>
      </c>
      <c r="P366" s="167">
        <v>1.296</v>
      </c>
      <c r="Q366" s="171">
        <v>3.24</v>
      </c>
      <c r="R366" s="166">
        <f>IFERROR(VLOOKUP(B366,#REF!,1,0),0)</f>
        <v>0</v>
      </c>
    </row>
    <row r="367" spans="1:18" x14ac:dyDescent="0.25">
      <c r="A367" s="57">
        <v>366</v>
      </c>
      <c r="B367" s="57" t="s">
        <v>1543</v>
      </c>
      <c r="C367" s="57">
        <v>1</v>
      </c>
      <c r="D367" s="57" t="s">
        <v>1748</v>
      </c>
      <c r="E367" s="57" t="s">
        <v>1762</v>
      </c>
      <c r="F367" s="57">
        <v>4165</v>
      </c>
      <c r="G367" s="57">
        <v>3380</v>
      </c>
      <c r="H367" s="57">
        <v>120</v>
      </c>
      <c r="I367" s="57" t="s">
        <v>1212</v>
      </c>
      <c r="J367" s="57" t="s">
        <v>1233</v>
      </c>
      <c r="L367" s="57" t="s">
        <v>40</v>
      </c>
      <c r="M367" s="156">
        <v>45913</v>
      </c>
      <c r="N367" s="57">
        <v>0</v>
      </c>
      <c r="P367" s="167">
        <v>1.4690000000000001</v>
      </c>
      <c r="Q367" s="171">
        <v>3.673</v>
      </c>
      <c r="R367" s="166">
        <f>IFERROR(VLOOKUP(B367,#REF!,1,0),0)</f>
        <v>0</v>
      </c>
    </row>
    <row r="368" spans="1:18" x14ac:dyDescent="0.25">
      <c r="A368" s="57">
        <v>367</v>
      </c>
      <c r="B368" s="57" t="s">
        <v>1780</v>
      </c>
      <c r="C368" s="57">
        <v>1</v>
      </c>
      <c r="D368" s="57" t="s">
        <v>2019</v>
      </c>
      <c r="E368" s="57" t="s">
        <v>1781</v>
      </c>
      <c r="F368" s="57">
        <v>4690</v>
      </c>
      <c r="G368" s="57">
        <v>2190</v>
      </c>
      <c r="H368" s="57">
        <v>120</v>
      </c>
      <c r="I368" s="57" t="s">
        <v>1212</v>
      </c>
      <c r="J368" s="57" t="s">
        <v>2020</v>
      </c>
      <c r="M368" s="156">
        <v>45940</v>
      </c>
      <c r="N368" s="57">
        <v>0</v>
      </c>
      <c r="P368" s="167">
        <v>1.3640000000000001</v>
      </c>
      <c r="Q368" s="171">
        <v>3.41</v>
      </c>
      <c r="R368" s="166">
        <f>IFERROR(VLOOKUP(B368,#REF!,1,0),0)</f>
        <v>0</v>
      </c>
    </row>
    <row r="369" spans="1:18" x14ac:dyDescent="0.25">
      <c r="A369" s="57">
        <v>368</v>
      </c>
      <c r="B369" s="57" t="s">
        <v>1782</v>
      </c>
      <c r="C369" s="57">
        <v>1</v>
      </c>
      <c r="D369" s="57" t="s">
        <v>2019</v>
      </c>
      <c r="E369" s="57" t="s">
        <v>1781</v>
      </c>
      <c r="F369" s="57">
        <v>4687</v>
      </c>
      <c r="G369" s="57">
        <v>2190</v>
      </c>
      <c r="H369" s="57">
        <v>120</v>
      </c>
      <c r="I369" s="57" t="s">
        <v>1212</v>
      </c>
      <c r="J369" s="57" t="s">
        <v>2021</v>
      </c>
      <c r="M369" s="156">
        <v>45940</v>
      </c>
      <c r="N369" s="57">
        <v>0</v>
      </c>
      <c r="P369" s="167">
        <v>1.3879999999999999</v>
      </c>
      <c r="Q369" s="171">
        <v>3.47</v>
      </c>
      <c r="R369" s="166">
        <f>IFERROR(VLOOKUP(B369,#REF!,1,0),0)</f>
        <v>0</v>
      </c>
    </row>
    <row r="370" spans="1:18" x14ac:dyDescent="0.25">
      <c r="A370" s="57">
        <v>369</v>
      </c>
      <c r="B370" s="57" t="s">
        <v>1783</v>
      </c>
      <c r="C370" s="57">
        <v>1</v>
      </c>
      <c r="D370" s="57" t="s">
        <v>2019</v>
      </c>
      <c r="E370" s="57" t="s">
        <v>1784</v>
      </c>
      <c r="F370" s="57">
        <v>2400</v>
      </c>
      <c r="G370" s="57">
        <v>3520</v>
      </c>
      <c r="H370" s="57">
        <v>120</v>
      </c>
      <c r="I370" s="57" t="s">
        <v>2022</v>
      </c>
      <c r="J370" s="57" t="s">
        <v>2023</v>
      </c>
      <c r="M370" s="156">
        <v>45940</v>
      </c>
      <c r="N370" s="57">
        <v>0</v>
      </c>
      <c r="P370" s="167">
        <v>1.1240000000000001</v>
      </c>
      <c r="Q370" s="171">
        <v>2.81</v>
      </c>
      <c r="R370" s="166">
        <f>IFERROR(VLOOKUP(B370,#REF!,1,0),0)</f>
        <v>0</v>
      </c>
    </row>
    <row r="371" spans="1:18" x14ac:dyDescent="0.25">
      <c r="A371" s="57">
        <v>370</v>
      </c>
      <c r="B371" s="57" t="s">
        <v>1785</v>
      </c>
      <c r="C371" s="57">
        <v>1</v>
      </c>
      <c r="D371" s="57" t="s">
        <v>2019</v>
      </c>
      <c r="E371" s="57" t="s">
        <v>1784</v>
      </c>
      <c r="F371" s="57">
        <v>4687</v>
      </c>
      <c r="G371" s="57">
        <v>2320</v>
      </c>
      <c r="H371" s="57">
        <v>120</v>
      </c>
      <c r="I371" s="57" t="s">
        <v>1212</v>
      </c>
      <c r="J371" s="57" t="s">
        <v>2024</v>
      </c>
      <c r="M371" s="156">
        <v>45940</v>
      </c>
      <c r="N371" s="57">
        <v>0</v>
      </c>
      <c r="P371" s="167">
        <v>1.611</v>
      </c>
      <c r="Q371" s="171">
        <v>4.0279999999999996</v>
      </c>
      <c r="R371" s="166">
        <f>IFERROR(VLOOKUP(B371,#REF!,1,0),0)</f>
        <v>0</v>
      </c>
    </row>
    <row r="372" spans="1:18" x14ac:dyDescent="0.25">
      <c r="A372" s="57">
        <v>371</v>
      </c>
      <c r="B372" s="57" t="s">
        <v>1786</v>
      </c>
      <c r="C372" s="57">
        <v>1</v>
      </c>
      <c r="D372" s="57" t="s">
        <v>2019</v>
      </c>
      <c r="E372" s="57" t="s">
        <v>1784</v>
      </c>
      <c r="F372" s="57">
        <v>4690</v>
      </c>
      <c r="G372" s="57">
        <v>2580</v>
      </c>
      <c r="H372" s="57">
        <v>120</v>
      </c>
      <c r="I372" s="57" t="s">
        <v>1212</v>
      </c>
      <c r="J372" s="57" t="s">
        <v>2024</v>
      </c>
      <c r="M372" s="156">
        <v>45940</v>
      </c>
      <c r="N372" s="57">
        <v>0</v>
      </c>
      <c r="P372" s="167">
        <v>1.758</v>
      </c>
      <c r="Q372" s="171">
        <v>4.3949999999999996</v>
      </c>
      <c r="R372" s="166">
        <f>IFERROR(VLOOKUP(B372,#REF!,1,0),0)</f>
        <v>0</v>
      </c>
    </row>
    <row r="373" spans="1:18" x14ac:dyDescent="0.25">
      <c r="A373" s="57">
        <v>372</v>
      </c>
      <c r="B373" s="57" t="s">
        <v>1787</v>
      </c>
      <c r="C373" s="57">
        <v>1</v>
      </c>
      <c r="D373" s="57" t="s">
        <v>2019</v>
      </c>
      <c r="E373" s="57" t="s">
        <v>1784</v>
      </c>
      <c r="F373" s="57">
        <v>4690</v>
      </c>
      <c r="G373" s="57">
        <v>3780</v>
      </c>
      <c r="H373" s="57">
        <v>120</v>
      </c>
      <c r="I373" s="57" t="s">
        <v>1212</v>
      </c>
      <c r="J373" s="57" t="s">
        <v>2025</v>
      </c>
      <c r="K373" s="57" t="s">
        <v>2026</v>
      </c>
      <c r="M373" s="156">
        <v>45940</v>
      </c>
      <c r="N373" s="57">
        <v>0</v>
      </c>
      <c r="P373" s="167">
        <v>2.2559999999999998</v>
      </c>
      <c r="Q373" s="171">
        <v>5.64</v>
      </c>
      <c r="R373" s="166">
        <f>IFERROR(VLOOKUP(B373,#REF!,1,0),0)</f>
        <v>0</v>
      </c>
    </row>
    <row r="374" spans="1:18" x14ac:dyDescent="0.25">
      <c r="A374" s="57">
        <v>373</v>
      </c>
      <c r="B374" s="57" t="s">
        <v>1788</v>
      </c>
      <c r="C374" s="57">
        <v>1</v>
      </c>
      <c r="D374" s="57" t="s">
        <v>2019</v>
      </c>
      <c r="E374" s="57" t="s">
        <v>1789</v>
      </c>
      <c r="F374" s="57">
        <v>3765</v>
      </c>
      <c r="G374" s="57">
        <v>3915</v>
      </c>
      <c r="H374" s="57">
        <v>120</v>
      </c>
      <c r="I374" s="57" t="s">
        <v>2022</v>
      </c>
      <c r="J374" s="57" t="s">
        <v>2027</v>
      </c>
      <c r="K374" s="57" t="s">
        <v>2026</v>
      </c>
      <c r="M374" s="156">
        <v>45940</v>
      </c>
      <c r="N374" s="57">
        <v>0</v>
      </c>
      <c r="P374" s="167">
        <v>1.5940000000000001</v>
      </c>
      <c r="Q374" s="171">
        <v>3.9849999999999999</v>
      </c>
      <c r="R374" s="166">
        <f>IFERROR(VLOOKUP(B374,#REF!,1,0),0)</f>
        <v>0</v>
      </c>
    </row>
    <row r="375" spans="1:18" x14ac:dyDescent="0.25">
      <c r="A375" s="57">
        <v>374</v>
      </c>
      <c r="B375" s="57" t="s">
        <v>1790</v>
      </c>
      <c r="C375" s="57">
        <v>1</v>
      </c>
      <c r="D375" s="57" t="s">
        <v>2019</v>
      </c>
      <c r="E375" s="57" t="s">
        <v>1789</v>
      </c>
      <c r="F375" s="57">
        <v>3780</v>
      </c>
      <c r="G375" s="57">
        <v>2325</v>
      </c>
      <c r="H375" s="57">
        <v>120</v>
      </c>
      <c r="I375" s="57" t="s">
        <v>2022</v>
      </c>
      <c r="J375" s="57" t="s">
        <v>2027</v>
      </c>
      <c r="K375" s="57" t="s">
        <v>2026</v>
      </c>
      <c r="M375" s="156">
        <v>45940</v>
      </c>
      <c r="N375" s="57">
        <v>0</v>
      </c>
      <c r="P375" s="167">
        <v>1.3680000000000001</v>
      </c>
      <c r="Q375" s="171">
        <v>3.42</v>
      </c>
      <c r="R375" s="166">
        <f>IFERROR(VLOOKUP(B375,#REF!,1,0),0)</f>
        <v>0</v>
      </c>
    </row>
    <row r="376" spans="1:18" x14ac:dyDescent="0.25">
      <c r="A376" s="57">
        <v>375</v>
      </c>
      <c r="B376" s="57" t="s">
        <v>1791</v>
      </c>
      <c r="C376" s="57">
        <v>1</v>
      </c>
      <c r="D376" s="57" t="s">
        <v>2019</v>
      </c>
      <c r="E376" s="57" t="s">
        <v>1789</v>
      </c>
      <c r="F376" s="57">
        <v>3780</v>
      </c>
      <c r="G376" s="57">
        <v>2465</v>
      </c>
      <c r="H376" s="57">
        <v>120</v>
      </c>
      <c r="I376" s="57" t="s">
        <v>2022</v>
      </c>
      <c r="J376" s="57" t="s">
        <v>2027</v>
      </c>
      <c r="K376" s="57" t="s">
        <v>2026</v>
      </c>
      <c r="M376" s="156">
        <v>45940</v>
      </c>
      <c r="N376" s="57">
        <v>0</v>
      </c>
      <c r="P376" s="167">
        <v>1.431</v>
      </c>
      <c r="Q376" s="171">
        <v>3.5779999999999998</v>
      </c>
      <c r="R376" s="166">
        <f>IFERROR(VLOOKUP(B376,#REF!,1,0),0)</f>
        <v>0</v>
      </c>
    </row>
    <row r="377" spans="1:18" x14ac:dyDescent="0.25">
      <c r="A377" s="57">
        <v>376</v>
      </c>
      <c r="B377" s="57" t="s">
        <v>1983</v>
      </c>
      <c r="C377" s="57">
        <v>1</v>
      </c>
      <c r="D377" s="57" t="s">
        <v>2019</v>
      </c>
      <c r="E377" s="57" t="s">
        <v>1789</v>
      </c>
      <c r="F377" s="57">
        <v>3780</v>
      </c>
      <c r="G377" s="57">
        <v>2465</v>
      </c>
      <c r="H377" s="57">
        <v>120</v>
      </c>
      <c r="I377" s="57" t="s">
        <v>2022</v>
      </c>
      <c r="J377" s="57" t="s">
        <v>2027</v>
      </c>
      <c r="K377" s="57" t="s">
        <v>2026</v>
      </c>
      <c r="M377" s="156">
        <v>45940</v>
      </c>
      <c r="N377" s="57">
        <v>0</v>
      </c>
      <c r="P377" s="167">
        <v>1.431</v>
      </c>
      <c r="Q377" s="171">
        <v>3.5779999999999998</v>
      </c>
      <c r="R377" s="166">
        <f>IFERROR(VLOOKUP(B377,#REF!,1,0),0)</f>
        <v>0</v>
      </c>
    </row>
    <row r="378" spans="1:18" x14ac:dyDescent="0.25">
      <c r="A378" s="57">
        <v>377</v>
      </c>
      <c r="B378" s="57" t="s">
        <v>1792</v>
      </c>
      <c r="C378" s="57">
        <v>1</v>
      </c>
      <c r="D378" s="57" t="s">
        <v>2019</v>
      </c>
      <c r="E378" s="57" t="s">
        <v>1793</v>
      </c>
      <c r="F378" s="57">
        <v>2400</v>
      </c>
      <c r="G378" s="57">
        <v>3815</v>
      </c>
      <c r="H378" s="57">
        <v>120</v>
      </c>
      <c r="I378" s="57" t="s">
        <v>2022</v>
      </c>
      <c r="J378" s="57" t="s">
        <v>2028</v>
      </c>
      <c r="K378" s="57" t="s">
        <v>2026</v>
      </c>
      <c r="M378" s="156">
        <v>45940</v>
      </c>
      <c r="N378" s="57">
        <v>0</v>
      </c>
      <c r="P378" s="167">
        <v>1.423</v>
      </c>
      <c r="Q378" s="171">
        <v>3.5579999999999998</v>
      </c>
      <c r="R378" s="166">
        <f>IFERROR(VLOOKUP(B378,#REF!,1,0),0)</f>
        <v>0</v>
      </c>
    </row>
    <row r="379" spans="1:18" x14ac:dyDescent="0.25">
      <c r="A379" s="57">
        <v>378</v>
      </c>
      <c r="B379" s="57" t="s">
        <v>1794</v>
      </c>
      <c r="C379" s="57">
        <v>1</v>
      </c>
      <c r="D379" s="57" t="s">
        <v>2019</v>
      </c>
      <c r="E379" s="57" t="s">
        <v>1793</v>
      </c>
      <c r="F379" s="57">
        <v>3760</v>
      </c>
      <c r="G379" s="57">
        <v>2615</v>
      </c>
      <c r="H379" s="57">
        <v>120</v>
      </c>
      <c r="I379" s="57" t="s">
        <v>2022</v>
      </c>
      <c r="J379" s="57" t="s">
        <v>2027</v>
      </c>
      <c r="K379" s="57" t="s">
        <v>2026</v>
      </c>
      <c r="M379" s="156">
        <v>45940</v>
      </c>
      <c r="N379" s="57">
        <v>0</v>
      </c>
      <c r="P379" s="167">
        <v>1.4950000000000001</v>
      </c>
      <c r="Q379" s="171">
        <v>3.738</v>
      </c>
      <c r="R379" s="166">
        <f>IFERROR(VLOOKUP(B379,#REF!,1,0),0)</f>
        <v>0</v>
      </c>
    </row>
    <row r="380" spans="1:18" x14ac:dyDescent="0.25">
      <c r="A380" s="57">
        <v>379</v>
      </c>
      <c r="B380" s="57" t="s">
        <v>1795</v>
      </c>
      <c r="C380" s="57">
        <v>1</v>
      </c>
      <c r="D380" s="57" t="s">
        <v>2019</v>
      </c>
      <c r="E380" s="57" t="s">
        <v>1793</v>
      </c>
      <c r="F380" s="57">
        <v>3770</v>
      </c>
      <c r="G380" s="57">
        <v>2615</v>
      </c>
      <c r="H380" s="57">
        <v>120</v>
      </c>
      <c r="I380" s="57" t="s">
        <v>2022</v>
      </c>
      <c r="J380" s="57" t="s">
        <v>2029</v>
      </c>
      <c r="K380" s="57" t="s">
        <v>2026</v>
      </c>
      <c r="M380" s="156">
        <v>45940</v>
      </c>
      <c r="N380" s="57">
        <v>0</v>
      </c>
      <c r="P380" s="167">
        <v>1.631</v>
      </c>
      <c r="Q380" s="171">
        <v>4.0780000000000003</v>
      </c>
      <c r="R380" s="166">
        <f>IFERROR(VLOOKUP(B380,#REF!,1,0),0)</f>
        <v>0</v>
      </c>
    </row>
    <row r="381" spans="1:18" x14ac:dyDescent="0.25">
      <c r="A381" s="57">
        <v>380</v>
      </c>
      <c r="B381" s="57" t="s">
        <v>1796</v>
      </c>
      <c r="C381" s="57">
        <v>1</v>
      </c>
      <c r="D381" s="57" t="s">
        <v>2019</v>
      </c>
      <c r="E381" s="57" t="s">
        <v>1793</v>
      </c>
      <c r="F381" s="57">
        <v>3770</v>
      </c>
      <c r="G381" s="57">
        <v>2750</v>
      </c>
      <c r="H381" s="57">
        <v>120</v>
      </c>
      <c r="I381" s="57" t="s">
        <v>2022</v>
      </c>
      <c r="J381" s="57" t="s">
        <v>2029</v>
      </c>
      <c r="K381" s="57" t="s">
        <v>2026</v>
      </c>
      <c r="M381" s="156">
        <v>45940</v>
      </c>
      <c r="N381" s="57">
        <v>0</v>
      </c>
      <c r="P381" s="167">
        <v>1.6930000000000001</v>
      </c>
      <c r="Q381" s="171">
        <v>4.2329999999999997</v>
      </c>
      <c r="R381" s="166">
        <f>IFERROR(VLOOKUP(B381,#REF!,1,0),0)</f>
        <v>0</v>
      </c>
    </row>
    <row r="382" spans="1:18" x14ac:dyDescent="0.25">
      <c r="A382" s="57">
        <v>381</v>
      </c>
      <c r="B382" s="57" t="s">
        <v>1797</v>
      </c>
      <c r="C382" s="57">
        <v>1</v>
      </c>
      <c r="D382" s="57" t="s">
        <v>2019</v>
      </c>
      <c r="E382" s="57" t="s">
        <v>1793</v>
      </c>
      <c r="F382" s="57">
        <v>3770</v>
      </c>
      <c r="G382" s="57">
        <v>2750</v>
      </c>
      <c r="H382" s="57">
        <v>120</v>
      </c>
      <c r="I382" s="57" t="s">
        <v>2022</v>
      </c>
      <c r="J382" s="57" t="s">
        <v>2029</v>
      </c>
      <c r="K382" s="57" t="s">
        <v>2026</v>
      </c>
      <c r="M382" s="156">
        <v>45940</v>
      </c>
      <c r="N382" s="57">
        <v>0</v>
      </c>
      <c r="P382" s="167">
        <v>1.8560000000000001</v>
      </c>
      <c r="Q382" s="171">
        <v>4.6399999999999997</v>
      </c>
      <c r="R382" s="166">
        <f>IFERROR(VLOOKUP(B382,#REF!,1,0),0)</f>
        <v>0</v>
      </c>
    </row>
    <row r="383" spans="1:18" x14ac:dyDescent="0.25">
      <c r="A383" s="57">
        <v>382</v>
      </c>
      <c r="B383" s="57" t="s">
        <v>1798</v>
      </c>
      <c r="C383" s="57">
        <v>1</v>
      </c>
      <c r="D383" s="57" t="s">
        <v>2019</v>
      </c>
      <c r="E383" s="57" t="s">
        <v>1799</v>
      </c>
      <c r="F383" s="57">
        <v>3810</v>
      </c>
      <c r="G383" s="57">
        <v>4050</v>
      </c>
      <c r="H383" s="57">
        <v>120</v>
      </c>
      <c r="I383" s="57" t="s">
        <v>2022</v>
      </c>
      <c r="J383" s="57" t="s">
        <v>2029</v>
      </c>
      <c r="K383" s="57" t="s">
        <v>2026</v>
      </c>
      <c r="M383" s="156">
        <v>45940</v>
      </c>
      <c r="N383" s="57">
        <v>0</v>
      </c>
      <c r="P383" s="167">
        <v>1.855</v>
      </c>
      <c r="Q383" s="171">
        <v>4.6379999999999999</v>
      </c>
      <c r="R383" s="166">
        <f>IFERROR(VLOOKUP(B383,#REF!,1,0),0)</f>
        <v>0</v>
      </c>
    </row>
    <row r="384" spans="1:18" x14ac:dyDescent="0.25">
      <c r="A384" s="57">
        <v>383</v>
      </c>
      <c r="B384" s="57" t="s">
        <v>1800</v>
      </c>
      <c r="C384" s="57">
        <v>1</v>
      </c>
      <c r="D384" s="57" t="s">
        <v>2019</v>
      </c>
      <c r="E384" s="57" t="s">
        <v>1799</v>
      </c>
      <c r="F384" s="57">
        <v>3813</v>
      </c>
      <c r="G384" s="57">
        <v>2670</v>
      </c>
      <c r="H384" s="57">
        <v>120</v>
      </c>
      <c r="I384" s="57" t="s">
        <v>2022</v>
      </c>
      <c r="J384" s="57" t="s">
        <v>2029</v>
      </c>
      <c r="K384" s="57" t="s">
        <v>2026</v>
      </c>
      <c r="M384" s="156">
        <v>45940</v>
      </c>
      <c r="N384" s="57">
        <v>0</v>
      </c>
      <c r="P384" s="167">
        <v>1.657</v>
      </c>
      <c r="Q384" s="171">
        <v>4.1429999999999998</v>
      </c>
      <c r="R384" s="166">
        <f>IFERROR(VLOOKUP(B384,#REF!,1,0),0)</f>
        <v>0</v>
      </c>
    </row>
    <row r="385" spans="1:18" x14ac:dyDescent="0.25">
      <c r="A385" s="57">
        <v>384</v>
      </c>
      <c r="B385" s="57" t="s">
        <v>1801</v>
      </c>
      <c r="C385" s="57">
        <v>1</v>
      </c>
      <c r="D385" s="57" t="s">
        <v>2019</v>
      </c>
      <c r="E385" s="57" t="s">
        <v>1799</v>
      </c>
      <c r="F385" s="57">
        <v>3813</v>
      </c>
      <c r="G385" s="57">
        <v>2725</v>
      </c>
      <c r="H385" s="57">
        <v>120</v>
      </c>
      <c r="I385" s="57" t="s">
        <v>2022</v>
      </c>
      <c r="J385" s="57" t="s">
        <v>2029</v>
      </c>
      <c r="K385" s="57" t="s">
        <v>2026</v>
      </c>
      <c r="M385" s="156">
        <v>45940</v>
      </c>
      <c r="N385" s="57">
        <v>0</v>
      </c>
      <c r="P385" s="167">
        <v>1.6819999999999999</v>
      </c>
      <c r="Q385" s="171">
        <v>4.2050000000000001</v>
      </c>
      <c r="R385" s="166">
        <f>IFERROR(VLOOKUP(B385,#REF!,1,0),0)</f>
        <v>0</v>
      </c>
    </row>
    <row r="386" spans="1:18" x14ac:dyDescent="0.25">
      <c r="A386" s="57">
        <v>385</v>
      </c>
      <c r="B386" s="57" t="s">
        <v>1984</v>
      </c>
      <c r="C386" s="57">
        <v>1</v>
      </c>
      <c r="D386" s="57" t="s">
        <v>2019</v>
      </c>
      <c r="E386" s="57" t="s">
        <v>1799</v>
      </c>
      <c r="F386" s="57">
        <v>3813</v>
      </c>
      <c r="G386" s="57">
        <v>2725</v>
      </c>
      <c r="H386" s="57">
        <v>120</v>
      </c>
      <c r="I386" s="57" t="s">
        <v>2022</v>
      </c>
      <c r="J386" s="57" t="s">
        <v>2029</v>
      </c>
      <c r="K386" s="57" t="s">
        <v>2026</v>
      </c>
      <c r="M386" s="156">
        <v>45940</v>
      </c>
      <c r="N386" s="57">
        <v>0</v>
      </c>
      <c r="P386" s="167">
        <v>1.6819999999999999</v>
      </c>
      <c r="Q386" s="171">
        <v>4.2050000000000001</v>
      </c>
      <c r="R386" s="166">
        <f>IFERROR(VLOOKUP(B386,#REF!,1,0),0)</f>
        <v>0</v>
      </c>
    </row>
    <row r="387" spans="1:18" x14ac:dyDescent="0.25">
      <c r="A387" s="57">
        <v>386</v>
      </c>
      <c r="B387" s="57" t="s">
        <v>1802</v>
      </c>
      <c r="C387" s="57">
        <v>1</v>
      </c>
      <c r="D387" s="57" t="s">
        <v>2019</v>
      </c>
      <c r="E387" s="57" t="s">
        <v>1799</v>
      </c>
      <c r="F387" s="57">
        <v>3813</v>
      </c>
      <c r="G387" s="57">
        <v>2725</v>
      </c>
      <c r="H387" s="57">
        <v>120</v>
      </c>
      <c r="I387" s="57" t="s">
        <v>2022</v>
      </c>
      <c r="J387" s="57" t="s">
        <v>2029</v>
      </c>
      <c r="K387" s="57" t="s">
        <v>2026</v>
      </c>
      <c r="M387" s="156">
        <v>45940</v>
      </c>
      <c r="N387" s="57">
        <v>0</v>
      </c>
      <c r="P387" s="167">
        <v>1.6819999999999999</v>
      </c>
      <c r="Q387" s="171">
        <v>4.2050000000000001</v>
      </c>
      <c r="R387" s="166">
        <f>IFERROR(VLOOKUP(B387,#REF!,1,0),0)</f>
        <v>0</v>
      </c>
    </row>
    <row r="388" spans="1:18" x14ac:dyDescent="0.25">
      <c r="A388" s="57">
        <v>387</v>
      </c>
      <c r="B388" s="57" t="s">
        <v>1803</v>
      </c>
      <c r="C388" s="57">
        <v>1</v>
      </c>
      <c r="D388" s="57" t="s">
        <v>2019</v>
      </c>
      <c r="E388" s="57" t="s">
        <v>1804</v>
      </c>
      <c r="F388" s="57">
        <v>2400</v>
      </c>
      <c r="G388" s="57">
        <v>3775</v>
      </c>
      <c r="H388" s="57">
        <v>120</v>
      </c>
      <c r="I388" s="57" t="s">
        <v>2022</v>
      </c>
      <c r="J388" s="57" t="s">
        <v>2030</v>
      </c>
      <c r="K388" s="57" t="s">
        <v>2026</v>
      </c>
      <c r="M388" s="156">
        <v>45940</v>
      </c>
      <c r="N388" s="57">
        <v>0</v>
      </c>
      <c r="P388" s="167">
        <v>1.4119999999999999</v>
      </c>
      <c r="Q388" s="171">
        <v>3.53</v>
      </c>
      <c r="R388" s="166">
        <f>IFERROR(VLOOKUP(B388,#REF!,1,0),0)</f>
        <v>0</v>
      </c>
    </row>
    <row r="389" spans="1:18" x14ac:dyDescent="0.25">
      <c r="A389" s="57">
        <v>388</v>
      </c>
      <c r="B389" s="57" t="s">
        <v>1805</v>
      </c>
      <c r="C389" s="57">
        <v>1</v>
      </c>
      <c r="D389" s="57" t="s">
        <v>2019</v>
      </c>
      <c r="E389" s="57" t="s">
        <v>1804</v>
      </c>
      <c r="F389" s="57">
        <v>3624</v>
      </c>
      <c r="G389" s="57">
        <v>2575</v>
      </c>
      <c r="H389" s="57">
        <v>120</v>
      </c>
      <c r="I389" s="57" t="s">
        <v>2022</v>
      </c>
      <c r="J389" s="57" t="s">
        <v>2027</v>
      </c>
      <c r="K389" s="57" t="s">
        <v>2026</v>
      </c>
      <c r="M389" s="156">
        <v>45940</v>
      </c>
      <c r="N389" s="57">
        <v>0</v>
      </c>
      <c r="P389" s="167">
        <v>1.448</v>
      </c>
      <c r="Q389" s="171">
        <v>3.62</v>
      </c>
      <c r="R389" s="166">
        <f>IFERROR(VLOOKUP(B389,#REF!,1,0),0)</f>
        <v>0</v>
      </c>
    </row>
    <row r="390" spans="1:18" x14ac:dyDescent="0.25">
      <c r="A390" s="57">
        <v>389</v>
      </c>
      <c r="B390" s="57" t="s">
        <v>1806</v>
      </c>
      <c r="C390" s="57">
        <v>1</v>
      </c>
      <c r="D390" s="57" t="s">
        <v>2019</v>
      </c>
      <c r="E390" s="57" t="s">
        <v>1804</v>
      </c>
      <c r="F390" s="57">
        <v>3627</v>
      </c>
      <c r="G390" s="57">
        <v>2575</v>
      </c>
      <c r="H390" s="57">
        <v>120</v>
      </c>
      <c r="I390" s="57" t="s">
        <v>2022</v>
      </c>
      <c r="J390" s="57" t="s">
        <v>2027</v>
      </c>
      <c r="K390" s="57" t="s">
        <v>2026</v>
      </c>
      <c r="M390" s="156">
        <v>45940</v>
      </c>
      <c r="N390" s="57">
        <v>0</v>
      </c>
      <c r="P390" s="167">
        <v>1.448</v>
      </c>
      <c r="Q390" s="171">
        <v>3.62</v>
      </c>
      <c r="R390" s="166">
        <f>IFERROR(VLOOKUP(B390,#REF!,1,0),0)</f>
        <v>0</v>
      </c>
    </row>
    <row r="391" spans="1:18" x14ac:dyDescent="0.25">
      <c r="A391" s="57">
        <v>390</v>
      </c>
      <c r="B391" s="57" t="s">
        <v>1807</v>
      </c>
      <c r="C391" s="57">
        <v>1</v>
      </c>
      <c r="D391" s="57" t="s">
        <v>2019</v>
      </c>
      <c r="E391" s="57" t="s">
        <v>1804</v>
      </c>
      <c r="F391" s="57">
        <v>3627</v>
      </c>
      <c r="G391" s="57">
        <v>2395</v>
      </c>
      <c r="H391" s="57">
        <v>120</v>
      </c>
      <c r="I391" s="57" t="s">
        <v>2022</v>
      </c>
      <c r="J391" s="57" t="s">
        <v>2027</v>
      </c>
      <c r="K391" s="57" t="s">
        <v>2026</v>
      </c>
      <c r="M391" s="156">
        <v>45940</v>
      </c>
      <c r="N391" s="57">
        <v>0</v>
      </c>
      <c r="P391" s="167">
        <v>1.37</v>
      </c>
      <c r="Q391" s="171">
        <v>3.4249999999999998</v>
      </c>
      <c r="R391" s="166">
        <f>IFERROR(VLOOKUP(B391,#REF!,1,0),0)</f>
        <v>0</v>
      </c>
    </row>
    <row r="392" spans="1:18" x14ac:dyDescent="0.25">
      <c r="A392" s="57">
        <v>391</v>
      </c>
      <c r="B392" s="57" t="s">
        <v>1985</v>
      </c>
      <c r="C392" s="57">
        <v>1</v>
      </c>
      <c r="D392" s="57" t="s">
        <v>2019</v>
      </c>
      <c r="E392" s="57" t="s">
        <v>1804</v>
      </c>
      <c r="F392" s="57">
        <v>3627</v>
      </c>
      <c r="G392" s="57">
        <v>2395</v>
      </c>
      <c r="H392" s="57">
        <v>120</v>
      </c>
      <c r="I392" s="57" t="s">
        <v>2022</v>
      </c>
      <c r="J392" s="57" t="s">
        <v>2027</v>
      </c>
      <c r="K392" s="57" t="s">
        <v>2026</v>
      </c>
      <c r="M392" s="156">
        <v>45940</v>
      </c>
      <c r="N392" s="57">
        <v>0</v>
      </c>
      <c r="P392" s="167">
        <v>1.37</v>
      </c>
      <c r="Q392" s="171">
        <v>3.4249999999999998</v>
      </c>
      <c r="R392" s="166">
        <f>IFERROR(VLOOKUP(B392,#REF!,1,0),0)</f>
        <v>0</v>
      </c>
    </row>
    <row r="393" spans="1:18" x14ac:dyDescent="0.25">
      <c r="A393" s="57">
        <v>392</v>
      </c>
      <c r="B393" s="57" t="s">
        <v>1808</v>
      </c>
      <c r="C393" s="57">
        <v>1</v>
      </c>
      <c r="D393" s="57" t="s">
        <v>2019</v>
      </c>
      <c r="E393" s="57" t="s">
        <v>1804</v>
      </c>
      <c r="F393" s="57">
        <v>3627</v>
      </c>
      <c r="G393" s="57">
        <v>2395</v>
      </c>
      <c r="H393" s="57">
        <v>120</v>
      </c>
      <c r="I393" s="57" t="s">
        <v>2022</v>
      </c>
      <c r="J393" s="57" t="s">
        <v>2027</v>
      </c>
      <c r="K393" s="57" t="s">
        <v>2026</v>
      </c>
      <c r="M393" s="156">
        <v>45940</v>
      </c>
      <c r="N393" s="57">
        <v>0</v>
      </c>
      <c r="P393" s="167">
        <v>1.569</v>
      </c>
      <c r="Q393" s="171">
        <v>3.923</v>
      </c>
      <c r="R393" s="166">
        <f>IFERROR(VLOOKUP(B393,#REF!,1,0),0)</f>
        <v>0</v>
      </c>
    </row>
    <row r="394" spans="1:18" x14ac:dyDescent="0.25">
      <c r="A394" s="57">
        <v>393</v>
      </c>
      <c r="B394" s="57" t="s">
        <v>1809</v>
      </c>
      <c r="C394" s="57">
        <v>1</v>
      </c>
      <c r="D394" s="57" t="s">
        <v>2019</v>
      </c>
      <c r="E394" s="57" t="s">
        <v>1810</v>
      </c>
      <c r="F394" s="57">
        <v>2400</v>
      </c>
      <c r="G394" s="57">
        <v>3580</v>
      </c>
      <c r="H394" s="57">
        <v>120</v>
      </c>
      <c r="I394" s="57" t="s">
        <v>2022</v>
      </c>
      <c r="J394" s="57" t="s">
        <v>2023</v>
      </c>
      <c r="M394" s="156">
        <v>45940</v>
      </c>
      <c r="N394" s="57">
        <v>0</v>
      </c>
      <c r="P394" s="167">
        <v>1.141</v>
      </c>
      <c r="Q394" s="171">
        <v>2.8530000000000002</v>
      </c>
      <c r="R394" s="166">
        <f>IFERROR(VLOOKUP(B394,#REF!,1,0),0)</f>
        <v>0</v>
      </c>
    </row>
    <row r="395" spans="1:18" x14ac:dyDescent="0.25">
      <c r="A395" s="57">
        <v>394</v>
      </c>
      <c r="B395" s="57" t="s">
        <v>1811</v>
      </c>
      <c r="C395" s="57">
        <v>1</v>
      </c>
      <c r="D395" s="57" t="s">
        <v>2019</v>
      </c>
      <c r="E395" s="57" t="s">
        <v>1810</v>
      </c>
      <c r="F395" s="57">
        <v>4862</v>
      </c>
      <c r="G395" s="57">
        <v>3580</v>
      </c>
      <c r="H395" s="57">
        <v>120</v>
      </c>
      <c r="I395" s="57" t="s">
        <v>1212</v>
      </c>
      <c r="J395" s="57" t="s">
        <v>2024</v>
      </c>
      <c r="M395" s="156">
        <v>45940</v>
      </c>
      <c r="N395" s="57">
        <v>0</v>
      </c>
      <c r="P395" s="167">
        <v>1.851</v>
      </c>
      <c r="Q395" s="171">
        <v>4.6280000000000001</v>
      </c>
      <c r="R395" s="166">
        <f>IFERROR(VLOOKUP(B395,#REF!,1,0),0)</f>
        <v>0</v>
      </c>
    </row>
    <row r="396" spans="1:18" x14ac:dyDescent="0.25">
      <c r="A396" s="57">
        <v>395</v>
      </c>
      <c r="B396" s="57" t="s">
        <v>1812</v>
      </c>
      <c r="C396" s="57">
        <v>1</v>
      </c>
      <c r="D396" s="57" t="s">
        <v>2019</v>
      </c>
      <c r="E396" s="57" t="s">
        <v>1810</v>
      </c>
      <c r="F396" s="57">
        <v>4862</v>
      </c>
      <c r="G396" s="57">
        <v>2380</v>
      </c>
      <c r="H396" s="57">
        <v>120</v>
      </c>
      <c r="I396" s="57" t="s">
        <v>1212</v>
      </c>
      <c r="J396" s="57" t="s">
        <v>2024</v>
      </c>
      <c r="M396" s="156">
        <v>45940</v>
      </c>
      <c r="N396" s="57">
        <v>0</v>
      </c>
      <c r="P396" s="167">
        <v>1.679</v>
      </c>
      <c r="Q396" s="171">
        <v>4.1980000000000004</v>
      </c>
      <c r="R396" s="166">
        <f>IFERROR(VLOOKUP(B396,#REF!,1,0),0)</f>
        <v>0</v>
      </c>
    </row>
    <row r="397" spans="1:18" x14ac:dyDescent="0.25">
      <c r="A397" s="57">
        <v>396</v>
      </c>
      <c r="B397" s="57" t="s">
        <v>1813</v>
      </c>
      <c r="C397" s="57">
        <v>1</v>
      </c>
      <c r="D397" s="57" t="s">
        <v>2019</v>
      </c>
      <c r="E397" s="57" t="s">
        <v>1814</v>
      </c>
      <c r="F397" s="57">
        <v>4862</v>
      </c>
      <c r="G397" s="57">
        <v>1490</v>
      </c>
      <c r="H397" s="57">
        <v>120</v>
      </c>
      <c r="I397" s="57" t="s">
        <v>1212</v>
      </c>
      <c r="J397" s="57" t="s">
        <v>2020</v>
      </c>
      <c r="M397" s="156">
        <v>45940</v>
      </c>
      <c r="N397" s="57">
        <v>0</v>
      </c>
      <c r="P397" s="167">
        <v>1.595</v>
      </c>
      <c r="Q397" s="171">
        <v>3.988</v>
      </c>
      <c r="R397" s="166">
        <f>IFERROR(VLOOKUP(B397,#REF!,1,0),0)</f>
        <v>0</v>
      </c>
    </row>
    <row r="398" spans="1:18" x14ac:dyDescent="0.25">
      <c r="A398" s="57">
        <v>397</v>
      </c>
      <c r="B398" s="57" t="s">
        <v>1815</v>
      </c>
      <c r="C398" s="57">
        <v>1</v>
      </c>
      <c r="D398" s="57" t="s">
        <v>2019</v>
      </c>
      <c r="E398" s="57" t="s">
        <v>1814</v>
      </c>
      <c r="F398" s="57">
        <v>4862</v>
      </c>
      <c r="G398" s="57">
        <v>2170</v>
      </c>
      <c r="H398" s="57">
        <v>120</v>
      </c>
      <c r="I398" s="57" t="s">
        <v>1212</v>
      </c>
      <c r="J398" s="57" t="s">
        <v>2021</v>
      </c>
      <c r="M398" s="156">
        <v>45940</v>
      </c>
      <c r="N398" s="57">
        <v>0</v>
      </c>
      <c r="P398" s="167">
        <v>1.4059999999999999</v>
      </c>
      <c r="Q398" s="171">
        <v>3.5150000000000001</v>
      </c>
      <c r="R398" s="166">
        <f>IFERROR(VLOOKUP(B398,#REF!,1,0),0)</f>
        <v>0</v>
      </c>
    </row>
    <row r="399" spans="1:18" x14ac:dyDescent="0.25">
      <c r="A399" s="57">
        <v>398</v>
      </c>
      <c r="B399" s="57" t="s">
        <v>1816</v>
      </c>
      <c r="C399" s="57">
        <v>1</v>
      </c>
      <c r="D399" s="57" t="s">
        <v>2019</v>
      </c>
      <c r="E399" s="57" t="s">
        <v>1817</v>
      </c>
      <c r="F399" s="57">
        <v>4862</v>
      </c>
      <c r="G399" s="57">
        <v>3520</v>
      </c>
      <c r="H399" s="57">
        <v>120</v>
      </c>
      <c r="I399" s="57" t="s">
        <v>1212</v>
      </c>
      <c r="J399" s="57" t="s">
        <v>2024</v>
      </c>
      <c r="M399" s="156">
        <v>45940</v>
      </c>
      <c r="N399" s="57">
        <v>0</v>
      </c>
      <c r="P399" s="167">
        <v>1.8160000000000001</v>
      </c>
      <c r="Q399" s="171">
        <v>4.54</v>
      </c>
      <c r="R399" s="166">
        <f>IFERROR(VLOOKUP(B399,#REF!,1,0),0)</f>
        <v>0</v>
      </c>
    </row>
    <row r="400" spans="1:18" x14ac:dyDescent="0.25">
      <c r="A400" s="57">
        <v>399</v>
      </c>
      <c r="B400" s="57" t="s">
        <v>1818</v>
      </c>
      <c r="C400" s="57">
        <v>1</v>
      </c>
      <c r="D400" s="57" t="s">
        <v>2019</v>
      </c>
      <c r="E400" s="57" t="s">
        <v>1817</v>
      </c>
      <c r="F400" s="57">
        <v>4862</v>
      </c>
      <c r="G400" s="57">
        <v>2320</v>
      </c>
      <c r="H400" s="57">
        <v>120</v>
      </c>
      <c r="I400" s="57" t="s">
        <v>1212</v>
      </c>
      <c r="J400" s="57" t="s">
        <v>2024</v>
      </c>
      <c r="M400" s="156">
        <v>45940</v>
      </c>
      <c r="N400" s="57">
        <v>0</v>
      </c>
      <c r="P400" s="167">
        <v>1.6439999999999999</v>
      </c>
      <c r="Q400" s="171">
        <v>4.1100000000000003</v>
      </c>
      <c r="R400" s="166">
        <f>IFERROR(VLOOKUP(B400,#REF!,1,0),0)</f>
        <v>0</v>
      </c>
    </row>
    <row r="401" spans="1:18" x14ac:dyDescent="0.25">
      <c r="A401" s="57">
        <v>400</v>
      </c>
      <c r="B401" s="57" t="s">
        <v>1819</v>
      </c>
      <c r="C401" s="57">
        <v>1</v>
      </c>
      <c r="D401" s="57" t="s">
        <v>2019</v>
      </c>
      <c r="E401" s="57" t="s">
        <v>1820</v>
      </c>
      <c r="F401" s="57">
        <v>2400</v>
      </c>
      <c r="G401" s="57">
        <v>3520</v>
      </c>
      <c r="H401" s="57">
        <v>120</v>
      </c>
      <c r="I401" s="57" t="s">
        <v>2022</v>
      </c>
      <c r="J401" s="57" t="s">
        <v>2023</v>
      </c>
      <c r="M401" s="156">
        <v>45940</v>
      </c>
      <c r="N401" s="57">
        <v>0</v>
      </c>
      <c r="P401" s="167">
        <v>1.1240000000000001</v>
      </c>
      <c r="Q401" s="171">
        <v>2.81</v>
      </c>
      <c r="R401" s="166">
        <f>IFERROR(VLOOKUP(B401,#REF!,1,0),0)</f>
        <v>0</v>
      </c>
    </row>
    <row r="402" spans="1:18" x14ac:dyDescent="0.25">
      <c r="A402" s="57">
        <v>401</v>
      </c>
      <c r="B402" s="57" t="s">
        <v>1821</v>
      </c>
      <c r="C402" s="57">
        <v>1</v>
      </c>
      <c r="D402" s="57" t="s">
        <v>2019</v>
      </c>
      <c r="E402" s="57" t="s">
        <v>1820</v>
      </c>
      <c r="F402" s="57">
        <v>4862</v>
      </c>
      <c r="G402" s="57">
        <v>1480</v>
      </c>
      <c r="H402" s="57">
        <v>120</v>
      </c>
      <c r="I402" s="57" t="s">
        <v>1212</v>
      </c>
      <c r="J402" s="57" t="s">
        <v>2020</v>
      </c>
      <c r="M402" s="156">
        <v>45940</v>
      </c>
      <c r="N402" s="57">
        <v>0</v>
      </c>
      <c r="P402" s="167">
        <v>1.5760000000000001</v>
      </c>
      <c r="Q402" s="171">
        <v>3.94</v>
      </c>
      <c r="R402" s="166">
        <f>IFERROR(VLOOKUP(B402,#REF!,1,0),0)</f>
        <v>0</v>
      </c>
    </row>
    <row r="403" spans="1:18" x14ac:dyDescent="0.25">
      <c r="A403" s="57">
        <v>402</v>
      </c>
      <c r="B403" s="57" t="s">
        <v>1822</v>
      </c>
      <c r="C403" s="57">
        <v>1</v>
      </c>
      <c r="D403" s="57" t="s">
        <v>2019</v>
      </c>
      <c r="E403" s="57" t="s">
        <v>1820</v>
      </c>
      <c r="F403" s="57">
        <v>4862</v>
      </c>
      <c r="G403" s="57">
        <v>2140</v>
      </c>
      <c r="H403" s="57">
        <v>120</v>
      </c>
      <c r="I403" s="57" t="s">
        <v>1212</v>
      </c>
      <c r="J403" s="57" t="s">
        <v>2021</v>
      </c>
      <c r="M403" s="156">
        <v>45940</v>
      </c>
      <c r="N403" s="57">
        <v>0</v>
      </c>
      <c r="P403" s="167">
        <v>1.389</v>
      </c>
      <c r="Q403" s="171">
        <v>3.4729999999999999</v>
      </c>
      <c r="R403" s="166">
        <f>IFERROR(VLOOKUP(B403,#REF!,1,0),0)</f>
        <v>0</v>
      </c>
    </row>
    <row r="404" spans="1:18" x14ac:dyDescent="0.25">
      <c r="A404" s="57">
        <v>403</v>
      </c>
      <c r="B404" s="57" t="s">
        <v>1823</v>
      </c>
      <c r="C404" s="57">
        <v>1</v>
      </c>
      <c r="D404" s="57" t="s">
        <v>2019</v>
      </c>
      <c r="E404" s="57" t="s">
        <v>1824</v>
      </c>
      <c r="F404" s="57">
        <v>4862</v>
      </c>
      <c r="G404" s="57">
        <v>3480</v>
      </c>
      <c r="H404" s="57">
        <v>120</v>
      </c>
      <c r="I404" s="57" t="s">
        <v>1212</v>
      </c>
      <c r="J404" s="57" t="s">
        <v>2024</v>
      </c>
      <c r="M404" s="156">
        <v>45940</v>
      </c>
      <c r="N404" s="57">
        <v>0</v>
      </c>
      <c r="P404" s="167">
        <v>1.7929999999999999</v>
      </c>
      <c r="Q404" s="171">
        <v>4.4829999999999997</v>
      </c>
      <c r="R404" s="166">
        <f>IFERROR(VLOOKUP(B404,#REF!,1,0),0)</f>
        <v>0</v>
      </c>
    </row>
    <row r="405" spans="1:18" x14ac:dyDescent="0.25">
      <c r="A405" s="57">
        <v>404</v>
      </c>
      <c r="B405" s="57" t="s">
        <v>1825</v>
      </c>
      <c r="C405" s="57">
        <v>1</v>
      </c>
      <c r="D405" s="57" t="s">
        <v>2019</v>
      </c>
      <c r="E405" s="57" t="s">
        <v>1824</v>
      </c>
      <c r="F405" s="57">
        <v>4862</v>
      </c>
      <c r="G405" s="57">
        <v>2280</v>
      </c>
      <c r="H405" s="57">
        <v>120</v>
      </c>
      <c r="I405" s="57" t="s">
        <v>1212</v>
      </c>
      <c r="J405" s="57" t="s">
        <v>2024</v>
      </c>
      <c r="M405" s="156">
        <v>45940</v>
      </c>
      <c r="N405" s="57">
        <v>0</v>
      </c>
      <c r="P405" s="167">
        <v>1.621</v>
      </c>
      <c r="Q405" s="171">
        <v>4.0529999999999999</v>
      </c>
      <c r="R405" s="166">
        <f>IFERROR(VLOOKUP(B405,#REF!,1,0),0)</f>
        <v>0</v>
      </c>
    </row>
    <row r="406" spans="1:18" x14ac:dyDescent="0.25">
      <c r="A406" s="57">
        <v>405</v>
      </c>
      <c r="B406" s="57" t="s">
        <v>1826</v>
      </c>
      <c r="C406" s="57">
        <v>1</v>
      </c>
      <c r="D406" s="57" t="s">
        <v>2019</v>
      </c>
      <c r="E406" s="57" t="s">
        <v>1827</v>
      </c>
      <c r="F406" s="57">
        <v>2400</v>
      </c>
      <c r="G406" s="57">
        <v>3360</v>
      </c>
      <c r="H406" s="57">
        <v>120</v>
      </c>
      <c r="I406" s="57" t="s">
        <v>2022</v>
      </c>
      <c r="J406" s="57" t="s">
        <v>2023</v>
      </c>
      <c r="M406" s="156">
        <v>45940</v>
      </c>
      <c r="N406" s="57">
        <v>0</v>
      </c>
      <c r="P406" s="167">
        <v>1.0780000000000001</v>
      </c>
      <c r="Q406" s="171">
        <v>2.6949999999999998</v>
      </c>
      <c r="R406" s="166">
        <f>IFERROR(VLOOKUP(B406,#REF!,1,0),0)</f>
        <v>0</v>
      </c>
    </row>
    <row r="407" spans="1:18" x14ac:dyDescent="0.25">
      <c r="A407" s="57">
        <v>406</v>
      </c>
      <c r="B407" s="57" t="s">
        <v>1828</v>
      </c>
      <c r="C407" s="57">
        <v>1</v>
      </c>
      <c r="D407" s="57" t="s">
        <v>2019</v>
      </c>
      <c r="E407" s="57" t="s">
        <v>1827</v>
      </c>
      <c r="F407" s="57">
        <v>4862</v>
      </c>
      <c r="G407" s="57">
        <v>1390</v>
      </c>
      <c r="H407" s="57">
        <v>120</v>
      </c>
      <c r="I407" s="57" t="s">
        <v>1212</v>
      </c>
      <c r="J407" s="57" t="s">
        <v>2020</v>
      </c>
      <c r="M407" s="156">
        <v>45940</v>
      </c>
      <c r="N407" s="57">
        <v>0</v>
      </c>
      <c r="P407" s="167">
        <v>1.575</v>
      </c>
      <c r="Q407" s="171">
        <v>3.9380000000000002</v>
      </c>
      <c r="R407" s="166">
        <f>IFERROR(VLOOKUP(B407,#REF!,1,0),0)</f>
        <v>0</v>
      </c>
    </row>
    <row r="408" spans="1:18" x14ac:dyDescent="0.25">
      <c r="A408" s="57">
        <v>407</v>
      </c>
      <c r="B408" s="57" t="s">
        <v>1829</v>
      </c>
      <c r="C408" s="57">
        <v>1</v>
      </c>
      <c r="D408" s="57" t="s">
        <v>2019</v>
      </c>
      <c r="E408" s="57" t="s">
        <v>1827</v>
      </c>
      <c r="F408" s="57">
        <v>4862</v>
      </c>
      <c r="G408" s="57">
        <v>2160</v>
      </c>
      <c r="H408" s="57">
        <v>120</v>
      </c>
      <c r="I408" s="57" t="s">
        <v>1212</v>
      </c>
      <c r="J408" s="57" t="s">
        <v>2021</v>
      </c>
      <c r="M408" s="156">
        <v>45940</v>
      </c>
      <c r="N408" s="57">
        <v>0</v>
      </c>
      <c r="P408" s="167">
        <v>1.375</v>
      </c>
      <c r="Q408" s="171">
        <v>3.4380000000000002</v>
      </c>
      <c r="R408" s="166">
        <f>IFERROR(VLOOKUP(B408,#REF!,1,0),0)</f>
        <v>0</v>
      </c>
    </row>
    <row r="409" spans="1:18" x14ac:dyDescent="0.25">
      <c r="A409" s="57">
        <v>408</v>
      </c>
      <c r="B409" s="57" t="s">
        <v>1830</v>
      </c>
      <c r="C409" s="57">
        <v>1</v>
      </c>
      <c r="D409" s="57" t="s">
        <v>2019</v>
      </c>
      <c r="E409" s="57" t="s">
        <v>1831</v>
      </c>
      <c r="F409" s="57">
        <v>4862</v>
      </c>
      <c r="G409" s="57">
        <v>3365</v>
      </c>
      <c r="H409" s="57">
        <v>120</v>
      </c>
      <c r="I409" s="57" t="s">
        <v>1212</v>
      </c>
      <c r="J409" s="57" t="s">
        <v>2021</v>
      </c>
      <c r="M409" s="156">
        <v>45940</v>
      </c>
      <c r="N409" s="57">
        <v>0</v>
      </c>
      <c r="P409" s="167">
        <v>1.5760000000000001</v>
      </c>
      <c r="Q409" s="171">
        <v>3.94</v>
      </c>
      <c r="R409" s="166">
        <f>IFERROR(VLOOKUP(B409,#REF!,1,0),0)</f>
        <v>0</v>
      </c>
    </row>
    <row r="410" spans="1:18" x14ac:dyDescent="0.25">
      <c r="A410" s="57">
        <v>409</v>
      </c>
      <c r="B410" s="57" t="s">
        <v>1832</v>
      </c>
      <c r="C410" s="57">
        <v>1</v>
      </c>
      <c r="D410" s="57" t="s">
        <v>2019</v>
      </c>
      <c r="E410" s="57" t="s">
        <v>1831</v>
      </c>
      <c r="F410" s="57">
        <v>4862</v>
      </c>
      <c r="G410" s="57">
        <v>2165</v>
      </c>
      <c r="H410" s="57">
        <v>120</v>
      </c>
      <c r="I410" s="57" t="s">
        <v>1212</v>
      </c>
      <c r="J410" s="57" t="s">
        <v>2021</v>
      </c>
      <c r="M410" s="156">
        <v>45940</v>
      </c>
      <c r="N410" s="57">
        <v>0</v>
      </c>
      <c r="P410" s="167">
        <v>1.403</v>
      </c>
      <c r="Q410" s="171">
        <v>3.508</v>
      </c>
      <c r="R410" s="166">
        <f>IFERROR(VLOOKUP(B410,#REF!,1,0),0)</f>
        <v>0</v>
      </c>
    </row>
    <row r="411" spans="1:18" x14ac:dyDescent="0.25">
      <c r="A411" s="57">
        <v>410</v>
      </c>
      <c r="B411" s="57" t="s">
        <v>1833</v>
      </c>
      <c r="C411" s="57">
        <v>1</v>
      </c>
      <c r="D411" s="57" t="s">
        <v>2019</v>
      </c>
      <c r="E411" s="57" t="s">
        <v>1834</v>
      </c>
      <c r="F411" s="57">
        <v>2400</v>
      </c>
      <c r="G411" s="57">
        <v>3290</v>
      </c>
      <c r="H411" s="57">
        <v>120</v>
      </c>
      <c r="I411" s="57" t="s">
        <v>2022</v>
      </c>
      <c r="J411" s="57" t="s">
        <v>2023</v>
      </c>
      <c r="M411" s="156">
        <v>45940</v>
      </c>
      <c r="N411" s="57">
        <v>0</v>
      </c>
      <c r="P411" s="167">
        <v>1.0580000000000001</v>
      </c>
      <c r="Q411" s="171">
        <v>2.645</v>
      </c>
      <c r="R411" s="166">
        <f>IFERROR(VLOOKUP(B411,#REF!,1,0),0)</f>
        <v>0</v>
      </c>
    </row>
    <row r="412" spans="1:18" x14ac:dyDescent="0.25">
      <c r="A412" s="57">
        <v>411</v>
      </c>
      <c r="B412" s="57" t="s">
        <v>1835</v>
      </c>
      <c r="C412" s="57">
        <v>1</v>
      </c>
      <c r="D412" s="57" t="s">
        <v>2019</v>
      </c>
      <c r="E412" s="57" t="s">
        <v>1834</v>
      </c>
      <c r="F412" s="57">
        <v>5220</v>
      </c>
      <c r="G412" s="57">
        <v>3075</v>
      </c>
      <c r="H412" s="57">
        <v>120</v>
      </c>
      <c r="I412" s="57" t="s">
        <v>2022</v>
      </c>
      <c r="J412" s="57" t="s">
        <v>2031</v>
      </c>
      <c r="M412" s="156">
        <v>45940</v>
      </c>
      <c r="N412" s="57">
        <v>0</v>
      </c>
      <c r="P412" s="167">
        <v>2.0299999999999998</v>
      </c>
      <c r="Q412" s="171">
        <v>5.0750000000000002</v>
      </c>
      <c r="R412" s="166">
        <f>IFERROR(VLOOKUP(B412,#REF!,1,0),0)</f>
        <v>0</v>
      </c>
    </row>
    <row r="413" spans="1:18" x14ac:dyDescent="0.25">
      <c r="A413" s="57">
        <v>412</v>
      </c>
      <c r="B413" s="57" t="s">
        <v>1836</v>
      </c>
      <c r="C413" s="57">
        <v>1</v>
      </c>
      <c r="D413" s="57" t="s">
        <v>2019</v>
      </c>
      <c r="E413" s="57" t="s">
        <v>1834</v>
      </c>
      <c r="F413" s="57">
        <v>5220</v>
      </c>
      <c r="G413" s="57">
        <v>2925</v>
      </c>
      <c r="H413" s="57">
        <v>120</v>
      </c>
      <c r="I413" s="57" t="s">
        <v>2022</v>
      </c>
      <c r="J413" s="57" t="s">
        <v>2031</v>
      </c>
      <c r="M413" s="156">
        <v>45940</v>
      </c>
      <c r="N413" s="57">
        <v>0</v>
      </c>
      <c r="P413" s="167">
        <v>1.9359999999999999</v>
      </c>
      <c r="Q413" s="171">
        <v>4.84</v>
      </c>
      <c r="R413" s="166">
        <f>IFERROR(VLOOKUP(B413,#REF!,1,0),0)</f>
        <v>0</v>
      </c>
    </row>
    <row r="414" spans="1:18" x14ac:dyDescent="0.25">
      <c r="A414" s="57">
        <v>413</v>
      </c>
      <c r="B414" s="57" t="s">
        <v>1986</v>
      </c>
      <c r="C414" s="57">
        <v>1</v>
      </c>
      <c r="D414" s="57" t="s">
        <v>2019</v>
      </c>
      <c r="E414" s="57" t="s">
        <v>1834</v>
      </c>
      <c r="F414" s="57">
        <v>5220</v>
      </c>
      <c r="G414" s="57">
        <v>2925</v>
      </c>
      <c r="H414" s="57">
        <v>120</v>
      </c>
      <c r="I414" s="57" t="s">
        <v>2022</v>
      </c>
      <c r="J414" s="57" t="s">
        <v>2031</v>
      </c>
      <c r="M414" s="156">
        <v>45940</v>
      </c>
      <c r="N414" s="57">
        <v>0</v>
      </c>
      <c r="P414" s="167">
        <v>1.9359999999999999</v>
      </c>
      <c r="Q414" s="171">
        <v>4.84</v>
      </c>
      <c r="R414" s="166">
        <f>IFERROR(VLOOKUP(B414,#REF!,1,0),0)</f>
        <v>0</v>
      </c>
    </row>
    <row r="415" spans="1:18" x14ac:dyDescent="0.25">
      <c r="A415" s="57">
        <v>414</v>
      </c>
      <c r="B415" s="57" t="s">
        <v>1987</v>
      </c>
      <c r="C415" s="57">
        <v>1</v>
      </c>
      <c r="D415" s="57" t="s">
        <v>2019</v>
      </c>
      <c r="E415" s="57" t="s">
        <v>1834</v>
      </c>
      <c r="F415" s="57">
        <v>5220</v>
      </c>
      <c r="G415" s="57">
        <v>2925</v>
      </c>
      <c r="H415" s="57">
        <v>120</v>
      </c>
      <c r="I415" s="57" t="s">
        <v>2022</v>
      </c>
      <c r="J415" s="57" t="s">
        <v>2031</v>
      </c>
      <c r="M415" s="156">
        <v>45940</v>
      </c>
      <c r="N415" s="57">
        <v>0</v>
      </c>
      <c r="P415" s="167">
        <v>1.9359999999999999</v>
      </c>
      <c r="Q415" s="171">
        <v>4.84</v>
      </c>
      <c r="R415" s="166">
        <f>IFERROR(VLOOKUP(B415,#REF!,1,0),0)</f>
        <v>0</v>
      </c>
    </row>
    <row r="416" spans="1:18" x14ac:dyDescent="0.25">
      <c r="A416" s="57">
        <v>415</v>
      </c>
      <c r="B416" s="57" t="s">
        <v>1837</v>
      </c>
      <c r="C416" s="57">
        <v>1</v>
      </c>
      <c r="D416" s="57" t="s">
        <v>2019</v>
      </c>
      <c r="E416" s="57" t="s">
        <v>1834</v>
      </c>
      <c r="F416" s="57">
        <v>5220</v>
      </c>
      <c r="G416" s="57">
        <v>2925</v>
      </c>
      <c r="H416" s="57">
        <v>120</v>
      </c>
      <c r="I416" s="57" t="s">
        <v>2022</v>
      </c>
      <c r="J416" s="57" t="s">
        <v>2031</v>
      </c>
      <c r="M416" s="156">
        <v>45940</v>
      </c>
      <c r="N416" s="57">
        <v>0</v>
      </c>
      <c r="P416" s="167">
        <v>1.9359999999999999</v>
      </c>
      <c r="Q416" s="171">
        <v>4.84</v>
      </c>
      <c r="R416" s="166">
        <f>IFERROR(VLOOKUP(B416,#REF!,1,0),0)</f>
        <v>0</v>
      </c>
    </row>
    <row r="417" spans="1:18" x14ac:dyDescent="0.25">
      <c r="A417" s="57">
        <v>416</v>
      </c>
      <c r="B417" s="57" t="s">
        <v>1838</v>
      </c>
      <c r="C417" s="57">
        <v>1</v>
      </c>
      <c r="D417" s="57" t="s">
        <v>2019</v>
      </c>
      <c r="E417" s="57" t="s">
        <v>1834</v>
      </c>
      <c r="F417" s="57">
        <v>5220</v>
      </c>
      <c r="G417" s="57">
        <v>3210</v>
      </c>
      <c r="H417" s="57">
        <v>120</v>
      </c>
      <c r="I417" s="57" t="s">
        <v>2022</v>
      </c>
      <c r="J417" s="57" t="s">
        <v>2032</v>
      </c>
      <c r="M417" s="156">
        <v>45940</v>
      </c>
      <c r="N417" s="57">
        <v>0</v>
      </c>
      <c r="P417" s="167">
        <v>2.194</v>
      </c>
      <c r="Q417" s="171">
        <v>5.4850000000000003</v>
      </c>
      <c r="R417" s="166">
        <f>IFERROR(VLOOKUP(B417,#REF!,1,0),0)</f>
        <v>0</v>
      </c>
    </row>
    <row r="418" spans="1:18" x14ac:dyDescent="0.25">
      <c r="A418" s="57">
        <v>417</v>
      </c>
      <c r="B418" s="57" t="s">
        <v>1839</v>
      </c>
      <c r="C418" s="57">
        <v>1</v>
      </c>
      <c r="D418" s="57" t="s">
        <v>2019</v>
      </c>
      <c r="E418" s="57" t="s">
        <v>1834</v>
      </c>
      <c r="F418" s="57">
        <v>4865</v>
      </c>
      <c r="G418" s="57">
        <v>2090</v>
      </c>
      <c r="H418" s="57">
        <v>120</v>
      </c>
      <c r="I418" s="57" t="s">
        <v>1212</v>
      </c>
      <c r="J418" s="57" t="s">
        <v>2020</v>
      </c>
      <c r="M418" s="156">
        <v>45940</v>
      </c>
      <c r="N418" s="57">
        <v>0</v>
      </c>
      <c r="P418" s="167">
        <v>1.335</v>
      </c>
      <c r="Q418" s="171">
        <v>3.3380000000000001</v>
      </c>
      <c r="R418" s="166">
        <f>IFERROR(VLOOKUP(B418,#REF!,1,0),0)</f>
        <v>0</v>
      </c>
    </row>
    <row r="419" spans="1:18" x14ac:dyDescent="0.25">
      <c r="A419" s="57">
        <v>418</v>
      </c>
      <c r="B419" s="57" t="s">
        <v>1840</v>
      </c>
      <c r="C419" s="57">
        <v>1</v>
      </c>
      <c r="D419" s="57" t="s">
        <v>2019</v>
      </c>
      <c r="E419" s="57" t="s">
        <v>1834</v>
      </c>
      <c r="F419" s="57">
        <v>4865</v>
      </c>
      <c r="G419" s="57">
        <v>1290</v>
      </c>
      <c r="H419" s="57">
        <v>120</v>
      </c>
      <c r="I419" s="57" t="s">
        <v>1212</v>
      </c>
      <c r="J419" s="57" t="s">
        <v>2020</v>
      </c>
      <c r="M419" s="156">
        <v>45940</v>
      </c>
      <c r="N419" s="57">
        <v>0</v>
      </c>
      <c r="P419" s="167">
        <v>1.508</v>
      </c>
      <c r="Q419" s="171">
        <v>3.77</v>
      </c>
      <c r="R419" s="166">
        <f>IFERROR(VLOOKUP(B419,#REF!,1,0),0)</f>
        <v>0</v>
      </c>
    </row>
    <row r="420" spans="1:18" x14ac:dyDescent="0.25">
      <c r="A420" s="57">
        <v>419</v>
      </c>
      <c r="B420" s="57" t="s">
        <v>1841</v>
      </c>
      <c r="C420" s="57">
        <v>1</v>
      </c>
      <c r="D420" s="57" t="s">
        <v>2019</v>
      </c>
      <c r="E420" s="57" t="s">
        <v>1784</v>
      </c>
      <c r="F420" s="57">
        <v>5220</v>
      </c>
      <c r="G420" s="57">
        <v>3190</v>
      </c>
      <c r="H420" s="57">
        <v>120</v>
      </c>
      <c r="I420" s="57" t="s">
        <v>2022</v>
      </c>
      <c r="J420" s="57" t="s">
        <v>2033</v>
      </c>
      <c r="M420" s="156">
        <v>45945</v>
      </c>
      <c r="N420" s="57">
        <v>0</v>
      </c>
      <c r="P420" s="167">
        <v>2.2530000000000001</v>
      </c>
      <c r="Q420" s="171">
        <v>5.633</v>
      </c>
      <c r="R420" s="166">
        <f>IFERROR(VLOOKUP(B420,#REF!,1,0),0)</f>
        <v>0</v>
      </c>
    </row>
    <row r="421" spans="1:18" x14ac:dyDescent="0.25">
      <c r="A421" s="57">
        <v>420</v>
      </c>
      <c r="B421" s="57" t="s">
        <v>1842</v>
      </c>
      <c r="C421" s="57">
        <v>1</v>
      </c>
      <c r="D421" s="57" t="s">
        <v>2019</v>
      </c>
      <c r="E421" s="57" t="s">
        <v>1784</v>
      </c>
      <c r="F421" s="57">
        <v>5220</v>
      </c>
      <c r="G421" s="57">
        <v>3190</v>
      </c>
      <c r="H421" s="57">
        <v>120</v>
      </c>
      <c r="I421" s="57" t="s">
        <v>2022</v>
      </c>
      <c r="J421" s="57" t="s">
        <v>2033</v>
      </c>
      <c r="M421" s="156">
        <v>45945</v>
      </c>
      <c r="N421" s="57">
        <v>0</v>
      </c>
      <c r="P421" s="167">
        <v>2.2530000000000001</v>
      </c>
      <c r="Q421" s="171">
        <v>5.633</v>
      </c>
      <c r="R421" s="166">
        <f>IFERROR(VLOOKUP(B421,#REF!,1,0),0)</f>
        <v>0</v>
      </c>
    </row>
    <row r="422" spans="1:18" x14ac:dyDescent="0.25">
      <c r="A422" s="57">
        <v>421</v>
      </c>
      <c r="B422" s="57" t="s">
        <v>1968</v>
      </c>
      <c r="C422" s="57">
        <v>1</v>
      </c>
      <c r="D422" s="57" t="s">
        <v>2019</v>
      </c>
      <c r="E422" s="57" t="s">
        <v>1784</v>
      </c>
      <c r="F422" s="57">
        <v>5220</v>
      </c>
      <c r="G422" s="57">
        <v>3190</v>
      </c>
      <c r="H422" s="57">
        <v>120</v>
      </c>
      <c r="I422" s="57" t="s">
        <v>2022</v>
      </c>
      <c r="J422" s="57" t="s">
        <v>2033</v>
      </c>
      <c r="M422" s="156">
        <v>45945</v>
      </c>
      <c r="N422" s="57">
        <v>0</v>
      </c>
      <c r="P422" s="167">
        <v>2.2530000000000001</v>
      </c>
      <c r="Q422" s="171">
        <v>5.633</v>
      </c>
      <c r="R422" s="166">
        <f>IFERROR(VLOOKUP(B422,#REF!,1,0),0)</f>
        <v>0</v>
      </c>
    </row>
    <row r="423" spans="1:18" x14ac:dyDescent="0.25">
      <c r="A423" s="57">
        <v>422</v>
      </c>
      <c r="B423" s="57" t="s">
        <v>1969</v>
      </c>
      <c r="C423" s="57">
        <v>1</v>
      </c>
      <c r="D423" s="57" t="s">
        <v>2019</v>
      </c>
      <c r="E423" s="57" t="s">
        <v>1789</v>
      </c>
      <c r="F423" s="57">
        <v>5220</v>
      </c>
      <c r="G423" s="57">
        <v>3190</v>
      </c>
      <c r="H423" s="57">
        <v>120</v>
      </c>
      <c r="I423" s="57" t="s">
        <v>2022</v>
      </c>
      <c r="J423" s="57" t="s">
        <v>2033</v>
      </c>
      <c r="M423" s="156">
        <v>45945</v>
      </c>
      <c r="N423" s="57">
        <v>0</v>
      </c>
      <c r="P423" s="167">
        <v>2.2530000000000001</v>
      </c>
      <c r="Q423" s="171">
        <v>5.633</v>
      </c>
      <c r="R423" s="166">
        <f>IFERROR(VLOOKUP(B423,#REF!,1,0),0)</f>
        <v>0</v>
      </c>
    </row>
    <row r="424" spans="1:18" x14ac:dyDescent="0.25">
      <c r="A424" s="57">
        <v>423</v>
      </c>
      <c r="B424" s="57" t="s">
        <v>1970</v>
      </c>
      <c r="C424" s="57">
        <v>1</v>
      </c>
      <c r="D424" s="57" t="s">
        <v>2019</v>
      </c>
      <c r="E424" s="57" t="s">
        <v>1789</v>
      </c>
      <c r="F424" s="57">
        <v>5220</v>
      </c>
      <c r="G424" s="57">
        <v>3190</v>
      </c>
      <c r="H424" s="57">
        <v>120</v>
      </c>
      <c r="I424" s="57" t="s">
        <v>2022</v>
      </c>
      <c r="J424" s="57" t="s">
        <v>2033</v>
      </c>
      <c r="M424" s="156">
        <v>45945</v>
      </c>
      <c r="N424" s="57">
        <v>0</v>
      </c>
      <c r="P424" s="167">
        <v>2.2530000000000001</v>
      </c>
      <c r="Q424" s="171">
        <v>5.633</v>
      </c>
      <c r="R424" s="166">
        <f>IFERROR(VLOOKUP(B424,#REF!,1,0),0)</f>
        <v>0</v>
      </c>
    </row>
    <row r="425" spans="1:18" x14ac:dyDescent="0.25">
      <c r="A425" s="57">
        <v>424</v>
      </c>
      <c r="B425" s="57" t="s">
        <v>1843</v>
      </c>
      <c r="C425" s="57">
        <v>1</v>
      </c>
      <c r="D425" s="57" t="s">
        <v>2019</v>
      </c>
      <c r="E425" s="57" t="s">
        <v>1784</v>
      </c>
      <c r="F425" s="57">
        <v>5220</v>
      </c>
      <c r="G425" s="57">
        <v>3130</v>
      </c>
      <c r="H425" s="57">
        <v>120</v>
      </c>
      <c r="I425" s="57" t="s">
        <v>2022</v>
      </c>
      <c r="J425" s="57" t="s">
        <v>2033</v>
      </c>
      <c r="M425" s="156">
        <v>45945</v>
      </c>
      <c r="N425" s="57">
        <v>0</v>
      </c>
      <c r="P425" s="167">
        <v>2.2160000000000002</v>
      </c>
      <c r="Q425" s="171">
        <v>5.54</v>
      </c>
      <c r="R425" s="166">
        <f>IFERROR(VLOOKUP(B425,#REF!,1,0),0)</f>
        <v>0</v>
      </c>
    </row>
    <row r="426" spans="1:18" x14ac:dyDescent="0.25">
      <c r="A426" s="57">
        <v>425</v>
      </c>
      <c r="B426" s="57" t="s">
        <v>1967</v>
      </c>
      <c r="C426" s="57">
        <v>1</v>
      </c>
      <c r="D426" s="57" t="s">
        <v>2019</v>
      </c>
      <c r="E426" s="57" t="s">
        <v>1784</v>
      </c>
      <c r="F426" s="57">
        <v>5220</v>
      </c>
      <c r="G426" s="57">
        <v>3130</v>
      </c>
      <c r="H426" s="57">
        <v>120</v>
      </c>
      <c r="I426" s="57" t="s">
        <v>2022</v>
      </c>
      <c r="J426" s="57" t="s">
        <v>2033</v>
      </c>
      <c r="M426" s="156">
        <v>45945</v>
      </c>
      <c r="N426" s="57">
        <v>0</v>
      </c>
      <c r="P426" s="167">
        <v>2.2160000000000002</v>
      </c>
      <c r="Q426" s="171">
        <v>5.54</v>
      </c>
      <c r="R426" s="166">
        <f>IFERROR(VLOOKUP(B426,#REF!,1,0),0)</f>
        <v>0</v>
      </c>
    </row>
    <row r="427" spans="1:18" x14ac:dyDescent="0.25">
      <c r="A427" s="57">
        <v>426</v>
      </c>
      <c r="B427" s="57" t="s">
        <v>1991</v>
      </c>
      <c r="C427" s="57">
        <v>1</v>
      </c>
      <c r="D427" s="57" t="s">
        <v>2019</v>
      </c>
      <c r="E427" s="57" t="s">
        <v>1789</v>
      </c>
      <c r="F427" s="57">
        <v>5220</v>
      </c>
      <c r="G427" s="57">
        <v>3130</v>
      </c>
      <c r="H427" s="57">
        <v>120</v>
      </c>
      <c r="I427" s="57" t="s">
        <v>2022</v>
      </c>
      <c r="J427" s="57" t="s">
        <v>2033</v>
      </c>
      <c r="M427" s="156">
        <v>45945</v>
      </c>
      <c r="N427" s="57">
        <v>0</v>
      </c>
      <c r="P427" s="167">
        <v>2.2160000000000002</v>
      </c>
      <c r="Q427" s="171">
        <v>5.54</v>
      </c>
      <c r="R427" s="166">
        <f>IFERROR(VLOOKUP(B427,#REF!,1,0),0)</f>
        <v>0</v>
      </c>
    </row>
    <row r="428" spans="1:18" x14ac:dyDescent="0.25">
      <c r="A428" s="57">
        <v>427</v>
      </c>
      <c r="B428" s="57" t="s">
        <v>1961</v>
      </c>
      <c r="C428" s="57">
        <v>1</v>
      </c>
      <c r="D428" s="57" t="s">
        <v>2019</v>
      </c>
      <c r="E428" s="57" t="s">
        <v>1789</v>
      </c>
      <c r="F428" s="57">
        <v>5220</v>
      </c>
      <c r="G428" s="57">
        <v>3130</v>
      </c>
      <c r="H428" s="57">
        <v>120</v>
      </c>
      <c r="I428" s="57" t="s">
        <v>2022</v>
      </c>
      <c r="J428" s="57" t="s">
        <v>2033</v>
      </c>
      <c r="M428" s="156">
        <v>45945</v>
      </c>
      <c r="N428" s="57">
        <v>0</v>
      </c>
      <c r="P428" s="167">
        <v>2.2160000000000002</v>
      </c>
      <c r="Q428" s="171">
        <v>5.54</v>
      </c>
      <c r="R428" s="166">
        <f>IFERROR(VLOOKUP(B428,#REF!,1,0),0)</f>
        <v>0</v>
      </c>
    </row>
    <row r="429" spans="1:18" x14ac:dyDescent="0.25">
      <c r="A429" s="57">
        <v>428</v>
      </c>
      <c r="B429" s="57" t="s">
        <v>1844</v>
      </c>
      <c r="C429" s="57">
        <v>1</v>
      </c>
      <c r="D429" s="57" t="s">
        <v>2019</v>
      </c>
      <c r="E429" s="57" t="s">
        <v>1784</v>
      </c>
      <c r="F429" s="57">
        <v>5220</v>
      </c>
      <c r="G429" s="57">
        <v>3130</v>
      </c>
      <c r="H429" s="57">
        <v>120</v>
      </c>
      <c r="I429" s="57" t="s">
        <v>2022</v>
      </c>
      <c r="J429" s="57" t="s">
        <v>2033</v>
      </c>
      <c r="M429" s="156">
        <v>45945</v>
      </c>
      <c r="N429" s="57">
        <v>0</v>
      </c>
      <c r="P429" s="167">
        <v>2.2160000000000002</v>
      </c>
      <c r="Q429" s="171">
        <v>5.54</v>
      </c>
      <c r="R429" s="166">
        <f>IFERROR(VLOOKUP(B429,#REF!,1,0),0)</f>
        <v>0</v>
      </c>
    </row>
    <row r="430" spans="1:18" x14ac:dyDescent="0.25">
      <c r="A430" s="57">
        <v>429</v>
      </c>
      <c r="B430" s="57" t="s">
        <v>1845</v>
      </c>
      <c r="C430" s="57">
        <v>1</v>
      </c>
      <c r="D430" s="57" t="s">
        <v>2019</v>
      </c>
      <c r="E430" s="57" t="s">
        <v>1784</v>
      </c>
      <c r="F430" s="57">
        <v>4305</v>
      </c>
      <c r="G430" s="57">
        <v>2800</v>
      </c>
      <c r="H430" s="57">
        <v>120</v>
      </c>
      <c r="I430" s="57" t="s">
        <v>2022</v>
      </c>
      <c r="J430" s="57" t="s">
        <v>2034</v>
      </c>
      <c r="M430" s="156">
        <v>45945</v>
      </c>
      <c r="N430" s="57">
        <v>0</v>
      </c>
      <c r="P430" s="167">
        <v>1.411</v>
      </c>
      <c r="Q430" s="171">
        <v>3.528</v>
      </c>
      <c r="R430" s="166">
        <f>IFERROR(VLOOKUP(B430,#REF!,1,0),0)</f>
        <v>0</v>
      </c>
    </row>
    <row r="431" spans="1:18" x14ac:dyDescent="0.25">
      <c r="A431" s="57">
        <v>430</v>
      </c>
      <c r="B431" s="57" t="s">
        <v>1846</v>
      </c>
      <c r="C431" s="57">
        <v>1</v>
      </c>
      <c r="D431" s="57" t="s">
        <v>2019</v>
      </c>
      <c r="E431" s="57" t="s">
        <v>1789</v>
      </c>
      <c r="F431" s="57">
        <v>5220</v>
      </c>
      <c r="G431" s="57">
        <v>3190</v>
      </c>
      <c r="H431" s="57">
        <v>120</v>
      </c>
      <c r="I431" s="57" t="s">
        <v>2022</v>
      </c>
      <c r="J431" s="57" t="s">
        <v>2033</v>
      </c>
      <c r="M431" s="156">
        <v>45945</v>
      </c>
      <c r="N431" s="57">
        <v>0</v>
      </c>
      <c r="P431" s="167">
        <v>2.2530000000000001</v>
      </c>
      <c r="Q431" s="171">
        <v>5.633</v>
      </c>
      <c r="R431" s="166">
        <f>IFERROR(VLOOKUP(B431,#REF!,1,0),0)</f>
        <v>0</v>
      </c>
    </row>
    <row r="432" spans="1:18" x14ac:dyDescent="0.25">
      <c r="A432" s="57">
        <v>431</v>
      </c>
      <c r="B432" s="57" t="s">
        <v>1847</v>
      </c>
      <c r="C432" s="57">
        <v>1</v>
      </c>
      <c r="D432" s="57" t="s">
        <v>2019</v>
      </c>
      <c r="E432" s="57" t="s">
        <v>1789</v>
      </c>
      <c r="F432" s="57">
        <v>5220</v>
      </c>
      <c r="G432" s="57">
        <v>3130</v>
      </c>
      <c r="H432" s="57">
        <v>120</v>
      </c>
      <c r="I432" s="57" t="s">
        <v>2022</v>
      </c>
      <c r="J432" s="57" t="s">
        <v>2033</v>
      </c>
      <c r="M432" s="156">
        <v>45945</v>
      </c>
      <c r="N432" s="57">
        <v>0</v>
      </c>
      <c r="P432" s="167">
        <v>2.2160000000000002</v>
      </c>
      <c r="Q432" s="171">
        <v>5.54</v>
      </c>
      <c r="R432" s="166">
        <f>IFERROR(VLOOKUP(B432,#REF!,1,0),0)</f>
        <v>0</v>
      </c>
    </row>
    <row r="433" spans="1:18" x14ac:dyDescent="0.25">
      <c r="A433" s="57">
        <v>432</v>
      </c>
      <c r="B433" s="57" t="s">
        <v>1848</v>
      </c>
      <c r="C433" s="57">
        <v>1</v>
      </c>
      <c r="D433" s="57" t="s">
        <v>2019</v>
      </c>
      <c r="E433" s="57" t="s">
        <v>1793</v>
      </c>
      <c r="F433" s="57">
        <v>5150</v>
      </c>
      <c r="G433" s="57">
        <v>3010</v>
      </c>
      <c r="H433" s="57">
        <v>120</v>
      </c>
      <c r="I433" s="57" t="s">
        <v>2022</v>
      </c>
      <c r="J433" s="57" t="s">
        <v>2033</v>
      </c>
      <c r="M433" s="156">
        <v>45945</v>
      </c>
      <c r="N433" s="57">
        <v>0</v>
      </c>
      <c r="P433" s="167">
        <v>2.1219999999999999</v>
      </c>
      <c r="Q433" s="171">
        <v>5.3049999999999997</v>
      </c>
      <c r="R433" s="166">
        <f>IFERROR(VLOOKUP(B433,#REF!,1,0),0)</f>
        <v>0</v>
      </c>
    </row>
    <row r="434" spans="1:18" x14ac:dyDescent="0.25">
      <c r="A434" s="57">
        <v>433</v>
      </c>
      <c r="B434" s="57" t="s">
        <v>1849</v>
      </c>
      <c r="C434" s="57">
        <v>1</v>
      </c>
      <c r="D434" s="57" t="s">
        <v>2019</v>
      </c>
      <c r="E434" s="57" t="s">
        <v>1793</v>
      </c>
      <c r="F434" s="57">
        <v>5220</v>
      </c>
      <c r="G434" s="57">
        <v>3130</v>
      </c>
      <c r="H434" s="57">
        <v>120</v>
      </c>
      <c r="I434" s="57" t="s">
        <v>2022</v>
      </c>
      <c r="J434" s="57" t="s">
        <v>2033</v>
      </c>
      <c r="M434" s="156">
        <v>45945</v>
      </c>
      <c r="N434" s="57">
        <v>0</v>
      </c>
      <c r="P434" s="167">
        <v>2.141</v>
      </c>
      <c r="Q434" s="171">
        <v>5.3529999999999998</v>
      </c>
      <c r="R434" s="166">
        <f>IFERROR(VLOOKUP(B434,#REF!,1,0),0)</f>
        <v>0</v>
      </c>
    </row>
    <row r="435" spans="1:18" x14ac:dyDescent="0.25">
      <c r="A435" s="57">
        <v>434</v>
      </c>
      <c r="B435" s="57" t="s">
        <v>1850</v>
      </c>
      <c r="C435" s="57">
        <v>1</v>
      </c>
      <c r="D435" s="57" t="s">
        <v>2019</v>
      </c>
      <c r="E435" s="57" t="s">
        <v>1793</v>
      </c>
      <c r="F435" s="57">
        <v>4320</v>
      </c>
      <c r="G435" s="57">
        <v>2800</v>
      </c>
      <c r="H435" s="57">
        <v>120</v>
      </c>
      <c r="I435" s="57" t="s">
        <v>2022</v>
      </c>
      <c r="J435" s="57" t="s">
        <v>2034</v>
      </c>
      <c r="M435" s="156">
        <v>45945</v>
      </c>
      <c r="N435" s="57">
        <v>0</v>
      </c>
      <c r="P435" s="167">
        <v>1.4139999999999999</v>
      </c>
      <c r="Q435" s="171">
        <v>3.5350000000000001</v>
      </c>
      <c r="R435" s="166">
        <f>IFERROR(VLOOKUP(B435,#REF!,1,0),0)</f>
        <v>0</v>
      </c>
    </row>
    <row r="436" spans="1:18" x14ac:dyDescent="0.25">
      <c r="A436" s="57">
        <v>435</v>
      </c>
      <c r="B436" s="57" t="s">
        <v>1851</v>
      </c>
      <c r="C436" s="57">
        <v>1</v>
      </c>
      <c r="D436" s="57" t="s">
        <v>2019</v>
      </c>
      <c r="E436" s="57" t="s">
        <v>1799</v>
      </c>
      <c r="F436" s="57">
        <v>5150</v>
      </c>
      <c r="G436" s="57">
        <v>3010</v>
      </c>
      <c r="H436" s="57">
        <v>120</v>
      </c>
      <c r="I436" s="57" t="s">
        <v>2022</v>
      </c>
      <c r="J436" s="57" t="s">
        <v>2033</v>
      </c>
      <c r="M436" s="156">
        <v>45945</v>
      </c>
      <c r="N436" s="57">
        <v>0</v>
      </c>
      <c r="P436" s="167">
        <v>2.1219999999999999</v>
      </c>
      <c r="Q436" s="171">
        <v>5.3049999999999997</v>
      </c>
      <c r="R436" s="166">
        <f>IFERROR(VLOOKUP(B436,#REF!,1,0),0)</f>
        <v>0</v>
      </c>
    </row>
    <row r="437" spans="1:18" x14ac:dyDescent="0.25">
      <c r="A437" s="57">
        <v>436</v>
      </c>
      <c r="B437" s="57" t="s">
        <v>1852</v>
      </c>
      <c r="C437" s="57">
        <v>1</v>
      </c>
      <c r="D437" s="57" t="s">
        <v>2019</v>
      </c>
      <c r="E437" s="57" t="s">
        <v>1799</v>
      </c>
      <c r="F437" s="57">
        <v>5220</v>
      </c>
      <c r="G437" s="57">
        <v>3010</v>
      </c>
      <c r="H437" s="57">
        <v>120</v>
      </c>
      <c r="I437" s="57" t="s">
        <v>2022</v>
      </c>
      <c r="J437" s="57" t="s">
        <v>2033</v>
      </c>
      <c r="M437" s="156">
        <v>45945</v>
      </c>
      <c r="N437" s="57">
        <v>0</v>
      </c>
      <c r="P437" s="167">
        <v>2.141</v>
      </c>
      <c r="Q437" s="171">
        <v>5.3529999999999998</v>
      </c>
      <c r="R437" s="166">
        <f>IFERROR(VLOOKUP(B437,#REF!,1,0),0)</f>
        <v>0</v>
      </c>
    </row>
    <row r="438" spans="1:18" x14ac:dyDescent="0.25">
      <c r="A438" s="57">
        <v>437</v>
      </c>
      <c r="B438" s="57" t="s">
        <v>1853</v>
      </c>
      <c r="C438" s="57">
        <v>1</v>
      </c>
      <c r="D438" s="57" t="s">
        <v>2019</v>
      </c>
      <c r="E438" s="57" t="s">
        <v>1804</v>
      </c>
      <c r="F438" s="57">
        <v>5220</v>
      </c>
      <c r="G438" s="57">
        <v>3010</v>
      </c>
      <c r="H438" s="57">
        <v>120</v>
      </c>
      <c r="I438" s="57" t="s">
        <v>2022</v>
      </c>
      <c r="J438" s="57" t="s">
        <v>2033</v>
      </c>
      <c r="M438" s="156">
        <v>45945</v>
      </c>
      <c r="N438" s="57">
        <v>0</v>
      </c>
      <c r="P438" s="167">
        <v>2.141</v>
      </c>
      <c r="Q438" s="171">
        <v>5.3529999999999998</v>
      </c>
      <c r="R438" s="166">
        <f>IFERROR(VLOOKUP(B438,#REF!,1,0),0)</f>
        <v>0</v>
      </c>
    </row>
    <row r="439" spans="1:18" x14ac:dyDescent="0.25">
      <c r="A439" s="57">
        <v>438</v>
      </c>
      <c r="B439" s="57" t="s">
        <v>1965</v>
      </c>
      <c r="C439" s="57">
        <v>1</v>
      </c>
      <c r="D439" s="57" t="s">
        <v>2019</v>
      </c>
      <c r="E439" s="57" t="s">
        <v>1810</v>
      </c>
      <c r="F439" s="57">
        <v>5220</v>
      </c>
      <c r="G439" s="57">
        <v>3010</v>
      </c>
      <c r="H439" s="57">
        <v>120</v>
      </c>
      <c r="I439" s="57" t="s">
        <v>2022</v>
      </c>
      <c r="J439" s="57" t="s">
        <v>2033</v>
      </c>
      <c r="M439" s="156">
        <v>45945</v>
      </c>
      <c r="N439" s="57">
        <v>0</v>
      </c>
      <c r="P439" s="167">
        <v>2.141</v>
      </c>
      <c r="Q439" s="171">
        <v>5.3529999999999998</v>
      </c>
      <c r="R439" s="166">
        <f>IFERROR(VLOOKUP(B439,#REF!,1,0),0)</f>
        <v>0</v>
      </c>
    </row>
    <row r="440" spans="1:18" x14ac:dyDescent="0.25">
      <c r="A440" s="57">
        <v>439</v>
      </c>
      <c r="B440" s="57" t="s">
        <v>1854</v>
      </c>
      <c r="C440" s="57">
        <v>1</v>
      </c>
      <c r="D440" s="57" t="s">
        <v>2019</v>
      </c>
      <c r="E440" s="57" t="s">
        <v>1804</v>
      </c>
      <c r="F440" s="57">
        <v>5220</v>
      </c>
      <c r="G440" s="57">
        <v>3010</v>
      </c>
      <c r="H440" s="57">
        <v>120</v>
      </c>
      <c r="I440" s="57" t="s">
        <v>2022</v>
      </c>
      <c r="J440" s="57" t="s">
        <v>2033</v>
      </c>
      <c r="M440" s="156">
        <v>45945</v>
      </c>
      <c r="N440" s="57">
        <v>0</v>
      </c>
      <c r="P440" s="167">
        <v>2.141</v>
      </c>
      <c r="Q440" s="171">
        <v>5.3529999999999998</v>
      </c>
      <c r="R440" s="166">
        <f>IFERROR(VLOOKUP(B440,#REF!,1,0),0)</f>
        <v>0</v>
      </c>
    </row>
    <row r="441" spans="1:18" x14ac:dyDescent="0.25">
      <c r="A441" s="57">
        <v>440</v>
      </c>
      <c r="B441" s="57" t="s">
        <v>1975</v>
      </c>
      <c r="C441" s="57">
        <v>1</v>
      </c>
      <c r="D441" s="57" t="s">
        <v>2019</v>
      </c>
      <c r="E441" s="57" t="s">
        <v>1804</v>
      </c>
      <c r="F441" s="57">
        <v>5220</v>
      </c>
      <c r="G441" s="57">
        <v>3010</v>
      </c>
      <c r="H441" s="57">
        <v>120</v>
      </c>
      <c r="I441" s="57" t="s">
        <v>2022</v>
      </c>
      <c r="J441" s="57" t="s">
        <v>2033</v>
      </c>
      <c r="M441" s="156">
        <v>45945</v>
      </c>
      <c r="N441" s="57">
        <v>0</v>
      </c>
      <c r="P441" s="167">
        <v>2.141</v>
      </c>
      <c r="Q441" s="171">
        <v>5.3529999999999998</v>
      </c>
      <c r="R441" s="166">
        <f>IFERROR(VLOOKUP(B441,#REF!,1,0),0)</f>
        <v>0</v>
      </c>
    </row>
    <row r="442" spans="1:18" x14ac:dyDescent="0.25">
      <c r="A442" s="57">
        <v>441</v>
      </c>
      <c r="B442" s="57" t="s">
        <v>1992</v>
      </c>
      <c r="C442" s="57">
        <v>1</v>
      </c>
      <c r="D442" s="57" t="s">
        <v>2019</v>
      </c>
      <c r="E442" s="57" t="s">
        <v>1804</v>
      </c>
      <c r="F442" s="57">
        <v>5220</v>
      </c>
      <c r="G442" s="57">
        <v>3010</v>
      </c>
      <c r="H442" s="57">
        <v>120</v>
      </c>
      <c r="I442" s="57" t="s">
        <v>2022</v>
      </c>
      <c r="J442" s="57" t="s">
        <v>2033</v>
      </c>
      <c r="M442" s="156">
        <v>45945</v>
      </c>
      <c r="N442" s="57">
        <v>0</v>
      </c>
      <c r="P442" s="167">
        <v>2.141</v>
      </c>
      <c r="Q442" s="171">
        <v>5.3529999999999998</v>
      </c>
      <c r="R442" s="166">
        <f>IFERROR(VLOOKUP(B442,#REF!,1,0),0)</f>
        <v>0</v>
      </c>
    </row>
    <row r="443" spans="1:18" x14ac:dyDescent="0.25">
      <c r="A443" s="57">
        <v>442</v>
      </c>
      <c r="B443" s="57" t="s">
        <v>1993</v>
      </c>
      <c r="C443" s="57">
        <v>1</v>
      </c>
      <c r="D443" s="57" t="s">
        <v>2019</v>
      </c>
      <c r="E443" s="57" t="s">
        <v>1804</v>
      </c>
      <c r="F443" s="57">
        <v>5220</v>
      </c>
      <c r="G443" s="57">
        <v>3010</v>
      </c>
      <c r="H443" s="57">
        <v>120</v>
      </c>
      <c r="I443" s="57" t="s">
        <v>2022</v>
      </c>
      <c r="J443" s="57" t="s">
        <v>2033</v>
      </c>
      <c r="M443" s="156">
        <v>45945</v>
      </c>
      <c r="N443" s="57">
        <v>0</v>
      </c>
      <c r="P443" s="167">
        <v>2.141</v>
      </c>
      <c r="Q443" s="171">
        <v>5.3529999999999998</v>
      </c>
      <c r="R443" s="166">
        <f>IFERROR(VLOOKUP(B443,#REF!,1,0),0)</f>
        <v>0</v>
      </c>
    </row>
    <row r="444" spans="1:18" x14ac:dyDescent="0.25">
      <c r="A444" s="57">
        <v>443</v>
      </c>
      <c r="B444" s="57" t="s">
        <v>1994</v>
      </c>
      <c r="C444" s="57">
        <v>1</v>
      </c>
      <c r="D444" s="57" t="s">
        <v>2019</v>
      </c>
      <c r="E444" s="57" t="s">
        <v>1810</v>
      </c>
      <c r="F444" s="57">
        <v>5220</v>
      </c>
      <c r="G444" s="57">
        <v>3010</v>
      </c>
      <c r="H444" s="57">
        <v>120</v>
      </c>
      <c r="I444" s="57" t="s">
        <v>2022</v>
      </c>
      <c r="J444" s="57" t="s">
        <v>2033</v>
      </c>
      <c r="M444" s="156">
        <v>45945</v>
      </c>
      <c r="N444" s="57">
        <v>0</v>
      </c>
      <c r="P444" s="167">
        <v>2.141</v>
      </c>
      <c r="Q444" s="171">
        <v>5.3529999999999998</v>
      </c>
      <c r="R444" s="166">
        <f>IFERROR(VLOOKUP(B444,#REF!,1,0),0)</f>
        <v>0</v>
      </c>
    </row>
    <row r="445" spans="1:18" x14ac:dyDescent="0.25">
      <c r="A445" s="57">
        <v>444</v>
      </c>
      <c r="B445" s="57" t="s">
        <v>1995</v>
      </c>
      <c r="C445" s="57">
        <v>1</v>
      </c>
      <c r="D445" s="57" t="s">
        <v>2019</v>
      </c>
      <c r="E445" s="57" t="s">
        <v>1810</v>
      </c>
      <c r="F445" s="57">
        <v>5220</v>
      </c>
      <c r="G445" s="57">
        <v>3010</v>
      </c>
      <c r="H445" s="57">
        <v>120</v>
      </c>
      <c r="I445" s="57" t="s">
        <v>2022</v>
      </c>
      <c r="J445" s="57" t="s">
        <v>2033</v>
      </c>
      <c r="M445" s="156">
        <v>45945</v>
      </c>
      <c r="N445" s="57">
        <v>0</v>
      </c>
      <c r="P445" s="167">
        <v>2.141</v>
      </c>
      <c r="Q445" s="171">
        <v>5.3529999999999998</v>
      </c>
      <c r="R445" s="166">
        <f>IFERROR(VLOOKUP(B445,#REF!,1,0),0)</f>
        <v>0</v>
      </c>
    </row>
    <row r="446" spans="1:18" x14ac:dyDescent="0.25">
      <c r="A446" s="57">
        <v>445</v>
      </c>
      <c r="B446" s="57" t="s">
        <v>1963</v>
      </c>
      <c r="C446" s="57">
        <v>1</v>
      </c>
      <c r="D446" s="57" t="s">
        <v>2019</v>
      </c>
      <c r="E446" s="57" t="s">
        <v>1810</v>
      </c>
      <c r="F446" s="57">
        <v>5220</v>
      </c>
      <c r="G446" s="57">
        <v>3010</v>
      </c>
      <c r="H446" s="57">
        <v>120</v>
      </c>
      <c r="I446" s="57" t="s">
        <v>2022</v>
      </c>
      <c r="J446" s="57" t="s">
        <v>2033</v>
      </c>
      <c r="M446" s="156">
        <v>45945</v>
      </c>
      <c r="N446" s="57">
        <v>0</v>
      </c>
      <c r="P446" s="167">
        <v>2.141</v>
      </c>
      <c r="Q446" s="171">
        <v>5.3529999999999998</v>
      </c>
      <c r="R446" s="166">
        <f>IFERROR(VLOOKUP(B446,#REF!,1,0),0)</f>
        <v>0</v>
      </c>
    </row>
    <row r="447" spans="1:18" x14ac:dyDescent="0.25">
      <c r="A447" s="57">
        <v>446</v>
      </c>
      <c r="B447" s="57" t="s">
        <v>1966</v>
      </c>
      <c r="C447" s="57">
        <v>1</v>
      </c>
      <c r="D447" s="57" t="s">
        <v>2019</v>
      </c>
      <c r="E447" s="57" t="s">
        <v>1810</v>
      </c>
      <c r="F447" s="57">
        <v>5220</v>
      </c>
      <c r="G447" s="57">
        <v>3010</v>
      </c>
      <c r="H447" s="57">
        <v>120</v>
      </c>
      <c r="I447" s="57" t="s">
        <v>2022</v>
      </c>
      <c r="J447" s="57" t="s">
        <v>2033</v>
      </c>
      <c r="M447" s="156">
        <v>45945</v>
      </c>
      <c r="N447" s="57">
        <v>0</v>
      </c>
      <c r="P447" s="167">
        <v>2.141</v>
      </c>
      <c r="Q447" s="171">
        <v>5.3529999999999998</v>
      </c>
      <c r="R447" s="166">
        <f>IFERROR(VLOOKUP(B447,#REF!,1,0),0)</f>
        <v>0</v>
      </c>
    </row>
    <row r="448" spans="1:18" x14ac:dyDescent="0.25">
      <c r="A448" s="57">
        <v>447</v>
      </c>
      <c r="B448" s="57" t="s">
        <v>1976</v>
      </c>
      <c r="C448" s="57">
        <v>1</v>
      </c>
      <c r="D448" s="57" t="s">
        <v>2019</v>
      </c>
      <c r="E448" s="57" t="s">
        <v>1793</v>
      </c>
      <c r="F448" s="57">
        <v>5220</v>
      </c>
      <c r="G448" s="57">
        <v>3010</v>
      </c>
      <c r="H448" s="57">
        <v>120</v>
      </c>
      <c r="I448" s="57" t="s">
        <v>2022</v>
      </c>
      <c r="J448" s="57" t="s">
        <v>2033</v>
      </c>
      <c r="M448" s="156">
        <v>45945</v>
      </c>
      <c r="N448" s="57">
        <v>0</v>
      </c>
      <c r="P448" s="167">
        <v>2.141</v>
      </c>
      <c r="Q448" s="171">
        <v>5.3529999999999998</v>
      </c>
      <c r="R448" s="166">
        <f>IFERROR(VLOOKUP(B448,#REF!,1,0),0)</f>
        <v>0</v>
      </c>
    </row>
    <row r="449" spans="1:18" x14ac:dyDescent="0.25">
      <c r="A449" s="57">
        <v>448</v>
      </c>
      <c r="B449" s="57" t="s">
        <v>1977</v>
      </c>
      <c r="C449" s="57">
        <v>1</v>
      </c>
      <c r="D449" s="57" t="s">
        <v>2019</v>
      </c>
      <c r="E449" s="57" t="s">
        <v>1793</v>
      </c>
      <c r="F449" s="57">
        <v>5220</v>
      </c>
      <c r="G449" s="57">
        <v>3010</v>
      </c>
      <c r="H449" s="57">
        <v>120</v>
      </c>
      <c r="I449" s="57" t="s">
        <v>2022</v>
      </c>
      <c r="J449" s="57" t="s">
        <v>2033</v>
      </c>
      <c r="M449" s="156">
        <v>45945</v>
      </c>
      <c r="N449" s="57">
        <v>0</v>
      </c>
      <c r="P449" s="167">
        <v>2.141</v>
      </c>
      <c r="Q449" s="171">
        <v>5.3529999999999998</v>
      </c>
      <c r="R449" s="166">
        <f>IFERROR(VLOOKUP(B449,#REF!,1,0),0)</f>
        <v>0</v>
      </c>
    </row>
    <row r="450" spans="1:18" x14ac:dyDescent="0.25">
      <c r="A450" s="57">
        <v>449</v>
      </c>
      <c r="B450" s="57" t="s">
        <v>1996</v>
      </c>
      <c r="C450" s="57">
        <v>1</v>
      </c>
      <c r="D450" s="57" t="s">
        <v>2019</v>
      </c>
      <c r="E450" s="57" t="s">
        <v>1793</v>
      </c>
      <c r="F450" s="57">
        <v>5220</v>
      </c>
      <c r="G450" s="57">
        <v>3010</v>
      </c>
      <c r="H450" s="57">
        <v>120</v>
      </c>
      <c r="I450" s="57" t="s">
        <v>2022</v>
      </c>
      <c r="J450" s="57" t="s">
        <v>2033</v>
      </c>
      <c r="M450" s="156">
        <v>45945</v>
      </c>
      <c r="N450" s="57">
        <v>0</v>
      </c>
      <c r="P450" s="167">
        <v>2.141</v>
      </c>
      <c r="Q450" s="171">
        <v>5.3529999999999998</v>
      </c>
      <c r="R450" s="166">
        <f>IFERROR(VLOOKUP(B450,#REF!,1,0),0)</f>
        <v>0</v>
      </c>
    </row>
    <row r="451" spans="1:18" x14ac:dyDescent="0.25">
      <c r="A451" s="57">
        <v>450</v>
      </c>
      <c r="B451" s="57" t="s">
        <v>1997</v>
      </c>
      <c r="C451" s="57">
        <v>1</v>
      </c>
      <c r="D451" s="57" t="s">
        <v>2019</v>
      </c>
      <c r="E451" s="57" t="s">
        <v>1793</v>
      </c>
      <c r="F451" s="57">
        <v>5220</v>
      </c>
      <c r="G451" s="57">
        <v>3010</v>
      </c>
      <c r="H451" s="57">
        <v>120</v>
      </c>
      <c r="I451" s="57" t="s">
        <v>2022</v>
      </c>
      <c r="J451" s="57" t="s">
        <v>2033</v>
      </c>
      <c r="M451" s="156">
        <v>45945</v>
      </c>
      <c r="N451" s="57">
        <v>0</v>
      </c>
      <c r="P451" s="167">
        <v>2.141</v>
      </c>
      <c r="Q451" s="171">
        <v>5.3529999999999998</v>
      </c>
      <c r="R451" s="166">
        <f>IFERROR(VLOOKUP(B451,#REF!,1,0),0)</f>
        <v>0</v>
      </c>
    </row>
    <row r="452" spans="1:18" x14ac:dyDescent="0.25">
      <c r="A452" s="57">
        <v>451</v>
      </c>
      <c r="B452" s="57" t="s">
        <v>1998</v>
      </c>
      <c r="C452" s="57">
        <v>1</v>
      </c>
      <c r="D452" s="57" t="s">
        <v>2019</v>
      </c>
      <c r="E452" s="57" t="s">
        <v>1799</v>
      </c>
      <c r="F452" s="57">
        <v>5220</v>
      </c>
      <c r="G452" s="57">
        <v>3010</v>
      </c>
      <c r="H452" s="57">
        <v>120</v>
      </c>
      <c r="I452" s="57" t="s">
        <v>2022</v>
      </c>
      <c r="J452" s="57" t="s">
        <v>2033</v>
      </c>
      <c r="M452" s="156">
        <v>45945</v>
      </c>
      <c r="N452" s="57">
        <v>0</v>
      </c>
      <c r="P452" s="167">
        <v>2.141</v>
      </c>
      <c r="Q452" s="171">
        <v>5.3529999999999998</v>
      </c>
      <c r="R452" s="166">
        <f>IFERROR(VLOOKUP(B452,#REF!,1,0),0)</f>
        <v>0</v>
      </c>
    </row>
    <row r="453" spans="1:18" x14ac:dyDescent="0.25">
      <c r="A453" s="57">
        <v>452</v>
      </c>
      <c r="B453" s="57" t="s">
        <v>1999</v>
      </c>
      <c r="C453" s="57">
        <v>1</v>
      </c>
      <c r="D453" s="57" t="s">
        <v>2019</v>
      </c>
      <c r="E453" s="57" t="s">
        <v>1799</v>
      </c>
      <c r="F453" s="57">
        <v>5220</v>
      </c>
      <c r="G453" s="57">
        <v>3010</v>
      </c>
      <c r="H453" s="57">
        <v>120</v>
      </c>
      <c r="I453" s="57" t="s">
        <v>2022</v>
      </c>
      <c r="J453" s="57" t="s">
        <v>2033</v>
      </c>
      <c r="M453" s="156">
        <v>45945</v>
      </c>
      <c r="N453" s="57">
        <v>0</v>
      </c>
      <c r="P453" s="167">
        <v>2.141</v>
      </c>
      <c r="Q453" s="171">
        <v>5.3529999999999998</v>
      </c>
      <c r="R453" s="166">
        <f>IFERROR(VLOOKUP(B453,#REF!,1,0),0)</f>
        <v>0</v>
      </c>
    </row>
    <row r="454" spans="1:18" x14ac:dyDescent="0.25">
      <c r="A454" s="57">
        <v>453</v>
      </c>
      <c r="B454" s="57" t="s">
        <v>1960</v>
      </c>
      <c r="C454" s="57">
        <v>1</v>
      </c>
      <c r="D454" s="57" t="s">
        <v>2019</v>
      </c>
      <c r="E454" s="57" t="s">
        <v>1799</v>
      </c>
      <c r="F454" s="57">
        <v>5220</v>
      </c>
      <c r="G454" s="57">
        <v>3010</v>
      </c>
      <c r="H454" s="57">
        <v>120</v>
      </c>
      <c r="I454" s="57" t="s">
        <v>2022</v>
      </c>
      <c r="J454" s="57" t="s">
        <v>2033</v>
      </c>
      <c r="M454" s="156">
        <v>45945</v>
      </c>
      <c r="N454" s="57">
        <v>0</v>
      </c>
      <c r="P454" s="167">
        <v>2.141</v>
      </c>
      <c r="Q454" s="171">
        <v>5.3529999999999998</v>
      </c>
      <c r="R454" s="166">
        <f>IFERROR(VLOOKUP(B454,#REF!,1,0),0)</f>
        <v>0</v>
      </c>
    </row>
    <row r="455" spans="1:18" x14ac:dyDescent="0.25">
      <c r="A455" s="57">
        <v>454</v>
      </c>
      <c r="B455" s="57" t="s">
        <v>1962</v>
      </c>
      <c r="C455" s="57">
        <v>1</v>
      </c>
      <c r="D455" s="57" t="s">
        <v>2019</v>
      </c>
      <c r="E455" s="57" t="s">
        <v>1799</v>
      </c>
      <c r="F455" s="57">
        <v>5220</v>
      </c>
      <c r="G455" s="57">
        <v>3010</v>
      </c>
      <c r="H455" s="57">
        <v>120</v>
      </c>
      <c r="I455" s="57" t="s">
        <v>2022</v>
      </c>
      <c r="J455" s="57" t="s">
        <v>2033</v>
      </c>
      <c r="M455" s="156">
        <v>45945</v>
      </c>
      <c r="N455" s="57">
        <v>0</v>
      </c>
      <c r="P455" s="167">
        <v>2.141</v>
      </c>
      <c r="Q455" s="171">
        <v>5.3529999999999998</v>
      </c>
      <c r="R455" s="166">
        <f>IFERROR(VLOOKUP(B455,#REF!,1,0),0)</f>
        <v>0</v>
      </c>
    </row>
    <row r="456" spans="1:18" x14ac:dyDescent="0.25">
      <c r="A456" s="57">
        <v>455</v>
      </c>
      <c r="B456" s="57" t="s">
        <v>1855</v>
      </c>
      <c r="C456" s="57">
        <v>1</v>
      </c>
      <c r="D456" s="57" t="s">
        <v>2019</v>
      </c>
      <c r="E456" s="57" t="s">
        <v>1804</v>
      </c>
      <c r="F456" s="57">
        <v>4100</v>
      </c>
      <c r="G456" s="57">
        <v>2800</v>
      </c>
      <c r="H456" s="57">
        <v>120</v>
      </c>
      <c r="I456" s="57" t="s">
        <v>2022</v>
      </c>
      <c r="J456" s="57" t="s">
        <v>2034</v>
      </c>
      <c r="M456" s="156">
        <v>45945</v>
      </c>
      <c r="N456" s="57">
        <v>0</v>
      </c>
      <c r="P456" s="167">
        <v>1.361</v>
      </c>
      <c r="Q456" s="171">
        <v>3.403</v>
      </c>
      <c r="R456" s="166">
        <f>IFERROR(VLOOKUP(B456,#REF!,1,0),0)</f>
        <v>0</v>
      </c>
    </row>
    <row r="457" spans="1:18" x14ac:dyDescent="0.25">
      <c r="A457" s="57">
        <v>456</v>
      </c>
      <c r="B457" s="57" t="s">
        <v>1856</v>
      </c>
      <c r="C457" s="57">
        <v>1</v>
      </c>
      <c r="D457" s="57" t="s">
        <v>2019</v>
      </c>
      <c r="E457" s="57" t="s">
        <v>1810</v>
      </c>
      <c r="F457" s="57">
        <v>5220</v>
      </c>
      <c r="G457" s="57">
        <v>3010</v>
      </c>
      <c r="H457" s="57">
        <v>120</v>
      </c>
      <c r="I457" s="57" t="s">
        <v>2022</v>
      </c>
      <c r="J457" s="57" t="s">
        <v>2033</v>
      </c>
      <c r="M457" s="156">
        <v>45945</v>
      </c>
      <c r="N457" s="57">
        <v>0</v>
      </c>
      <c r="P457" s="167">
        <v>2.141</v>
      </c>
      <c r="Q457" s="171">
        <v>5.3529999999999998</v>
      </c>
      <c r="R457" s="166">
        <f>IFERROR(VLOOKUP(B457,#REF!,1,0),0)</f>
        <v>0</v>
      </c>
    </row>
    <row r="458" spans="1:18" x14ac:dyDescent="0.25">
      <c r="A458" s="57">
        <v>457</v>
      </c>
      <c r="B458" s="57" t="s">
        <v>1971</v>
      </c>
      <c r="C458" s="57">
        <v>1</v>
      </c>
      <c r="D458" s="57" t="s">
        <v>2019</v>
      </c>
      <c r="E458" s="57" t="s">
        <v>1804</v>
      </c>
      <c r="F458" s="57">
        <v>5220</v>
      </c>
      <c r="G458" s="57">
        <v>3010</v>
      </c>
      <c r="H458" s="57">
        <v>120</v>
      </c>
      <c r="I458" s="57" t="s">
        <v>2022</v>
      </c>
      <c r="J458" s="57" t="s">
        <v>2033</v>
      </c>
      <c r="M458" s="156">
        <v>45945</v>
      </c>
      <c r="N458" s="57">
        <v>0</v>
      </c>
      <c r="P458" s="167">
        <v>2.141</v>
      </c>
      <c r="Q458" s="171">
        <v>5.3529999999999998</v>
      </c>
      <c r="R458" s="166">
        <f>IFERROR(VLOOKUP(B458,#REF!,1,0),0)</f>
        <v>0</v>
      </c>
    </row>
    <row r="459" spans="1:18" x14ac:dyDescent="0.25">
      <c r="A459" s="57">
        <v>458</v>
      </c>
      <c r="B459" s="57" t="s">
        <v>1857</v>
      </c>
      <c r="C459" s="57">
        <v>1</v>
      </c>
      <c r="D459" s="57" t="s">
        <v>2019</v>
      </c>
      <c r="E459" s="57" t="s">
        <v>1814</v>
      </c>
      <c r="F459" s="57">
        <v>5220</v>
      </c>
      <c r="G459" s="57">
        <v>3090</v>
      </c>
      <c r="H459" s="57">
        <v>120</v>
      </c>
      <c r="I459" s="57" t="s">
        <v>2022</v>
      </c>
      <c r="J459" s="57" t="s">
        <v>2033</v>
      </c>
      <c r="M459" s="156">
        <v>45945</v>
      </c>
      <c r="N459" s="57">
        <v>0</v>
      </c>
      <c r="P459" s="167">
        <v>2.1909999999999998</v>
      </c>
      <c r="Q459" s="171">
        <v>5.4779999999999998</v>
      </c>
      <c r="R459" s="166">
        <f>IFERROR(VLOOKUP(B459,#REF!,1,0),0)</f>
        <v>0</v>
      </c>
    </row>
    <row r="460" spans="1:18" x14ac:dyDescent="0.25">
      <c r="A460" s="57">
        <v>459</v>
      </c>
      <c r="B460" s="57" t="s">
        <v>1978</v>
      </c>
      <c r="C460" s="57">
        <v>1</v>
      </c>
      <c r="D460" s="57" t="s">
        <v>2019</v>
      </c>
      <c r="E460" s="57" t="s">
        <v>1817</v>
      </c>
      <c r="F460" s="57">
        <v>5220</v>
      </c>
      <c r="G460" s="57">
        <v>3090</v>
      </c>
      <c r="H460" s="57">
        <v>120</v>
      </c>
      <c r="I460" s="57" t="s">
        <v>2022</v>
      </c>
      <c r="J460" s="57" t="s">
        <v>2033</v>
      </c>
      <c r="M460" s="156">
        <v>45945</v>
      </c>
      <c r="N460" s="57">
        <v>0</v>
      </c>
      <c r="P460" s="167">
        <v>2.1909999999999998</v>
      </c>
      <c r="Q460" s="171">
        <v>5.4779999999999998</v>
      </c>
      <c r="R460" s="166">
        <f>IFERROR(VLOOKUP(B460,#REF!,1,0),0)</f>
        <v>0</v>
      </c>
    </row>
    <row r="461" spans="1:18" x14ac:dyDescent="0.25">
      <c r="A461" s="57">
        <v>460</v>
      </c>
      <c r="B461" s="57" t="s">
        <v>1858</v>
      </c>
      <c r="C461" s="57">
        <v>1</v>
      </c>
      <c r="D461" s="57" t="s">
        <v>2019</v>
      </c>
      <c r="E461" s="57" t="s">
        <v>1814</v>
      </c>
      <c r="F461" s="57">
        <v>5220</v>
      </c>
      <c r="G461" s="57">
        <v>3090</v>
      </c>
      <c r="H461" s="57">
        <v>120</v>
      </c>
      <c r="I461" s="57" t="s">
        <v>2022</v>
      </c>
      <c r="J461" s="57" t="s">
        <v>2033</v>
      </c>
      <c r="M461" s="156">
        <v>45945</v>
      </c>
      <c r="N461" s="57">
        <v>0</v>
      </c>
      <c r="P461" s="167">
        <v>2.1909999999999998</v>
      </c>
      <c r="Q461" s="171">
        <v>5.4779999999999998</v>
      </c>
      <c r="R461" s="166">
        <f>IFERROR(VLOOKUP(B461,#REF!,1,0),0)</f>
        <v>0</v>
      </c>
    </row>
    <row r="462" spans="1:18" x14ac:dyDescent="0.25">
      <c r="A462" s="57">
        <v>461</v>
      </c>
      <c r="B462" s="57" t="s">
        <v>1979</v>
      </c>
      <c r="C462" s="57">
        <v>1</v>
      </c>
      <c r="D462" s="57" t="s">
        <v>2019</v>
      </c>
      <c r="E462" s="57" t="s">
        <v>1814</v>
      </c>
      <c r="F462" s="57">
        <v>5220</v>
      </c>
      <c r="G462" s="57">
        <v>3090</v>
      </c>
      <c r="H462" s="57">
        <v>120</v>
      </c>
      <c r="I462" s="57" t="s">
        <v>2022</v>
      </c>
      <c r="J462" s="57" t="s">
        <v>2033</v>
      </c>
      <c r="M462" s="156">
        <v>45945</v>
      </c>
      <c r="N462" s="57">
        <v>0</v>
      </c>
      <c r="P462" s="167">
        <v>2.1909999999999998</v>
      </c>
      <c r="Q462" s="171">
        <v>5.4779999999999998</v>
      </c>
      <c r="R462" s="166">
        <f>IFERROR(VLOOKUP(B462,#REF!,1,0),0)</f>
        <v>0</v>
      </c>
    </row>
    <row r="463" spans="1:18" x14ac:dyDescent="0.25">
      <c r="A463" s="57">
        <v>462</v>
      </c>
      <c r="B463" s="57" t="s">
        <v>2000</v>
      </c>
      <c r="C463" s="57">
        <v>1</v>
      </c>
      <c r="D463" s="57" t="s">
        <v>2019</v>
      </c>
      <c r="E463" s="57" t="s">
        <v>1814</v>
      </c>
      <c r="F463" s="57">
        <v>5220</v>
      </c>
      <c r="G463" s="57">
        <v>3090</v>
      </c>
      <c r="H463" s="57">
        <v>120</v>
      </c>
      <c r="I463" s="57" t="s">
        <v>2022</v>
      </c>
      <c r="J463" s="57" t="s">
        <v>2033</v>
      </c>
      <c r="M463" s="156">
        <v>45945</v>
      </c>
      <c r="N463" s="57">
        <v>0</v>
      </c>
      <c r="P463" s="167">
        <v>2.1909999999999998</v>
      </c>
      <c r="Q463" s="171">
        <v>5.4779999999999998</v>
      </c>
      <c r="R463" s="166">
        <f>IFERROR(VLOOKUP(B463,#REF!,1,0),0)</f>
        <v>0</v>
      </c>
    </row>
    <row r="464" spans="1:18" x14ac:dyDescent="0.25">
      <c r="A464" s="57">
        <v>463</v>
      </c>
      <c r="B464" s="57" t="s">
        <v>2001</v>
      </c>
      <c r="C464" s="57">
        <v>1</v>
      </c>
      <c r="D464" s="57" t="s">
        <v>2019</v>
      </c>
      <c r="E464" s="57" t="s">
        <v>1814</v>
      </c>
      <c r="F464" s="57">
        <v>5220</v>
      </c>
      <c r="G464" s="57">
        <v>3090</v>
      </c>
      <c r="H464" s="57">
        <v>120</v>
      </c>
      <c r="I464" s="57" t="s">
        <v>2022</v>
      </c>
      <c r="J464" s="57" t="s">
        <v>2033</v>
      </c>
      <c r="M464" s="156">
        <v>45945</v>
      </c>
      <c r="N464" s="57">
        <v>0</v>
      </c>
      <c r="P464" s="167">
        <v>2.1909999999999998</v>
      </c>
      <c r="Q464" s="171">
        <v>5.4779999999999998</v>
      </c>
      <c r="R464" s="166">
        <f>IFERROR(VLOOKUP(B464,#REF!,1,0),0)</f>
        <v>0</v>
      </c>
    </row>
    <row r="465" spans="1:18" x14ac:dyDescent="0.25">
      <c r="A465" s="57">
        <v>464</v>
      </c>
      <c r="B465" s="57" t="s">
        <v>2002</v>
      </c>
      <c r="C465" s="57">
        <v>1</v>
      </c>
      <c r="D465" s="57" t="s">
        <v>2019</v>
      </c>
      <c r="E465" s="57" t="s">
        <v>1817</v>
      </c>
      <c r="F465" s="57">
        <v>5220</v>
      </c>
      <c r="G465" s="57">
        <v>3090</v>
      </c>
      <c r="H465" s="57">
        <v>120</v>
      </c>
      <c r="I465" s="57" t="s">
        <v>2022</v>
      </c>
      <c r="J465" s="57" t="s">
        <v>2033</v>
      </c>
      <c r="M465" s="156">
        <v>45945</v>
      </c>
      <c r="N465" s="57">
        <v>0</v>
      </c>
      <c r="P465" s="167">
        <v>2.1909999999999998</v>
      </c>
      <c r="Q465" s="171">
        <v>5.4779999999999998</v>
      </c>
      <c r="R465" s="166">
        <f>IFERROR(VLOOKUP(B465,#REF!,1,0),0)</f>
        <v>0</v>
      </c>
    </row>
    <row r="466" spans="1:18" x14ac:dyDescent="0.25">
      <c r="A466" s="57">
        <v>465</v>
      </c>
      <c r="B466" s="57" t="s">
        <v>2003</v>
      </c>
      <c r="C466" s="57">
        <v>1</v>
      </c>
      <c r="D466" s="57" t="s">
        <v>2019</v>
      </c>
      <c r="E466" s="57" t="s">
        <v>1817</v>
      </c>
      <c r="F466" s="57">
        <v>5220</v>
      </c>
      <c r="G466" s="57">
        <v>3090</v>
      </c>
      <c r="H466" s="57">
        <v>120</v>
      </c>
      <c r="I466" s="57" t="s">
        <v>2022</v>
      </c>
      <c r="J466" s="57" t="s">
        <v>2033</v>
      </c>
      <c r="M466" s="156">
        <v>45945</v>
      </c>
      <c r="N466" s="57">
        <v>0</v>
      </c>
      <c r="P466" s="167">
        <v>2.1909999999999998</v>
      </c>
      <c r="Q466" s="171">
        <v>5.4779999999999998</v>
      </c>
      <c r="R466" s="166">
        <f>IFERROR(VLOOKUP(B466,#REF!,1,0),0)</f>
        <v>0</v>
      </c>
    </row>
    <row r="467" spans="1:18" x14ac:dyDescent="0.25">
      <c r="A467" s="57">
        <v>466</v>
      </c>
      <c r="B467" s="57" t="s">
        <v>2004</v>
      </c>
      <c r="C467" s="57">
        <v>1</v>
      </c>
      <c r="D467" s="57" t="s">
        <v>2019</v>
      </c>
      <c r="E467" s="57" t="s">
        <v>1817</v>
      </c>
      <c r="F467" s="57">
        <v>5220</v>
      </c>
      <c r="G467" s="57">
        <v>3090</v>
      </c>
      <c r="H467" s="57">
        <v>120</v>
      </c>
      <c r="I467" s="57" t="s">
        <v>2022</v>
      </c>
      <c r="J467" s="57" t="s">
        <v>2033</v>
      </c>
      <c r="M467" s="156">
        <v>45945</v>
      </c>
      <c r="N467" s="57">
        <v>0</v>
      </c>
      <c r="P467" s="167">
        <v>2.1909999999999998</v>
      </c>
      <c r="Q467" s="171">
        <v>5.4779999999999998</v>
      </c>
      <c r="R467" s="166">
        <f>IFERROR(VLOOKUP(B467,#REF!,1,0),0)</f>
        <v>0</v>
      </c>
    </row>
    <row r="468" spans="1:18" x14ac:dyDescent="0.25">
      <c r="A468" s="57">
        <v>467</v>
      </c>
      <c r="B468" s="57" t="s">
        <v>2005</v>
      </c>
      <c r="C468" s="57">
        <v>1</v>
      </c>
      <c r="D468" s="57" t="s">
        <v>2019</v>
      </c>
      <c r="E468" s="57" t="s">
        <v>1817</v>
      </c>
      <c r="F468" s="57">
        <v>5220</v>
      </c>
      <c r="G468" s="57">
        <v>3090</v>
      </c>
      <c r="H468" s="57">
        <v>120</v>
      </c>
      <c r="I468" s="57" t="s">
        <v>2022</v>
      </c>
      <c r="J468" s="57" t="s">
        <v>2033</v>
      </c>
      <c r="M468" s="156">
        <v>45945</v>
      </c>
      <c r="N468" s="57">
        <v>0</v>
      </c>
      <c r="P468" s="167">
        <v>2.1909999999999998</v>
      </c>
      <c r="Q468" s="171">
        <v>5.4779999999999998</v>
      </c>
      <c r="R468" s="166">
        <f>IFERROR(VLOOKUP(B468,#REF!,1,0),0)</f>
        <v>0</v>
      </c>
    </row>
    <row r="469" spans="1:18" x14ac:dyDescent="0.25">
      <c r="A469" s="57">
        <v>468</v>
      </c>
      <c r="B469" s="57" t="s">
        <v>1859</v>
      </c>
      <c r="C469" s="57">
        <v>1</v>
      </c>
      <c r="D469" s="57" t="s">
        <v>2019</v>
      </c>
      <c r="E469" s="57" t="s">
        <v>1817</v>
      </c>
      <c r="F469" s="57">
        <v>5220</v>
      </c>
      <c r="G469" s="57">
        <v>3090</v>
      </c>
      <c r="H469" s="57">
        <v>120</v>
      </c>
      <c r="I469" s="57" t="s">
        <v>2022</v>
      </c>
      <c r="J469" s="57" t="s">
        <v>2033</v>
      </c>
      <c r="M469" s="156">
        <v>45945</v>
      </c>
      <c r="N469" s="57">
        <v>0</v>
      </c>
      <c r="P469" s="167">
        <v>2.1909999999999998</v>
      </c>
      <c r="Q469" s="171">
        <v>5.4779999999999998</v>
      </c>
      <c r="R469" s="166">
        <f>IFERROR(VLOOKUP(B469,#REF!,1,0),0)</f>
        <v>0</v>
      </c>
    </row>
    <row r="470" spans="1:18" x14ac:dyDescent="0.25">
      <c r="A470" s="57">
        <v>469</v>
      </c>
      <c r="B470" s="57" t="s">
        <v>2006</v>
      </c>
      <c r="C470" s="57">
        <v>1</v>
      </c>
      <c r="D470" s="57" t="s">
        <v>2019</v>
      </c>
      <c r="E470" s="57" t="s">
        <v>1814</v>
      </c>
      <c r="F470" s="57">
        <v>5220</v>
      </c>
      <c r="G470" s="57">
        <v>3090</v>
      </c>
      <c r="H470" s="57">
        <v>120</v>
      </c>
      <c r="I470" s="57" t="s">
        <v>2022</v>
      </c>
      <c r="J470" s="57" t="s">
        <v>2033</v>
      </c>
      <c r="M470" s="156">
        <v>45945</v>
      </c>
      <c r="N470" s="57">
        <v>0</v>
      </c>
      <c r="P470" s="167">
        <v>2.1909999999999998</v>
      </c>
      <c r="Q470" s="171">
        <v>5.4779999999999998</v>
      </c>
      <c r="R470" s="166">
        <f>IFERROR(VLOOKUP(B470,#REF!,1,0),0)</f>
        <v>0</v>
      </c>
    </row>
    <row r="471" spans="1:18" x14ac:dyDescent="0.25">
      <c r="A471" s="57">
        <v>470</v>
      </c>
      <c r="B471" s="57" t="s">
        <v>1860</v>
      </c>
      <c r="C471" s="57">
        <v>1</v>
      </c>
      <c r="D471" s="57" t="s">
        <v>2019</v>
      </c>
      <c r="E471" s="57" t="s">
        <v>1820</v>
      </c>
      <c r="F471" s="57">
        <v>5220</v>
      </c>
      <c r="G471" s="57">
        <v>3080</v>
      </c>
      <c r="H471" s="57">
        <v>120</v>
      </c>
      <c r="I471" s="57" t="s">
        <v>2022</v>
      </c>
      <c r="J471" s="57" t="s">
        <v>2033</v>
      </c>
      <c r="M471" s="156">
        <v>45945</v>
      </c>
      <c r="N471" s="57">
        <v>0</v>
      </c>
      <c r="P471" s="167">
        <v>2.1840000000000002</v>
      </c>
      <c r="Q471" s="171">
        <v>5.46</v>
      </c>
      <c r="R471" s="166">
        <f>IFERROR(VLOOKUP(B471,#REF!,1,0),0)</f>
        <v>0</v>
      </c>
    </row>
    <row r="472" spans="1:18" x14ac:dyDescent="0.25">
      <c r="A472" s="57">
        <v>471</v>
      </c>
      <c r="B472" s="57" t="s">
        <v>1980</v>
      </c>
      <c r="C472" s="57">
        <v>1</v>
      </c>
      <c r="D472" s="57" t="s">
        <v>2019</v>
      </c>
      <c r="E472" s="57" t="s">
        <v>1824</v>
      </c>
      <c r="F472" s="57">
        <v>5220</v>
      </c>
      <c r="G472" s="57">
        <v>3080</v>
      </c>
      <c r="H472" s="57">
        <v>120</v>
      </c>
      <c r="I472" s="57" t="s">
        <v>2022</v>
      </c>
      <c r="J472" s="57" t="s">
        <v>2033</v>
      </c>
      <c r="M472" s="156">
        <v>45945</v>
      </c>
      <c r="N472" s="57">
        <v>0</v>
      </c>
      <c r="P472" s="167">
        <v>2.1840000000000002</v>
      </c>
      <c r="Q472" s="171">
        <v>5.46</v>
      </c>
      <c r="R472" s="166">
        <f>IFERROR(VLOOKUP(B472,#REF!,1,0),0)</f>
        <v>0</v>
      </c>
    </row>
    <row r="473" spans="1:18" x14ac:dyDescent="0.25">
      <c r="A473" s="57">
        <v>472</v>
      </c>
      <c r="B473" s="57" t="s">
        <v>1861</v>
      </c>
      <c r="C473" s="57">
        <v>1</v>
      </c>
      <c r="D473" s="57" t="s">
        <v>2019</v>
      </c>
      <c r="E473" s="57" t="s">
        <v>1820</v>
      </c>
      <c r="F473" s="57">
        <v>5220</v>
      </c>
      <c r="G473" s="57">
        <v>3080</v>
      </c>
      <c r="H473" s="57">
        <v>120</v>
      </c>
      <c r="I473" s="57" t="s">
        <v>2022</v>
      </c>
      <c r="J473" s="57" t="s">
        <v>2033</v>
      </c>
      <c r="M473" s="156">
        <v>45945</v>
      </c>
      <c r="N473" s="57">
        <v>0</v>
      </c>
      <c r="P473" s="167">
        <v>2.1840000000000002</v>
      </c>
      <c r="Q473" s="171">
        <v>5.46</v>
      </c>
      <c r="R473" s="166">
        <f>IFERROR(VLOOKUP(B473,#REF!,1,0),0)</f>
        <v>0</v>
      </c>
    </row>
    <row r="474" spans="1:18" x14ac:dyDescent="0.25">
      <c r="A474" s="57">
        <v>473</v>
      </c>
      <c r="B474" s="57" t="s">
        <v>1981</v>
      </c>
      <c r="C474" s="57">
        <v>1</v>
      </c>
      <c r="D474" s="57" t="s">
        <v>2019</v>
      </c>
      <c r="E474" s="57" t="s">
        <v>1820</v>
      </c>
      <c r="F474" s="57">
        <v>5220</v>
      </c>
      <c r="G474" s="57">
        <v>3080</v>
      </c>
      <c r="H474" s="57">
        <v>120</v>
      </c>
      <c r="I474" s="57" t="s">
        <v>2022</v>
      </c>
      <c r="J474" s="57" t="s">
        <v>2033</v>
      </c>
      <c r="M474" s="156">
        <v>45945</v>
      </c>
      <c r="N474" s="57">
        <v>0</v>
      </c>
      <c r="P474" s="167">
        <v>2.1840000000000002</v>
      </c>
      <c r="Q474" s="171">
        <v>5.46</v>
      </c>
      <c r="R474" s="166">
        <f>IFERROR(VLOOKUP(B474,#REF!,1,0),0)</f>
        <v>0</v>
      </c>
    </row>
    <row r="475" spans="1:18" x14ac:dyDescent="0.25">
      <c r="A475" s="57">
        <v>474</v>
      </c>
      <c r="B475" s="57" t="s">
        <v>2007</v>
      </c>
      <c r="C475" s="57">
        <v>1</v>
      </c>
      <c r="D475" s="57" t="s">
        <v>2019</v>
      </c>
      <c r="E475" s="57" t="s">
        <v>1820</v>
      </c>
      <c r="F475" s="57">
        <v>5220</v>
      </c>
      <c r="G475" s="57">
        <v>3080</v>
      </c>
      <c r="H475" s="57">
        <v>120</v>
      </c>
      <c r="I475" s="57" t="s">
        <v>2022</v>
      </c>
      <c r="J475" s="57" t="s">
        <v>2033</v>
      </c>
      <c r="M475" s="156">
        <v>45945</v>
      </c>
      <c r="N475" s="57">
        <v>0</v>
      </c>
      <c r="P475" s="167">
        <v>2.1840000000000002</v>
      </c>
      <c r="Q475" s="171">
        <v>5.46</v>
      </c>
      <c r="R475" s="166">
        <f>IFERROR(VLOOKUP(B475,#REF!,1,0),0)</f>
        <v>0</v>
      </c>
    </row>
    <row r="476" spans="1:18" x14ac:dyDescent="0.25">
      <c r="A476" s="57">
        <v>475</v>
      </c>
      <c r="B476" s="57" t="s">
        <v>2008</v>
      </c>
      <c r="C476" s="57">
        <v>1</v>
      </c>
      <c r="D476" s="57" t="s">
        <v>2019</v>
      </c>
      <c r="E476" s="57" t="s">
        <v>1820</v>
      </c>
      <c r="F476" s="57">
        <v>5220</v>
      </c>
      <c r="G476" s="57">
        <v>3080</v>
      </c>
      <c r="H476" s="57">
        <v>120</v>
      </c>
      <c r="I476" s="57" t="s">
        <v>2022</v>
      </c>
      <c r="J476" s="57" t="s">
        <v>2033</v>
      </c>
      <c r="M476" s="156">
        <v>45945</v>
      </c>
      <c r="N476" s="57">
        <v>0</v>
      </c>
      <c r="P476" s="167">
        <v>2.1840000000000002</v>
      </c>
      <c r="Q476" s="171">
        <v>5.46</v>
      </c>
      <c r="R476" s="166">
        <f>IFERROR(VLOOKUP(B476,#REF!,1,0),0)</f>
        <v>0</v>
      </c>
    </row>
    <row r="477" spans="1:18" x14ac:dyDescent="0.25">
      <c r="A477" s="57">
        <v>476</v>
      </c>
      <c r="B477" s="57" t="s">
        <v>1964</v>
      </c>
      <c r="C477" s="57">
        <v>1</v>
      </c>
      <c r="D477" s="57" t="s">
        <v>2019</v>
      </c>
      <c r="E477" s="57" t="s">
        <v>1824</v>
      </c>
      <c r="F477" s="57">
        <v>5220</v>
      </c>
      <c r="G477" s="57">
        <v>3080</v>
      </c>
      <c r="H477" s="57">
        <v>120</v>
      </c>
      <c r="I477" s="57" t="s">
        <v>2022</v>
      </c>
      <c r="J477" s="57" t="s">
        <v>2033</v>
      </c>
      <c r="M477" s="156">
        <v>45945</v>
      </c>
      <c r="N477" s="57">
        <v>0</v>
      </c>
      <c r="P477" s="167">
        <v>2.1840000000000002</v>
      </c>
      <c r="Q477" s="171">
        <v>5.46</v>
      </c>
      <c r="R477" s="166">
        <f>IFERROR(VLOOKUP(B477,#REF!,1,0),0)</f>
        <v>0</v>
      </c>
    </row>
    <row r="478" spans="1:18" x14ac:dyDescent="0.25">
      <c r="A478" s="57">
        <v>477</v>
      </c>
      <c r="B478" s="57" t="s">
        <v>1973</v>
      </c>
      <c r="C478" s="57">
        <v>1</v>
      </c>
      <c r="D478" s="57" t="s">
        <v>2019</v>
      </c>
      <c r="E478" s="57" t="s">
        <v>1824</v>
      </c>
      <c r="F478" s="57">
        <v>5220</v>
      </c>
      <c r="G478" s="57">
        <v>3080</v>
      </c>
      <c r="H478" s="57">
        <v>120</v>
      </c>
      <c r="I478" s="57" t="s">
        <v>2022</v>
      </c>
      <c r="J478" s="57" t="s">
        <v>2033</v>
      </c>
      <c r="M478" s="156">
        <v>45945</v>
      </c>
      <c r="N478" s="57">
        <v>0</v>
      </c>
      <c r="P478" s="167">
        <v>2.1840000000000002</v>
      </c>
      <c r="Q478" s="171">
        <v>5.46</v>
      </c>
      <c r="R478" s="166">
        <f>IFERROR(VLOOKUP(B478,#REF!,1,0),0)</f>
        <v>0</v>
      </c>
    </row>
    <row r="479" spans="1:18" x14ac:dyDescent="0.25">
      <c r="A479" s="57">
        <v>478</v>
      </c>
      <c r="B479" s="57" t="s">
        <v>1974</v>
      </c>
      <c r="C479" s="57">
        <v>1</v>
      </c>
      <c r="D479" s="57" t="s">
        <v>2019</v>
      </c>
      <c r="E479" s="57" t="s">
        <v>1824</v>
      </c>
      <c r="F479" s="57">
        <v>5220</v>
      </c>
      <c r="G479" s="57">
        <v>3080</v>
      </c>
      <c r="H479" s="57">
        <v>120</v>
      </c>
      <c r="I479" s="57" t="s">
        <v>2022</v>
      </c>
      <c r="J479" s="57" t="s">
        <v>2033</v>
      </c>
      <c r="M479" s="156">
        <v>45945</v>
      </c>
      <c r="N479" s="57">
        <v>0</v>
      </c>
      <c r="P479" s="167">
        <v>2.1840000000000002</v>
      </c>
      <c r="Q479" s="171">
        <v>5.46</v>
      </c>
      <c r="R479" s="166">
        <f>IFERROR(VLOOKUP(B479,#REF!,1,0),0)</f>
        <v>0</v>
      </c>
    </row>
    <row r="480" spans="1:18" x14ac:dyDescent="0.25">
      <c r="A480" s="57">
        <v>479</v>
      </c>
      <c r="B480" s="57" t="s">
        <v>2009</v>
      </c>
      <c r="C480" s="57">
        <v>1</v>
      </c>
      <c r="D480" s="57" t="s">
        <v>2019</v>
      </c>
      <c r="E480" s="57" t="s">
        <v>1824</v>
      </c>
      <c r="F480" s="57">
        <v>5220</v>
      </c>
      <c r="G480" s="57">
        <v>3080</v>
      </c>
      <c r="H480" s="57">
        <v>120</v>
      </c>
      <c r="I480" s="57" t="s">
        <v>2022</v>
      </c>
      <c r="J480" s="57" t="s">
        <v>2033</v>
      </c>
      <c r="M480" s="156">
        <v>45945</v>
      </c>
      <c r="N480" s="57">
        <v>0</v>
      </c>
      <c r="P480" s="167">
        <v>2.1840000000000002</v>
      </c>
      <c r="Q480" s="171">
        <v>5.46</v>
      </c>
      <c r="R480" s="166">
        <f>IFERROR(VLOOKUP(B480,#REF!,1,0),0)</f>
        <v>0</v>
      </c>
    </row>
    <row r="481" spans="1:18" x14ac:dyDescent="0.25">
      <c r="A481" s="57">
        <v>480</v>
      </c>
      <c r="B481" s="57" t="s">
        <v>1862</v>
      </c>
      <c r="C481" s="57">
        <v>1</v>
      </c>
      <c r="D481" s="57" t="s">
        <v>2019</v>
      </c>
      <c r="E481" s="57" t="s">
        <v>1824</v>
      </c>
      <c r="F481" s="57">
        <v>5220</v>
      </c>
      <c r="G481" s="57">
        <v>3080</v>
      </c>
      <c r="H481" s="57">
        <v>120</v>
      </c>
      <c r="I481" s="57" t="s">
        <v>2022</v>
      </c>
      <c r="J481" s="57" t="s">
        <v>2033</v>
      </c>
      <c r="M481" s="156">
        <v>45945</v>
      </c>
      <c r="N481" s="57">
        <v>0</v>
      </c>
      <c r="P481" s="167">
        <v>2.1840000000000002</v>
      </c>
      <c r="Q481" s="171">
        <v>5.46</v>
      </c>
      <c r="R481" s="166">
        <f>IFERROR(VLOOKUP(B481,#REF!,1,0),0)</f>
        <v>0</v>
      </c>
    </row>
    <row r="482" spans="1:18" x14ac:dyDescent="0.25">
      <c r="A482" s="57">
        <v>481</v>
      </c>
      <c r="B482" s="57" t="s">
        <v>1982</v>
      </c>
      <c r="C482" s="57">
        <v>1</v>
      </c>
      <c r="D482" s="57" t="s">
        <v>2019</v>
      </c>
      <c r="E482" s="57" t="s">
        <v>1820</v>
      </c>
      <c r="F482" s="57">
        <v>5220</v>
      </c>
      <c r="G482" s="57">
        <v>3080</v>
      </c>
      <c r="H482" s="57">
        <v>120</v>
      </c>
      <c r="I482" s="57" t="s">
        <v>2022</v>
      </c>
      <c r="J482" s="57" t="s">
        <v>2033</v>
      </c>
      <c r="M482" s="156">
        <v>45945</v>
      </c>
      <c r="N482" s="57">
        <v>0</v>
      </c>
      <c r="P482" s="167">
        <v>2.1840000000000002</v>
      </c>
      <c r="Q482" s="171">
        <v>5.46</v>
      </c>
      <c r="R482" s="166">
        <f>IFERROR(VLOOKUP(B482,#REF!,1,0),0)</f>
        <v>0</v>
      </c>
    </row>
    <row r="483" spans="1:18" x14ac:dyDescent="0.25">
      <c r="A483" s="57">
        <v>482</v>
      </c>
      <c r="B483" s="57" t="s">
        <v>1863</v>
      </c>
      <c r="C483" s="57">
        <v>1</v>
      </c>
      <c r="D483" s="57" t="s">
        <v>2019</v>
      </c>
      <c r="E483" s="57" t="s">
        <v>1827</v>
      </c>
      <c r="F483" s="57">
        <v>5220</v>
      </c>
      <c r="G483" s="57">
        <v>3000</v>
      </c>
      <c r="H483" s="57">
        <v>120</v>
      </c>
      <c r="I483" s="57" t="s">
        <v>2022</v>
      </c>
      <c r="J483" s="57" t="s">
        <v>2033</v>
      </c>
      <c r="M483" s="156">
        <v>45945</v>
      </c>
      <c r="N483" s="57">
        <v>0</v>
      </c>
      <c r="P483" s="167">
        <v>2.1339999999999999</v>
      </c>
      <c r="Q483" s="171">
        <v>5.335</v>
      </c>
      <c r="R483" s="166">
        <f>IFERROR(VLOOKUP(B483,#REF!,1,0),0)</f>
        <v>0</v>
      </c>
    </row>
    <row r="484" spans="1:18" x14ac:dyDescent="0.25">
      <c r="A484" s="57">
        <v>483</v>
      </c>
      <c r="B484" s="57" t="s">
        <v>2010</v>
      </c>
      <c r="C484" s="57">
        <v>1</v>
      </c>
      <c r="D484" s="57" t="s">
        <v>2019</v>
      </c>
      <c r="E484" s="57" t="s">
        <v>1831</v>
      </c>
      <c r="F484" s="57">
        <v>5220</v>
      </c>
      <c r="G484" s="57">
        <v>3000</v>
      </c>
      <c r="H484" s="57">
        <v>120</v>
      </c>
      <c r="I484" s="57" t="s">
        <v>2022</v>
      </c>
      <c r="J484" s="57" t="s">
        <v>2033</v>
      </c>
      <c r="M484" s="156">
        <v>45945</v>
      </c>
      <c r="N484" s="57">
        <v>0</v>
      </c>
      <c r="P484" s="167">
        <v>2.1339999999999999</v>
      </c>
      <c r="Q484" s="171">
        <v>5.335</v>
      </c>
      <c r="R484" s="166">
        <f>IFERROR(VLOOKUP(B484,#REF!,1,0),0)</f>
        <v>0</v>
      </c>
    </row>
    <row r="485" spans="1:18" x14ac:dyDescent="0.25">
      <c r="A485" s="57">
        <v>484</v>
      </c>
      <c r="B485" s="57" t="s">
        <v>1864</v>
      </c>
      <c r="C485" s="57">
        <v>1</v>
      </c>
      <c r="D485" s="57" t="s">
        <v>2019</v>
      </c>
      <c r="E485" s="57" t="s">
        <v>1827</v>
      </c>
      <c r="F485" s="57">
        <v>5220</v>
      </c>
      <c r="G485" s="57">
        <v>3000</v>
      </c>
      <c r="H485" s="57">
        <v>120</v>
      </c>
      <c r="I485" s="57" t="s">
        <v>2022</v>
      </c>
      <c r="J485" s="57" t="s">
        <v>2033</v>
      </c>
      <c r="M485" s="156">
        <v>45945</v>
      </c>
      <c r="N485" s="57">
        <v>0</v>
      </c>
      <c r="P485" s="167">
        <v>2.1339999999999999</v>
      </c>
      <c r="Q485" s="171">
        <v>5.335</v>
      </c>
      <c r="R485" s="166">
        <f>IFERROR(VLOOKUP(B485,#REF!,1,0),0)</f>
        <v>0</v>
      </c>
    </row>
    <row r="486" spans="1:18" x14ac:dyDescent="0.25">
      <c r="A486" s="57">
        <v>485</v>
      </c>
      <c r="B486" s="57" t="s">
        <v>2011</v>
      </c>
      <c r="C486" s="57">
        <v>1</v>
      </c>
      <c r="D486" s="57" t="s">
        <v>2019</v>
      </c>
      <c r="E486" s="57" t="s">
        <v>1827</v>
      </c>
      <c r="F486" s="57">
        <v>5220</v>
      </c>
      <c r="G486" s="57">
        <v>3000</v>
      </c>
      <c r="H486" s="57">
        <v>120</v>
      </c>
      <c r="I486" s="57" t="s">
        <v>2022</v>
      </c>
      <c r="J486" s="57" t="s">
        <v>2033</v>
      </c>
      <c r="M486" s="156">
        <v>45945</v>
      </c>
      <c r="N486" s="57">
        <v>0</v>
      </c>
      <c r="P486" s="167">
        <v>2.1339999999999999</v>
      </c>
      <c r="Q486" s="171">
        <v>5.335</v>
      </c>
      <c r="R486" s="166">
        <f>IFERROR(VLOOKUP(B486,#REF!,1,0),0)</f>
        <v>0</v>
      </c>
    </row>
    <row r="487" spans="1:18" x14ac:dyDescent="0.25">
      <c r="A487" s="57">
        <v>486</v>
      </c>
      <c r="B487" s="57" t="s">
        <v>2012</v>
      </c>
      <c r="C487" s="57">
        <v>1</v>
      </c>
      <c r="D487" s="57" t="s">
        <v>2019</v>
      </c>
      <c r="E487" s="57" t="s">
        <v>1827</v>
      </c>
      <c r="F487" s="57">
        <v>5220</v>
      </c>
      <c r="G487" s="57">
        <v>3000</v>
      </c>
      <c r="H487" s="57">
        <v>120</v>
      </c>
      <c r="I487" s="57" t="s">
        <v>2022</v>
      </c>
      <c r="J487" s="57" t="s">
        <v>2033</v>
      </c>
      <c r="M487" s="156">
        <v>45945</v>
      </c>
      <c r="N487" s="57">
        <v>0</v>
      </c>
      <c r="P487" s="167">
        <v>2.1339999999999999</v>
      </c>
      <c r="Q487" s="171">
        <v>5.335</v>
      </c>
      <c r="R487" s="166">
        <f>IFERROR(VLOOKUP(B487,#REF!,1,0),0)</f>
        <v>0</v>
      </c>
    </row>
    <row r="488" spans="1:18" x14ac:dyDescent="0.25">
      <c r="A488" s="57">
        <v>487</v>
      </c>
      <c r="B488" s="57" t="s">
        <v>1972</v>
      </c>
      <c r="C488" s="57">
        <v>1</v>
      </c>
      <c r="D488" s="57" t="s">
        <v>2019</v>
      </c>
      <c r="E488" s="57" t="s">
        <v>1827</v>
      </c>
      <c r="F488" s="57">
        <v>5220</v>
      </c>
      <c r="G488" s="57">
        <v>3000</v>
      </c>
      <c r="H488" s="57">
        <v>120</v>
      </c>
      <c r="I488" s="57" t="s">
        <v>2022</v>
      </c>
      <c r="J488" s="57" t="s">
        <v>2033</v>
      </c>
      <c r="M488" s="156">
        <v>45945</v>
      </c>
      <c r="N488" s="57">
        <v>0</v>
      </c>
      <c r="P488" s="167">
        <v>2.1339999999999999</v>
      </c>
      <c r="Q488" s="171">
        <v>5.335</v>
      </c>
      <c r="R488" s="166">
        <f>IFERROR(VLOOKUP(B488,#REF!,1,0),0)</f>
        <v>0</v>
      </c>
    </row>
    <row r="489" spans="1:18" x14ac:dyDescent="0.25">
      <c r="A489" s="57">
        <v>488</v>
      </c>
      <c r="B489" s="57" t="s">
        <v>2013</v>
      </c>
      <c r="C489" s="57">
        <v>1</v>
      </c>
      <c r="D489" s="57" t="s">
        <v>2019</v>
      </c>
      <c r="E489" s="57" t="s">
        <v>1831</v>
      </c>
      <c r="F489" s="57">
        <v>5220</v>
      </c>
      <c r="G489" s="57">
        <v>3000</v>
      </c>
      <c r="H489" s="57">
        <v>120</v>
      </c>
      <c r="I489" s="57" t="s">
        <v>2022</v>
      </c>
      <c r="J489" s="57" t="s">
        <v>2033</v>
      </c>
      <c r="M489" s="156">
        <v>45945</v>
      </c>
      <c r="N489" s="57">
        <v>0</v>
      </c>
      <c r="P489" s="167">
        <v>2.1339999999999999</v>
      </c>
      <c r="Q489" s="171">
        <v>5.335</v>
      </c>
      <c r="R489" s="166">
        <f>IFERROR(VLOOKUP(B489,#REF!,1,0),0)</f>
        <v>0</v>
      </c>
    </row>
    <row r="490" spans="1:18" x14ac:dyDescent="0.25">
      <c r="A490" s="57">
        <v>489</v>
      </c>
      <c r="B490" s="57" t="s">
        <v>2014</v>
      </c>
      <c r="C490" s="57">
        <v>1</v>
      </c>
      <c r="D490" s="57" t="s">
        <v>2019</v>
      </c>
      <c r="E490" s="57" t="s">
        <v>1831</v>
      </c>
      <c r="F490" s="57">
        <v>5220</v>
      </c>
      <c r="G490" s="57">
        <v>3000</v>
      </c>
      <c r="H490" s="57">
        <v>120</v>
      </c>
      <c r="I490" s="57" t="s">
        <v>2022</v>
      </c>
      <c r="J490" s="57" t="s">
        <v>2033</v>
      </c>
      <c r="M490" s="156">
        <v>45945</v>
      </c>
      <c r="N490" s="57">
        <v>0</v>
      </c>
      <c r="P490" s="167">
        <v>2.1339999999999999</v>
      </c>
      <c r="Q490" s="171">
        <v>5.335</v>
      </c>
      <c r="R490" s="166">
        <f>IFERROR(VLOOKUP(B490,#REF!,1,0),0)</f>
        <v>0</v>
      </c>
    </row>
    <row r="491" spans="1:18" x14ac:dyDescent="0.25">
      <c r="A491" s="57">
        <v>490</v>
      </c>
      <c r="B491" s="57" t="s">
        <v>2015</v>
      </c>
      <c r="C491" s="57">
        <v>1</v>
      </c>
      <c r="D491" s="57" t="s">
        <v>2019</v>
      </c>
      <c r="E491" s="57" t="s">
        <v>1831</v>
      </c>
      <c r="F491" s="57">
        <v>5220</v>
      </c>
      <c r="G491" s="57">
        <v>3000</v>
      </c>
      <c r="H491" s="57">
        <v>120</v>
      </c>
      <c r="I491" s="57" t="s">
        <v>2022</v>
      </c>
      <c r="J491" s="57" t="s">
        <v>2033</v>
      </c>
      <c r="M491" s="156">
        <v>45945</v>
      </c>
      <c r="N491" s="57">
        <v>0</v>
      </c>
      <c r="P491" s="167">
        <v>2.1339999999999999</v>
      </c>
      <c r="Q491" s="171">
        <v>5.335</v>
      </c>
      <c r="R491" s="166">
        <f>IFERROR(VLOOKUP(B491,#REF!,1,0),0)</f>
        <v>0</v>
      </c>
    </row>
    <row r="492" spans="1:18" x14ac:dyDescent="0.25">
      <c r="A492" s="57">
        <v>491</v>
      </c>
      <c r="B492" s="57" t="s">
        <v>2016</v>
      </c>
      <c r="C492" s="57">
        <v>1</v>
      </c>
      <c r="D492" s="57" t="s">
        <v>2019</v>
      </c>
      <c r="E492" s="57" t="s">
        <v>1831</v>
      </c>
      <c r="F492" s="57">
        <v>5220</v>
      </c>
      <c r="G492" s="57">
        <v>3000</v>
      </c>
      <c r="H492" s="57">
        <v>120</v>
      </c>
      <c r="I492" s="57" t="s">
        <v>2022</v>
      </c>
      <c r="J492" s="57" t="s">
        <v>2033</v>
      </c>
      <c r="M492" s="156">
        <v>45945</v>
      </c>
      <c r="N492" s="57">
        <v>0</v>
      </c>
      <c r="P492" s="167">
        <v>2.1339999999999999</v>
      </c>
      <c r="Q492" s="171">
        <v>5.335</v>
      </c>
      <c r="R492" s="166">
        <f>IFERROR(VLOOKUP(B492,#REF!,1,0),0)</f>
        <v>0</v>
      </c>
    </row>
    <row r="493" spans="1:18" x14ac:dyDescent="0.25">
      <c r="A493" s="57">
        <v>492</v>
      </c>
      <c r="B493" s="57" t="s">
        <v>1865</v>
      </c>
      <c r="C493" s="57">
        <v>1</v>
      </c>
      <c r="D493" s="57" t="s">
        <v>2019</v>
      </c>
      <c r="E493" s="57" t="s">
        <v>1831</v>
      </c>
      <c r="F493" s="57">
        <v>5220</v>
      </c>
      <c r="G493" s="57">
        <v>3000</v>
      </c>
      <c r="H493" s="57">
        <v>120</v>
      </c>
      <c r="I493" s="57" t="s">
        <v>2022</v>
      </c>
      <c r="J493" s="57" t="s">
        <v>2033</v>
      </c>
      <c r="M493" s="156">
        <v>45945</v>
      </c>
      <c r="N493" s="57">
        <v>0</v>
      </c>
      <c r="P493" s="167">
        <v>2.1339999999999999</v>
      </c>
      <c r="Q493" s="171">
        <v>5.335</v>
      </c>
      <c r="R493" s="166">
        <f>IFERROR(VLOOKUP(B493,#REF!,1,0),0)</f>
        <v>0</v>
      </c>
    </row>
    <row r="494" spans="1:18" x14ac:dyDescent="0.25">
      <c r="A494" s="57">
        <v>493</v>
      </c>
      <c r="B494" s="57" t="s">
        <v>2017</v>
      </c>
      <c r="C494" s="57">
        <v>1</v>
      </c>
      <c r="D494" s="57" t="s">
        <v>2019</v>
      </c>
      <c r="E494" s="57" t="s">
        <v>1827</v>
      </c>
      <c r="F494" s="57">
        <v>5220</v>
      </c>
      <c r="G494" s="57">
        <v>3000</v>
      </c>
      <c r="H494" s="57">
        <v>120</v>
      </c>
      <c r="I494" s="57" t="s">
        <v>2022</v>
      </c>
      <c r="J494" s="57" t="s">
        <v>2033</v>
      </c>
      <c r="M494" s="156">
        <v>45945</v>
      </c>
      <c r="N494" s="57">
        <v>0</v>
      </c>
      <c r="P494" s="167">
        <v>2.1339999999999999</v>
      </c>
      <c r="Q494" s="171">
        <v>5.335</v>
      </c>
      <c r="R494" s="166">
        <f>IFERROR(VLOOKUP(B494,#REF!,1,0),0)</f>
        <v>0</v>
      </c>
    </row>
    <row r="495" spans="1:18" x14ac:dyDescent="0.25">
      <c r="A495" s="57">
        <v>494</v>
      </c>
      <c r="B495" s="57" t="s">
        <v>1866</v>
      </c>
      <c r="C495" s="57">
        <v>1</v>
      </c>
      <c r="D495" s="57" t="s">
        <v>2019</v>
      </c>
      <c r="E495" s="57" t="s">
        <v>1834</v>
      </c>
      <c r="F495" s="57">
        <v>4310</v>
      </c>
      <c r="G495" s="57">
        <v>2800</v>
      </c>
      <c r="H495" s="57">
        <v>120</v>
      </c>
      <c r="I495" s="57" t="s">
        <v>2022</v>
      </c>
      <c r="J495" s="57" t="s">
        <v>2034</v>
      </c>
      <c r="M495" s="156">
        <v>45945</v>
      </c>
      <c r="N495" s="57">
        <v>0</v>
      </c>
      <c r="P495" s="167">
        <v>1.4119999999999999</v>
      </c>
      <c r="Q495" s="171">
        <v>3.53</v>
      </c>
      <c r="R495" s="166">
        <f>IFERROR(VLOOKUP(B495,#REF!,1,0),0)</f>
        <v>0</v>
      </c>
    </row>
    <row r="496" spans="1:18" x14ac:dyDescent="0.25">
      <c r="A496" s="57">
        <v>495</v>
      </c>
      <c r="B496" s="57" t="s">
        <v>1988</v>
      </c>
      <c r="C496" s="57">
        <v>1</v>
      </c>
      <c r="D496" s="57" t="s">
        <v>2019</v>
      </c>
      <c r="E496" s="57" t="s">
        <v>1827</v>
      </c>
      <c r="F496" s="57">
        <v>4310</v>
      </c>
      <c r="G496" s="57">
        <v>2800</v>
      </c>
      <c r="H496" s="57">
        <v>120</v>
      </c>
      <c r="I496" s="57" t="s">
        <v>2022</v>
      </c>
      <c r="J496" s="57" t="s">
        <v>2034</v>
      </c>
      <c r="M496" s="156">
        <v>45945</v>
      </c>
      <c r="N496" s="57">
        <v>0</v>
      </c>
      <c r="P496" s="167">
        <v>1.4119999999999999</v>
      </c>
      <c r="Q496" s="171">
        <v>3.53</v>
      </c>
      <c r="R496" s="166">
        <f>IFERROR(VLOOKUP(B496,#REF!,1,0),0)</f>
        <v>0</v>
      </c>
    </row>
    <row r="497" spans="1:18" x14ac:dyDescent="0.25">
      <c r="A497" s="57">
        <v>496</v>
      </c>
      <c r="B497" s="57" t="s">
        <v>1989</v>
      </c>
      <c r="C497" s="57">
        <v>1</v>
      </c>
      <c r="D497" s="57" t="s">
        <v>2019</v>
      </c>
      <c r="E497" s="57" t="s">
        <v>1820</v>
      </c>
      <c r="F497" s="57">
        <v>4310</v>
      </c>
      <c r="G497" s="57">
        <v>2800</v>
      </c>
      <c r="H497" s="57">
        <v>120</v>
      </c>
      <c r="I497" s="57" t="s">
        <v>2022</v>
      </c>
      <c r="J497" s="57" t="s">
        <v>2034</v>
      </c>
      <c r="M497" s="156">
        <v>45945</v>
      </c>
      <c r="N497" s="57">
        <v>0</v>
      </c>
      <c r="P497" s="167">
        <v>1.4119999999999999</v>
      </c>
      <c r="Q497" s="171">
        <v>3.53</v>
      </c>
      <c r="R497" s="166">
        <f>IFERROR(VLOOKUP(B497,#REF!,1,0),0)</f>
        <v>0</v>
      </c>
    </row>
    <row r="498" spans="1:18" x14ac:dyDescent="0.25">
      <c r="A498" s="57">
        <v>497</v>
      </c>
      <c r="B498" s="57" t="s">
        <v>1990</v>
      </c>
      <c r="C498" s="57">
        <v>1</v>
      </c>
      <c r="D498" s="57" t="s">
        <v>2019</v>
      </c>
      <c r="E498" s="57" t="s">
        <v>1814</v>
      </c>
      <c r="F498" s="57">
        <v>4310</v>
      </c>
      <c r="G498" s="57">
        <v>2800</v>
      </c>
      <c r="H498" s="57">
        <v>120</v>
      </c>
      <c r="I498" s="57" t="s">
        <v>2022</v>
      </c>
      <c r="J498" s="57" t="s">
        <v>2034</v>
      </c>
      <c r="M498" s="156">
        <v>45945</v>
      </c>
      <c r="N498" s="57">
        <v>0</v>
      </c>
      <c r="P498" s="167">
        <v>1.4119999999999999</v>
      </c>
      <c r="Q498" s="171">
        <v>3.53</v>
      </c>
      <c r="R498" s="166">
        <f>IFERROR(VLOOKUP(B498,#REF!,1,0),0)</f>
        <v>0</v>
      </c>
    </row>
    <row r="499" spans="1:18" x14ac:dyDescent="0.25">
      <c r="A499" s="57">
        <v>498</v>
      </c>
      <c r="B499" s="57" t="s">
        <v>1544</v>
      </c>
      <c r="C499" s="57">
        <v>1</v>
      </c>
      <c r="D499" s="57" t="s">
        <v>1763</v>
      </c>
      <c r="E499" s="57" t="s">
        <v>1764</v>
      </c>
      <c r="F499" s="57">
        <v>5220</v>
      </c>
      <c r="G499" s="57">
        <v>2980</v>
      </c>
      <c r="H499" s="57">
        <v>120</v>
      </c>
      <c r="I499" s="57" t="s">
        <v>2022</v>
      </c>
      <c r="J499" s="57" t="s">
        <v>1224</v>
      </c>
      <c r="L499" s="57" t="s">
        <v>378</v>
      </c>
      <c r="M499" s="156">
        <v>45920</v>
      </c>
      <c r="N499" s="57">
        <v>0</v>
      </c>
      <c r="P499" s="167">
        <v>2.1219999999999999</v>
      </c>
      <c r="Q499" s="171">
        <v>5.3049999999999997</v>
      </c>
      <c r="R499" s="166">
        <f>IFERROR(VLOOKUP(B499,#REF!,1,0),0)</f>
        <v>0</v>
      </c>
    </row>
    <row r="500" spans="1:18" x14ac:dyDescent="0.25">
      <c r="A500" s="57">
        <v>499</v>
      </c>
      <c r="B500" s="57" t="s">
        <v>1545</v>
      </c>
      <c r="C500" s="57">
        <v>1</v>
      </c>
      <c r="D500" s="57" t="s">
        <v>1763</v>
      </c>
      <c r="E500" s="57" t="s">
        <v>1764</v>
      </c>
      <c r="F500" s="57">
        <v>5220</v>
      </c>
      <c r="G500" s="57">
        <v>2980</v>
      </c>
      <c r="H500" s="57">
        <v>120</v>
      </c>
      <c r="I500" s="57" t="s">
        <v>2022</v>
      </c>
      <c r="J500" s="57" t="s">
        <v>1224</v>
      </c>
      <c r="L500" s="57" t="s">
        <v>378</v>
      </c>
      <c r="M500" s="156">
        <v>45920</v>
      </c>
      <c r="N500" s="57">
        <v>0</v>
      </c>
      <c r="P500" s="167">
        <v>2.1219999999999999</v>
      </c>
      <c r="Q500" s="171">
        <v>5.3049999999999997</v>
      </c>
      <c r="R500" s="166">
        <f>IFERROR(VLOOKUP(B500,#REF!,1,0),0)</f>
        <v>0</v>
      </c>
    </row>
    <row r="501" spans="1:18" x14ac:dyDescent="0.25">
      <c r="A501" s="57">
        <v>500</v>
      </c>
      <c r="B501" s="57" t="s">
        <v>1546</v>
      </c>
      <c r="C501" s="57">
        <v>1</v>
      </c>
      <c r="D501" s="57" t="s">
        <v>1763</v>
      </c>
      <c r="E501" s="57" t="s">
        <v>1764</v>
      </c>
      <c r="F501" s="57">
        <v>5220</v>
      </c>
      <c r="G501" s="57">
        <v>2980</v>
      </c>
      <c r="H501" s="57">
        <v>120</v>
      </c>
      <c r="I501" s="57" t="s">
        <v>2022</v>
      </c>
      <c r="J501" s="57" t="s">
        <v>1224</v>
      </c>
      <c r="L501" s="57" t="s">
        <v>378</v>
      </c>
      <c r="M501" s="156">
        <v>45920</v>
      </c>
      <c r="N501" s="57">
        <v>0</v>
      </c>
      <c r="P501" s="167">
        <v>2.1219999999999999</v>
      </c>
      <c r="Q501" s="171">
        <v>5.3049999999999997</v>
      </c>
      <c r="R501" s="166">
        <f>IFERROR(VLOOKUP(B501,#REF!,1,0),0)</f>
        <v>0</v>
      </c>
    </row>
    <row r="502" spans="1:18" x14ac:dyDescent="0.25">
      <c r="A502" s="57">
        <v>501</v>
      </c>
      <c r="B502" s="57" t="s">
        <v>1547</v>
      </c>
      <c r="C502" s="57">
        <v>1</v>
      </c>
      <c r="D502" s="57" t="s">
        <v>1763</v>
      </c>
      <c r="E502" s="57" t="s">
        <v>1764</v>
      </c>
      <c r="F502" s="57">
        <v>5220</v>
      </c>
      <c r="G502" s="57">
        <v>2980</v>
      </c>
      <c r="H502" s="57">
        <v>120</v>
      </c>
      <c r="I502" s="57" t="s">
        <v>2022</v>
      </c>
      <c r="J502" s="57" t="s">
        <v>2033</v>
      </c>
      <c r="L502" s="57" t="s">
        <v>378</v>
      </c>
      <c r="M502" s="156">
        <v>45920</v>
      </c>
      <c r="N502" s="57">
        <v>0</v>
      </c>
      <c r="P502" s="167">
        <v>2.1219999999999999</v>
      </c>
      <c r="Q502" s="171">
        <v>5.3049999999999997</v>
      </c>
      <c r="R502" s="166">
        <f>IFERROR(VLOOKUP(B502,#REF!,1,0),0)</f>
        <v>0</v>
      </c>
    </row>
    <row r="503" spans="1:18" x14ac:dyDescent="0.25">
      <c r="A503" s="57">
        <v>502</v>
      </c>
      <c r="B503" s="57" t="s">
        <v>1548</v>
      </c>
      <c r="C503" s="57">
        <v>1</v>
      </c>
      <c r="D503" s="57" t="s">
        <v>1763</v>
      </c>
      <c r="E503" s="57" t="s">
        <v>1764</v>
      </c>
      <c r="F503" s="57">
        <v>5220</v>
      </c>
      <c r="G503" s="57">
        <v>2980</v>
      </c>
      <c r="H503" s="57">
        <v>120</v>
      </c>
      <c r="I503" s="57" t="s">
        <v>2022</v>
      </c>
      <c r="J503" s="57" t="s">
        <v>2033</v>
      </c>
      <c r="L503" s="57" t="s">
        <v>378</v>
      </c>
      <c r="M503" s="156">
        <v>45920</v>
      </c>
      <c r="N503" s="57">
        <v>0</v>
      </c>
      <c r="P503" s="167">
        <v>2.1219999999999999</v>
      </c>
      <c r="Q503" s="171">
        <v>5.3049999999999997</v>
      </c>
      <c r="R503" s="166">
        <f>IFERROR(VLOOKUP(B503,#REF!,1,0),0)</f>
        <v>0</v>
      </c>
    </row>
    <row r="504" spans="1:18" x14ac:dyDescent="0.25">
      <c r="A504" s="57">
        <v>503</v>
      </c>
      <c r="B504" s="57" t="s">
        <v>1549</v>
      </c>
      <c r="C504" s="57">
        <v>1</v>
      </c>
      <c r="D504" s="57" t="s">
        <v>1763</v>
      </c>
      <c r="E504" s="57" t="s">
        <v>1765</v>
      </c>
      <c r="F504" s="57">
        <v>5220</v>
      </c>
      <c r="G504" s="57">
        <v>2980</v>
      </c>
      <c r="H504" s="57">
        <v>120</v>
      </c>
      <c r="I504" s="57" t="s">
        <v>2022</v>
      </c>
      <c r="J504" s="57" t="s">
        <v>2033</v>
      </c>
      <c r="L504" s="57" t="s">
        <v>378</v>
      </c>
      <c r="M504" s="156">
        <v>45920</v>
      </c>
      <c r="N504" s="57">
        <v>0</v>
      </c>
      <c r="P504" s="167">
        <v>2.1219999999999999</v>
      </c>
      <c r="Q504" s="171">
        <v>5.3049999999999997</v>
      </c>
      <c r="R504" s="166">
        <f>IFERROR(VLOOKUP(B504,#REF!,1,0),0)</f>
        <v>0</v>
      </c>
    </row>
    <row r="505" spans="1:18" x14ac:dyDescent="0.25">
      <c r="A505" s="57">
        <v>504</v>
      </c>
      <c r="B505" s="57" t="s">
        <v>1550</v>
      </c>
      <c r="C505" s="57">
        <v>1</v>
      </c>
      <c r="D505" s="57" t="s">
        <v>1763</v>
      </c>
      <c r="E505" s="57" t="s">
        <v>1765</v>
      </c>
      <c r="F505" s="57">
        <v>5220</v>
      </c>
      <c r="G505" s="57">
        <v>2980</v>
      </c>
      <c r="H505" s="57">
        <v>120</v>
      </c>
      <c r="I505" s="57" t="s">
        <v>2022</v>
      </c>
      <c r="J505" s="57" t="s">
        <v>2033</v>
      </c>
      <c r="L505" s="57" t="s">
        <v>378</v>
      </c>
      <c r="M505" s="156">
        <v>45920</v>
      </c>
      <c r="N505" s="57">
        <v>0</v>
      </c>
      <c r="P505" s="167">
        <v>2.1219999999999999</v>
      </c>
      <c r="Q505" s="171">
        <v>5.3049999999999997</v>
      </c>
      <c r="R505" s="166">
        <f>IFERROR(VLOOKUP(B505,#REF!,1,0),0)</f>
        <v>0</v>
      </c>
    </row>
    <row r="506" spans="1:18" x14ac:dyDescent="0.25">
      <c r="A506" s="57">
        <v>505</v>
      </c>
      <c r="B506" s="57" t="s">
        <v>1551</v>
      </c>
      <c r="C506" s="57">
        <v>1</v>
      </c>
      <c r="D506" s="57" t="s">
        <v>1763</v>
      </c>
      <c r="E506" s="57" t="s">
        <v>1765</v>
      </c>
      <c r="F506" s="57">
        <v>5220</v>
      </c>
      <c r="G506" s="57">
        <v>2980</v>
      </c>
      <c r="H506" s="57">
        <v>120</v>
      </c>
      <c r="I506" s="57" t="s">
        <v>2022</v>
      </c>
      <c r="J506" s="57" t="s">
        <v>2033</v>
      </c>
      <c r="L506" s="57" t="s">
        <v>378</v>
      </c>
      <c r="M506" s="156">
        <v>45920</v>
      </c>
      <c r="N506" s="57">
        <v>0</v>
      </c>
      <c r="P506" s="167">
        <v>2.1219999999999999</v>
      </c>
      <c r="Q506" s="171">
        <v>5.3049999999999997</v>
      </c>
      <c r="R506" s="166">
        <f>IFERROR(VLOOKUP(B506,#REF!,1,0),0)</f>
        <v>0</v>
      </c>
    </row>
    <row r="507" spans="1:18" x14ac:dyDescent="0.25">
      <c r="A507" s="57">
        <v>506</v>
      </c>
      <c r="B507" s="57" t="s">
        <v>1552</v>
      </c>
      <c r="C507" s="57">
        <v>1</v>
      </c>
      <c r="D507" s="57" t="s">
        <v>1763</v>
      </c>
      <c r="E507" s="57" t="s">
        <v>1765</v>
      </c>
      <c r="F507" s="57">
        <v>5220</v>
      </c>
      <c r="G507" s="57">
        <v>2980</v>
      </c>
      <c r="H507" s="57">
        <v>120</v>
      </c>
      <c r="I507" s="57" t="s">
        <v>2022</v>
      </c>
      <c r="J507" s="57" t="s">
        <v>2033</v>
      </c>
      <c r="L507" s="57" t="s">
        <v>378</v>
      </c>
      <c r="M507" s="156">
        <v>45920</v>
      </c>
      <c r="N507" s="57">
        <v>0</v>
      </c>
      <c r="P507" s="167">
        <v>2.1219999999999999</v>
      </c>
      <c r="Q507" s="171">
        <v>5.3049999999999997</v>
      </c>
      <c r="R507" s="166">
        <f>IFERROR(VLOOKUP(B507,#REF!,1,0),0)</f>
        <v>0</v>
      </c>
    </row>
    <row r="508" spans="1:18" x14ac:dyDescent="0.25">
      <c r="A508" s="57">
        <v>507</v>
      </c>
      <c r="B508" s="57" t="s">
        <v>1553</v>
      </c>
      <c r="C508" s="57">
        <v>1</v>
      </c>
      <c r="D508" s="57" t="s">
        <v>1763</v>
      </c>
      <c r="E508" s="57" t="s">
        <v>1764</v>
      </c>
      <c r="F508" s="57">
        <v>5220</v>
      </c>
      <c r="G508" s="57">
        <v>2980</v>
      </c>
      <c r="H508" s="57">
        <v>120</v>
      </c>
      <c r="I508" s="57" t="s">
        <v>2022</v>
      </c>
      <c r="J508" s="57" t="s">
        <v>2033</v>
      </c>
      <c r="L508" s="57" t="s">
        <v>378</v>
      </c>
      <c r="M508" s="156">
        <v>45920</v>
      </c>
      <c r="N508" s="57">
        <v>0</v>
      </c>
      <c r="P508" s="167">
        <v>2.1219999999999999</v>
      </c>
      <c r="Q508" s="171">
        <v>5.3049999999999997</v>
      </c>
      <c r="R508" s="166">
        <f>IFERROR(VLOOKUP(B508,#REF!,1,0),0)</f>
        <v>0</v>
      </c>
    </row>
    <row r="509" spans="1:18" x14ac:dyDescent="0.25">
      <c r="A509" s="57">
        <v>508</v>
      </c>
      <c r="B509" s="57" t="s">
        <v>1554</v>
      </c>
      <c r="C509" s="57">
        <v>1</v>
      </c>
      <c r="D509" s="57" t="s">
        <v>1763</v>
      </c>
      <c r="E509" s="57" t="s">
        <v>1765</v>
      </c>
      <c r="F509" s="57">
        <v>5220</v>
      </c>
      <c r="G509" s="57">
        <v>2980</v>
      </c>
      <c r="H509" s="57">
        <v>120</v>
      </c>
      <c r="I509" s="57" t="s">
        <v>2022</v>
      </c>
      <c r="J509" s="57" t="s">
        <v>2033</v>
      </c>
      <c r="L509" s="57" t="s">
        <v>378</v>
      </c>
      <c r="M509" s="156">
        <v>45920</v>
      </c>
      <c r="N509" s="57">
        <v>0</v>
      </c>
      <c r="P509" s="167">
        <v>2.1219999999999999</v>
      </c>
      <c r="Q509" s="171">
        <v>5.3049999999999997</v>
      </c>
      <c r="R509" s="166">
        <f>IFERROR(VLOOKUP(B509,#REF!,1,0),0)</f>
        <v>0</v>
      </c>
    </row>
    <row r="510" spans="1:18" x14ac:dyDescent="0.25">
      <c r="A510" s="57">
        <v>509</v>
      </c>
      <c r="B510" s="57" t="s">
        <v>1555</v>
      </c>
      <c r="C510" s="57">
        <v>1</v>
      </c>
      <c r="D510" s="57" t="s">
        <v>1763</v>
      </c>
      <c r="E510" s="57" t="s">
        <v>1765</v>
      </c>
      <c r="F510" s="57">
        <v>5220</v>
      </c>
      <c r="G510" s="57">
        <v>2980</v>
      </c>
      <c r="H510" s="57">
        <v>120</v>
      </c>
      <c r="I510" s="57" t="s">
        <v>2022</v>
      </c>
      <c r="J510" s="57" t="s">
        <v>2033</v>
      </c>
      <c r="L510" s="57" t="s">
        <v>378</v>
      </c>
      <c r="M510" s="156">
        <v>45920</v>
      </c>
      <c r="N510" s="57">
        <v>0</v>
      </c>
      <c r="P510" s="167">
        <v>2.1219999999999999</v>
      </c>
      <c r="Q510" s="171">
        <v>5.3049999999999997</v>
      </c>
      <c r="R510" s="166">
        <f>IFERROR(VLOOKUP(B510,#REF!,1,0),0)</f>
        <v>0</v>
      </c>
    </row>
    <row r="511" spans="1:18" x14ac:dyDescent="0.25">
      <c r="A511" s="57">
        <v>510</v>
      </c>
      <c r="B511" s="57" t="s">
        <v>1556</v>
      </c>
      <c r="C511" s="57">
        <v>1</v>
      </c>
      <c r="D511" s="57" t="s">
        <v>1763</v>
      </c>
      <c r="E511" s="57" t="s">
        <v>1766</v>
      </c>
      <c r="F511" s="57">
        <v>5220</v>
      </c>
      <c r="G511" s="57">
        <v>2960</v>
      </c>
      <c r="H511" s="57">
        <v>120</v>
      </c>
      <c r="I511" s="57" t="s">
        <v>2022</v>
      </c>
      <c r="J511" s="57" t="s">
        <v>2033</v>
      </c>
      <c r="L511" s="57" t="s">
        <v>378</v>
      </c>
      <c r="M511" s="156">
        <v>45920</v>
      </c>
      <c r="N511" s="57">
        <v>0</v>
      </c>
      <c r="P511" s="167">
        <v>2.1179999999999999</v>
      </c>
      <c r="Q511" s="171">
        <v>5.2949999999999999</v>
      </c>
      <c r="R511" s="166">
        <f>IFERROR(VLOOKUP(B511,#REF!,1,0),0)</f>
        <v>0</v>
      </c>
    </row>
    <row r="512" spans="1:18" x14ac:dyDescent="0.25">
      <c r="A512" s="57">
        <v>511</v>
      </c>
      <c r="B512" s="57" t="s">
        <v>1557</v>
      </c>
      <c r="C512" s="57">
        <v>1</v>
      </c>
      <c r="D512" s="57" t="s">
        <v>1763</v>
      </c>
      <c r="E512" s="57" t="s">
        <v>1766</v>
      </c>
      <c r="F512" s="57">
        <v>5220</v>
      </c>
      <c r="G512" s="57">
        <v>2960</v>
      </c>
      <c r="H512" s="57">
        <v>120</v>
      </c>
      <c r="I512" s="57" t="s">
        <v>2022</v>
      </c>
      <c r="J512" s="57" t="s">
        <v>2033</v>
      </c>
      <c r="L512" s="57" t="s">
        <v>378</v>
      </c>
      <c r="M512" s="156">
        <v>45920</v>
      </c>
      <c r="N512" s="57">
        <v>0</v>
      </c>
      <c r="P512" s="167">
        <v>2.1179999999999999</v>
      </c>
      <c r="Q512" s="171">
        <v>5.2949999999999999</v>
      </c>
      <c r="R512" s="166">
        <f>IFERROR(VLOOKUP(B512,#REF!,1,0),0)</f>
        <v>0</v>
      </c>
    </row>
    <row r="513" spans="1:18" x14ac:dyDescent="0.25">
      <c r="A513" s="57">
        <v>512</v>
      </c>
      <c r="B513" s="57" t="s">
        <v>1558</v>
      </c>
      <c r="C513" s="57">
        <v>1</v>
      </c>
      <c r="D513" s="57" t="s">
        <v>1763</v>
      </c>
      <c r="E513" s="57" t="s">
        <v>1766</v>
      </c>
      <c r="F513" s="57">
        <v>5220</v>
      </c>
      <c r="G513" s="57">
        <v>2960</v>
      </c>
      <c r="H513" s="57">
        <v>120</v>
      </c>
      <c r="I513" s="57" t="s">
        <v>2022</v>
      </c>
      <c r="J513" s="57" t="s">
        <v>2033</v>
      </c>
      <c r="L513" s="57" t="s">
        <v>378</v>
      </c>
      <c r="M513" s="156">
        <v>45920</v>
      </c>
      <c r="N513" s="57">
        <v>0</v>
      </c>
      <c r="P513" s="167">
        <v>2.1179999999999999</v>
      </c>
      <c r="Q513" s="171">
        <v>5.2949999999999999</v>
      </c>
      <c r="R513" s="166">
        <f>IFERROR(VLOOKUP(B513,#REF!,1,0),0)</f>
        <v>0</v>
      </c>
    </row>
    <row r="514" spans="1:18" x14ac:dyDescent="0.25">
      <c r="A514" s="57">
        <v>513</v>
      </c>
      <c r="B514" s="57" t="s">
        <v>1559</v>
      </c>
      <c r="C514" s="57">
        <v>1</v>
      </c>
      <c r="D514" s="57" t="s">
        <v>1763</v>
      </c>
      <c r="E514" s="57" t="s">
        <v>1766</v>
      </c>
      <c r="F514" s="57">
        <v>5220</v>
      </c>
      <c r="G514" s="57">
        <v>2960</v>
      </c>
      <c r="H514" s="57">
        <v>120</v>
      </c>
      <c r="I514" s="57" t="s">
        <v>2022</v>
      </c>
      <c r="J514" s="57" t="s">
        <v>2033</v>
      </c>
      <c r="L514" s="57" t="s">
        <v>378</v>
      </c>
      <c r="M514" s="156">
        <v>45920</v>
      </c>
      <c r="N514" s="57">
        <v>0</v>
      </c>
      <c r="P514" s="167">
        <v>2.1179999999999999</v>
      </c>
      <c r="Q514" s="171">
        <v>5.2949999999999999</v>
      </c>
      <c r="R514" s="166">
        <f>IFERROR(VLOOKUP(B514,#REF!,1,0),0)</f>
        <v>0</v>
      </c>
    </row>
    <row r="515" spans="1:18" x14ac:dyDescent="0.25">
      <c r="A515" s="57">
        <v>514</v>
      </c>
      <c r="B515" s="57" t="s">
        <v>1560</v>
      </c>
      <c r="C515" s="57">
        <v>1</v>
      </c>
      <c r="D515" s="57" t="s">
        <v>1763</v>
      </c>
      <c r="E515" s="57" t="s">
        <v>1766</v>
      </c>
      <c r="F515" s="57">
        <v>5220</v>
      </c>
      <c r="G515" s="57">
        <v>2960</v>
      </c>
      <c r="H515" s="57">
        <v>120</v>
      </c>
      <c r="I515" s="57" t="s">
        <v>2022</v>
      </c>
      <c r="J515" s="57" t="s">
        <v>2033</v>
      </c>
      <c r="L515" s="57" t="s">
        <v>378</v>
      </c>
      <c r="M515" s="156">
        <v>45920</v>
      </c>
      <c r="N515" s="57">
        <v>0</v>
      </c>
      <c r="P515" s="167">
        <v>2.1179999999999999</v>
      </c>
      <c r="Q515" s="171">
        <v>5.2949999999999999</v>
      </c>
      <c r="R515" s="166">
        <f>IFERROR(VLOOKUP(B515,#REF!,1,0),0)</f>
        <v>0</v>
      </c>
    </row>
    <row r="516" spans="1:18" x14ac:dyDescent="0.25">
      <c r="A516" s="57">
        <v>515</v>
      </c>
      <c r="B516" s="57" t="s">
        <v>1561</v>
      </c>
      <c r="C516" s="57">
        <v>1</v>
      </c>
      <c r="D516" s="57" t="s">
        <v>1763</v>
      </c>
      <c r="E516" s="57" t="s">
        <v>1767</v>
      </c>
      <c r="F516" s="57">
        <v>5220</v>
      </c>
      <c r="G516" s="57">
        <v>2960</v>
      </c>
      <c r="H516" s="57">
        <v>120</v>
      </c>
      <c r="I516" s="57" t="s">
        <v>2022</v>
      </c>
      <c r="J516" s="57" t="s">
        <v>2033</v>
      </c>
      <c r="L516" s="57" t="s">
        <v>378</v>
      </c>
      <c r="M516" s="156">
        <v>45920</v>
      </c>
      <c r="N516" s="57">
        <v>0</v>
      </c>
      <c r="P516" s="167">
        <v>2.1179999999999999</v>
      </c>
      <c r="Q516" s="171">
        <v>5.2949999999999999</v>
      </c>
      <c r="R516" s="166">
        <f>IFERROR(VLOOKUP(B516,#REF!,1,0),0)</f>
        <v>0</v>
      </c>
    </row>
    <row r="517" spans="1:18" x14ac:dyDescent="0.25">
      <c r="A517" s="57">
        <v>516</v>
      </c>
      <c r="B517" s="57" t="s">
        <v>1562</v>
      </c>
      <c r="C517" s="57">
        <v>1</v>
      </c>
      <c r="D517" s="57" t="s">
        <v>1763</v>
      </c>
      <c r="E517" s="57" t="s">
        <v>1767</v>
      </c>
      <c r="F517" s="57">
        <v>5220</v>
      </c>
      <c r="G517" s="57">
        <v>2960</v>
      </c>
      <c r="H517" s="57">
        <v>120</v>
      </c>
      <c r="I517" s="57" t="s">
        <v>2022</v>
      </c>
      <c r="J517" s="57" t="s">
        <v>2033</v>
      </c>
      <c r="L517" s="57" t="s">
        <v>378</v>
      </c>
      <c r="M517" s="156">
        <v>45920</v>
      </c>
      <c r="N517" s="57">
        <v>0</v>
      </c>
      <c r="P517" s="167">
        <v>2.1179999999999999</v>
      </c>
      <c r="Q517" s="171">
        <v>5.2949999999999999</v>
      </c>
      <c r="R517" s="166">
        <f>IFERROR(VLOOKUP(B517,#REF!,1,0),0)</f>
        <v>0</v>
      </c>
    </row>
    <row r="518" spans="1:18" x14ac:dyDescent="0.25">
      <c r="A518" s="57">
        <v>517</v>
      </c>
      <c r="B518" s="57" t="s">
        <v>1563</v>
      </c>
      <c r="C518" s="57">
        <v>1</v>
      </c>
      <c r="D518" s="57" t="s">
        <v>1763</v>
      </c>
      <c r="E518" s="57" t="s">
        <v>1767</v>
      </c>
      <c r="F518" s="57">
        <v>5220</v>
      </c>
      <c r="G518" s="57">
        <v>2960</v>
      </c>
      <c r="H518" s="57">
        <v>120</v>
      </c>
      <c r="I518" s="57" t="s">
        <v>2022</v>
      </c>
      <c r="J518" s="57" t="s">
        <v>2033</v>
      </c>
      <c r="L518" s="57" t="s">
        <v>378</v>
      </c>
      <c r="M518" s="156">
        <v>45920</v>
      </c>
      <c r="N518" s="57">
        <v>0</v>
      </c>
      <c r="P518" s="167">
        <v>2.1179999999999999</v>
      </c>
      <c r="Q518" s="171">
        <v>5.2949999999999999</v>
      </c>
      <c r="R518" s="166">
        <f>IFERROR(VLOOKUP(B518,#REF!,1,0),0)</f>
        <v>0</v>
      </c>
    </row>
    <row r="519" spans="1:18" x14ac:dyDescent="0.25">
      <c r="A519" s="57">
        <v>518</v>
      </c>
      <c r="B519" s="57" t="s">
        <v>1564</v>
      </c>
      <c r="C519" s="57">
        <v>1</v>
      </c>
      <c r="D519" s="57" t="s">
        <v>1763</v>
      </c>
      <c r="E519" s="57" t="s">
        <v>1767</v>
      </c>
      <c r="F519" s="57">
        <v>5220</v>
      </c>
      <c r="G519" s="57">
        <v>2960</v>
      </c>
      <c r="H519" s="57">
        <v>120</v>
      </c>
      <c r="I519" s="57" t="s">
        <v>2022</v>
      </c>
      <c r="J519" s="57" t="s">
        <v>2033</v>
      </c>
      <c r="L519" s="57" t="s">
        <v>378</v>
      </c>
      <c r="M519" s="156">
        <v>45920</v>
      </c>
      <c r="N519" s="57">
        <v>0</v>
      </c>
      <c r="P519" s="167">
        <v>2.1179999999999999</v>
      </c>
      <c r="Q519" s="171">
        <v>5.2949999999999999</v>
      </c>
      <c r="R519" s="166">
        <f>IFERROR(VLOOKUP(B519,#REF!,1,0),0)</f>
        <v>0</v>
      </c>
    </row>
    <row r="520" spans="1:18" x14ac:dyDescent="0.25">
      <c r="A520" s="57">
        <v>519</v>
      </c>
      <c r="B520" s="57" t="s">
        <v>1565</v>
      </c>
      <c r="C520" s="57">
        <v>1</v>
      </c>
      <c r="D520" s="57" t="s">
        <v>1763</v>
      </c>
      <c r="E520" s="57" t="s">
        <v>1766</v>
      </c>
      <c r="F520" s="57">
        <v>5220</v>
      </c>
      <c r="G520" s="57">
        <v>2960</v>
      </c>
      <c r="H520" s="57">
        <v>120</v>
      </c>
      <c r="I520" s="57" t="s">
        <v>2022</v>
      </c>
      <c r="J520" s="57" t="s">
        <v>2033</v>
      </c>
      <c r="L520" s="57" t="s">
        <v>378</v>
      </c>
      <c r="M520" s="156">
        <v>45920</v>
      </c>
      <c r="N520" s="57">
        <v>0</v>
      </c>
      <c r="P520" s="167">
        <v>2.1179999999999999</v>
      </c>
      <c r="Q520" s="171">
        <v>5.2949999999999999</v>
      </c>
      <c r="R520" s="166">
        <f>IFERROR(VLOOKUP(B520,#REF!,1,0),0)</f>
        <v>0</v>
      </c>
    </row>
    <row r="521" spans="1:18" x14ac:dyDescent="0.25">
      <c r="A521" s="57">
        <v>520</v>
      </c>
      <c r="B521" s="57" t="s">
        <v>1566</v>
      </c>
      <c r="C521" s="57">
        <v>1</v>
      </c>
      <c r="D521" s="57" t="s">
        <v>1763</v>
      </c>
      <c r="E521" s="57" t="s">
        <v>1767</v>
      </c>
      <c r="F521" s="57">
        <v>5220</v>
      </c>
      <c r="G521" s="57">
        <v>2960</v>
      </c>
      <c r="H521" s="57">
        <v>120</v>
      </c>
      <c r="I521" s="57" t="s">
        <v>2022</v>
      </c>
      <c r="J521" s="57" t="s">
        <v>2033</v>
      </c>
      <c r="L521" s="57" t="s">
        <v>378</v>
      </c>
      <c r="M521" s="156">
        <v>45920</v>
      </c>
      <c r="N521" s="57">
        <v>0</v>
      </c>
      <c r="P521" s="167">
        <v>2.1179999999999999</v>
      </c>
      <c r="Q521" s="171">
        <v>5.2949999999999999</v>
      </c>
      <c r="R521" s="166">
        <f>IFERROR(VLOOKUP(B521,#REF!,1,0),0)</f>
        <v>0</v>
      </c>
    </row>
    <row r="522" spans="1:18" x14ac:dyDescent="0.25">
      <c r="A522" s="57">
        <v>521</v>
      </c>
      <c r="B522" s="57" t="s">
        <v>1567</v>
      </c>
      <c r="C522" s="57">
        <v>1</v>
      </c>
      <c r="D522" s="57" t="s">
        <v>1763</v>
      </c>
      <c r="E522" s="57" t="s">
        <v>1767</v>
      </c>
      <c r="F522" s="57">
        <v>5220</v>
      </c>
      <c r="G522" s="57">
        <v>2960</v>
      </c>
      <c r="H522" s="57">
        <v>120</v>
      </c>
      <c r="I522" s="57" t="s">
        <v>2022</v>
      </c>
      <c r="J522" s="57" t="s">
        <v>2033</v>
      </c>
      <c r="L522" s="57" t="s">
        <v>378</v>
      </c>
      <c r="M522" s="156">
        <v>45920</v>
      </c>
      <c r="N522" s="57">
        <v>0</v>
      </c>
      <c r="P522" s="167">
        <v>2.1179999999999999</v>
      </c>
      <c r="Q522" s="171">
        <v>5.2949999999999999</v>
      </c>
      <c r="R522" s="166">
        <f>IFERROR(VLOOKUP(B522,#REF!,1,0),0)</f>
        <v>0</v>
      </c>
    </row>
    <row r="523" spans="1:18" x14ac:dyDescent="0.25">
      <c r="A523" s="57">
        <v>522</v>
      </c>
      <c r="B523" s="57" t="s">
        <v>1568</v>
      </c>
      <c r="C523" s="57">
        <v>1</v>
      </c>
      <c r="D523" s="57" t="s">
        <v>1763</v>
      </c>
      <c r="E523" s="57" t="s">
        <v>1768</v>
      </c>
      <c r="F523" s="57">
        <v>5220</v>
      </c>
      <c r="G523" s="57">
        <v>3020</v>
      </c>
      <c r="H523" s="57">
        <v>120</v>
      </c>
      <c r="I523" s="57" t="s">
        <v>2022</v>
      </c>
      <c r="J523" s="57" t="s">
        <v>2031</v>
      </c>
      <c r="L523" s="57" t="s">
        <v>378</v>
      </c>
      <c r="M523" s="156">
        <v>45920</v>
      </c>
      <c r="N523" s="57">
        <v>0</v>
      </c>
      <c r="P523" s="167">
        <v>1.9950000000000001</v>
      </c>
      <c r="Q523" s="171">
        <v>4.9880000000000004</v>
      </c>
      <c r="R523" s="166">
        <f>IFERROR(VLOOKUP(B523,#REF!,1,0),0)</f>
        <v>0</v>
      </c>
    </row>
    <row r="524" spans="1:18" x14ac:dyDescent="0.25">
      <c r="A524" s="57">
        <v>523</v>
      </c>
      <c r="B524" s="57" t="s">
        <v>1569</v>
      </c>
      <c r="C524" s="57">
        <v>1</v>
      </c>
      <c r="D524" s="57" t="s">
        <v>1763</v>
      </c>
      <c r="E524" s="57" t="s">
        <v>1768</v>
      </c>
      <c r="F524" s="57">
        <v>5220</v>
      </c>
      <c r="G524" s="57">
        <v>3020</v>
      </c>
      <c r="H524" s="57">
        <v>120</v>
      </c>
      <c r="I524" s="57" t="s">
        <v>2022</v>
      </c>
      <c r="J524" s="57" t="s">
        <v>2031</v>
      </c>
      <c r="L524" s="57" t="s">
        <v>378</v>
      </c>
      <c r="M524" s="156">
        <v>45920</v>
      </c>
      <c r="N524" s="57">
        <v>0</v>
      </c>
      <c r="P524" s="167">
        <v>1.9950000000000001</v>
      </c>
      <c r="Q524" s="171">
        <v>4.9880000000000004</v>
      </c>
      <c r="R524" s="166">
        <f>IFERROR(VLOOKUP(B524,#REF!,1,0),0)</f>
        <v>0</v>
      </c>
    </row>
    <row r="525" spans="1:18" x14ac:dyDescent="0.25">
      <c r="A525" s="57">
        <v>524</v>
      </c>
      <c r="B525" s="57" t="s">
        <v>1570</v>
      </c>
      <c r="C525" s="57">
        <v>1</v>
      </c>
      <c r="D525" s="57" t="s">
        <v>1763</v>
      </c>
      <c r="E525" s="57" t="s">
        <v>1768</v>
      </c>
      <c r="F525" s="57">
        <v>5220</v>
      </c>
      <c r="G525" s="57">
        <v>3115</v>
      </c>
      <c r="H525" s="57">
        <v>120</v>
      </c>
      <c r="I525" s="57" t="s">
        <v>2022</v>
      </c>
      <c r="J525" s="57" t="s">
        <v>2031</v>
      </c>
      <c r="L525" s="57" t="s">
        <v>378</v>
      </c>
      <c r="M525" s="156">
        <v>45920</v>
      </c>
      <c r="N525" s="57">
        <v>0</v>
      </c>
      <c r="P525" s="167">
        <v>2.0550000000000002</v>
      </c>
      <c r="Q525" s="171">
        <v>5.1379999999999999</v>
      </c>
      <c r="R525" s="166">
        <f>IFERROR(VLOOKUP(B525,#REF!,1,0),0)</f>
        <v>0</v>
      </c>
    </row>
    <row r="526" spans="1:18" x14ac:dyDescent="0.25">
      <c r="A526" s="57">
        <v>525</v>
      </c>
      <c r="B526" s="57" t="s">
        <v>1571</v>
      </c>
      <c r="C526" s="57">
        <v>1</v>
      </c>
      <c r="D526" s="57" t="s">
        <v>1763</v>
      </c>
      <c r="E526" s="57" t="s">
        <v>1768</v>
      </c>
      <c r="F526" s="57">
        <v>5220</v>
      </c>
      <c r="G526" s="57">
        <v>3115</v>
      </c>
      <c r="H526" s="57">
        <v>120</v>
      </c>
      <c r="I526" s="57" t="s">
        <v>2022</v>
      </c>
      <c r="J526" s="57" t="s">
        <v>2031</v>
      </c>
      <c r="L526" s="57" t="s">
        <v>378</v>
      </c>
      <c r="M526" s="156">
        <v>45920</v>
      </c>
      <c r="N526" s="57">
        <v>0</v>
      </c>
      <c r="P526" s="167">
        <v>2.0550000000000002</v>
      </c>
      <c r="Q526" s="171">
        <v>5.1379999999999999</v>
      </c>
      <c r="R526" s="166">
        <f>IFERROR(VLOOKUP(B526,#REF!,1,0),0)</f>
        <v>0</v>
      </c>
    </row>
    <row r="527" spans="1:18" x14ac:dyDescent="0.25">
      <c r="A527" s="57">
        <v>526</v>
      </c>
      <c r="B527" s="57" t="s">
        <v>1572</v>
      </c>
      <c r="C527" s="57">
        <v>1</v>
      </c>
      <c r="D527" s="57" t="s">
        <v>1763</v>
      </c>
      <c r="E527" s="57" t="s">
        <v>1768</v>
      </c>
      <c r="F527" s="57">
        <v>5220</v>
      </c>
      <c r="G527" s="57">
        <v>3210</v>
      </c>
      <c r="H527" s="57">
        <v>120</v>
      </c>
      <c r="I527" s="57" t="s">
        <v>2022</v>
      </c>
      <c r="J527" s="57" t="s">
        <v>2032</v>
      </c>
      <c r="L527" s="57" t="s">
        <v>378</v>
      </c>
      <c r="M527" s="156">
        <v>45920</v>
      </c>
      <c r="N527" s="57">
        <v>0</v>
      </c>
      <c r="P527" s="167">
        <v>2.1949999999999998</v>
      </c>
      <c r="Q527" s="171">
        <v>5.4880000000000004</v>
      </c>
      <c r="R527" s="166">
        <f>IFERROR(VLOOKUP(B527,#REF!,1,0),0)</f>
        <v>0</v>
      </c>
    </row>
    <row r="528" spans="1:18" x14ac:dyDescent="0.25">
      <c r="A528" s="57">
        <v>527</v>
      </c>
      <c r="B528" s="57" t="s">
        <v>1573</v>
      </c>
      <c r="C528" s="57">
        <v>1</v>
      </c>
      <c r="D528" s="57" t="s">
        <v>1763</v>
      </c>
      <c r="E528" s="57" t="s">
        <v>1768</v>
      </c>
      <c r="F528" s="57">
        <v>5220</v>
      </c>
      <c r="G528" s="57">
        <v>3210</v>
      </c>
      <c r="H528" s="57">
        <v>120</v>
      </c>
      <c r="I528" s="57" t="s">
        <v>2022</v>
      </c>
      <c r="J528" s="57" t="s">
        <v>2032</v>
      </c>
      <c r="L528" s="57" t="s">
        <v>378</v>
      </c>
      <c r="M528" s="156">
        <v>45920</v>
      </c>
      <c r="N528" s="57">
        <v>0</v>
      </c>
      <c r="P528" s="167">
        <v>2.1949999999999998</v>
      </c>
      <c r="Q528" s="171">
        <v>5.4880000000000004</v>
      </c>
      <c r="R528" s="166">
        <f>IFERROR(VLOOKUP(B528,#REF!,1,0),0)</f>
        <v>0</v>
      </c>
    </row>
    <row r="529" spans="1:18" x14ac:dyDescent="0.25">
      <c r="A529" s="57">
        <v>528</v>
      </c>
      <c r="B529" s="57" t="s">
        <v>1574</v>
      </c>
      <c r="C529" s="57">
        <v>1</v>
      </c>
      <c r="D529" s="57" t="s">
        <v>1763</v>
      </c>
      <c r="E529" s="57" t="s">
        <v>1768</v>
      </c>
      <c r="F529" s="57">
        <v>4185</v>
      </c>
      <c r="G529" s="57">
        <v>2800</v>
      </c>
      <c r="H529" s="57">
        <v>120</v>
      </c>
      <c r="I529" s="57" t="s">
        <v>1161</v>
      </c>
      <c r="J529" s="57" t="s">
        <v>2034</v>
      </c>
      <c r="L529" s="57" t="s">
        <v>378</v>
      </c>
      <c r="M529" s="156">
        <v>45920</v>
      </c>
      <c r="N529" s="57">
        <v>0</v>
      </c>
      <c r="P529" s="167">
        <v>1.4179999999999999</v>
      </c>
      <c r="Q529" s="171">
        <v>3.5449999999999999</v>
      </c>
      <c r="R529" s="166">
        <f>IFERROR(VLOOKUP(B529,#REF!,1,0),0)</f>
        <v>0</v>
      </c>
    </row>
    <row r="530" spans="1:18" x14ac:dyDescent="0.25">
      <c r="A530" s="57">
        <v>529</v>
      </c>
      <c r="B530" s="57" t="s">
        <v>1575</v>
      </c>
      <c r="C530" s="57">
        <v>1</v>
      </c>
      <c r="D530" s="57" t="s">
        <v>1763</v>
      </c>
      <c r="E530" s="57" t="s">
        <v>1769</v>
      </c>
      <c r="F530" s="57">
        <v>5220</v>
      </c>
      <c r="G530" s="57">
        <v>2870</v>
      </c>
      <c r="H530" s="57">
        <v>120</v>
      </c>
      <c r="I530" s="57" t="s">
        <v>2022</v>
      </c>
      <c r="J530" s="57" t="s">
        <v>2033</v>
      </c>
      <c r="L530" s="57" t="s">
        <v>378</v>
      </c>
      <c r="M530" s="156">
        <v>45920</v>
      </c>
      <c r="N530" s="57">
        <v>0</v>
      </c>
      <c r="P530" s="167">
        <v>2.0470000000000002</v>
      </c>
      <c r="Q530" s="171">
        <v>5.1180000000000003</v>
      </c>
      <c r="R530" s="166">
        <f>IFERROR(VLOOKUP(B530,#REF!,1,0),0)</f>
        <v>0</v>
      </c>
    </row>
    <row r="531" spans="1:18" x14ac:dyDescent="0.25">
      <c r="A531" s="57">
        <v>530</v>
      </c>
      <c r="B531" s="57" t="s">
        <v>1576</v>
      </c>
      <c r="C531" s="57">
        <v>1</v>
      </c>
      <c r="D531" s="57" t="s">
        <v>1763</v>
      </c>
      <c r="E531" s="57" t="s">
        <v>1770</v>
      </c>
      <c r="F531" s="57">
        <v>5220</v>
      </c>
      <c r="G531" s="57">
        <v>2870</v>
      </c>
      <c r="H531" s="57">
        <v>120</v>
      </c>
      <c r="I531" s="57" t="s">
        <v>2022</v>
      </c>
      <c r="J531" s="57" t="s">
        <v>2033</v>
      </c>
      <c r="L531" s="57" t="s">
        <v>378</v>
      </c>
      <c r="M531" s="156">
        <v>45920</v>
      </c>
      <c r="N531" s="57">
        <v>0</v>
      </c>
      <c r="P531" s="167">
        <v>2.0470000000000002</v>
      </c>
      <c r="Q531" s="171">
        <v>5.1180000000000003</v>
      </c>
      <c r="R531" s="166">
        <f>IFERROR(VLOOKUP(B531,#REF!,1,0),0)</f>
        <v>0</v>
      </c>
    </row>
    <row r="532" spans="1:18" x14ac:dyDescent="0.25">
      <c r="A532" s="57">
        <v>531</v>
      </c>
      <c r="B532" s="57" t="s">
        <v>1577</v>
      </c>
      <c r="C532" s="57">
        <v>1</v>
      </c>
      <c r="D532" s="57" t="s">
        <v>1763</v>
      </c>
      <c r="E532" s="57" t="s">
        <v>1769</v>
      </c>
      <c r="F532" s="57">
        <v>5220</v>
      </c>
      <c r="G532" s="57">
        <v>2870</v>
      </c>
      <c r="H532" s="57">
        <v>120</v>
      </c>
      <c r="I532" s="57" t="s">
        <v>2022</v>
      </c>
      <c r="J532" s="57" t="s">
        <v>2033</v>
      </c>
      <c r="L532" s="57" t="s">
        <v>378</v>
      </c>
      <c r="M532" s="156">
        <v>45920</v>
      </c>
      <c r="N532" s="57">
        <v>0</v>
      </c>
      <c r="P532" s="167">
        <v>2.0529999999999999</v>
      </c>
      <c r="Q532" s="171">
        <v>5.133</v>
      </c>
      <c r="R532" s="166">
        <f>IFERROR(VLOOKUP(B532,#REF!,1,0),0)</f>
        <v>0</v>
      </c>
    </row>
    <row r="533" spans="1:18" x14ac:dyDescent="0.25">
      <c r="A533" s="57">
        <v>532</v>
      </c>
      <c r="B533" s="57" t="s">
        <v>1578</v>
      </c>
      <c r="C533" s="57">
        <v>1</v>
      </c>
      <c r="D533" s="57" t="s">
        <v>1763</v>
      </c>
      <c r="E533" s="57" t="s">
        <v>1769</v>
      </c>
      <c r="F533" s="57">
        <v>5220</v>
      </c>
      <c r="G533" s="57">
        <v>2870</v>
      </c>
      <c r="H533" s="57">
        <v>120</v>
      </c>
      <c r="I533" s="57" t="s">
        <v>2022</v>
      </c>
      <c r="J533" s="57" t="s">
        <v>2033</v>
      </c>
      <c r="L533" s="57" t="s">
        <v>378</v>
      </c>
      <c r="M533" s="156">
        <v>45920</v>
      </c>
      <c r="N533" s="57">
        <v>0</v>
      </c>
      <c r="P533" s="167">
        <v>2.0529999999999999</v>
      </c>
      <c r="Q533" s="171">
        <v>5.133</v>
      </c>
      <c r="R533" s="166">
        <f>IFERROR(VLOOKUP(B533,#REF!,1,0),0)</f>
        <v>0</v>
      </c>
    </row>
    <row r="534" spans="1:18" x14ac:dyDescent="0.25">
      <c r="A534" s="57">
        <v>533</v>
      </c>
      <c r="B534" s="57" t="s">
        <v>1579</v>
      </c>
      <c r="C534" s="57">
        <v>1</v>
      </c>
      <c r="D534" s="57" t="s">
        <v>1763</v>
      </c>
      <c r="E534" s="57" t="s">
        <v>1771</v>
      </c>
      <c r="F534" s="57">
        <v>5220</v>
      </c>
      <c r="G534" s="57">
        <v>2870</v>
      </c>
      <c r="H534" s="57">
        <v>120</v>
      </c>
      <c r="I534" s="57" t="s">
        <v>2022</v>
      </c>
      <c r="J534" s="57" t="s">
        <v>2033</v>
      </c>
      <c r="L534" s="57" t="s">
        <v>378</v>
      </c>
      <c r="M534" s="156">
        <v>45920</v>
      </c>
      <c r="N534" s="57">
        <v>0</v>
      </c>
      <c r="P534" s="167">
        <v>2.0529999999999999</v>
      </c>
      <c r="Q534" s="171">
        <v>5.133</v>
      </c>
      <c r="R534" s="166">
        <f>IFERROR(VLOOKUP(B534,#REF!,1,0),0)</f>
        <v>0</v>
      </c>
    </row>
    <row r="535" spans="1:18" x14ac:dyDescent="0.25">
      <c r="A535" s="57">
        <v>534</v>
      </c>
      <c r="B535" s="57" t="s">
        <v>1580</v>
      </c>
      <c r="C535" s="57">
        <v>1</v>
      </c>
      <c r="D535" s="57" t="s">
        <v>1763</v>
      </c>
      <c r="E535" s="57" t="s">
        <v>1771</v>
      </c>
      <c r="F535" s="57">
        <v>5220</v>
      </c>
      <c r="G535" s="57">
        <v>2870</v>
      </c>
      <c r="H535" s="57">
        <v>120</v>
      </c>
      <c r="I535" s="57" t="s">
        <v>2022</v>
      </c>
      <c r="J535" s="57" t="s">
        <v>2033</v>
      </c>
      <c r="L535" s="57" t="s">
        <v>378</v>
      </c>
      <c r="M535" s="156">
        <v>45920</v>
      </c>
      <c r="N535" s="57">
        <v>0</v>
      </c>
      <c r="P535" s="167">
        <v>2.0529999999999999</v>
      </c>
      <c r="Q535" s="171">
        <v>5.133</v>
      </c>
      <c r="R535" s="166">
        <f>IFERROR(VLOOKUP(B535,#REF!,1,0),0)</f>
        <v>0</v>
      </c>
    </row>
    <row r="536" spans="1:18" x14ac:dyDescent="0.25">
      <c r="A536" s="57">
        <v>535</v>
      </c>
      <c r="B536" s="57" t="s">
        <v>1581</v>
      </c>
      <c r="C536" s="57">
        <v>1</v>
      </c>
      <c r="D536" s="57" t="s">
        <v>1763</v>
      </c>
      <c r="E536" s="57" t="s">
        <v>1770</v>
      </c>
      <c r="F536" s="57">
        <v>5220</v>
      </c>
      <c r="G536" s="57">
        <v>2870</v>
      </c>
      <c r="H536" s="57">
        <v>120</v>
      </c>
      <c r="I536" s="57" t="s">
        <v>2022</v>
      </c>
      <c r="J536" s="57" t="s">
        <v>2033</v>
      </c>
      <c r="L536" s="57" t="s">
        <v>378</v>
      </c>
      <c r="M536" s="156">
        <v>45920</v>
      </c>
      <c r="N536" s="57">
        <v>0</v>
      </c>
      <c r="P536" s="167">
        <v>2.0529999999999999</v>
      </c>
      <c r="Q536" s="171">
        <v>5.133</v>
      </c>
      <c r="R536" s="166">
        <f>IFERROR(VLOOKUP(B536,#REF!,1,0),0)</f>
        <v>0</v>
      </c>
    </row>
    <row r="537" spans="1:18" x14ac:dyDescent="0.25">
      <c r="A537" s="57">
        <v>536</v>
      </c>
      <c r="B537" s="57" t="s">
        <v>1582</v>
      </c>
      <c r="C537" s="57">
        <v>1</v>
      </c>
      <c r="D537" s="57" t="s">
        <v>1763</v>
      </c>
      <c r="E537" s="57" t="s">
        <v>1770</v>
      </c>
      <c r="F537" s="57">
        <v>5220</v>
      </c>
      <c r="G537" s="57">
        <v>2870</v>
      </c>
      <c r="H537" s="57">
        <v>120</v>
      </c>
      <c r="I537" s="57" t="s">
        <v>2022</v>
      </c>
      <c r="J537" s="57" t="s">
        <v>2033</v>
      </c>
      <c r="L537" s="57" t="s">
        <v>378</v>
      </c>
      <c r="M537" s="156">
        <v>45920</v>
      </c>
      <c r="N537" s="57">
        <v>0</v>
      </c>
      <c r="P537" s="167">
        <v>2.0529999999999999</v>
      </c>
      <c r="Q537" s="171">
        <v>5.133</v>
      </c>
      <c r="R537" s="166">
        <f>IFERROR(VLOOKUP(B537,#REF!,1,0),0)</f>
        <v>0</v>
      </c>
    </row>
    <row r="538" spans="1:18" x14ac:dyDescent="0.25">
      <c r="A538" s="57">
        <v>537</v>
      </c>
      <c r="B538" s="57" t="s">
        <v>1583</v>
      </c>
      <c r="C538" s="57">
        <v>1</v>
      </c>
      <c r="D538" s="57" t="s">
        <v>1763</v>
      </c>
      <c r="E538" s="57" t="s">
        <v>1772</v>
      </c>
      <c r="F538" s="57">
        <v>5220</v>
      </c>
      <c r="G538" s="57">
        <v>2870</v>
      </c>
      <c r="H538" s="57">
        <v>120</v>
      </c>
      <c r="I538" s="57" t="s">
        <v>2022</v>
      </c>
      <c r="J538" s="57" t="s">
        <v>2033</v>
      </c>
      <c r="L538" s="57" t="s">
        <v>378</v>
      </c>
      <c r="M538" s="156">
        <v>45920</v>
      </c>
      <c r="N538" s="57">
        <v>0</v>
      </c>
      <c r="P538" s="167">
        <v>2.0529999999999999</v>
      </c>
      <c r="Q538" s="171">
        <v>5.133</v>
      </c>
      <c r="R538" s="166">
        <f>IFERROR(VLOOKUP(B538,#REF!,1,0),0)</f>
        <v>0</v>
      </c>
    </row>
    <row r="539" spans="1:18" x14ac:dyDescent="0.25">
      <c r="A539" s="57">
        <v>538</v>
      </c>
      <c r="B539" s="57" t="s">
        <v>1584</v>
      </c>
      <c r="C539" s="57">
        <v>1</v>
      </c>
      <c r="D539" s="57" t="s">
        <v>1763</v>
      </c>
      <c r="E539" s="57" t="s">
        <v>1772</v>
      </c>
      <c r="F539" s="57">
        <v>5220</v>
      </c>
      <c r="G539" s="57">
        <v>2870</v>
      </c>
      <c r="H539" s="57">
        <v>120</v>
      </c>
      <c r="I539" s="57" t="s">
        <v>2022</v>
      </c>
      <c r="J539" s="57" t="s">
        <v>2033</v>
      </c>
      <c r="L539" s="57" t="s">
        <v>378</v>
      </c>
      <c r="M539" s="156">
        <v>45920</v>
      </c>
      <c r="N539" s="57">
        <v>0</v>
      </c>
      <c r="P539" s="167">
        <v>2.0529999999999999</v>
      </c>
      <c r="Q539" s="171">
        <v>5.133</v>
      </c>
      <c r="R539" s="166">
        <f>IFERROR(VLOOKUP(B539,#REF!,1,0),0)</f>
        <v>0</v>
      </c>
    </row>
    <row r="540" spans="1:18" x14ac:dyDescent="0.25">
      <c r="A540" s="57">
        <v>539</v>
      </c>
      <c r="B540" s="57" t="s">
        <v>1585</v>
      </c>
      <c r="C540" s="57">
        <v>1</v>
      </c>
      <c r="D540" s="57" t="s">
        <v>1763</v>
      </c>
      <c r="E540" s="57" t="s">
        <v>1769</v>
      </c>
      <c r="F540" s="57">
        <v>5220</v>
      </c>
      <c r="G540" s="57">
        <v>2920</v>
      </c>
      <c r="H540" s="57">
        <v>120</v>
      </c>
      <c r="I540" s="57" t="s">
        <v>2022</v>
      </c>
      <c r="J540" s="57" t="s">
        <v>2033</v>
      </c>
      <c r="L540" s="57" t="s">
        <v>378</v>
      </c>
      <c r="M540" s="156">
        <v>45920</v>
      </c>
      <c r="N540" s="57">
        <v>0</v>
      </c>
      <c r="P540" s="167">
        <v>2.0840000000000001</v>
      </c>
      <c r="Q540" s="171">
        <v>5.21</v>
      </c>
      <c r="R540" s="166">
        <f>IFERROR(VLOOKUP(B540,#REF!,1,0),0)</f>
        <v>0</v>
      </c>
    </row>
    <row r="541" spans="1:18" x14ac:dyDescent="0.25">
      <c r="A541" s="57">
        <v>540</v>
      </c>
      <c r="B541" s="57" t="s">
        <v>1586</v>
      </c>
      <c r="C541" s="57">
        <v>1</v>
      </c>
      <c r="D541" s="57" t="s">
        <v>1763</v>
      </c>
      <c r="E541" s="57" t="s">
        <v>1769</v>
      </c>
      <c r="F541" s="57">
        <v>5220</v>
      </c>
      <c r="G541" s="57">
        <v>2920</v>
      </c>
      <c r="H541" s="57">
        <v>120</v>
      </c>
      <c r="I541" s="57" t="s">
        <v>2022</v>
      </c>
      <c r="J541" s="57" t="s">
        <v>2033</v>
      </c>
      <c r="L541" s="57" t="s">
        <v>378</v>
      </c>
      <c r="M541" s="156">
        <v>45920</v>
      </c>
      <c r="N541" s="57">
        <v>0</v>
      </c>
      <c r="P541" s="167">
        <v>2.0840000000000001</v>
      </c>
      <c r="Q541" s="171">
        <v>5.21</v>
      </c>
      <c r="R541" s="166">
        <f>IFERROR(VLOOKUP(B541,#REF!,1,0),0)</f>
        <v>0</v>
      </c>
    </row>
    <row r="542" spans="1:18" x14ac:dyDescent="0.25">
      <c r="A542" s="57">
        <v>541</v>
      </c>
      <c r="B542" s="57" t="s">
        <v>1587</v>
      </c>
      <c r="C542" s="57">
        <v>1</v>
      </c>
      <c r="D542" s="57" t="s">
        <v>1763</v>
      </c>
      <c r="E542" s="57" t="s">
        <v>1771</v>
      </c>
      <c r="F542" s="57">
        <v>5220</v>
      </c>
      <c r="G542" s="57">
        <v>2920</v>
      </c>
      <c r="H542" s="57">
        <v>120</v>
      </c>
      <c r="I542" s="57" t="s">
        <v>2022</v>
      </c>
      <c r="J542" s="57" t="s">
        <v>2033</v>
      </c>
      <c r="L542" s="57" t="s">
        <v>378</v>
      </c>
      <c r="M542" s="156">
        <v>45920</v>
      </c>
      <c r="N542" s="57">
        <v>0</v>
      </c>
      <c r="P542" s="167">
        <v>2.0840000000000001</v>
      </c>
      <c r="Q542" s="171">
        <v>5.21</v>
      </c>
      <c r="R542" s="166">
        <f>IFERROR(VLOOKUP(B542,#REF!,1,0),0)</f>
        <v>0</v>
      </c>
    </row>
    <row r="543" spans="1:18" x14ac:dyDescent="0.25">
      <c r="A543" s="57">
        <v>542</v>
      </c>
      <c r="B543" s="57" t="s">
        <v>1588</v>
      </c>
      <c r="C543" s="57">
        <v>1</v>
      </c>
      <c r="D543" s="57" t="s">
        <v>1763</v>
      </c>
      <c r="E543" s="57" t="s">
        <v>1771</v>
      </c>
      <c r="F543" s="57">
        <v>5220</v>
      </c>
      <c r="G543" s="57">
        <v>2920</v>
      </c>
      <c r="H543" s="57">
        <v>120</v>
      </c>
      <c r="I543" s="57" t="s">
        <v>2022</v>
      </c>
      <c r="J543" s="57" t="s">
        <v>2033</v>
      </c>
      <c r="L543" s="57" t="s">
        <v>378</v>
      </c>
      <c r="M543" s="156">
        <v>45920</v>
      </c>
      <c r="N543" s="57">
        <v>0</v>
      </c>
      <c r="P543" s="167">
        <v>2.0840000000000001</v>
      </c>
      <c r="Q543" s="171">
        <v>5.21</v>
      </c>
      <c r="R543" s="166">
        <f>IFERROR(VLOOKUP(B543,#REF!,1,0),0)</f>
        <v>0</v>
      </c>
    </row>
    <row r="544" spans="1:18" x14ac:dyDescent="0.25">
      <c r="A544" s="57">
        <v>543</v>
      </c>
      <c r="B544" s="57" t="s">
        <v>1589</v>
      </c>
      <c r="C544" s="57">
        <v>1</v>
      </c>
      <c r="D544" s="57" t="s">
        <v>1763</v>
      </c>
      <c r="E544" s="57" t="s">
        <v>1773</v>
      </c>
      <c r="F544" s="57">
        <v>5220</v>
      </c>
      <c r="G544" s="57">
        <v>2920</v>
      </c>
      <c r="H544" s="57">
        <v>120</v>
      </c>
      <c r="I544" s="57" t="s">
        <v>2022</v>
      </c>
      <c r="J544" s="57" t="s">
        <v>2033</v>
      </c>
      <c r="L544" s="57" t="s">
        <v>378</v>
      </c>
      <c r="M544" s="156">
        <v>45920</v>
      </c>
      <c r="N544" s="57">
        <v>0</v>
      </c>
      <c r="P544" s="167">
        <v>2.0840000000000001</v>
      </c>
      <c r="Q544" s="171">
        <v>5.21</v>
      </c>
      <c r="R544" s="166">
        <f>IFERROR(VLOOKUP(B544,#REF!,1,0),0)</f>
        <v>0</v>
      </c>
    </row>
    <row r="545" spans="1:18" x14ac:dyDescent="0.25">
      <c r="A545" s="57">
        <v>544</v>
      </c>
      <c r="B545" s="57" t="s">
        <v>1590</v>
      </c>
      <c r="C545" s="57">
        <v>1</v>
      </c>
      <c r="D545" s="57" t="s">
        <v>1763</v>
      </c>
      <c r="E545" s="57" t="s">
        <v>1773</v>
      </c>
      <c r="F545" s="57">
        <v>5220</v>
      </c>
      <c r="G545" s="57">
        <v>2920</v>
      </c>
      <c r="H545" s="57">
        <v>120</v>
      </c>
      <c r="I545" s="57" t="s">
        <v>2022</v>
      </c>
      <c r="J545" s="57" t="s">
        <v>2033</v>
      </c>
      <c r="L545" s="57" t="s">
        <v>378</v>
      </c>
      <c r="M545" s="156">
        <v>45920</v>
      </c>
      <c r="N545" s="57">
        <v>0</v>
      </c>
      <c r="P545" s="167">
        <v>2.0840000000000001</v>
      </c>
      <c r="Q545" s="171">
        <v>5.21</v>
      </c>
      <c r="R545" s="166">
        <f>IFERROR(VLOOKUP(B545,#REF!,1,0),0)</f>
        <v>0</v>
      </c>
    </row>
    <row r="546" spans="1:18" x14ac:dyDescent="0.25">
      <c r="A546" s="57">
        <v>545</v>
      </c>
      <c r="B546" s="57" t="s">
        <v>1591</v>
      </c>
      <c r="C546" s="57">
        <v>1</v>
      </c>
      <c r="D546" s="57" t="s">
        <v>1763</v>
      </c>
      <c r="E546" s="57" t="s">
        <v>1774</v>
      </c>
      <c r="F546" s="57">
        <v>5220</v>
      </c>
      <c r="G546" s="57">
        <v>2920</v>
      </c>
      <c r="H546" s="57">
        <v>120</v>
      </c>
      <c r="I546" s="57" t="s">
        <v>2022</v>
      </c>
      <c r="J546" s="57" t="s">
        <v>2033</v>
      </c>
      <c r="L546" s="57" t="s">
        <v>378</v>
      </c>
      <c r="M546" s="156">
        <v>45920</v>
      </c>
      <c r="N546" s="57">
        <v>0</v>
      </c>
      <c r="P546" s="167">
        <v>2.0840000000000001</v>
      </c>
      <c r="Q546" s="171">
        <v>5.21</v>
      </c>
      <c r="R546" s="166">
        <f>IFERROR(VLOOKUP(B546,#REF!,1,0),0)</f>
        <v>0</v>
      </c>
    </row>
    <row r="547" spans="1:18" x14ac:dyDescent="0.25">
      <c r="A547" s="57">
        <v>546</v>
      </c>
      <c r="B547" s="57" t="s">
        <v>1592</v>
      </c>
      <c r="C547" s="57">
        <v>1</v>
      </c>
      <c r="D547" s="57" t="s">
        <v>1763</v>
      </c>
      <c r="E547" s="57" t="s">
        <v>1774</v>
      </c>
      <c r="F547" s="57">
        <v>5220</v>
      </c>
      <c r="G547" s="57">
        <v>2920</v>
      </c>
      <c r="H547" s="57">
        <v>120</v>
      </c>
      <c r="I547" s="57" t="s">
        <v>2022</v>
      </c>
      <c r="J547" s="57" t="s">
        <v>2033</v>
      </c>
      <c r="L547" s="57" t="s">
        <v>378</v>
      </c>
      <c r="M547" s="156">
        <v>45920</v>
      </c>
      <c r="N547" s="57">
        <v>0</v>
      </c>
      <c r="P547" s="167">
        <v>2.0840000000000001</v>
      </c>
      <c r="Q547" s="171">
        <v>5.21</v>
      </c>
      <c r="R547" s="166">
        <f>IFERROR(VLOOKUP(B547,#REF!,1,0),0)</f>
        <v>0</v>
      </c>
    </row>
    <row r="548" spans="1:18" x14ac:dyDescent="0.25">
      <c r="A548" s="57">
        <v>547</v>
      </c>
      <c r="B548" s="57" t="s">
        <v>1593</v>
      </c>
      <c r="C548" s="57">
        <v>1</v>
      </c>
      <c r="D548" s="57" t="s">
        <v>1763</v>
      </c>
      <c r="E548" s="57" t="s">
        <v>1770</v>
      </c>
      <c r="F548" s="57">
        <v>5220</v>
      </c>
      <c r="G548" s="57">
        <v>2920</v>
      </c>
      <c r="H548" s="57">
        <v>120</v>
      </c>
      <c r="I548" s="57" t="s">
        <v>2022</v>
      </c>
      <c r="J548" s="57" t="s">
        <v>2033</v>
      </c>
      <c r="L548" s="57" t="s">
        <v>378</v>
      </c>
      <c r="M548" s="156">
        <v>45920</v>
      </c>
      <c r="N548" s="57">
        <v>0</v>
      </c>
      <c r="P548" s="167">
        <v>2.0840000000000001</v>
      </c>
      <c r="Q548" s="171">
        <v>5.21</v>
      </c>
      <c r="R548" s="166">
        <f>IFERROR(VLOOKUP(B548,#REF!,1,0),0)</f>
        <v>0</v>
      </c>
    </row>
    <row r="549" spans="1:18" x14ac:dyDescent="0.25">
      <c r="A549" s="57">
        <v>548</v>
      </c>
      <c r="B549" s="57" t="s">
        <v>1594</v>
      </c>
      <c r="C549" s="57">
        <v>1</v>
      </c>
      <c r="D549" s="57" t="s">
        <v>1763</v>
      </c>
      <c r="E549" s="57" t="s">
        <v>1770</v>
      </c>
      <c r="F549" s="57">
        <v>5220</v>
      </c>
      <c r="G549" s="57">
        <v>2920</v>
      </c>
      <c r="H549" s="57">
        <v>120</v>
      </c>
      <c r="I549" s="57" t="s">
        <v>2022</v>
      </c>
      <c r="J549" s="57" t="s">
        <v>2033</v>
      </c>
      <c r="L549" s="57" t="s">
        <v>378</v>
      </c>
      <c r="M549" s="156">
        <v>45920</v>
      </c>
      <c r="N549" s="57">
        <v>0</v>
      </c>
      <c r="P549" s="167">
        <v>2.0840000000000001</v>
      </c>
      <c r="Q549" s="171">
        <v>5.21</v>
      </c>
      <c r="R549" s="166">
        <f>IFERROR(VLOOKUP(B549,#REF!,1,0),0)</f>
        <v>0</v>
      </c>
    </row>
    <row r="550" spans="1:18" x14ac:dyDescent="0.25">
      <c r="A550" s="57">
        <v>549</v>
      </c>
      <c r="B550" s="57" t="s">
        <v>1595</v>
      </c>
      <c r="C550" s="57">
        <v>1</v>
      </c>
      <c r="D550" s="57" t="s">
        <v>1763</v>
      </c>
      <c r="E550" s="57" t="s">
        <v>1772</v>
      </c>
      <c r="F550" s="57">
        <v>5220</v>
      </c>
      <c r="G550" s="57">
        <v>2920</v>
      </c>
      <c r="H550" s="57">
        <v>120</v>
      </c>
      <c r="I550" s="57" t="s">
        <v>2022</v>
      </c>
      <c r="J550" s="57" t="s">
        <v>2033</v>
      </c>
      <c r="L550" s="57" t="s">
        <v>378</v>
      </c>
      <c r="M550" s="156">
        <v>45920</v>
      </c>
      <c r="N550" s="57">
        <v>0</v>
      </c>
      <c r="P550" s="167">
        <v>2.0840000000000001</v>
      </c>
      <c r="Q550" s="171">
        <v>5.21</v>
      </c>
      <c r="R550" s="166">
        <f>IFERROR(VLOOKUP(B550,#REF!,1,0),0)</f>
        <v>0</v>
      </c>
    </row>
    <row r="551" spans="1:18" x14ac:dyDescent="0.25">
      <c r="A551" s="57">
        <v>550</v>
      </c>
      <c r="B551" s="57" t="s">
        <v>1596</v>
      </c>
      <c r="C551" s="57">
        <v>1</v>
      </c>
      <c r="D551" s="57" t="s">
        <v>1763</v>
      </c>
      <c r="E551" s="57" t="s">
        <v>1772</v>
      </c>
      <c r="F551" s="57">
        <v>5220</v>
      </c>
      <c r="G551" s="57">
        <v>2920</v>
      </c>
      <c r="H551" s="57">
        <v>120</v>
      </c>
      <c r="I551" s="57" t="s">
        <v>2022</v>
      </c>
      <c r="J551" s="57" t="s">
        <v>2033</v>
      </c>
      <c r="L551" s="57" t="s">
        <v>378</v>
      </c>
      <c r="M551" s="156">
        <v>45920</v>
      </c>
      <c r="N551" s="57">
        <v>0</v>
      </c>
      <c r="P551" s="167">
        <v>2.0840000000000001</v>
      </c>
      <c r="Q551" s="171">
        <v>5.21</v>
      </c>
      <c r="R551" s="166">
        <f>IFERROR(VLOOKUP(B551,#REF!,1,0),0)</f>
        <v>0</v>
      </c>
    </row>
    <row r="552" spans="1:18" x14ac:dyDescent="0.25">
      <c r="A552" s="57">
        <v>551</v>
      </c>
      <c r="B552" s="57" t="s">
        <v>1597</v>
      </c>
      <c r="C552" s="57">
        <v>1</v>
      </c>
      <c r="D552" s="57" t="s">
        <v>1763</v>
      </c>
      <c r="E552" s="57" t="s">
        <v>1769</v>
      </c>
      <c r="F552" s="57">
        <v>5220</v>
      </c>
      <c r="G552" s="57">
        <v>2920</v>
      </c>
      <c r="H552" s="57">
        <v>120</v>
      </c>
      <c r="I552" s="57" t="s">
        <v>2022</v>
      </c>
      <c r="J552" s="57" t="s">
        <v>2033</v>
      </c>
      <c r="L552" s="57" t="s">
        <v>378</v>
      </c>
      <c r="M552" s="156">
        <v>45920</v>
      </c>
      <c r="N552" s="57">
        <v>0</v>
      </c>
      <c r="P552" s="167">
        <v>2.0840000000000001</v>
      </c>
      <c r="Q552" s="171">
        <v>5.21</v>
      </c>
      <c r="R552" s="166">
        <f>IFERROR(VLOOKUP(B552,#REF!,1,0),0)</f>
        <v>0</v>
      </c>
    </row>
    <row r="553" spans="1:18" x14ac:dyDescent="0.25">
      <c r="A553" s="57">
        <v>552</v>
      </c>
      <c r="B553" s="57" t="s">
        <v>1598</v>
      </c>
      <c r="C553" s="57">
        <v>1</v>
      </c>
      <c r="D553" s="57" t="s">
        <v>1763</v>
      </c>
      <c r="E553" s="57" t="s">
        <v>1773</v>
      </c>
      <c r="F553" s="57">
        <v>5220</v>
      </c>
      <c r="G553" s="57">
        <v>2920</v>
      </c>
      <c r="H553" s="57">
        <v>120</v>
      </c>
      <c r="I553" s="57" t="s">
        <v>2022</v>
      </c>
      <c r="J553" s="57" t="s">
        <v>2033</v>
      </c>
      <c r="L553" s="57" t="s">
        <v>378</v>
      </c>
      <c r="M553" s="156">
        <v>45920</v>
      </c>
      <c r="N553" s="57">
        <v>0</v>
      </c>
      <c r="P553" s="167">
        <v>2.0840000000000001</v>
      </c>
      <c r="Q553" s="171">
        <v>5.21</v>
      </c>
      <c r="R553" s="166">
        <f>IFERROR(VLOOKUP(B553,#REF!,1,0),0)</f>
        <v>0</v>
      </c>
    </row>
    <row r="554" spans="1:18" x14ac:dyDescent="0.25">
      <c r="A554" s="57">
        <v>553</v>
      </c>
      <c r="B554" s="57" t="s">
        <v>1599</v>
      </c>
      <c r="C554" s="57">
        <v>1</v>
      </c>
      <c r="D554" s="57" t="s">
        <v>1763</v>
      </c>
      <c r="E554" s="57" t="s">
        <v>1770</v>
      </c>
      <c r="F554" s="57">
        <v>5220</v>
      </c>
      <c r="G554" s="57">
        <v>2920</v>
      </c>
      <c r="H554" s="57">
        <v>120</v>
      </c>
      <c r="I554" s="57" t="s">
        <v>2022</v>
      </c>
      <c r="J554" s="57" t="s">
        <v>2033</v>
      </c>
      <c r="L554" s="57" t="s">
        <v>378</v>
      </c>
      <c r="M554" s="156">
        <v>45920</v>
      </c>
      <c r="N554" s="57">
        <v>0</v>
      </c>
      <c r="P554" s="167">
        <v>2.0840000000000001</v>
      </c>
      <c r="Q554" s="171">
        <v>5.21</v>
      </c>
      <c r="R554" s="166">
        <f>IFERROR(VLOOKUP(B554,#REF!,1,0),0)</f>
        <v>0</v>
      </c>
    </row>
    <row r="555" spans="1:18" x14ac:dyDescent="0.25">
      <c r="A555" s="57">
        <v>554</v>
      </c>
      <c r="B555" s="57" t="s">
        <v>1600</v>
      </c>
      <c r="C555" s="57">
        <v>1</v>
      </c>
      <c r="D555" s="57" t="s">
        <v>1763</v>
      </c>
      <c r="E555" s="57" t="s">
        <v>1771</v>
      </c>
      <c r="F555" s="57">
        <v>5220</v>
      </c>
      <c r="G555" s="57">
        <v>2870</v>
      </c>
      <c r="H555" s="57">
        <v>120</v>
      </c>
      <c r="I555" s="57" t="s">
        <v>2022</v>
      </c>
      <c r="J555" s="57" t="s">
        <v>2033</v>
      </c>
      <c r="L555" s="57" t="s">
        <v>378</v>
      </c>
      <c r="M555" s="156">
        <v>45920</v>
      </c>
      <c r="N555" s="57">
        <v>0</v>
      </c>
      <c r="P555" s="167">
        <v>2.052</v>
      </c>
      <c r="Q555" s="171">
        <v>5.13</v>
      </c>
      <c r="R555" s="166">
        <f>IFERROR(VLOOKUP(B555,#REF!,1,0),0)</f>
        <v>0</v>
      </c>
    </row>
    <row r="556" spans="1:18" x14ac:dyDescent="0.25">
      <c r="A556" s="57">
        <v>555</v>
      </c>
      <c r="B556" s="57" t="s">
        <v>1601</v>
      </c>
      <c r="C556" s="57">
        <v>1</v>
      </c>
      <c r="D556" s="57" t="s">
        <v>1763</v>
      </c>
      <c r="E556" s="57" t="s">
        <v>1772</v>
      </c>
      <c r="F556" s="57">
        <v>5220</v>
      </c>
      <c r="G556" s="57">
        <v>2870</v>
      </c>
      <c r="H556" s="57">
        <v>120</v>
      </c>
      <c r="I556" s="57" t="s">
        <v>2022</v>
      </c>
      <c r="J556" s="57" t="s">
        <v>2033</v>
      </c>
      <c r="L556" s="57" t="s">
        <v>378</v>
      </c>
      <c r="M556" s="156">
        <v>45920</v>
      </c>
      <c r="N556" s="57">
        <v>0</v>
      </c>
      <c r="P556" s="167">
        <v>2.052</v>
      </c>
      <c r="Q556" s="171">
        <v>5.13</v>
      </c>
      <c r="R556" s="166">
        <f>IFERROR(VLOOKUP(B556,#REF!,1,0),0)</f>
        <v>0</v>
      </c>
    </row>
    <row r="557" spans="1:18" x14ac:dyDescent="0.25">
      <c r="A557" s="57">
        <v>556</v>
      </c>
      <c r="B557" s="57" t="s">
        <v>1602</v>
      </c>
      <c r="C557" s="57">
        <v>1</v>
      </c>
      <c r="D557" s="57" t="s">
        <v>1763</v>
      </c>
      <c r="E557" s="57" t="s">
        <v>1771</v>
      </c>
      <c r="F557" s="57">
        <v>5220</v>
      </c>
      <c r="G557" s="57">
        <v>2920</v>
      </c>
      <c r="H557" s="57">
        <v>120</v>
      </c>
      <c r="I557" s="57" t="s">
        <v>2022</v>
      </c>
      <c r="J557" s="57" t="s">
        <v>2033</v>
      </c>
      <c r="L557" s="57" t="s">
        <v>378</v>
      </c>
      <c r="M557" s="156">
        <v>45920</v>
      </c>
      <c r="N557" s="57">
        <v>0</v>
      </c>
      <c r="P557" s="167">
        <v>2.0840000000000001</v>
      </c>
      <c r="Q557" s="171">
        <v>5.21</v>
      </c>
      <c r="R557" s="166">
        <f>IFERROR(VLOOKUP(B557,#REF!,1,0),0)</f>
        <v>0</v>
      </c>
    </row>
    <row r="558" spans="1:18" x14ac:dyDescent="0.25">
      <c r="A558" s="57">
        <v>557</v>
      </c>
      <c r="B558" s="57" t="s">
        <v>1603</v>
      </c>
      <c r="C558" s="57">
        <v>1</v>
      </c>
      <c r="D558" s="57" t="s">
        <v>1763</v>
      </c>
      <c r="E558" s="57" t="s">
        <v>1774</v>
      </c>
      <c r="F558" s="57">
        <v>5220</v>
      </c>
      <c r="G558" s="57">
        <v>2920</v>
      </c>
      <c r="H558" s="57">
        <v>120</v>
      </c>
      <c r="I558" s="57" t="s">
        <v>2022</v>
      </c>
      <c r="J558" s="57" t="s">
        <v>2033</v>
      </c>
      <c r="L558" s="57" t="s">
        <v>378</v>
      </c>
      <c r="M558" s="156">
        <v>45920</v>
      </c>
      <c r="N558" s="57">
        <v>0</v>
      </c>
      <c r="P558" s="167">
        <v>2.0840000000000001</v>
      </c>
      <c r="Q558" s="171">
        <v>5.21</v>
      </c>
      <c r="R558" s="166">
        <f>IFERROR(VLOOKUP(B558,#REF!,1,0),0)</f>
        <v>0</v>
      </c>
    </row>
    <row r="559" spans="1:18" x14ac:dyDescent="0.25">
      <c r="A559" s="57">
        <v>558</v>
      </c>
      <c r="B559" s="57" t="s">
        <v>1604</v>
      </c>
      <c r="C559" s="57">
        <v>1</v>
      </c>
      <c r="D559" s="57" t="s">
        <v>1763</v>
      </c>
      <c r="E559" s="57" t="s">
        <v>1772</v>
      </c>
      <c r="F559" s="57">
        <v>5220</v>
      </c>
      <c r="G559" s="57">
        <v>2920</v>
      </c>
      <c r="H559" s="57">
        <v>120</v>
      </c>
      <c r="I559" s="57" t="s">
        <v>2022</v>
      </c>
      <c r="J559" s="57" t="s">
        <v>2033</v>
      </c>
      <c r="L559" s="57" t="s">
        <v>378</v>
      </c>
      <c r="M559" s="156">
        <v>45920</v>
      </c>
      <c r="N559" s="57">
        <v>0</v>
      </c>
      <c r="P559" s="167">
        <v>2.0840000000000001</v>
      </c>
      <c r="Q559" s="171">
        <v>5.21</v>
      </c>
      <c r="R559" s="166">
        <f>IFERROR(VLOOKUP(B559,#REF!,1,0),0)</f>
        <v>0</v>
      </c>
    </row>
    <row r="560" spans="1:18" x14ac:dyDescent="0.25">
      <c r="A560" s="57">
        <v>559</v>
      </c>
      <c r="B560" s="57" t="s">
        <v>1605</v>
      </c>
      <c r="C560" s="57">
        <v>1</v>
      </c>
      <c r="D560" s="57" t="s">
        <v>1763</v>
      </c>
      <c r="E560" s="57" t="s">
        <v>1771</v>
      </c>
      <c r="F560" s="57">
        <v>4290</v>
      </c>
      <c r="G560" s="57">
        <v>2800</v>
      </c>
      <c r="H560" s="57">
        <v>120</v>
      </c>
      <c r="I560" s="57" t="s">
        <v>1161</v>
      </c>
      <c r="J560" s="57" t="s">
        <v>2034</v>
      </c>
      <c r="L560" s="57" t="s">
        <v>378</v>
      </c>
      <c r="M560" s="156">
        <v>45920</v>
      </c>
      <c r="N560" s="57">
        <v>0</v>
      </c>
      <c r="P560" s="167">
        <v>1.4430000000000001</v>
      </c>
      <c r="Q560" s="171">
        <v>3.6080000000000001</v>
      </c>
      <c r="R560" s="166">
        <f>IFERROR(VLOOKUP(B560,#REF!,1,0),0)</f>
        <v>0</v>
      </c>
    </row>
    <row r="561" spans="1:18" x14ac:dyDescent="0.25">
      <c r="A561" s="57">
        <v>560</v>
      </c>
      <c r="B561" s="57" t="s">
        <v>1606</v>
      </c>
      <c r="C561" s="57">
        <v>1</v>
      </c>
      <c r="D561" s="57" t="s">
        <v>1763</v>
      </c>
      <c r="E561" s="57" t="s">
        <v>1774</v>
      </c>
      <c r="F561" s="57">
        <v>4290</v>
      </c>
      <c r="G561" s="57">
        <v>2800</v>
      </c>
      <c r="H561" s="57">
        <v>120</v>
      </c>
      <c r="I561" s="57" t="s">
        <v>1161</v>
      </c>
      <c r="J561" s="57" t="s">
        <v>2034</v>
      </c>
      <c r="L561" s="57" t="s">
        <v>378</v>
      </c>
      <c r="M561" s="156">
        <v>45920</v>
      </c>
      <c r="N561" s="57">
        <v>0</v>
      </c>
      <c r="P561" s="167">
        <v>1.4430000000000001</v>
      </c>
      <c r="Q561" s="171">
        <v>3.6080000000000001</v>
      </c>
      <c r="R561" s="166">
        <f>IFERROR(VLOOKUP(B561,#REF!,1,0),0)</f>
        <v>0</v>
      </c>
    </row>
    <row r="562" spans="1:18" x14ac:dyDescent="0.25">
      <c r="A562" s="57">
        <v>561</v>
      </c>
      <c r="B562" s="57" t="s">
        <v>1607</v>
      </c>
      <c r="C562" s="57">
        <v>1</v>
      </c>
      <c r="D562" s="57" t="s">
        <v>1763</v>
      </c>
      <c r="E562" s="57" t="s">
        <v>1772</v>
      </c>
      <c r="F562" s="57">
        <v>4290</v>
      </c>
      <c r="G562" s="57">
        <v>2800</v>
      </c>
      <c r="H562" s="57">
        <v>120</v>
      </c>
      <c r="I562" s="57" t="s">
        <v>1161</v>
      </c>
      <c r="J562" s="57" t="s">
        <v>2034</v>
      </c>
      <c r="L562" s="57" t="s">
        <v>378</v>
      </c>
      <c r="M562" s="156">
        <v>45920</v>
      </c>
      <c r="N562" s="57">
        <v>0</v>
      </c>
      <c r="P562" s="167">
        <v>1.4430000000000001</v>
      </c>
      <c r="Q562" s="171">
        <v>3.6080000000000001</v>
      </c>
      <c r="R562" s="166">
        <f>IFERROR(VLOOKUP(B562,#REF!,1,0),0)</f>
        <v>0</v>
      </c>
    </row>
    <row r="563" spans="1:18" x14ac:dyDescent="0.25">
      <c r="A563" s="57">
        <v>562</v>
      </c>
      <c r="B563" s="57" t="s">
        <v>1608</v>
      </c>
      <c r="C563" s="57">
        <v>1</v>
      </c>
      <c r="D563" s="57" t="s">
        <v>1763</v>
      </c>
      <c r="E563" s="57" t="s">
        <v>1775</v>
      </c>
      <c r="F563" s="57">
        <v>4290</v>
      </c>
      <c r="G563" s="57">
        <v>2800</v>
      </c>
      <c r="H563" s="57">
        <v>120</v>
      </c>
      <c r="I563" s="57" t="s">
        <v>1161</v>
      </c>
      <c r="J563" s="57" t="s">
        <v>797</v>
      </c>
      <c r="L563" s="57" t="s">
        <v>378</v>
      </c>
      <c r="M563" s="156">
        <v>45920</v>
      </c>
      <c r="N563" s="57">
        <v>0</v>
      </c>
      <c r="P563" s="167">
        <v>1.4430000000000001</v>
      </c>
      <c r="Q563" s="171">
        <v>3.6080000000000001</v>
      </c>
      <c r="R563" s="166">
        <f>IFERROR(VLOOKUP(B563,#REF!,1,0),0)</f>
        <v>0</v>
      </c>
    </row>
    <row r="564" spans="1:18" x14ac:dyDescent="0.25">
      <c r="A564" s="57">
        <v>563</v>
      </c>
      <c r="B564" s="57" t="s">
        <v>1609</v>
      </c>
      <c r="C564" s="57">
        <v>1</v>
      </c>
      <c r="D564" s="57" t="s">
        <v>1763</v>
      </c>
      <c r="E564" s="57" t="s">
        <v>1773</v>
      </c>
      <c r="F564" s="57">
        <v>5220</v>
      </c>
      <c r="G564" s="57">
        <v>2860</v>
      </c>
      <c r="H564" s="57">
        <v>120</v>
      </c>
      <c r="I564" s="57" t="s">
        <v>2022</v>
      </c>
      <c r="J564" s="57" t="s">
        <v>2033</v>
      </c>
      <c r="L564" s="57" t="s">
        <v>378</v>
      </c>
      <c r="M564" s="156">
        <v>45920</v>
      </c>
      <c r="N564" s="57">
        <v>0</v>
      </c>
      <c r="P564" s="167">
        <v>2.0470000000000002</v>
      </c>
      <c r="Q564" s="171">
        <v>5.1180000000000003</v>
      </c>
      <c r="R564" s="166">
        <f>IFERROR(VLOOKUP(B564,#REF!,1,0),0)</f>
        <v>0</v>
      </c>
    </row>
    <row r="565" spans="1:18" x14ac:dyDescent="0.25">
      <c r="A565" s="57">
        <v>564</v>
      </c>
      <c r="B565" s="57" t="s">
        <v>1610</v>
      </c>
      <c r="C565" s="57">
        <v>1</v>
      </c>
      <c r="D565" s="57" t="s">
        <v>1763</v>
      </c>
      <c r="E565" s="57" t="s">
        <v>1773</v>
      </c>
      <c r="F565" s="57">
        <v>5220</v>
      </c>
      <c r="G565" s="57">
        <v>2860</v>
      </c>
      <c r="H565" s="57">
        <v>120</v>
      </c>
      <c r="I565" s="57" t="s">
        <v>2022</v>
      </c>
      <c r="J565" s="57" t="s">
        <v>2043</v>
      </c>
      <c r="L565" s="57" t="s">
        <v>378</v>
      </c>
      <c r="M565" s="156">
        <v>45920</v>
      </c>
      <c r="N565" s="57">
        <v>0</v>
      </c>
      <c r="P565" s="167">
        <v>2.0470000000000002</v>
      </c>
      <c r="Q565" s="171">
        <v>5.1180000000000003</v>
      </c>
      <c r="R565" s="166">
        <f>IFERROR(VLOOKUP(B565,#REF!,1,0),0)</f>
        <v>0</v>
      </c>
    </row>
    <row r="566" spans="1:18" x14ac:dyDescent="0.25">
      <c r="A566" s="57">
        <v>565</v>
      </c>
      <c r="B566" s="57" t="s">
        <v>1611</v>
      </c>
      <c r="C566" s="57">
        <v>1</v>
      </c>
      <c r="D566" s="57" t="s">
        <v>1763</v>
      </c>
      <c r="E566" s="57" t="s">
        <v>1773</v>
      </c>
      <c r="F566" s="57">
        <v>5220</v>
      </c>
      <c r="G566" s="57">
        <v>2860</v>
      </c>
      <c r="H566" s="57">
        <v>120</v>
      </c>
      <c r="I566" s="57" t="s">
        <v>2022</v>
      </c>
      <c r="J566" s="57" t="s">
        <v>2043</v>
      </c>
      <c r="L566" s="57" t="s">
        <v>378</v>
      </c>
      <c r="M566" s="156">
        <v>45920</v>
      </c>
      <c r="N566" s="57">
        <v>0</v>
      </c>
      <c r="P566" s="167">
        <v>2.0470000000000002</v>
      </c>
      <c r="Q566" s="171">
        <v>5.1180000000000003</v>
      </c>
      <c r="R566" s="166">
        <f>IFERROR(VLOOKUP(B566,#REF!,1,0),0)</f>
        <v>0</v>
      </c>
    </row>
    <row r="567" spans="1:18" x14ac:dyDescent="0.25">
      <c r="A567" s="57">
        <v>566</v>
      </c>
      <c r="B567" s="57" t="s">
        <v>1612</v>
      </c>
      <c r="C567" s="57">
        <v>1</v>
      </c>
      <c r="D567" s="57" t="s">
        <v>1763</v>
      </c>
      <c r="E567" s="57" t="s">
        <v>1774</v>
      </c>
      <c r="F567" s="57">
        <v>5220</v>
      </c>
      <c r="G567" s="57">
        <v>2860</v>
      </c>
      <c r="H567" s="57">
        <v>120</v>
      </c>
      <c r="I567" s="57" t="s">
        <v>2022</v>
      </c>
      <c r="J567" s="57" t="s">
        <v>2043</v>
      </c>
      <c r="L567" s="57" t="s">
        <v>378</v>
      </c>
      <c r="M567" s="156">
        <v>45920</v>
      </c>
      <c r="N567" s="57">
        <v>0</v>
      </c>
      <c r="P567" s="167">
        <v>2.0470000000000002</v>
      </c>
      <c r="Q567" s="171">
        <v>5.1180000000000003</v>
      </c>
      <c r="R567" s="166">
        <f>IFERROR(VLOOKUP(B567,#REF!,1,0),0)</f>
        <v>0</v>
      </c>
    </row>
    <row r="568" spans="1:18" x14ac:dyDescent="0.25">
      <c r="A568" s="57">
        <v>567</v>
      </c>
      <c r="B568" s="57" t="s">
        <v>1613</v>
      </c>
      <c r="C568" s="57">
        <v>1</v>
      </c>
      <c r="D568" s="57" t="s">
        <v>1763</v>
      </c>
      <c r="E568" s="57" t="s">
        <v>1774</v>
      </c>
      <c r="F568" s="57">
        <v>5220</v>
      </c>
      <c r="G568" s="57">
        <v>2860</v>
      </c>
      <c r="H568" s="57">
        <v>120</v>
      </c>
      <c r="I568" s="57" t="s">
        <v>2022</v>
      </c>
      <c r="J568" s="57" t="s">
        <v>2043</v>
      </c>
      <c r="L568" s="57" t="s">
        <v>378</v>
      </c>
      <c r="M568" s="156">
        <v>45920</v>
      </c>
      <c r="N568" s="57">
        <v>0</v>
      </c>
      <c r="P568" s="167">
        <v>2.0470000000000002</v>
      </c>
      <c r="Q568" s="171">
        <v>5.1180000000000003</v>
      </c>
      <c r="R568" s="166">
        <f>IFERROR(VLOOKUP(B568,#REF!,1,0),0)</f>
        <v>0</v>
      </c>
    </row>
    <row r="569" spans="1:18" x14ac:dyDescent="0.25">
      <c r="A569" s="57">
        <v>568</v>
      </c>
      <c r="B569" s="57" t="s">
        <v>1614</v>
      </c>
      <c r="C569" s="57">
        <v>1</v>
      </c>
      <c r="D569" s="57" t="s">
        <v>1763</v>
      </c>
      <c r="E569" s="57" t="s">
        <v>1774</v>
      </c>
      <c r="F569" s="57">
        <v>5220</v>
      </c>
      <c r="G569" s="57">
        <v>2860</v>
      </c>
      <c r="H569" s="57">
        <v>120</v>
      </c>
      <c r="I569" s="57" t="s">
        <v>2022</v>
      </c>
      <c r="J569" s="57" t="s">
        <v>2033</v>
      </c>
      <c r="L569" s="57" t="s">
        <v>378</v>
      </c>
      <c r="M569" s="156">
        <v>45920</v>
      </c>
      <c r="N569" s="57">
        <v>0</v>
      </c>
      <c r="P569" s="167">
        <v>2.0470000000000002</v>
      </c>
      <c r="Q569" s="171">
        <v>5.1180000000000003</v>
      </c>
      <c r="R569" s="166">
        <f>IFERROR(VLOOKUP(B569,#REF!,1,0),0)</f>
        <v>0</v>
      </c>
    </row>
    <row r="570" spans="1:18" x14ac:dyDescent="0.25">
      <c r="A570" s="57">
        <v>569</v>
      </c>
      <c r="B570" s="57" t="s">
        <v>1615</v>
      </c>
      <c r="C570" s="57">
        <v>1</v>
      </c>
      <c r="D570" s="57" t="s">
        <v>1763</v>
      </c>
      <c r="E570" s="57" t="s">
        <v>1776</v>
      </c>
      <c r="F570" s="57">
        <v>5220</v>
      </c>
      <c r="G570" s="57">
        <v>2840</v>
      </c>
      <c r="H570" s="57">
        <v>120</v>
      </c>
      <c r="I570" s="57" t="s">
        <v>2022</v>
      </c>
      <c r="J570" s="57" t="s">
        <v>2033</v>
      </c>
      <c r="L570" s="57" t="s">
        <v>378</v>
      </c>
      <c r="M570" s="156">
        <v>45920</v>
      </c>
      <c r="N570" s="57">
        <v>0</v>
      </c>
      <c r="P570" s="167">
        <v>2.0470000000000002</v>
      </c>
      <c r="Q570" s="171">
        <v>5.1180000000000003</v>
      </c>
      <c r="R570" s="166">
        <f>IFERROR(VLOOKUP(B570,#REF!,1,0),0)</f>
        <v>0</v>
      </c>
    </row>
    <row r="571" spans="1:18" x14ac:dyDescent="0.25">
      <c r="A571" s="57">
        <v>570</v>
      </c>
      <c r="B571" s="57" t="s">
        <v>1616</v>
      </c>
      <c r="C571" s="57">
        <v>1</v>
      </c>
      <c r="D571" s="57" t="s">
        <v>1763</v>
      </c>
      <c r="E571" s="57" t="s">
        <v>1776</v>
      </c>
      <c r="F571" s="57">
        <v>5220</v>
      </c>
      <c r="G571" s="57">
        <v>2840</v>
      </c>
      <c r="H571" s="57">
        <v>120</v>
      </c>
      <c r="I571" s="57" t="s">
        <v>2022</v>
      </c>
      <c r="J571" s="57" t="s">
        <v>2033</v>
      </c>
      <c r="L571" s="57" t="s">
        <v>378</v>
      </c>
      <c r="M571" s="156">
        <v>45920</v>
      </c>
      <c r="N571" s="57">
        <v>0</v>
      </c>
      <c r="P571" s="167">
        <v>2.0339999999999998</v>
      </c>
      <c r="Q571" s="171">
        <v>5.085</v>
      </c>
      <c r="R571" s="166">
        <f>IFERROR(VLOOKUP(B571,#REF!,1,0),0)</f>
        <v>0</v>
      </c>
    </row>
    <row r="572" spans="1:18" x14ac:dyDescent="0.25">
      <c r="A572" s="57">
        <v>571</v>
      </c>
      <c r="B572" s="57" t="s">
        <v>1617</v>
      </c>
      <c r="C572" s="57">
        <v>1</v>
      </c>
      <c r="D572" s="57" t="s">
        <v>1763</v>
      </c>
      <c r="E572" s="57" t="s">
        <v>1776</v>
      </c>
      <c r="F572" s="57">
        <v>5220</v>
      </c>
      <c r="G572" s="57">
        <v>2840</v>
      </c>
      <c r="H572" s="57">
        <v>120</v>
      </c>
      <c r="I572" s="57" t="s">
        <v>2022</v>
      </c>
      <c r="J572" s="57" t="s">
        <v>2033</v>
      </c>
      <c r="L572" s="57" t="s">
        <v>378</v>
      </c>
      <c r="M572" s="156">
        <v>45920</v>
      </c>
      <c r="N572" s="57">
        <v>0</v>
      </c>
      <c r="P572" s="167">
        <v>2.0339999999999998</v>
      </c>
      <c r="Q572" s="171">
        <v>5.085</v>
      </c>
      <c r="R572" s="166">
        <f>IFERROR(VLOOKUP(B572,#REF!,1,0),0)</f>
        <v>0</v>
      </c>
    </row>
    <row r="573" spans="1:18" x14ac:dyDescent="0.25">
      <c r="A573" s="57">
        <v>572</v>
      </c>
      <c r="B573" s="57" t="s">
        <v>1618</v>
      </c>
      <c r="C573" s="57">
        <v>1</v>
      </c>
      <c r="D573" s="57" t="s">
        <v>1763</v>
      </c>
      <c r="E573" s="57" t="s">
        <v>1775</v>
      </c>
      <c r="F573" s="57">
        <v>5220</v>
      </c>
      <c r="G573" s="57">
        <v>2840</v>
      </c>
      <c r="H573" s="57">
        <v>120</v>
      </c>
      <c r="I573" s="57" t="s">
        <v>2022</v>
      </c>
      <c r="J573" s="57" t="s">
        <v>2033</v>
      </c>
      <c r="L573" s="57" t="s">
        <v>378</v>
      </c>
      <c r="M573" s="156">
        <v>45920</v>
      </c>
      <c r="N573" s="57">
        <v>0</v>
      </c>
      <c r="P573" s="167">
        <v>2.0339999999999998</v>
      </c>
      <c r="Q573" s="171">
        <v>5.085</v>
      </c>
      <c r="R573" s="166">
        <f>IFERROR(VLOOKUP(B573,#REF!,1,0),0)</f>
        <v>0</v>
      </c>
    </row>
    <row r="574" spans="1:18" x14ac:dyDescent="0.25">
      <c r="A574" s="57">
        <v>573</v>
      </c>
      <c r="B574" s="57" t="s">
        <v>1619</v>
      </c>
      <c r="C574" s="57">
        <v>1</v>
      </c>
      <c r="D574" s="57" t="s">
        <v>1763</v>
      </c>
      <c r="E574" s="57" t="s">
        <v>1775</v>
      </c>
      <c r="F574" s="57">
        <v>5220</v>
      </c>
      <c r="G574" s="57">
        <v>2840</v>
      </c>
      <c r="H574" s="57">
        <v>120</v>
      </c>
      <c r="I574" s="57" t="s">
        <v>2022</v>
      </c>
      <c r="J574" s="57" t="s">
        <v>2033</v>
      </c>
      <c r="L574" s="57" t="s">
        <v>378</v>
      </c>
      <c r="M574" s="156">
        <v>45920</v>
      </c>
      <c r="N574" s="57">
        <v>0</v>
      </c>
      <c r="P574" s="167">
        <v>2.0339999999999998</v>
      </c>
      <c r="Q574" s="171">
        <v>5.085</v>
      </c>
      <c r="R574" s="166">
        <f>IFERROR(VLOOKUP(B574,#REF!,1,0),0)</f>
        <v>0</v>
      </c>
    </row>
    <row r="575" spans="1:18" x14ac:dyDescent="0.25">
      <c r="A575" s="57">
        <v>574</v>
      </c>
      <c r="B575" s="57" t="s">
        <v>1620</v>
      </c>
      <c r="C575" s="57">
        <v>1</v>
      </c>
      <c r="D575" s="57" t="s">
        <v>1763</v>
      </c>
      <c r="E575" s="57" t="s">
        <v>1776</v>
      </c>
      <c r="F575" s="57">
        <v>5220</v>
      </c>
      <c r="G575" s="57">
        <v>2900</v>
      </c>
      <c r="H575" s="57">
        <v>120</v>
      </c>
      <c r="I575" s="57" t="s">
        <v>2022</v>
      </c>
      <c r="J575" s="57" t="s">
        <v>2033</v>
      </c>
      <c r="L575" s="57" t="s">
        <v>378</v>
      </c>
      <c r="M575" s="156">
        <v>45920</v>
      </c>
      <c r="N575" s="57">
        <v>0</v>
      </c>
      <c r="P575" s="167">
        <v>2.0840000000000001</v>
      </c>
      <c r="Q575" s="171">
        <v>5.21</v>
      </c>
      <c r="R575" s="166">
        <f>IFERROR(VLOOKUP(B575,#REF!,1,0),0)</f>
        <v>0</v>
      </c>
    </row>
    <row r="576" spans="1:18" x14ac:dyDescent="0.25">
      <c r="A576" s="57">
        <v>575</v>
      </c>
      <c r="B576" s="57" t="s">
        <v>1621</v>
      </c>
      <c r="C576" s="57">
        <v>1</v>
      </c>
      <c r="D576" s="57" t="s">
        <v>1763</v>
      </c>
      <c r="E576" s="57" t="s">
        <v>1776</v>
      </c>
      <c r="F576" s="57">
        <v>5220</v>
      </c>
      <c r="G576" s="57">
        <v>2900</v>
      </c>
      <c r="H576" s="57">
        <v>120</v>
      </c>
      <c r="I576" s="57" t="s">
        <v>2022</v>
      </c>
      <c r="J576" s="57" t="s">
        <v>2033</v>
      </c>
      <c r="L576" s="57" t="s">
        <v>378</v>
      </c>
      <c r="M576" s="156">
        <v>45920</v>
      </c>
      <c r="N576" s="57">
        <v>0</v>
      </c>
      <c r="P576" s="167">
        <v>2.0840000000000001</v>
      </c>
      <c r="Q576" s="171">
        <v>5.21</v>
      </c>
      <c r="R576" s="166">
        <f>IFERROR(VLOOKUP(B576,#REF!,1,0),0)</f>
        <v>0</v>
      </c>
    </row>
    <row r="577" spans="1:18" x14ac:dyDescent="0.25">
      <c r="A577" s="57">
        <v>576</v>
      </c>
      <c r="B577" s="57" t="s">
        <v>1622</v>
      </c>
      <c r="C577" s="57">
        <v>1</v>
      </c>
      <c r="D577" s="57" t="s">
        <v>1763</v>
      </c>
      <c r="E577" s="57" t="s">
        <v>1775</v>
      </c>
      <c r="F577" s="57">
        <v>5220</v>
      </c>
      <c r="G577" s="57">
        <v>2900</v>
      </c>
      <c r="H577" s="57">
        <v>120</v>
      </c>
      <c r="I577" s="57" t="s">
        <v>2022</v>
      </c>
      <c r="J577" s="57" t="s">
        <v>2033</v>
      </c>
      <c r="L577" s="57" t="s">
        <v>378</v>
      </c>
      <c r="M577" s="156">
        <v>45920</v>
      </c>
      <c r="N577" s="57">
        <v>0</v>
      </c>
      <c r="P577" s="167">
        <v>2.0840000000000001</v>
      </c>
      <c r="Q577" s="171">
        <v>5.21</v>
      </c>
      <c r="R577" s="166">
        <f>IFERROR(VLOOKUP(B577,#REF!,1,0),0)</f>
        <v>0</v>
      </c>
    </row>
    <row r="578" spans="1:18" x14ac:dyDescent="0.25">
      <c r="A578" s="57">
        <v>577</v>
      </c>
      <c r="B578" s="57" t="s">
        <v>1623</v>
      </c>
      <c r="C578" s="57">
        <v>1</v>
      </c>
      <c r="D578" s="57" t="s">
        <v>1763</v>
      </c>
      <c r="E578" s="57" t="s">
        <v>1775</v>
      </c>
      <c r="F578" s="57">
        <v>5220</v>
      </c>
      <c r="G578" s="57">
        <v>2900</v>
      </c>
      <c r="H578" s="57">
        <v>120</v>
      </c>
      <c r="I578" s="57" t="s">
        <v>2022</v>
      </c>
      <c r="J578" s="57" t="s">
        <v>2033</v>
      </c>
      <c r="L578" s="57" t="s">
        <v>378</v>
      </c>
      <c r="M578" s="156">
        <v>45920</v>
      </c>
      <c r="N578" s="57">
        <v>0</v>
      </c>
      <c r="P578" s="167">
        <v>2.0840000000000001</v>
      </c>
      <c r="Q578" s="171">
        <v>5.21</v>
      </c>
      <c r="R578" s="166">
        <f>IFERROR(VLOOKUP(B578,#REF!,1,0),0)</f>
        <v>0</v>
      </c>
    </row>
    <row r="579" spans="1:18" x14ac:dyDescent="0.25">
      <c r="A579" s="57">
        <v>578</v>
      </c>
      <c r="B579" s="57" t="s">
        <v>1624</v>
      </c>
      <c r="C579" s="57">
        <v>1</v>
      </c>
      <c r="D579" s="57" t="s">
        <v>1763</v>
      </c>
      <c r="E579" s="57" t="s">
        <v>1776</v>
      </c>
      <c r="F579" s="57">
        <v>5220</v>
      </c>
      <c r="G579" s="57">
        <v>2900</v>
      </c>
      <c r="H579" s="57">
        <v>120</v>
      </c>
      <c r="I579" s="57" t="s">
        <v>2022</v>
      </c>
      <c r="J579" s="57" t="s">
        <v>2033</v>
      </c>
      <c r="L579" s="57" t="s">
        <v>378</v>
      </c>
      <c r="M579" s="156">
        <v>45920</v>
      </c>
      <c r="N579" s="57">
        <v>0</v>
      </c>
      <c r="P579" s="167">
        <v>2.0840000000000001</v>
      </c>
      <c r="Q579" s="171">
        <v>5.21</v>
      </c>
      <c r="R579" s="166">
        <f>IFERROR(VLOOKUP(B579,#REF!,1,0),0)</f>
        <v>0</v>
      </c>
    </row>
    <row r="580" spans="1:18" x14ac:dyDescent="0.25">
      <c r="A580" s="57">
        <v>579</v>
      </c>
      <c r="B580" s="57" t="s">
        <v>1625</v>
      </c>
      <c r="C580" s="57">
        <v>1</v>
      </c>
      <c r="D580" s="57" t="s">
        <v>1763</v>
      </c>
      <c r="E580" s="57" t="s">
        <v>1775</v>
      </c>
      <c r="F580" s="57">
        <v>5220</v>
      </c>
      <c r="G580" s="57">
        <v>2840</v>
      </c>
      <c r="H580" s="57">
        <v>120</v>
      </c>
      <c r="I580" s="57" t="s">
        <v>2022</v>
      </c>
      <c r="J580" s="57" t="s">
        <v>2033</v>
      </c>
      <c r="L580" s="57" t="s">
        <v>378</v>
      </c>
      <c r="M580" s="156">
        <v>45920</v>
      </c>
      <c r="N580" s="57">
        <v>0</v>
      </c>
      <c r="P580" s="167">
        <v>2.0470000000000002</v>
      </c>
      <c r="Q580" s="171">
        <v>5.1180000000000003</v>
      </c>
      <c r="R580" s="166">
        <f>IFERROR(VLOOKUP(B580,#REF!,1,0),0)</f>
        <v>0</v>
      </c>
    </row>
    <row r="581" spans="1:18" x14ac:dyDescent="0.25">
      <c r="A581" s="57">
        <v>580</v>
      </c>
      <c r="B581" s="57" t="s">
        <v>1626</v>
      </c>
      <c r="C581" s="57">
        <v>1</v>
      </c>
      <c r="D581" s="57" t="s">
        <v>1763</v>
      </c>
      <c r="E581" s="57" t="s">
        <v>1775</v>
      </c>
      <c r="F581" s="57">
        <v>5220</v>
      </c>
      <c r="G581" s="57">
        <v>2900</v>
      </c>
      <c r="H581" s="57">
        <v>120</v>
      </c>
      <c r="I581" s="57" t="s">
        <v>2022</v>
      </c>
      <c r="J581" s="57" t="s">
        <v>2033</v>
      </c>
      <c r="L581" s="57" t="s">
        <v>378</v>
      </c>
      <c r="M581" s="156">
        <v>45920</v>
      </c>
      <c r="N581" s="57">
        <v>0</v>
      </c>
      <c r="P581" s="167">
        <v>2.0840000000000001</v>
      </c>
      <c r="Q581" s="171">
        <v>5.21</v>
      </c>
      <c r="R581" s="166">
        <f>IFERROR(VLOOKUP(B581,#REF!,1,0),0)</f>
        <v>0</v>
      </c>
    </row>
    <row r="582" spans="1:18" x14ac:dyDescent="0.25">
      <c r="A582" s="57">
        <v>581</v>
      </c>
      <c r="B582" s="57" t="s">
        <v>1627</v>
      </c>
      <c r="C582" s="57">
        <v>1</v>
      </c>
      <c r="D582" s="57" t="s">
        <v>1763</v>
      </c>
      <c r="E582" s="57" t="s">
        <v>1777</v>
      </c>
      <c r="F582" s="57">
        <v>5220</v>
      </c>
      <c r="G582" s="57">
        <v>3110</v>
      </c>
      <c r="H582" s="57">
        <v>120</v>
      </c>
      <c r="I582" s="57" t="s">
        <v>2022</v>
      </c>
      <c r="J582" s="57" t="s">
        <v>2031</v>
      </c>
      <c r="L582" s="57" t="s">
        <v>378</v>
      </c>
      <c r="M582" s="156">
        <v>45920</v>
      </c>
      <c r="N582" s="57">
        <v>0</v>
      </c>
      <c r="P582" s="167">
        <v>2.052</v>
      </c>
      <c r="Q582" s="171">
        <v>5.13</v>
      </c>
      <c r="R582" s="166">
        <f>IFERROR(VLOOKUP(B582,#REF!,1,0),0)</f>
        <v>0</v>
      </c>
    </row>
    <row r="583" spans="1:18" x14ac:dyDescent="0.25">
      <c r="A583" s="57">
        <v>582</v>
      </c>
      <c r="B583" s="57" t="s">
        <v>1628</v>
      </c>
      <c r="C583" s="57">
        <v>1</v>
      </c>
      <c r="D583" s="57" t="s">
        <v>1763</v>
      </c>
      <c r="E583" s="57" t="s">
        <v>1777</v>
      </c>
      <c r="F583" s="57">
        <v>5220</v>
      </c>
      <c r="G583" s="57">
        <v>3110</v>
      </c>
      <c r="H583" s="57">
        <v>120</v>
      </c>
      <c r="I583" s="57" t="s">
        <v>2022</v>
      </c>
      <c r="J583" s="57" t="s">
        <v>2031</v>
      </c>
      <c r="L583" s="57" t="s">
        <v>378</v>
      </c>
      <c r="M583" s="156">
        <v>45920</v>
      </c>
      <c r="N583" s="57">
        <v>0</v>
      </c>
      <c r="P583" s="167">
        <v>2.052</v>
      </c>
      <c r="Q583" s="171">
        <v>5.13</v>
      </c>
      <c r="R583" s="166">
        <f>IFERROR(VLOOKUP(B583,#REF!,1,0),0)</f>
        <v>0</v>
      </c>
    </row>
    <row r="584" spans="1:18" x14ac:dyDescent="0.25">
      <c r="A584" s="57">
        <v>583</v>
      </c>
      <c r="B584" s="57" t="s">
        <v>1629</v>
      </c>
      <c r="C584" s="57">
        <v>1</v>
      </c>
      <c r="D584" s="57" t="s">
        <v>1763</v>
      </c>
      <c r="E584" s="57" t="s">
        <v>1777</v>
      </c>
      <c r="F584" s="57">
        <v>5220</v>
      </c>
      <c r="G584" s="57">
        <v>3110</v>
      </c>
      <c r="H584" s="57">
        <v>120</v>
      </c>
      <c r="I584" s="57" t="s">
        <v>2022</v>
      </c>
      <c r="J584" s="57" t="s">
        <v>2031</v>
      </c>
      <c r="L584" s="57" t="s">
        <v>378</v>
      </c>
      <c r="M584" s="156">
        <v>45920</v>
      </c>
      <c r="N584" s="57">
        <v>0</v>
      </c>
      <c r="P584" s="167">
        <v>2.052</v>
      </c>
      <c r="Q584" s="171">
        <v>5.13</v>
      </c>
      <c r="R584" s="166">
        <f>IFERROR(VLOOKUP(B584,#REF!,1,0),0)</f>
        <v>0</v>
      </c>
    </row>
    <row r="585" spans="1:18" x14ac:dyDescent="0.25">
      <c r="A585" s="57">
        <v>584</v>
      </c>
      <c r="B585" s="57" t="s">
        <v>1630</v>
      </c>
      <c r="C585" s="57">
        <v>1</v>
      </c>
      <c r="D585" s="57" t="s">
        <v>1763</v>
      </c>
      <c r="E585" s="57" t="s">
        <v>1777</v>
      </c>
      <c r="F585" s="57">
        <v>5220</v>
      </c>
      <c r="G585" s="57">
        <v>3110</v>
      </c>
      <c r="H585" s="57">
        <v>120</v>
      </c>
      <c r="I585" s="57" t="s">
        <v>2022</v>
      </c>
      <c r="J585" s="57" t="s">
        <v>2031</v>
      </c>
      <c r="L585" s="57" t="s">
        <v>378</v>
      </c>
      <c r="M585" s="156">
        <v>45920</v>
      </c>
      <c r="N585" s="57">
        <v>0</v>
      </c>
      <c r="P585" s="167">
        <v>2.052</v>
      </c>
      <c r="Q585" s="171">
        <v>5.13</v>
      </c>
      <c r="R585" s="166">
        <f>IFERROR(VLOOKUP(B585,#REF!,1,0),0)</f>
        <v>0</v>
      </c>
    </row>
    <row r="586" spans="1:18" x14ac:dyDescent="0.25">
      <c r="A586" s="57">
        <v>585</v>
      </c>
      <c r="B586" s="57" t="s">
        <v>1631</v>
      </c>
      <c r="C586" s="57">
        <v>1</v>
      </c>
      <c r="D586" s="57" t="s">
        <v>1763</v>
      </c>
      <c r="E586" s="57" t="s">
        <v>1777</v>
      </c>
      <c r="F586" s="57">
        <v>5220</v>
      </c>
      <c r="G586" s="57">
        <v>3110</v>
      </c>
      <c r="H586" s="57">
        <v>120</v>
      </c>
      <c r="I586" s="57" t="s">
        <v>2022</v>
      </c>
      <c r="J586" s="57" t="s">
        <v>2031</v>
      </c>
      <c r="L586" s="57" t="s">
        <v>378</v>
      </c>
      <c r="M586" s="156">
        <v>45920</v>
      </c>
      <c r="N586" s="57">
        <v>0</v>
      </c>
      <c r="P586" s="167">
        <v>2.052</v>
      </c>
      <c r="Q586" s="171">
        <v>5.13</v>
      </c>
      <c r="R586" s="166">
        <f>IFERROR(VLOOKUP(B586,#REF!,1,0),0)</f>
        <v>0</v>
      </c>
    </row>
    <row r="587" spans="1:18" x14ac:dyDescent="0.25">
      <c r="A587" s="57">
        <v>586</v>
      </c>
      <c r="B587" s="57" t="s">
        <v>1632</v>
      </c>
      <c r="C587" s="57">
        <v>1</v>
      </c>
      <c r="D587" s="57" t="s">
        <v>1763</v>
      </c>
      <c r="E587" s="57" t="s">
        <v>1777</v>
      </c>
      <c r="F587" s="57">
        <v>5220</v>
      </c>
      <c r="G587" s="57">
        <v>3265</v>
      </c>
      <c r="H587" s="57">
        <v>120</v>
      </c>
      <c r="I587" s="57" t="s">
        <v>2022</v>
      </c>
      <c r="J587" s="57" t="s">
        <v>2031</v>
      </c>
      <c r="L587" s="57" t="s">
        <v>378</v>
      </c>
      <c r="M587" s="156">
        <v>45920</v>
      </c>
      <c r="N587" s="57">
        <v>0</v>
      </c>
      <c r="P587" s="167">
        <v>2.2290000000000001</v>
      </c>
      <c r="Q587" s="171">
        <v>5.5730000000000004</v>
      </c>
      <c r="R587" s="166">
        <f>IFERROR(VLOOKUP(B587,#REF!,1,0),0)</f>
        <v>0</v>
      </c>
    </row>
    <row r="588" spans="1:18" x14ac:dyDescent="0.25">
      <c r="A588" s="57">
        <v>587</v>
      </c>
      <c r="B588" s="57" t="s">
        <v>1633</v>
      </c>
      <c r="C588" s="57">
        <v>1</v>
      </c>
      <c r="D588" s="57" t="s">
        <v>1763</v>
      </c>
      <c r="E588" s="57" t="s">
        <v>1778</v>
      </c>
      <c r="F588" s="57">
        <v>2400</v>
      </c>
      <c r="G588" s="57">
        <v>3390</v>
      </c>
      <c r="H588" s="57">
        <v>120</v>
      </c>
      <c r="I588" s="57" t="s">
        <v>2022</v>
      </c>
      <c r="J588" s="57" t="s">
        <v>2023</v>
      </c>
      <c r="L588" s="57" t="s">
        <v>47</v>
      </c>
      <c r="M588" s="156">
        <v>45924</v>
      </c>
      <c r="N588" s="57">
        <v>0</v>
      </c>
      <c r="P588" s="167">
        <v>1.087</v>
      </c>
      <c r="Q588" s="171">
        <v>2.718</v>
      </c>
      <c r="R588" s="166">
        <f>IFERROR(VLOOKUP(B588,#REF!,1,0),0)</f>
        <v>0</v>
      </c>
    </row>
    <row r="589" spans="1:18" x14ac:dyDescent="0.25">
      <c r="A589" s="57">
        <v>588</v>
      </c>
      <c r="B589" s="57" t="s">
        <v>1634</v>
      </c>
      <c r="C589" s="57">
        <v>1</v>
      </c>
      <c r="D589" s="57" t="s">
        <v>1763</v>
      </c>
      <c r="E589" s="57" t="s">
        <v>1778</v>
      </c>
      <c r="F589" s="57">
        <v>4203</v>
      </c>
      <c r="G589" s="57">
        <v>3360</v>
      </c>
      <c r="H589" s="57">
        <v>120</v>
      </c>
      <c r="I589" s="57" t="s">
        <v>2022</v>
      </c>
      <c r="J589" s="57" t="s">
        <v>2027</v>
      </c>
      <c r="L589" s="57" t="s">
        <v>47</v>
      </c>
      <c r="M589" s="156">
        <v>45924</v>
      </c>
      <c r="N589" s="57">
        <v>0</v>
      </c>
      <c r="P589" s="167">
        <v>1.877</v>
      </c>
      <c r="Q589" s="171">
        <v>4.6929999999999996</v>
      </c>
      <c r="R589" s="166">
        <f>IFERROR(VLOOKUP(B589,#REF!,1,0),0)</f>
        <v>0</v>
      </c>
    </row>
    <row r="590" spans="1:18" x14ac:dyDescent="0.25">
      <c r="A590" s="57">
        <v>589</v>
      </c>
      <c r="B590" s="57" t="s">
        <v>1635</v>
      </c>
      <c r="C590" s="57">
        <v>1</v>
      </c>
      <c r="D590" s="57" t="s">
        <v>1763</v>
      </c>
      <c r="E590" s="57" t="s">
        <v>1778</v>
      </c>
      <c r="F590" s="57">
        <v>4203</v>
      </c>
      <c r="G590" s="57">
        <v>3235</v>
      </c>
      <c r="H590" s="57">
        <v>120</v>
      </c>
      <c r="I590" s="57" t="s">
        <v>2022</v>
      </c>
      <c r="J590" s="57" t="s">
        <v>2027</v>
      </c>
      <c r="L590" s="57" t="s">
        <v>47</v>
      </c>
      <c r="M590" s="156">
        <v>45924</v>
      </c>
      <c r="N590" s="57">
        <v>0</v>
      </c>
      <c r="P590" s="167">
        <v>1.8120000000000001</v>
      </c>
      <c r="Q590" s="171">
        <v>4.53</v>
      </c>
      <c r="R590" s="166">
        <f>IFERROR(VLOOKUP(B590,#REF!,1,0),0)</f>
        <v>0</v>
      </c>
    </row>
    <row r="591" spans="1:18" x14ac:dyDescent="0.25">
      <c r="A591" s="57">
        <v>590</v>
      </c>
      <c r="B591" s="57" t="s">
        <v>1636</v>
      </c>
      <c r="C591" s="57">
        <v>1</v>
      </c>
      <c r="D591" s="57" t="s">
        <v>1763</v>
      </c>
      <c r="E591" s="57" t="s">
        <v>1778</v>
      </c>
      <c r="F591" s="57">
        <v>5513</v>
      </c>
      <c r="G591" s="57">
        <v>3230</v>
      </c>
      <c r="H591" s="57">
        <v>120</v>
      </c>
      <c r="I591" s="57" t="s">
        <v>2022</v>
      </c>
      <c r="J591" s="57" t="s">
        <v>2032</v>
      </c>
      <c r="L591" s="57" t="s">
        <v>47</v>
      </c>
      <c r="M591" s="156">
        <v>45924</v>
      </c>
      <c r="N591" s="57">
        <v>0</v>
      </c>
      <c r="P591" s="167">
        <v>2.2919999999999998</v>
      </c>
      <c r="Q591" s="171">
        <v>5.73</v>
      </c>
      <c r="R591" s="166">
        <f>IFERROR(VLOOKUP(B591,#REF!,1,0),0)</f>
        <v>0</v>
      </c>
    </row>
    <row r="592" spans="1:18" x14ac:dyDescent="0.25">
      <c r="A592" s="57">
        <v>591</v>
      </c>
      <c r="B592" s="57" t="s">
        <v>1637</v>
      </c>
      <c r="C592" s="57">
        <v>1</v>
      </c>
      <c r="D592" s="57" t="s">
        <v>1763</v>
      </c>
      <c r="E592" s="57" t="s">
        <v>1778</v>
      </c>
      <c r="F592" s="57">
        <v>5513</v>
      </c>
      <c r="G592" s="57">
        <v>3230</v>
      </c>
      <c r="H592" s="57">
        <v>120</v>
      </c>
      <c r="I592" s="57" t="s">
        <v>2022</v>
      </c>
      <c r="J592" s="57" t="s">
        <v>2032</v>
      </c>
      <c r="L592" s="57" t="s">
        <v>47</v>
      </c>
      <c r="M592" s="156">
        <v>45924</v>
      </c>
      <c r="N592" s="57">
        <v>0</v>
      </c>
      <c r="P592" s="167">
        <v>2.2919999999999998</v>
      </c>
      <c r="Q592" s="171">
        <v>5.73</v>
      </c>
      <c r="R592" s="166">
        <f>IFERROR(VLOOKUP(B592,#REF!,1,0),0)</f>
        <v>0</v>
      </c>
    </row>
    <row r="593" spans="1:18" x14ac:dyDescent="0.25">
      <c r="A593" s="57">
        <v>592</v>
      </c>
      <c r="B593" s="57" t="s">
        <v>1638</v>
      </c>
      <c r="C593" s="57">
        <v>1</v>
      </c>
      <c r="D593" s="57" t="s">
        <v>1763</v>
      </c>
      <c r="E593" s="57" t="s">
        <v>1778</v>
      </c>
      <c r="F593" s="57">
        <v>5513</v>
      </c>
      <c r="G593" s="57">
        <v>3152</v>
      </c>
      <c r="H593" s="57">
        <v>120</v>
      </c>
      <c r="I593" s="57" t="s">
        <v>2022</v>
      </c>
      <c r="J593" s="57" t="s">
        <v>2032</v>
      </c>
      <c r="L593" s="57" t="s">
        <v>47</v>
      </c>
      <c r="M593" s="156">
        <v>45924</v>
      </c>
      <c r="N593" s="57">
        <v>0</v>
      </c>
      <c r="P593" s="167">
        <v>2.2410000000000001</v>
      </c>
      <c r="Q593" s="171">
        <v>5.6029999999999998</v>
      </c>
      <c r="R593" s="166">
        <f>IFERROR(VLOOKUP(B593,#REF!,1,0),0)</f>
        <v>0</v>
      </c>
    </row>
    <row r="594" spans="1:18" x14ac:dyDescent="0.25">
      <c r="A594" s="57">
        <v>593</v>
      </c>
      <c r="B594" s="57" t="s">
        <v>1639</v>
      </c>
      <c r="C594" s="57">
        <v>1</v>
      </c>
      <c r="D594" s="57" t="s">
        <v>1763</v>
      </c>
      <c r="E594" s="57" t="s">
        <v>1778</v>
      </c>
      <c r="F594" s="57">
        <v>4901</v>
      </c>
      <c r="G594" s="57">
        <v>3210</v>
      </c>
      <c r="H594" s="57">
        <v>120</v>
      </c>
      <c r="I594" s="57" t="s">
        <v>2022</v>
      </c>
      <c r="J594" s="57" t="s">
        <v>2032</v>
      </c>
      <c r="L594" s="57" t="s">
        <v>47</v>
      </c>
      <c r="M594" s="156">
        <v>45924</v>
      </c>
      <c r="N594" s="57">
        <v>0</v>
      </c>
      <c r="P594" s="167">
        <v>2.1019999999999999</v>
      </c>
      <c r="Q594" s="171">
        <v>5.2549999999999999</v>
      </c>
      <c r="R594" s="166">
        <f>IFERROR(VLOOKUP(B594,#REF!,1,0),0)</f>
        <v>0</v>
      </c>
    </row>
    <row r="595" spans="1:18" x14ac:dyDescent="0.25">
      <c r="A595" s="57">
        <v>594</v>
      </c>
      <c r="B595" s="57" t="s">
        <v>1640</v>
      </c>
      <c r="C595" s="57">
        <v>1</v>
      </c>
      <c r="D595" s="57" t="s">
        <v>1763</v>
      </c>
      <c r="E595" s="57" t="s">
        <v>1778</v>
      </c>
      <c r="F595" s="57">
        <v>4901</v>
      </c>
      <c r="G595" s="57">
        <v>3210</v>
      </c>
      <c r="H595" s="57">
        <v>120</v>
      </c>
      <c r="I595" s="57" t="s">
        <v>2022</v>
      </c>
      <c r="J595" s="57" t="s">
        <v>2032</v>
      </c>
      <c r="L595" s="57" t="s">
        <v>47</v>
      </c>
      <c r="M595" s="156">
        <v>45924</v>
      </c>
      <c r="N595" s="57">
        <v>0</v>
      </c>
      <c r="P595" s="167">
        <v>2.1019999999999999</v>
      </c>
      <c r="Q595" s="171">
        <v>5.2549999999999999</v>
      </c>
      <c r="R595" s="166">
        <f>IFERROR(VLOOKUP(B595,#REF!,1,0),0)</f>
        <v>0</v>
      </c>
    </row>
    <row r="596" spans="1:18" x14ac:dyDescent="0.25">
      <c r="A596" s="57">
        <v>595</v>
      </c>
      <c r="B596" s="57" t="s">
        <v>1641</v>
      </c>
      <c r="C596" s="57">
        <v>1</v>
      </c>
      <c r="D596" s="57" t="s">
        <v>1763</v>
      </c>
      <c r="E596" s="57" t="s">
        <v>1778</v>
      </c>
      <c r="F596" s="57">
        <v>4901</v>
      </c>
      <c r="G596" s="57">
        <v>3280</v>
      </c>
      <c r="H596" s="57">
        <v>120</v>
      </c>
      <c r="I596" s="57" t="s">
        <v>2022</v>
      </c>
      <c r="J596" s="57" t="s">
        <v>2032</v>
      </c>
      <c r="L596" s="57" t="s">
        <v>47</v>
      </c>
      <c r="M596" s="156">
        <v>45924</v>
      </c>
      <c r="N596" s="57">
        <v>0</v>
      </c>
      <c r="P596" s="167">
        <v>2.1429999999999998</v>
      </c>
      <c r="Q596" s="171">
        <v>5.3579999999999997</v>
      </c>
      <c r="R596" s="166">
        <f>IFERROR(VLOOKUP(B596,#REF!,1,0),0)</f>
        <v>0</v>
      </c>
    </row>
    <row r="597" spans="1:18" x14ac:dyDescent="0.25">
      <c r="A597" s="57">
        <v>596</v>
      </c>
      <c r="B597" s="57" t="s">
        <v>1642</v>
      </c>
      <c r="C597" s="57">
        <v>1</v>
      </c>
      <c r="D597" s="57" t="s">
        <v>1763</v>
      </c>
      <c r="E597" s="57" t="s">
        <v>1778</v>
      </c>
      <c r="F597" s="57">
        <v>4901</v>
      </c>
      <c r="G597" s="57">
        <v>3345</v>
      </c>
      <c r="H597" s="57">
        <v>120</v>
      </c>
      <c r="I597" s="57" t="s">
        <v>2022</v>
      </c>
      <c r="J597" s="57" t="s">
        <v>2032</v>
      </c>
      <c r="L597" s="57" t="s">
        <v>47</v>
      </c>
      <c r="M597" s="156">
        <v>45924</v>
      </c>
      <c r="N597" s="57">
        <v>0</v>
      </c>
      <c r="P597" s="167">
        <v>2.1819999999999999</v>
      </c>
      <c r="Q597" s="171">
        <v>5.4550000000000001</v>
      </c>
      <c r="R597" s="166">
        <f>IFERROR(VLOOKUP(B597,#REF!,1,0),0)</f>
        <v>0</v>
      </c>
    </row>
    <row r="598" spans="1:18" x14ac:dyDescent="0.25">
      <c r="A598" s="57">
        <v>597</v>
      </c>
      <c r="B598" s="57" t="s">
        <v>1643</v>
      </c>
      <c r="C598" s="57">
        <v>1</v>
      </c>
      <c r="D598" s="57" t="s">
        <v>1763</v>
      </c>
      <c r="E598" s="57" t="s">
        <v>1778</v>
      </c>
      <c r="F598" s="57">
        <v>5375</v>
      </c>
      <c r="G598" s="57">
        <v>3120</v>
      </c>
      <c r="H598" s="57">
        <v>120</v>
      </c>
      <c r="I598" s="57" t="s">
        <v>2022</v>
      </c>
      <c r="J598" s="57" t="s">
        <v>2032</v>
      </c>
      <c r="L598" s="57" t="s">
        <v>47</v>
      </c>
      <c r="M598" s="156">
        <v>45924</v>
      </c>
      <c r="N598" s="57">
        <v>0</v>
      </c>
      <c r="P598" s="167">
        <v>2.1800000000000002</v>
      </c>
      <c r="Q598" s="171">
        <v>5.45</v>
      </c>
      <c r="R598" s="166">
        <f>IFERROR(VLOOKUP(B598,#REF!,1,0),0)</f>
        <v>0</v>
      </c>
    </row>
    <row r="599" spans="1:18" x14ac:dyDescent="0.25">
      <c r="A599" s="57">
        <v>598</v>
      </c>
      <c r="B599" s="57" t="s">
        <v>1644</v>
      </c>
      <c r="C599" s="57">
        <v>1</v>
      </c>
      <c r="D599" s="57" t="s">
        <v>1763</v>
      </c>
      <c r="E599" s="57" t="s">
        <v>1778</v>
      </c>
      <c r="F599" s="57">
        <v>4068</v>
      </c>
      <c r="G599" s="57">
        <v>2800</v>
      </c>
      <c r="H599" s="57">
        <v>120</v>
      </c>
      <c r="I599" s="57" t="s">
        <v>1161</v>
      </c>
      <c r="J599" s="57" t="s">
        <v>2034</v>
      </c>
      <c r="L599" s="57" t="s">
        <v>47</v>
      </c>
      <c r="M599" s="156">
        <v>45924</v>
      </c>
      <c r="N599" s="57">
        <v>0</v>
      </c>
      <c r="P599" s="167">
        <v>1.39</v>
      </c>
      <c r="Q599" s="171">
        <v>3.4750000000000001</v>
      </c>
      <c r="R599" s="166">
        <f>IFERROR(VLOOKUP(B599,#REF!,1,0),0)</f>
        <v>0</v>
      </c>
    </row>
    <row r="600" spans="1:18" x14ac:dyDescent="0.25">
      <c r="A600" s="57">
        <v>599</v>
      </c>
      <c r="B600" s="57" t="s">
        <v>1645</v>
      </c>
      <c r="C600" s="57">
        <v>1</v>
      </c>
      <c r="D600" s="57" t="s">
        <v>1763</v>
      </c>
      <c r="E600" s="57" t="s">
        <v>1778</v>
      </c>
      <c r="F600" s="57">
        <v>4813</v>
      </c>
      <c r="G600" s="57">
        <v>3270</v>
      </c>
      <c r="H600" s="57">
        <v>120</v>
      </c>
      <c r="I600" s="57" t="s">
        <v>1212</v>
      </c>
      <c r="J600" s="57" t="s">
        <v>2021</v>
      </c>
      <c r="L600" s="57" t="s">
        <v>47</v>
      </c>
      <c r="M600" s="156">
        <v>45924</v>
      </c>
      <c r="N600" s="57">
        <v>0</v>
      </c>
      <c r="P600" s="167">
        <v>1.5129999999999999</v>
      </c>
      <c r="Q600" s="171">
        <v>3.7829999999999999</v>
      </c>
      <c r="R600" s="166">
        <f>IFERROR(VLOOKUP(B600,#REF!,1,0),0)</f>
        <v>0</v>
      </c>
    </row>
    <row r="601" spans="1:18" x14ac:dyDescent="0.25">
      <c r="A601" s="57">
        <v>600</v>
      </c>
      <c r="B601" s="57" t="s">
        <v>1646</v>
      </c>
      <c r="C601" s="57">
        <v>1</v>
      </c>
      <c r="D601" s="57" t="s">
        <v>1763</v>
      </c>
      <c r="E601" s="57" t="s">
        <v>1764</v>
      </c>
      <c r="F601" s="57">
        <v>4864</v>
      </c>
      <c r="G601" s="57">
        <v>3390</v>
      </c>
      <c r="H601" s="57">
        <v>120</v>
      </c>
      <c r="I601" s="57" t="s">
        <v>1212</v>
      </c>
      <c r="J601" s="57" t="s">
        <v>2021</v>
      </c>
      <c r="L601" s="57" t="s">
        <v>47</v>
      </c>
      <c r="M601" s="156">
        <v>45924</v>
      </c>
      <c r="N601" s="57">
        <v>0</v>
      </c>
      <c r="P601" s="167">
        <v>1.589</v>
      </c>
      <c r="Q601" s="171">
        <v>3.9750000000000001</v>
      </c>
      <c r="R601" s="166">
        <f>IFERROR(VLOOKUP(B601,#REF!,1,0),0)</f>
        <v>0</v>
      </c>
    </row>
    <row r="602" spans="1:18" x14ac:dyDescent="0.25">
      <c r="A602" s="57">
        <v>601</v>
      </c>
      <c r="B602" s="57" t="s">
        <v>1647</v>
      </c>
      <c r="C602" s="57">
        <v>1</v>
      </c>
      <c r="D602" s="57" t="s">
        <v>1763</v>
      </c>
      <c r="E602" s="57" t="s">
        <v>1764</v>
      </c>
      <c r="F602" s="57">
        <v>4864</v>
      </c>
      <c r="G602" s="57">
        <v>2190</v>
      </c>
      <c r="H602" s="57">
        <v>120</v>
      </c>
      <c r="I602" s="57" t="s">
        <v>1212</v>
      </c>
      <c r="J602" s="57" t="s">
        <v>2021</v>
      </c>
      <c r="L602" s="57" t="s">
        <v>47</v>
      </c>
      <c r="M602" s="156">
        <v>45924</v>
      </c>
      <c r="N602" s="57">
        <v>0</v>
      </c>
      <c r="P602" s="167">
        <v>1.417</v>
      </c>
      <c r="Q602" s="171">
        <v>3.5430000000000001</v>
      </c>
      <c r="R602" s="166">
        <f>IFERROR(VLOOKUP(B602,#REF!,1,0),0)</f>
        <v>0</v>
      </c>
    </row>
    <row r="603" spans="1:18" x14ac:dyDescent="0.25">
      <c r="A603" s="57">
        <v>602</v>
      </c>
      <c r="B603" s="57" t="s">
        <v>1648</v>
      </c>
      <c r="C603" s="57">
        <v>1</v>
      </c>
      <c r="D603" s="57" t="s">
        <v>1763</v>
      </c>
      <c r="E603" s="57" t="s">
        <v>1765</v>
      </c>
      <c r="F603" s="57">
        <v>2400</v>
      </c>
      <c r="G603" s="57">
        <v>3360</v>
      </c>
      <c r="H603" s="57">
        <v>120</v>
      </c>
      <c r="I603" s="57" t="s">
        <v>2022</v>
      </c>
      <c r="J603" s="57" t="s">
        <v>2023</v>
      </c>
      <c r="L603" s="57" t="s">
        <v>47</v>
      </c>
      <c r="M603" s="156">
        <v>45924</v>
      </c>
      <c r="N603" s="57">
        <v>0</v>
      </c>
      <c r="P603" s="167">
        <v>1.0780000000000001</v>
      </c>
      <c r="Q603" s="171">
        <v>2.6949999999999998</v>
      </c>
      <c r="R603" s="166">
        <f>IFERROR(VLOOKUP(B603,#REF!,1,0),0)</f>
        <v>0</v>
      </c>
    </row>
    <row r="604" spans="1:18" x14ac:dyDescent="0.25">
      <c r="A604" s="57">
        <v>603</v>
      </c>
      <c r="B604" s="57" t="s">
        <v>1649</v>
      </c>
      <c r="C604" s="57">
        <v>1</v>
      </c>
      <c r="D604" s="57" t="s">
        <v>1763</v>
      </c>
      <c r="E604" s="57" t="s">
        <v>1765</v>
      </c>
      <c r="F604" s="57">
        <v>4265</v>
      </c>
      <c r="G604" s="57">
        <v>2800</v>
      </c>
      <c r="H604" s="57">
        <v>120</v>
      </c>
      <c r="I604" s="57" t="s">
        <v>1161</v>
      </c>
      <c r="J604" s="57" t="s">
        <v>2044</v>
      </c>
      <c r="L604" s="57" t="s">
        <v>47</v>
      </c>
      <c r="M604" s="156">
        <v>45924</v>
      </c>
      <c r="N604" s="57">
        <v>0</v>
      </c>
      <c r="P604" s="167">
        <v>1.4430000000000001</v>
      </c>
      <c r="Q604" s="171">
        <v>3.806</v>
      </c>
      <c r="R604" s="166">
        <f>IFERROR(VLOOKUP(B604,#REF!,1,0),0)</f>
        <v>0</v>
      </c>
    </row>
    <row r="605" spans="1:18" x14ac:dyDescent="0.25">
      <c r="A605" s="57">
        <v>604</v>
      </c>
      <c r="B605" s="57" t="s">
        <v>1650</v>
      </c>
      <c r="C605" s="57">
        <v>1</v>
      </c>
      <c r="D605" s="57" t="s">
        <v>1763</v>
      </c>
      <c r="E605" s="57" t="s">
        <v>1765</v>
      </c>
      <c r="F605" s="57">
        <v>4862</v>
      </c>
      <c r="G605" s="57">
        <v>2160</v>
      </c>
      <c r="H605" s="57">
        <v>120</v>
      </c>
      <c r="I605" s="57" t="s">
        <v>1212</v>
      </c>
      <c r="J605" s="57" t="s">
        <v>2021</v>
      </c>
      <c r="L605" s="57" t="s">
        <v>47</v>
      </c>
      <c r="M605" s="156">
        <v>45924</v>
      </c>
      <c r="N605" s="57">
        <v>0</v>
      </c>
      <c r="P605" s="167">
        <v>1.4</v>
      </c>
      <c r="Q605" s="171">
        <v>3.5</v>
      </c>
      <c r="R605" s="166">
        <f>IFERROR(VLOOKUP(B605,#REF!,1,0),0)</f>
        <v>0</v>
      </c>
    </row>
    <row r="606" spans="1:18" x14ac:dyDescent="0.25">
      <c r="A606" s="57">
        <v>605</v>
      </c>
      <c r="B606" s="57" t="s">
        <v>1651</v>
      </c>
      <c r="C606" s="57">
        <v>1</v>
      </c>
      <c r="D606" s="57" t="s">
        <v>1763</v>
      </c>
      <c r="E606" s="57" t="s">
        <v>1765</v>
      </c>
      <c r="F606" s="57">
        <v>4862</v>
      </c>
      <c r="G606" s="57">
        <v>3520</v>
      </c>
      <c r="H606" s="57">
        <v>120</v>
      </c>
      <c r="I606" s="57" t="s">
        <v>1212</v>
      </c>
      <c r="J606" s="57" t="s">
        <v>2021</v>
      </c>
      <c r="L606" s="57" t="s">
        <v>47</v>
      </c>
      <c r="M606" s="156">
        <v>45924</v>
      </c>
      <c r="N606" s="57">
        <v>0</v>
      </c>
      <c r="P606" s="167">
        <v>1.5960000000000001</v>
      </c>
      <c r="Q606" s="171">
        <v>3.99</v>
      </c>
      <c r="R606" s="166">
        <f>IFERROR(VLOOKUP(B606,#REF!,1,0),0)</f>
        <v>0</v>
      </c>
    </row>
    <row r="607" spans="1:18" x14ac:dyDescent="0.25">
      <c r="A607" s="57">
        <v>606</v>
      </c>
      <c r="B607" s="57" t="s">
        <v>1652</v>
      </c>
      <c r="C607" s="57">
        <v>1</v>
      </c>
      <c r="D607" s="57" t="s">
        <v>1763</v>
      </c>
      <c r="E607" s="57" t="s">
        <v>1766</v>
      </c>
      <c r="F607" s="57">
        <v>4862</v>
      </c>
      <c r="G607" s="57">
        <v>3360</v>
      </c>
      <c r="H607" s="57">
        <v>120</v>
      </c>
      <c r="I607" s="57" t="s">
        <v>1212</v>
      </c>
      <c r="J607" s="57" t="s">
        <v>2021</v>
      </c>
      <c r="L607" s="57" t="s">
        <v>47</v>
      </c>
      <c r="M607" s="156">
        <v>45924</v>
      </c>
      <c r="N607" s="57">
        <v>0</v>
      </c>
      <c r="P607" s="167">
        <v>1.573</v>
      </c>
      <c r="Q607" s="171">
        <v>3.9329999999999998</v>
      </c>
      <c r="R607" s="166">
        <f>IFERROR(VLOOKUP(B607,#REF!,1,0),0)</f>
        <v>0</v>
      </c>
    </row>
    <row r="608" spans="1:18" x14ac:dyDescent="0.25">
      <c r="A608" s="57">
        <v>607</v>
      </c>
      <c r="B608" s="57" t="s">
        <v>1653</v>
      </c>
      <c r="C608" s="57">
        <v>1</v>
      </c>
      <c r="D608" s="57" t="s">
        <v>1763</v>
      </c>
      <c r="E608" s="57" t="s">
        <v>1766</v>
      </c>
      <c r="F608" s="57">
        <v>4862</v>
      </c>
      <c r="G608" s="57">
        <v>2160</v>
      </c>
      <c r="H608" s="57">
        <v>120</v>
      </c>
      <c r="I608" s="57" t="s">
        <v>1212</v>
      </c>
      <c r="J608" s="57" t="s">
        <v>2021</v>
      </c>
      <c r="L608" s="57" t="s">
        <v>47</v>
      </c>
      <c r="M608" s="156">
        <v>45924</v>
      </c>
      <c r="N608" s="57">
        <v>0</v>
      </c>
      <c r="P608" s="167">
        <v>1.4</v>
      </c>
      <c r="Q608" s="171">
        <v>3.5</v>
      </c>
      <c r="R608" s="166">
        <f>IFERROR(VLOOKUP(B608,#REF!,1,0),0)</f>
        <v>0</v>
      </c>
    </row>
    <row r="609" spans="1:18" x14ac:dyDescent="0.25">
      <c r="A609" s="57">
        <v>608</v>
      </c>
      <c r="B609" s="57" t="s">
        <v>1654</v>
      </c>
      <c r="C609" s="57">
        <v>1</v>
      </c>
      <c r="D609" s="57" t="s">
        <v>1763</v>
      </c>
      <c r="E609" s="57" t="s">
        <v>1767</v>
      </c>
      <c r="F609" s="57">
        <v>2400</v>
      </c>
      <c r="G609" s="57">
        <v>3250</v>
      </c>
      <c r="H609" s="57">
        <v>120</v>
      </c>
      <c r="I609" s="57" t="s">
        <v>2022</v>
      </c>
      <c r="J609" s="57" t="s">
        <v>2023</v>
      </c>
      <c r="L609" s="57" t="s">
        <v>47</v>
      </c>
      <c r="M609" s="156">
        <v>45924</v>
      </c>
      <c r="N609" s="57">
        <v>0</v>
      </c>
      <c r="P609" s="167">
        <v>1.046</v>
      </c>
      <c r="Q609" s="171">
        <v>2.6150000000000002</v>
      </c>
      <c r="R609" s="166">
        <f>IFERROR(VLOOKUP(B609,#REF!,1,0),0)</f>
        <v>0</v>
      </c>
    </row>
    <row r="610" spans="1:18" x14ac:dyDescent="0.25">
      <c r="A610" s="57">
        <v>609</v>
      </c>
      <c r="B610" s="57" t="s">
        <v>1655</v>
      </c>
      <c r="C610" s="57">
        <v>1</v>
      </c>
      <c r="D610" s="57" t="s">
        <v>1763</v>
      </c>
      <c r="E610" s="57" t="s">
        <v>1767</v>
      </c>
      <c r="F610" s="57">
        <v>4268</v>
      </c>
      <c r="G610" s="57">
        <v>2800</v>
      </c>
      <c r="H610" s="57">
        <v>120</v>
      </c>
      <c r="I610" s="57" t="s">
        <v>2022</v>
      </c>
      <c r="J610" s="57" t="s">
        <v>2034</v>
      </c>
      <c r="L610" s="57" t="s">
        <v>47</v>
      </c>
      <c r="M610" s="156">
        <v>45924</v>
      </c>
      <c r="P610" s="167">
        <v>1.4430000000000001</v>
      </c>
      <c r="Q610" s="171">
        <v>3.6074999999999999</v>
      </c>
      <c r="R610" s="166">
        <f>IFERROR(VLOOKUP(B610,#REF!,1,0),0)</f>
        <v>0</v>
      </c>
    </row>
    <row r="611" spans="1:18" x14ac:dyDescent="0.25">
      <c r="A611" s="57">
        <v>610</v>
      </c>
      <c r="B611" s="57" t="s">
        <v>1656</v>
      </c>
      <c r="C611" s="57">
        <v>1</v>
      </c>
      <c r="D611" s="57" t="s">
        <v>1763</v>
      </c>
      <c r="E611" s="57" t="s">
        <v>1767</v>
      </c>
      <c r="F611" s="57">
        <v>4866</v>
      </c>
      <c r="G611" s="57">
        <v>2050</v>
      </c>
      <c r="H611" s="57">
        <v>120</v>
      </c>
      <c r="I611" s="57" t="s">
        <v>1212</v>
      </c>
      <c r="J611" s="57" t="s">
        <v>2021</v>
      </c>
      <c r="L611" s="57" t="s">
        <v>47</v>
      </c>
      <c r="M611" s="156">
        <v>45924</v>
      </c>
      <c r="P611" s="167">
        <v>1.3360000000000001</v>
      </c>
      <c r="Q611" s="171">
        <v>3.3400000000000003</v>
      </c>
      <c r="R611" s="166">
        <f>IFERROR(VLOOKUP(B611,#REF!,1,0),0)</f>
        <v>0</v>
      </c>
    </row>
    <row r="612" spans="1:18" x14ac:dyDescent="0.25">
      <c r="A612" s="57">
        <v>611</v>
      </c>
      <c r="B612" s="57" t="s">
        <v>1657</v>
      </c>
      <c r="C612" s="57">
        <v>1</v>
      </c>
      <c r="D612" s="57" t="s">
        <v>1763</v>
      </c>
      <c r="E612" s="57" t="s">
        <v>1767</v>
      </c>
      <c r="F612" s="57">
        <v>4866</v>
      </c>
      <c r="G612" s="57">
        <v>3360</v>
      </c>
      <c r="H612" s="57">
        <v>120</v>
      </c>
      <c r="I612" s="57" t="s">
        <v>1212</v>
      </c>
      <c r="J612" s="57" t="s">
        <v>2021</v>
      </c>
      <c r="L612" s="57" t="s">
        <v>47</v>
      </c>
      <c r="M612" s="156">
        <v>45924</v>
      </c>
      <c r="P612" s="167">
        <v>1.5249999999999999</v>
      </c>
      <c r="Q612" s="171">
        <v>3.8125</v>
      </c>
      <c r="R612" s="166">
        <f>IFERROR(VLOOKUP(B612,#REF!,1,0),0)</f>
        <v>0</v>
      </c>
    </row>
    <row r="613" spans="1:18" x14ac:dyDescent="0.25">
      <c r="A613" s="57">
        <v>612</v>
      </c>
      <c r="B613" s="57" t="s">
        <v>1658</v>
      </c>
      <c r="C613" s="57">
        <v>1</v>
      </c>
      <c r="D613" s="57" t="s">
        <v>1763</v>
      </c>
      <c r="E613" s="57" t="s">
        <v>1779</v>
      </c>
      <c r="F613" s="57">
        <v>4864</v>
      </c>
      <c r="G613" s="57">
        <v>3250</v>
      </c>
      <c r="H613" s="57">
        <v>120</v>
      </c>
      <c r="I613" s="57" t="s">
        <v>1212</v>
      </c>
      <c r="J613" s="57" t="s">
        <v>2021</v>
      </c>
      <c r="L613" s="57" t="s">
        <v>47</v>
      </c>
      <c r="M613" s="156">
        <v>45924</v>
      </c>
      <c r="P613" s="167">
        <v>1.5620000000000001</v>
      </c>
      <c r="Q613" s="171">
        <v>3.9050000000000002</v>
      </c>
      <c r="R613" s="166">
        <f>IFERROR(VLOOKUP(B613,#REF!,1,0),0)</f>
        <v>0</v>
      </c>
    </row>
    <row r="614" spans="1:18" x14ac:dyDescent="0.25">
      <c r="A614" s="57">
        <v>613</v>
      </c>
      <c r="B614" s="57" t="s">
        <v>1659</v>
      </c>
      <c r="C614" s="57">
        <v>1</v>
      </c>
      <c r="D614" s="57" t="s">
        <v>1763</v>
      </c>
      <c r="E614" s="57" t="s">
        <v>1779</v>
      </c>
      <c r="F614" s="57">
        <v>4864</v>
      </c>
      <c r="G614" s="57">
        <v>2050</v>
      </c>
      <c r="H614" s="57">
        <v>120</v>
      </c>
      <c r="I614" s="57" t="s">
        <v>1212</v>
      </c>
      <c r="J614" s="57" t="s">
        <v>2021</v>
      </c>
      <c r="L614" s="57" t="s">
        <v>47</v>
      </c>
      <c r="M614" s="156">
        <v>45924</v>
      </c>
      <c r="P614" s="167">
        <v>1.3360000000000001</v>
      </c>
      <c r="Q614" s="171">
        <v>3.3400000000000003</v>
      </c>
      <c r="R614" s="166">
        <f>IFERROR(VLOOKUP(B614,#REF!,1,0),0)</f>
        <v>0</v>
      </c>
    </row>
    <row r="615" spans="1:18" x14ac:dyDescent="0.25">
      <c r="A615" s="57">
        <v>614</v>
      </c>
      <c r="B615" s="57" t="s">
        <v>1660</v>
      </c>
      <c r="C615" s="57">
        <v>1</v>
      </c>
      <c r="D615" s="57" t="s">
        <v>1763</v>
      </c>
      <c r="E615" s="57" t="s">
        <v>1779</v>
      </c>
      <c r="F615" s="57">
        <v>5220</v>
      </c>
      <c r="G615" s="57">
        <v>3180</v>
      </c>
      <c r="H615" s="57">
        <v>120</v>
      </c>
      <c r="I615" s="57" t="s">
        <v>2022</v>
      </c>
      <c r="J615" s="57" t="s">
        <v>2031</v>
      </c>
      <c r="L615" s="57" t="s">
        <v>47</v>
      </c>
      <c r="M615" s="156">
        <v>45924</v>
      </c>
      <c r="P615" s="167">
        <v>2.1760000000000002</v>
      </c>
      <c r="Q615" s="171">
        <v>5.44</v>
      </c>
      <c r="R615" s="166">
        <f>IFERROR(VLOOKUP(B615,#REF!,1,0),0)</f>
        <v>0</v>
      </c>
    </row>
    <row r="616" spans="1:18" x14ac:dyDescent="0.25">
      <c r="A616" s="57">
        <v>615</v>
      </c>
      <c r="B616" s="57" t="s">
        <v>1661</v>
      </c>
      <c r="C616" s="57">
        <v>1</v>
      </c>
      <c r="D616" s="57" t="s">
        <v>1763</v>
      </c>
      <c r="E616" s="57" t="s">
        <v>1779</v>
      </c>
      <c r="F616" s="57">
        <v>5220</v>
      </c>
      <c r="G616" s="57">
        <v>3075</v>
      </c>
      <c r="H616" s="57">
        <v>120</v>
      </c>
      <c r="I616" s="57" t="s">
        <v>2022</v>
      </c>
      <c r="J616" s="57" t="s">
        <v>2031</v>
      </c>
      <c r="L616" s="57" t="s">
        <v>47</v>
      </c>
      <c r="M616" s="156">
        <v>45924</v>
      </c>
      <c r="P616" s="167">
        <v>2.0299999999999998</v>
      </c>
      <c r="Q616" s="171">
        <v>5.0749999999999993</v>
      </c>
      <c r="R616" s="166">
        <f>IFERROR(VLOOKUP(B616,#REF!,1,0),0)</f>
        <v>0</v>
      </c>
    </row>
    <row r="617" spans="1:18" x14ac:dyDescent="0.25">
      <c r="A617" s="57">
        <v>616</v>
      </c>
      <c r="B617" s="57" t="s">
        <v>1662</v>
      </c>
      <c r="C617" s="57">
        <v>1</v>
      </c>
      <c r="D617" s="57" t="s">
        <v>1763</v>
      </c>
      <c r="E617" s="57" t="s">
        <v>1779</v>
      </c>
      <c r="F617" s="57">
        <v>5220</v>
      </c>
      <c r="G617" s="57">
        <v>3075</v>
      </c>
      <c r="H617" s="57">
        <v>120</v>
      </c>
      <c r="I617" s="57" t="s">
        <v>2022</v>
      </c>
      <c r="J617" s="57" t="s">
        <v>2031</v>
      </c>
      <c r="L617" s="57" t="s">
        <v>47</v>
      </c>
      <c r="M617" s="156">
        <v>45924</v>
      </c>
      <c r="P617" s="167">
        <v>2.0299999999999998</v>
      </c>
      <c r="Q617" s="171">
        <v>5.0749999999999993</v>
      </c>
      <c r="R617" s="166">
        <f>IFERROR(VLOOKUP(B617,#REF!,1,0),0)</f>
        <v>0</v>
      </c>
    </row>
    <row r="618" spans="1:18" x14ac:dyDescent="0.25">
      <c r="A618" s="57">
        <v>617</v>
      </c>
      <c r="B618" s="57" t="s">
        <v>1663</v>
      </c>
      <c r="C618" s="57">
        <v>1</v>
      </c>
      <c r="D618" s="57" t="s">
        <v>1763</v>
      </c>
      <c r="E618" s="57" t="s">
        <v>1779</v>
      </c>
      <c r="F618" s="57">
        <v>5220</v>
      </c>
      <c r="G618" s="57">
        <v>2980</v>
      </c>
      <c r="H618" s="57">
        <v>120</v>
      </c>
      <c r="I618" s="57" t="s">
        <v>2022</v>
      </c>
      <c r="J618" s="57" t="s">
        <v>2031</v>
      </c>
      <c r="L618" s="57" t="s">
        <v>47</v>
      </c>
      <c r="M618" s="156">
        <v>45924</v>
      </c>
      <c r="P618" s="167">
        <v>1.97</v>
      </c>
      <c r="Q618" s="171">
        <v>4.9249999999999998</v>
      </c>
      <c r="R618" s="166">
        <f>IFERROR(VLOOKUP(B618,#REF!,1,0),0)</f>
        <v>0</v>
      </c>
    </row>
    <row r="619" spans="1:18" x14ac:dyDescent="0.25">
      <c r="A619" s="57">
        <v>618</v>
      </c>
      <c r="B619" s="57" t="s">
        <v>1664</v>
      </c>
      <c r="C619" s="57">
        <v>1</v>
      </c>
      <c r="D619" s="57" t="s">
        <v>1763</v>
      </c>
      <c r="E619" s="57" t="s">
        <v>1779</v>
      </c>
      <c r="F619" s="57">
        <v>5220</v>
      </c>
      <c r="G619" s="57">
        <v>2980</v>
      </c>
      <c r="H619" s="57">
        <v>120</v>
      </c>
      <c r="I619" s="57" t="s">
        <v>2022</v>
      </c>
      <c r="J619" s="57" t="s">
        <v>2031</v>
      </c>
      <c r="L619" s="57" t="s">
        <v>47</v>
      </c>
      <c r="M619" s="156">
        <v>45924</v>
      </c>
      <c r="P619" s="167">
        <v>1.9710000000000001</v>
      </c>
      <c r="Q619" s="171">
        <v>4.9275000000000002</v>
      </c>
      <c r="R619" s="166">
        <f>IFERROR(VLOOKUP(B619,#REF!,1,0),0)</f>
        <v>0</v>
      </c>
    </row>
    <row r="620" spans="1:18" x14ac:dyDescent="0.25">
      <c r="A620" s="57">
        <v>619</v>
      </c>
      <c r="B620" s="57" t="s">
        <v>1665</v>
      </c>
      <c r="C620" s="57">
        <v>1</v>
      </c>
      <c r="D620" s="57" t="s">
        <v>1763</v>
      </c>
      <c r="E620" s="57" t="s">
        <v>1779</v>
      </c>
      <c r="F620" s="57">
        <v>5220</v>
      </c>
      <c r="G620" s="57">
        <v>3180</v>
      </c>
      <c r="H620" s="57">
        <v>120</v>
      </c>
      <c r="I620" s="57" t="s">
        <v>2022</v>
      </c>
      <c r="J620" s="57" t="s">
        <v>2032</v>
      </c>
      <c r="L620" s="57" t="s">
        <v>47</v>
      </c>
      <c r="M620" s="156">
        <v>45924</v>
      </c>
      <c r="P620" s="167">
        <v>2.1760000000000002</v>
      </c>
      <c r="Q620" s="171">
        <v>5.44</v>
      </c>
      <c r="R620" s="166">
        <f>IFERROR(VLOOKUP(B620,#REF!,1,0),0)</f>
        <v>0</v>
      </c>
    </row>
    <row r="621" spans="1:18" x14ac:dyDescent="0.25">
      <c r="A621" s="57">
        <v>620</v>
      </c>
      <c r="B621" s="57" t="s">
        <v>1666</v>
      </c>
      <c r="C621" s="57">
        <v>1</v>
      </c>
      <c r="D621" s="57" t="s">
        <v>1763</v>
      </c>
      <c r="E621" s="57" t="s">
        <v>1768</v>
      </c>
      <c r="F621" s="57">
        <v>4865</v>
      </c>
      <c r="G621" s="57">
        <v>3200</v>
      </c>
      <c r="H621" s="57">
        <v>120</v>
      </c>
      <c r="I621" s="57" t="s">
        <v>1212</v>
      </c>
      <c r="J621" s="57" t="s">
        <v>2021</v>
      </c>
      <c r="L621" s="57" t="s">
        <v>47</v>
      </c>
      <c r="M621" s="156">
        <v>45924</v>
      </c>
      <c r="P621" s="167">
        <v>1.48</v>
      </c>
      <c r="Q621" s="171">
        <v>3.7</v>
      </c>
      <c r="R621" s="166">
        <f>IFERROR(VLOOKUP(B621,#REF!,1,0),0)</f>
        <v>0</v>
      </c>
    </row>
    <row r="622" spans="1:18" x14ac:dyDescent="0.25">
      <c r="A622" s="57">
        <v>621</v>
      </c>
      <c r="B622" s="57" t="s">
        <v>1667</v>
      </c>
      <c r="C622" s="57">
        <v>1</v>
      </c>
      <c r="D622" s="57" t="s">
        <v>1763</v>
      </c>
      <c r="E622" s="57" t="s">
        <v>1768</v>
      </c>
      <c r="F622" s="57">
        <v>4865</v>
      </c>
      <c r="G622" s="57">
        <v>2000</v>
      </c>
      <c r="H622" s="57">
        <v>120</v>
      </c>
      <c r="I622" s="57" t="s">
        <v>1212</v>
      </c>
      <c r="J622" s="57" t="s">
        <v>2021</v>
      </c>
      <c r="L622" s="57" t="s">
        <v>47</v>
      </c>
      <c r="M622" s="156">
        <v>45924</v>
      </c>
      <c r="P622" s="167">
        <v>1.2749999999999999</v>
      </c>
      <c r="Q622" s="171">
        <v>3.1875</v>
      </c>
      <c r="R622" s="166">
        <f>IFERROR(VLOOKUP(B622,#REF!,1,0),0)</f>
        <v>0</v>
      </c>
    </row>
    <row r="623" spans="1:18" x14ac:dyDescent="0.25">
      <c r="A623" s="57">
        <v>622</v>
      </c>
      <c r="B623" s="57" t="s">
        <v>1668</v>
      </c>
      <c r="C623" s="57">
        <v>1</v>
      </c>
      <c r="D623" s="57" t="s">
        <v>1763</v>
      </c>
      <c r="E623" s="57" t="s">
        <v>1769</v>
      </c>
      <c r="F623" s="57">
        <v>2400</v>
      </c>
      <c r="G623" s="57">
        <v>3200</v>
      </c>
      <c r="H623" s="57">
        <v>120</v>
      </c>
      <c r="I623" s="57" t="s">
        <v>2022</v>
      </c>
      <c r="J623" s="57" t="s">
        <v>2023</v>
      </c>
      <c r="L623" s="57" t="s">
        <v>47</v>
      </c>
      <c r="M623" s="156">
        <v>45924</v>
      </c>
      <c r="P623" s="167">
        <v>1.032</v>
      </c>
      <c r="Q623" s="171">
        <v>2.58</v>
      </c>
      <c r="R623" s="166">
        <f>IFERROR(VLOOKUP(B623,#REF!,1,0),0)</f>
        <v>0</v>
      </c>
    </row>
    <row r="624" spans="1:18" x14ac:dyDescent="0.25">
      <c r="A624" s="57">
        <v>623</v>
      </c>
      <c r="B624" s="57" t="s">
        <v>1669</v>
      </c>
      <c r="C624" s="57">
        <v>1</v>
      </c>
      <c r="D624" s="57" t="s">
        <v>1763</v>
      </c>
      <c r="E624" s="57" t="s">
        <v>1769</v>
      </c>
      <c r="F624" s="57">
        <v>4862</v>
      </c>
      <c r="G624" s="57">
        <v>2000</v>
      </c>
      <c r="H624" s="57">
        <v>120</v>
      </c>
      <c r="I624" s="57" t="s">
        <v>1212</v>
      </c>
      <c r="J624" s="57" t="s">
        <v>2021</v>
      </c>
      <c r="L624" s="57" t="s">
        <v>47</v>
      </c>
      <c r="M624" s="156">
        <v>45924</v>
      </c>
      <c r="P624" s="167">
        <v>1.3069999999999999</v>
      </c>
      <c r="Q624" s="171">
        <v>3.2675000000000001</v>
      </c>
      <c r="R624" s="166">
        <f>IFERROR(VLOOKUP(B624,#REF!,1,0),0)</f>
        <v>0</v>
      </c>
    </row>
    <row r="625" spans="1:18" x14ac:dyDescent="0.25">
      <c r="A625" s="57">
        <v>624</v>
      </c>
      <c r="B625" s="57" t="s">
        <v>1670</v>
      </c>
      <c r="C625" s="57">
        <v>1</v>
      </c>
      <c r="D625" s="57" t="s">
        <v>1763</v>
      </c>
      <c r="E625" s="57" t="s">
        <v>1769</v>
      </c>
      <c r="F625" s="57">
        <v>4862</v>
      </c>
      <c r="G625" s="57">
        <v>3270</v>
      </c>
      <c r="H625" s="57">
        <v>120</v>
      </c>
      <c r="I625" s="57" t="s">
        <v>1212</v>
      </c>
      <c r="J625" s="57" t="s">
        <v>2021</v>
      </c>
      <c r="L625" s="57" t="s">
        <v>47</v>
      </c>
      <c r="M625" s="156">
        <v>45924</v>
      </c>
      <c r="P625" s="167">
        <v>1.4890000000000001</v>
      </c>
      <c r="Q625" s="171">
        <v>3.7225000000000001</v>
      </c>
      <c r="R625" s="166">
        <f>IFERROR(VLOOKUP(B625,#REF!,1,0),0)</f>
        <v>0</v>
      </c>
    </row>
    <row r="626" spans="1:18" x14ac:dyDescent="0.25">
      <c r="A626" s="57">
        <v>625</v>
      </c>
      <c r="B626" s="57" t="s">
        <v>1671</v>
      </c>
      <c r="C626" s="57">
        <v>1</v>
      </c>
      <c r="D626" s="57" t="s">
        <v>1763</v>
      </c>
      <c r="E626" s="57" t="s">
        <v>1771</v>
      </c>
      <c r="F626" s="57">
        <v>4862</v>
      </c>
      <c r="G626" s="57">
        <v>3270</v>
      </c>
      <c r="H626" s="57">
        <v>120</v>
      </c>
      <c r="I626" s="57" t="s">
        <v>1212</v>
      </c>
      <c r="J626" s="57" t="s">
        <v>2021</v>
      </c>
      <c r="L626" s="57" t="s">
        <v>47</v>
      </c>
      <c r="M626" s="156">
        <v>45924</v>
      </c>
      <c r="P626" s="167">
        <v>1.52</v>
      </c>
      <c r="Q626" s="171">
        <v>3.8</v>
      </c>
      <c r="R626" s="166">
        <f>IFERROR(VLOOKUP(B626,#REF!,1,0),0)</f>
        <v>0</v>
      </c>
    </row>
    <row r="627" spans="1:18" x14ac:dyDescent="0.25">
      <c r="A627" s="57">
        <v>626</v>
      </c>
      <c r="B627" s="57" t="s">
        <v>1672</v>
      </c>
      <c r="C627" s="57">
        <v>1</v>
      </c>
      <c r="D627" s="57" t="s">
        <v>1763</v>
      </c>
      <c r="E627" s="57" t="s">
        <v>1771</v>
      </c>
      <c r="F627" s="57">
        <v>4862</v>
      </c>
      <c r="G627" s="57">
        <v>2070</v>
      </c>
      <c r="H627" s="57">
        <v>120</v>
      </c>
      <c r="I627" s="57" t="s">
        <v>1212</v>
      </c>
      <c r="J627" s="57" t="s">
        <v>2021</v>
      </c>
      <c r="L627" s="57" t="s">
        <v>47</v>
      </c>
      <c r="M627" s="156">
        <v>45924</v>
      </c>
      <c r="P627" s="167">
        <v>1.347</v>
      </c>
      <c r="Q627" s="171">
        <v>3.3674999999999997</v>
      </c>
      <c r="R627" s="166">
        <f>IFERROR(VLOOKUP(B627,#REF!,1,0),0)</f>
        <v>0</v>
      </c>
    </row>
    <row r="628" spans="1:18" x14ac:dyDescent="0.25">
      <c r="A628" s="57">
        <v>627</v>
      </c>
      <c r="B628" s="57" t="s">
        <v>1673</v>
      </c>
      <c r="C628" s="57">
        <v>1</v>
      </c>
      <c r="D628" s="57" t="s">
        <v>1763</v>
      </c>
      <c r="E628" s="57" t="s">
        <v>1773</v>
      </c>
      <c r="F628" s="57">
        <v>2400</v>
      </c>
      <c r="G628" s="57">
        <v>3270</v>
      </c>
      <c r="H628" s="57">
        <v>120</v>
      </c>
      <c r="I628" s="57" t="s">
        <v>2022</v>
      </c>
      <c r="J628" s="57" t="s">
        <v>2023</v>
      </c>
      <c r="L628" s="57" t="s">
        <v>47</v>
      </c>
      <c r="M628" s="156">
        <v>45924</v>
      </c>
      <c r="P628" s="167">
        <v>1.052</v>
      </c>
      <c r="Q628" s="171">
        <v>2.63</v>
      </c>
      <c r="R628" s="166">
        <f>IFERROR(VLOOKUP(B628,#REF!,1,0),0)</f>
        <v>0</v>
      </c>
    </row>
    <row r="629" spans="1:18" x14ac:dyDescent="0.25">
      <c r="A629" s="57">
        <v>628</v>
      </c>
      <c r="B629" s="57" t="s">
        <v>1674</v>
      </c>
      <c r="C629" s="57">
        <v>1</v>
      </c>
      <c r="D629" s="57" t="s">
        <v>1763</v>
      </c>
      <c r="E629" s="57" t="s">
        <v>1773</v>
      </c>
      <c r="F629" s="57">
        <v>4862</v>
      </c>
      <c r="G629" s="57">
        <v>2070</v>
      </c>
      <c r="H629" s="57">
        <v>120</v>
      </c>
      <c r="I629" s="57" t="s">
        <v>1212</v>
      </c>
      <c r="J629" s="57" t="s">
        <v>2021</v>
      </c>
      <c r="L629" s="57" t="s">
        <v>47</v>
      </c>
      <c r="M629" s="156">
        <v>45924</v>
      </c>
      <c r="P629" s="167">
        <v>1.347</v>
      </c>
      <c r="Q629" s="171">
        <v>3.3674999999999997</v>
      </c>
      <c r="R629" s="166">
        <f>IFERROR(VLOOKUP(B629,#REF!,1,0),0)</f>
        <v>0</v>
      </c>
    </row>
    <row r="630" spans="1:18" x14ac:dyDescent="0.25">
      <c r="A630" s="57">
        <v>629</v>
      </c>
      <c r="B630" s="57" t="s">
        <v>1675</v>
      </c>
      <c r="C630" s="57">
        <v>1</v>
      </c>
      <c r="D630" s="57" t="s">
        <v>1763</v>
      </c>
      <c r="E630" s="57" t="s">
        <v>1773</v>
      </c>
      <c r="F630" s="57">
        <v>4862</v>
      </c>
      <c r="G630" s="57">
        <v>3330</v>
      </c>
      <c r="H630" s="57">
        <v>120</v>
      </c>
      <c r="I630" s="57" t="s">
        <v>1212</v>
      </c>
      <c r="J630" s="57" t="s">
        <v>2021</v>
      </c>
      <c r="L630" s="57" t="s">
        <v>47</v>
      </c>
      <c r="M630" s="156">
        <v>45924</v>
      </c>
      <c r="P630" s="167">
        <v>1.5289999999999999</v>
      </c>
      <c r="Q630" s="171">
        <v>3.8224999999999998</v>
      </c>
      <c r="R630" s="166">
        <f>IFERROR(VLOOKUP(B630,#REF!,1,0),0)</f>
        <v>0</v>
      </c>
    </row>
    <row r="631" spans="1:18" x14ac:dyDescent="0.25">
      <c r="A631" s="57">
        <v>630</v>
      </c>
      <c r="B631" s="57" t="s">
        <v>1676</v>
      </c>
      <c r="C631" s="57">
        <v>1</v>
      </c>
      <c r="D631" s="57" t="s">
        <v>1763</v>
      </c>
      <c r="E631" s="57" t="s">
        <v>1774</v>
      </c>
      <c r="F631" s="57">
        <v>4862</v>
      </c>
      <c r="G631" s="57">
        <v>3330</v>
      </c>
      <c r="H631" s="57">
        <v>120</v>
      </c>
      <c r="I631" s="57" t="s">
        <v>1212</v>
      </c>
      <c r="J631" s="57" t="s">
        <v>2021</v>
      </c>
      <c r="L631" s="57" t="s">
        <v>47</v>
      </c>
      <c r="M631" s="156">
        <v>45924</v>
      </c>
      <c r="P631" s="167">
        <v>1.5549999999999999</v>
      </c>
      <c r="Q631" s="171">
        <v>3.8874999999999997</v>
      </c>
      <c r="R631" s="166">
        <f>IFERROR(VLOOKUP(B631,#REF!,1,0),0)</f>
        <v>0</v>
      </c>
    </row>
    <row r="632" spans="1:18" x14ac:dyDescent="0.25">
      <c r="A632" s="57">
        <v>631</v>
      </c>
      <c r="B632" s="57" t="s">
        <v>1677</v>
      </c>
      <c r="C632" s="57">
        <v>1</v>
      </c>
      <c r="D632" s="57" t="s">
        <v>1763</v>
      </c>
      <c r="E632" s="57" t="s">
        <v>1774</v>
      </c>
      <c r="F632" s="57">
        <v>4862</v>
      </c>
      <c r="G632" s="57">
        <v>2130</v>
      </c>
      <c r="H632" s="57">
        <v>120</v>
      </c>
      <c r="I632" s="57" t="s">
        <v>1212</v>
      </c>
      <c r="J632" s="57" t="s">
        <v>2021</v>
      </c>
      <c r="L632" s="57" t="s">
        <v>47</v>
      </c>
      <c r="M632" s="156">
        <v>45924</v>
      </c>
      <c r="P632" s="167">
        <v>1.3819999999999999</v>
      </c>
      <c r="Q632" s="171">
        <v>3.4549999999999996</v>
      </c>
      <c r="R632" s="166">
        <f>IFERROR(VLOOKUP(B632,#REF!,1,0),0)</f>
        <v>0</v>
      </c>
    </row>
    <row r="633" spans="1:18" x14ac:dyDescent="0.25">
      <c r="A633" s="57">
        <v>632</v>
      </c>
      <c r="B633" s="57" t="s">
        <v>1678</v>
      </c>
      <c r="C633" s="57">
        <v>1</v>
      </c>
      <c r="D633" s="57" t="s">
        <v>1763</v>
      </c>
      <c r="E633" s="57" t="s">
        <v>1770</v>
      </c>
      <c r="F633" s="57">
        <v>2400</v>
      </c>
      <c r="G633" s="57">
        <v>3330</v>
      </c>
      <c r="H633" s="57">
        <v>120</v>
      </c>
      <c r="I633" s="57" t="s">
        <v>2022</v>
      </c>
      <c r="J633" s="57" t="s">
        <v>2023</v>
      </c>
      <c r="L633" s="57" t="s">
        <v>47</v>
      </c>
      <c r="M633" s="156">
        <v>45924</v>
      </c>
      <c r="P633" s="167">
        <v>1.069</v>
      </c>
      <c r="Q633" s="171">
        <v>2.6724999999999999</v>
      </c>
      <c r="R633" s="166">
        <f>IFERROR(VLOOKUP(B633,#REF!,1,0),0)</f>
        <v>0</v>
      </c>
    </row>
    <row r="634" spans="1:18" x14ac:dyDescent="0.25">
      <c r="A634" s="57">
        <v>633</v>
      </c>
      <c r="B634" s="57" t="s">
        <v>1679</v>
      </c>
      <c r="C634" s="57">
        <v>1</v>
      </c>
      <c r="D634" s="57" t="s">
        <v>1763</v>
      </c>
      <c r="E634" s="57" t="s">
        <v>1770</v>
      </c>
      <c r="F634" s="57">
        <v>4862</v>
      </c>
      <c r="G634" s="57">
        <v>2130</v>
      </c>
      <c r="H634" s="57">
        <v>120</v>
      </c>
      <c r="I634" s="57" t="s">
        <v>1212</v>
      </c>
      <c r="J634" s="57" t="s">
        <v>2021</v>
      </c>
      <c r="L634" s="57" t="s">
        <v>47</v>
      </c>
      <c r="M634" s="156">
        <v>45924</v>
      </c>
      <c r="P634" s="167">
        <v>1.3819999999999999</v>
      </c>
      <c r="Q634" s="171">
        <v>3.4549999999999996</v>
      </c>
      <c r="R634" s="166">
        <f>IFERROR(VLOOKUP(B634,#REF!,1,0),0)</f>
        <v>0</v>
      </c>
    </row>
    <row r="635" spans="1:18" x14ac:dyDescent="0.25">
      <c r="A635" s="57">
        <v>634</v>
      </c>
      <c r="B635" s="57" t="s">
        <v>1680</v>
      </c>
      <c r="C635" s="57">
        <v>1</v>
      </c>
      <c r="D635" s="57" t="s">
        <v>1763</v>
      </c>
      <c r="E635" s="57" t="s">
        <v>1770</v>
      </c>
      <c r="F635" s="57">
        <v>4862</v>
      </c>
      <c r="G635" s="57">
        <v>3400</v>
      </c>
      <c r="H635" s="57">
        <v>120</v>
      </c>
      <c r="I635" s="57" t="s">
        <v>1212</v>
      </c>
      <c r="J635" s="57" t="s">
        <v>2021</v>
      </c>
      <c r="L635" s="57" t="s">
        <v>47</v>
      </c>
      <c r="M635" s="156">
        <v>45924</v>
      </c>
      <c r="P635" s="167">
        <v>1.5649999999999999</v>
      </c>
      <c r="Q635" s="171">
        <v>3.9124999999999996</v>
      </c>
      <c r="R635" s="166">
        <f>IFERROR(VLOOKUP(B635,#REF!,1,0),0)</f>
        <v>0</v>
      </c>
    </row>
    <row r="636" spans="1:18" x14ac:dyDescent="0.25">
      <c r="A636" s="57">
        <v>635</v>
      </c>
      <c r="B636" s="57" t="s">
        <v>1681</v>
      </c>
      <c r="C636" s="57">
        <v>1</v>
      </c>
      <c r="D636" s="57" t="s">
        <v>1763</v>
      </c>
      <c r="E636" s="57" t="s">
        <v>1772</v>
      </c>
      <c r="F636" s="57">
        <v>4862</v>
      </c>
      <c r="G636" s="57">
        <v>3400</v>
      </c>
      <c r="H636" s="57">
        <v>120</v>
      </c>
      <c r="I636" s="57" t="s">
        <v>1212</v>
      </c>
      <c r="J636" s="57" t="s">
        <v>2021</v>
      </c>
      <c r="L636" s="57" t="s">
        <v>47</v>
      </c>
      <c r="M636" s="156">
        <v>45924</v>
      </c>
      <c r="P636" s="167">
        <v>1.5960000000000001</v>
      </c>
      <c r="Q636" s="171">
        <v>3.99</v>
      </c>
      <c r="R636" s="166">
        <f>IFERROR(VLOOKUP(B636,#REF!,1,0),0)</f>
        <v>0</v>
      </c>
    </row>
    <row r="637" spans="1:18" x14ac:dyDescent="0.25">
      <c r="A637" s="57">
        <v>636</v>
      </c>
      <c r="B637" s="57" t="s">
        <v>1682</v>
      </c>
      <c r="C637" s="57">
        <v>1</v>
      </c>
      <c r="D637" s="57" t="s">
        <v>1763</v>
      </c>
      <c r="E637" s="57" t="s">
        <v>1772</v>
      </c>
      <c r="F637" s="57">
        <v>4862</v>
      </c>
      <c r="G637" s="57">
        <v>2200</v>
      </c>
      <c r="H637" s="57">
        <v>120</v>
      </c>
      <c r="I637" s="57" t="s">
        <v>1212</v>
      </c>
      <c r="J637" s="57" t="s">
        <v>2021</v>
      </c>
      <c r="L637" s="57" t="s">
        <v>47</v>
      </c>
      <c r="M637" s="156">
        <v>45924</v>
      </c>
      <c r="P637" s="167">
        <v>1.423</v>
      </c>
      <c r="Q637" s="171">
        <v>3.5575000000000001</v>
      </c>
      <c r="R637" s="166">
        <f>IFERROR(VLOOKUP(B637,#REF!,1,0),0)</f>
        <v>0</v>
      </c>
    </row>
    <row r="638" spans="1:18" x14ac:dyDescent="0.25">
      <c r="A638" s="57">
        <v>637</v>
      </c>
      <c r="B638" s="57" t="s">
        <v>1683</v>
      </c>
      <c r="C638" s="57">
        <v>1</v>
      </c>
      <c r="D638" s="57" t="s">
        <v>1763</v>
      </c>
      <c r="E638" s="57" t="s">
        <v>1776</v>
      </c>
      <c r="F638" s="57">
        <v>2400</v>
      </c>
      <c r="G638" s="57">
        <v>3400</v>
      </c>
      <c r="H638" s="57">
        <v>120</v>
      </c>
      <c r="I638" s="57" t="s">
        <v>2022</v>
      </c>
      <c r="J638" s="57" t="s">
        <v>2023</v>
      </c>
      <c r="L638" s="57" t="s">
        <v>47</v>
      </c>
      <c r="M638" s="156">
        <v>45924</v>
      </c>
      <c r="P638" s="167">
        <v>1.089</v>
      </c>
      <c r="Q638" s="171">
        <v>2.7225000000000001</v>
      </c>
      <c r="R638" s="166">
        <f>IFERROR(VLOOKUP(B638,#REF!,1,0),0)</f>
        <v>0</v>
      </c>
    </row>
    <row r="639" spans="1:18" x14ac:dyDescent="0.25">
      <c r="A639" s="57">
        <v>638</v>
      </c>
      <c r="B639" s="57" t="s">
        <v>1684</v>
      </c>
      <c r="C639" s="57">
        <v>1</v>
      </c>
      <c r="D639" s="57" t="s">
        <v>1763</v>
      </c>
      <c r="E639" s="57" t="s">
        <v>1776</v>
      </c>
      <c r="F639" s="57">
        <v>4862</v>
      </c>
      <c r="G639" s="57">
        <v>2200</v>
      </c>
      <c r="H639" s="57">
        <v>120</v>
      </c>
      <c r="I639" s="57" t="s">
        <v>1212</v>
      </c>
      <c r="J639" s="57" t="s">
        <v>2021</v>
      </c>
      <c r="L639" s="57" t="s">
        <v>47</v>
      </c>
      <c r="M639" s="156">
        <v>45924</v>
      </c>
      <c r="P639" s="167">
        <v>1.423</v>
      </c>
      <c r="Q639" s="171">
        <v>3.5575000000000001</v>
      </c>
      <c r="R639" s="166">
        <f>IFERROR(VLOOKUP(B639,#REF!,1,0),0)</f>
        <v>0</v>
      </c>
    </row>
    <row r="640" spans="1:18" x14ac:dyDescent="0.25">
      <c r="A640" s="57">
        <v>639</v>
      </c>
      <c r="B640" s="57" t="s">
        <v>1685</v>
      </c>
      <c r="C640" s="57">
        <v>1</v>
      </c>
      <c r="D640" s="57" t="s">
        <v>1763</v>
      </c>
      <c r="E640" s="57" t="s">
        <v>1776</v>
      </c>
      <c r="F640" s="57">
        <v>4862</v>
      </c>
      <c r="G640" s="57">
        <v>3400</v>
      </c>
      <c r="H640" s="57">
        <v>120</v>
      </c>
      <c r="I640" s="57" t="s">
        <v>1212</v>
      </c>
      <c r="J640" s="57" t="s">
        <v>2021</v>
      </c>
      <c r="L640" s="57" t="s">
        <v>47</v>
      </c>
      <c r="M640" s="156">
        <v>45924</v>
      </c>
      <c r="P640" s="167">
        <v>1.5960000000000001</v>
      </c>
      <c r="Q640" s="171">
        <v>3.99</v>
      </c>
      <c r="R640" s="166">
        <f>IFERROR(VLOOKUP(B640,#REF!,1,0),0)</f>
        <v>0</v>
      </c>
    </row>
    <row r="641" spans="1:18" x14ac:dyDescent="0.25">
      <c r="A641" s="57">
        <v>640</v>
      </c>
      <c r="B641" s="57" t="s">
        <v>1686</v>
      </c>
      <c r="C641" s="57">
        <v>1</v>
      </c>
      <c r="D641" s="57" t="s">
        <v>1763</v>
      </c>
      <c r="E641" s="57" t="s">
        <v>1775</v>
      </c>
      <c r="F641" s="57">
        <v>4862</v>
      </c>
      <c r="G641" s="57">
        <v>3460</v>
      </c>
      <c r="H641" s="57">
        <v>120</v>
      </c>
      <c r="I641" s="57" t="s">
        <v>1212</v>
      </c>
      <c r="J641" s="57" t="s">
        <v>2021</v>
      </c>
      <c r="L641" s="57" t="s">
        <v>47</v>
      </c>
      <c r="M641" s="156">
        <v>45924</v>
      </c>
      <c r="P641" s="167">
        <v>1.613</v>
      </c>
      <c r="Q641" s="171">
        <v>4.0324999999999998</v>
      </c>
      <c r="R641" s="166">
        <f>IFERROR(VLOOKUP(B641,#REF!,1,0),0)</f>
        <v>0</v>
      </c>
    </row>
    <row r="642" spans="1:18" x14ac:dyDescent="0.25">
      <c r="A642" s="57">
        <v>641</v>
      </c>
      <c r="B642" s="57" t="s">
        <v>1687</v>
      </c>
      <c r="C642" s="57">
        <v>1</v>
      </c>
      <c r="D642" s="57" t="s">
        <v>1763</v>
      </c>
      <c r="E642" s="57" t="s">
        <v>1775</v>
      </c>
      <c r="F642" s="57">
        <v>4862</v>
      </c>
      <c r="G642" s="57">
        <v>2220</v>
      </c>
      <c r="H642" s="57">
        <v>120</v>
      </c>
      <c r="I642" s="57" t="s">
        <v>1212</v>
      </c>
      <c r="J642" s="57" t="s">
        <v>2021</v>
      </c>
      <c r="L642" s="57" t="s">
        <v>47</v>
      </c>
      <c r="M642" s="156">
        <v>45924</v>
      </c>
      <c r="P642" s="167">
        <v>1.4350000000000001</v>
      </c>
      <c r="Q642" s="171">
        <v>3.5875000000000004</v>
      </c>
      <c r="R642" s="166">
        <f>IFERROR(VLOOKUP(B642,#REF!,1,0),0)</f>
        <v>0</v>
      </c>
    </row>
    <row r="643" spans="1:18" x14ac:dyDescent="0.25">
      <c r="A643" s="57">
        <v>642</v>
      </c>
      <c r="B643" s="57" t="s">
        <v>1688</v>
      </c>
      <c r="C643" s="57">
        <v>1</v>
      </c>
      <c r="D643" s="57" t="s">
        <v>1763</v>
      </c>
      <c r="E643" s="57" t="s">
        <v>1777</v>
      </c>
      <c r="F643" s="57">
        <v>2400</v>
      </c>
      <c r="G643" s="57">
        <v>3420</v>
      </c>
      <c r="H643" s="57">
        <v>120</v>
      </c>
      <c r="I643" s="57" t="s">
        <v>2022</v>
      </c>
      <c r="J643" s="57" t="s">
        <v>2023</v>
      </c>
      <c r="L643" s="57" t="s">
        <v>47</v>
      </c>
      <c r="M643" s="156">
        <v>45924</v>
      </c>
      <c r="P643" s="167">
        <v>1.095</v>
      </c>
      <c r="Q643" s="171">
        <v>2.7374999999999998</v>
      </c>
      <c r="R643" s="166">
        <f>IFERROR(VLOOKUP(B643,#REF!,1,0),0)</f>
        <v>0</v>
      </c>
    </row>
    <row r="644" spans="1:18" x14ac:dyDescent="0.25">
      <c r="A644" s="57">
        <v>643</v>
      </c>
      <c r="B644" s="57" t="s">
        <v>1689</v>
      </c>
      <c r="C644" s="57">
        <v>1</v>
      </c>
      <c r="D644" s="57" t="s">
        <v>1763</v>
      </c>
      <c r="E644" s="57" t="s">
        <v>1777</v>
      </c>
      <c r="F644" s="57">
        <v>4865</v>
      </c>
      <c r="G644" s="57">
        <v>2220</v>
      </c>
      <c r="H644" s="57">
        <v>120</v>
      </c>
      <c r="I644" s="57" t="s">
        <v>1212</v>
      </c>
      <c r="J644" s="57" t="s">
        <v>2021</v>
      </c>
      <c r="L644" s="57" t="s">
        <v>47</v>
      </c>
      <c r="M644" s="156">
        <v>45924</v>
      </c>
      <c r="P644" s="167">
        <v>1.4410000000000001</v>
      </c>
      <c r="Q644" s="171">
        <v>3.6025</v>
      </c>
      <c r="R644" s="166">
        <f>IFERROR(VLOOKUP(B644,#REF!,1,0),0)</f>
        <v>0</v>
      </c>
    </row>
    <row r="645" spans="1:18" x14ac:dyDescent="0.25">
      <c r="A645" s="57">
        <v>644</v>
      </c>
      <c r="B645" s="57" t="s">
        <v>1690</v>
      </c>
      <c r="C645" s="57">
        <v>1</v>
      </c>
      <c r="D645" s="57" t="s">
        <v>1763</v>
      </c>
      <c r="E645" s="57" t="s">
        <v>1777</v>
      </c>
      <c r="F645" s="57">
        <v>4865</v>
      </c>
      <c r="G645" s="57">
        <v>3340</v>
      </c>
      <c r="H645" s="57">
        <v>120</v>
      </c>
      <c r="I645" s="57" t="s">
        <v>1212</v>
      </c>
      <c r="J645" s="57" t="s">
        <v>2021</v>
      </c>
      <c r="L645" s="57" t="s">
        <v>47</v>
      </c>
      <c r="M645" s="156">
        <v>45924</v>
      </c>
      <c r="P645" s="167">
        <v>1.5620000000000001</v>
      </c>
      <c r="Q645" s="171">
        <v>3.9050000000000002</v>
      </c>
      <c r="R645" s="166">
        <f>IFERROR(VLOOKUP(B645,#REF!,1,0),0)</f>
        <v>0</v>
      </c>
    </row>
    <row r="646" spans="1:18" x14ac:dyDescent="0.25">
      <c r="A646" s="57">
        <v>645</v>
      </c>
      <c r="B646" s="57" t="s">
        <v>1867</v>
      </c>
      <c r="C646" s="57">
        <v>1</v>
      </c>
      <c r="D646" s="57" t="s">
        <v>2018</v>
      </c>
      <c r="E646" s="57" t="s">
        <v>2045</v>
      </c>
      <c r="F646" s="57">
        <v>2400</v>
      </c>
      <c r="G646" s="57">
        <v>3095</v>
      </c>
      <c r="H646" s="57">
        <v>120</v>
      </c>
      <c r="I646" s="57" t="s">
        <v>2022</v>
      </c>
      <c r="J646" s="57" t="s">
        <v>2046</v>
      </c>
      <c r="L646" s="57" t="s">
        <v>378</v>
      </c>
      <c r="M646" s="156">
        <v>45950</v>
      </c>
      <c r="P646" s="57">
        <v>0.97599999999999998</v>
      </c>
      <c r="Q646" s="171">
        <v>2.44</v>
      </c>
      <c r="R646" s="166">
        <f>IFERROR(VLOOKUP(B646,#REF!,1,0),0)</f>
        <v>0</v>
      </c>
    </row>
    <row r="647" spans="1:18" x14ac:dyDescent="0.25">
      <c r="A647" s="57">
        <v>646</v>
      </c>
      <c r="B647" s="57" t="s">
        <v>1868</v>
      </c>
      <c r="C647" s="57">
        <v>1</v>
      </c>
      <c r="D647" s="57" t="s">
        <v>2018</v>
      </c>
      <c r="E647" s="57" t="s">
        <v>2045</v>
      </c>
      <c r="F647" s="57">
        <v>2895</v>
      </c>
      <c r="G647" s="57">
        <v>2920</v>
      </c>
      <c r="H647" s="57">
        <v>120</v>
      </c>
      <c r="I647" s="57" t="s">
        <v>2022</v>
      </c>
      <c r="J647" s="57" t="s">
        <v>2047</v>
      </c>
      <c r="L647" s="57" t="s">
        <v>378</v>
      </c>
      <c r="M647" s="156">
        <v>45950</v>
      </c>
      <c r="P647" s="57">
        <v>1.266</v>
      </c>
      <c r="Q647" s="171">
        <v>3.165</v>
      </c>
      <c r="R647" s="166">
        <f>IFERROR(VLOOKUP(B647,#REF!,1,0),0)</f>
        <v>0</v>
      </c>
    </row>
    <row r="648" spans="1:18" x14ac:dyDescent="0.25">
      <c r="A648" s="57">
        <v>647</v>
      </c>
      <c r="B648" s="57" t="s">
        <v>1869</v>
      </c>
      <c r="C648" s="57">
        <v>1</v>
      </c>
      <c r="D648" s="57" t="s">
        <v>2018</v>
      </c>
      <c r="E648" s="57" t="s">
        <v>2045</v>
      </c>
      <c r="F648" s="57">
        <v>5380</v>
      </c>
      <c r="G648" s="57">
        <v>2920</v>
      </c>
      <c r="H648" s="57">
        <v>120</v>
      </c>
      <c r="I648" s="57" t="s">
        <v>2022</v>
      </c>
      <c r="J648" s="57" t="s">
        <v>2031</v>
      </c>
      <c r="L648" s="57" t="s">
        <v>378</v>
      </c>
      <c r="M648" s="156">
        <v>45950</v>
      </c>
      <c r="P648" s="57">
        <v>1.974</v>
      </c>
      <c r="Q648" s="171">
        <v>4.9349999999999996</v>
      </c>
      <c r="R648" s="166">
        <f>IFERROR(VLOOKUP(B648,#REF!,1,0),0)</f>
        <v>0</v>
      </c>
    </row>
    <row r="649" spans="1:18" x14ac:dyDescent="0.25">
      <c r="A649" s="57">
        <v>648</v>
      </c>
      <c r="B649" s="57" t="s">
        <v>1870</v>
      </c>
      <c r="C649" s="57">
        <v>1</v>
      </c>
      <c r="D649" s="57" t="s">
        <v>2018</v>
      </c>
      <c r="E649" s="57" t="s">
        <v>2045</v>
      </c>
      <c r="F649" s="57">
        <v>5400</v>
      </c>
      <c r="G649" s="57">
        <v>2920</v>
      </c>
      <c r="H649" s="57">
        <v>120</v>
      </c>
      <c r="I649" s="57" t="s">
        <v>2022</v>
      </c>
      <c r="J649" s="57" t="s">
        <v>2031</v>
      </c>
      <c r="L649" s="57" t="s">
        <v>378</v>
      </c>
      <c r="M649" s="156">
        <v>45950</v>
      </c>
      <c r="P649" s="57">
        <v>1.9790000000000001</v>
      </c>
      <c r="Q649" s="171">
        <v>4.9480000000000004</v>
      </c>
      <c r="R649" s="166">
        <f>IFERROR(VLOOKUP(B649,#REF!,1,0),0)</f>
        <v>0</v>
      </c>
    </row>
    <row r="650" spans="1:18" x14ac:dyDescent="0.25">
      <c r="A650" s="57">
        <v>649</v>
      </c>
      <c r="B650" s="57" t="s">
        <v>2048</v>
      </c>
      <c r="C650" s="57">
        <v>1</v>
      </c>
      <c r="D650" s="57" t="s">
        <v>2018</v>
      </c>
      <c r="E650" s="57" t="s">
        <v>2045</v>
      </c>
      <c r="F650" s="57">
        <v>5400</v>
      </c>
      <c r="G650" s="57">
        <v>2920</v>
      </c>
      <c r="H650" s="57">
        <v>120</v>
      </c>
      <c r="I650" s="57" t="s">
        <v>2022</v>
      </c>
      <c r="J650" s="57" t="s">
        <v>2031</v>
      </c>
      <c r="L650" s="57" t="s">
        <v>378</v>
      </c>
      <c r="M650" s="156">
        <v>45950</v>
      </c>
      <c r="P650" s="57">
        <v>1.9790000000000001</v>
      </c>
      <c r="Q650" s="171">
        <v>4.9480000000000004</v>
      </c>
      <c r="R650" s="166">
        <f>IFERROR(VLOOKUP(B650,#REF!,1,0),0)</f>
        <v>0</v>
      </c>
    </row>
    <row r="651" spans="1:18" x14ac:dyDescent="0.25">
      <c r="A651" s="57">
        <v>650</v>
      </c>
      <c r="B651" s="57" t="s">
        <v>2049</v>
      </c>
      <c r="C651" s="57">
        <v>1</v>
      </c>
      <c r="D651" s="57" t="s">
        <v>2018</v>
      </c>
      <c r="E651" s="57" t="s">
        <v>2045</v>
      </c>
      <c r="F651" s="57">
        <v>5400</v>
      </c>
      <c r="G651" s="57">
        <v>2920</v>
      </c>
      <c r="H651" s="57">
        <v>120</v>
      </c>
      <c r="I651" s="57" t="s">
        <v>2022</v>
      </c>
      <c r="J651" s="57" t="s">
        <v>2031</v>
      </c>
      <c r="L651" s="57" t="s">
        <v>378</v>
      </c>
      <c r="M651" s="156">
        <v>45950</v>
      </c>
      <c r="P651" s="57">
        <v>1.9790000000000001</v>
      </c>
      <c r="Q651" s="171">
        <v>4.9480000000000004</v>
      </c>
      <c r="R651" s="166">
        <f>IFERROR(VLOOKUP(B651,#REF!,1,0),0)</f>
        <v>0</v>
      </c>
    </row>
    <row r="652" spans="1:18" x14ac:dyDescent="0.25">
      <c r="A652" s="57">
        <v>651</v>
      </c>
      <c r="B652" s="57" t="s">
        <v>2050</v>
      </c>
      <c r="C652" s="57">
        <v>1</v>
      </c>
      <c r="D652" s="57" t="s">
        <v>2018</v>
      </c>
      <c r="E652" s="57" t="s">
        <v>2045</v>
      </c>
      <c r="F652" s="57">
        <v>5400</v>
      </c>
      <c r="G652" s="57">
        <v>2920</v>
      </c>
      <c r="H652" s="57">
        <v>120</v>
      </c>
      <c r="I652" s="57" t="s">
        <v>2022</v>
      </c>
      <c r="J652" s="57" t="s">
        <v>2031</v>
      </c>
      <c r="L652" s="57" t="s">
        <v>378</v>
      </c>
      <c r="M652" s="156">
        <v>45950</v>
      </c>
      <c r="P652" s="57">
        <v>1.9790000000000001</v>
      </c>
      <c r="Q652" s="171">
        <v>4.9480000000000004</v>
      </c>
      <c r="R652" s="166">
        <f>IFERROR(VLOOKUP(B652,#REF!,1,0),0)</f>
        <v>0</v>
      </c>
    </row>
    <row r="653" spans="1:18" x14ac:dyDescent="0.25">
      <c r="A653" s="57">
        <v>652</v>
      </c>
      <c r="B653" s="57" t="s">
        <v>1871</v>
      </c>
      <c r="C653" s="57">
        <v>1</v>
      </c>
      <c r="D653" s="57" t="s">
        <v>2018</v>
      </c>
      <c r="E653" s="57" t="s">
        <v>2045</v>
      </c>
      <c r="F653" s="57">
        <v>3593</v>
      </c>
      <c r="G653" s="57">
        <v>3000</v>
      </c>
      <c r="H653" s="57">
        <v>120</v>
      </c>
      <c r="I653" s="57" t="s">
        <v>2022</v>
      </c>
      <c r="J653" s="57" t="s">
        <v>2051</v>
      </c>
      <c r="L653" s="57" t="s">
        <v>378</v>
      </c>
      <c r="M653" s="156">
        <v>45950</v>
      </c>
      <c r="P653" s="57">
        <v>1.0129999999999999</v>
      </c>
      <c r="Q653" s="171">
        <v>2.5329999999999999</v>
      </c>
      <c r="R653" s="166">
        <f>IFERROR(VLOOKUP(B653,#REF!,1,0),0)</f>
        <v>0</v>
      </c>
    </row>
    <row r="654" spans="1:18" x14ac:dyDescent="0.25">
      <c r="A654" s="57">
        <v>653</v>
      </c>
      <c r="B654" s="57" t="s">
        <v>1872</v>
      </c>
      <c r="C654" s="57">
        <v>1</v>
      </c>
      <c r="D654" s="57" t="s">
        <v>2018</v>
      </c>
      <c r="E654" s="57" t="s">
        <v>2045</v>
      </c>
      <c r="F654" s="57">
        <v>3592</v>
      </c>
      <c r="G654" s="57">
        <v>1800</v>
      </c>
      <c r="H654" s="57">
        <v>120</v>
      </c>
      <c r="I654" s="57" t="s">
        <v>2022</v>
      </c>
      <c r="J654" s="57" t="s">
        <v>2051</v>
      </c>
      <c r="L654" s="57" t="s">
        <v>378</v>
      </c>
      <c r="M654" s="156">
        <v>45950</v>
      </c>
      <c r="P654" s="57">
        <v>0.84</v>
      </c>
      <c r="Q654" s="171">
        <v>2.1</v>
      </c>
      <c r="R654" s="166">
        <f>IFERROR(VLOOKUP(B654,#REF!,1,0),0)</f>
        <v>0</v>
      </c>
    </row>
    <row r="655" spans="1:18" x14ac:dyDescent="0.25">
      <c r="A655" s="57">
        <v>654</v>
      </c>
      <c r="B655" s="57" t="s">
        <v>1873</v>
      </c>
      <c r="C655" s="57">
        <v>1</v>
      </c>
      <c r="D655" s="57" t="s">
        <v>2018</v>
      </c>
      <c r="E655" s="57" t="s">
        <v>2045</v>
      </c>
      <c r="F655" s="57">
        <v>4582</v>
      </c>
      <c r="G655" s="57">
        <v>1800</v>
      </c>
      <c r="H655" s="57">
        <v>120</v>
      </c>
      <c r="I655" s="57" t="s">
        <v>1212</v>
      </c>
      <c r="J655" s="57" t="s">
        <v>2020</v>
      </c>
      <c r="L655" s="57" t="s">
        <v>378</v>
      </c>
      <c r="M655" s="156">
        <v>45950</v>
      </c>
      <c r="P655" s="57">
        <v>1.07</v>
      </c>
      <c r="Q655" s="171">
        <v>2.6749999999999998</v>
      </c>
      <c r="R655" s="166">
        <f>IFERROR(VLOOKUP(B655,#REF!,1,0),0)</f>
        <v>0</v>
      </c>
    </row>
    <row r="656" spans="1:18" x14ac:dyDescent="0.25">
      <c r="A656" s="57">
        <v>655</v>
      </c>
      <c r="B656" s="57" t="s">
        <v>1874</v>
      </c>
      <c r="C656" s="57">
        <v>1</v>
      </c>
      <c r="D656" s="57" t="s">
        <v>2018</v>
      </c>
      <c r="E656" s="57" t="s">
        <v>2052</v>
      </c>
      <c r="F656" s="57">
        <v>5357</v>
      </c>
      <c r="G656" s="57">
        <v>1895</v>
      </c>
      <c r="H656" s="57">
        <v>120</v>
      </c>
      <c r="I656" s="57" t="s">
        <v>1212</v>
      </c>
      <c r="J656" s="57" t="s">
        <v>2020</v>
      </c>
      <c r="L656" s="57" t="s">
        <v>378</v>
      </c>
      <c r="M656" s="156">
        <v>45950</v>
      </c>
      <c r="P656" s="57">
        <v>1.214</v>
      </c>
      <c r="Q656" s="171">
        <v>3.0350000000000001</v>
      </c>
      <c r="R656" s="166">
        <f>IFERROR(VLOOKUP(B656,#REF!,1,0),0)</f>
        <v>0</v>
      </c>
    </row>
    <row r="657" spans="1:18" x14ac:dyDescent="0.25">
      <c r="A657" s="57">
        <v>656</v>
      </c>
      <c r="B657" s="57" t="s">
        <v>1875</v>
      </c>
      <c r="C657" s="57">
        <v>1</v>
      </c>
      <c r="D657" s="57" t="s">
        <v>2018</v>
      </c>
      <c r="E657" s="57" t="s">
        <v>2052</v>
      </c>
      <c r="F657" s="57">
        <v>4367</v>
      </c>
      <c r="G657" s="57">
        <v>3095</v>
      </c>
      <c r="H657" s="57">
        <v>120</v>
      </c>
      <c r="I657" s="57" t="s">
        <v>1212</v>
      </c>
      <c r="J657" s="57" t="s">
        <v>2020</v>
      </c>
      <c r="L657" s="57" t="s">
        <v>378</v>
      </c>
      <c r="M657" s="156">
        <v>45950</v>
      </c>
      <c r="P657" s="57">
        <v>1.3280000000000001</v>
      </c>
      <c r="Q657" s="171">
        <v>3.32</v>
      </c>
      <c r="R657" s="166">
        <f>IFERROR(VLOOKUP(B657,#REF!,1,0),0)</f>
        <v>0</v>
      </c>
    </row>
    <row r="658" spans="1:18" x14ac:dyDescent="0.25">
      <c r="A658" s="57">
        <v>657</v>
      </c>
      <c r="B658" s="57" t="s">
        <v>1876</v>
      </c>
      <c r="C658" s="57">
        <v>1</v>
      </c>
      <c r="D658" s="57" t="s">
        <v>2018</v>
      </c>
      <c r="E658" s="57" t="s">
        <v>2053</v>
      </c>
      <c r="F658" s="57">
        <v>2400</v>
      </c>
      <c r="G658" s="57">
        <v>3010</v>
      </c>
      <c r="H658" s="57">
        <v>120</v>
      </c>
      <c r="I658" s="57" t="s">
        <v>2022</v>
      </c>
      <c r="J658" s="57" t="s">
        <v>2046</v>
      </c>
      <c r="L658" s="57" t="s">
        <v>378</v>
      </c>
      <c r="M658" s="156">
        <v>45950</v>
      </c>
      <c r="P658" s="57">
        <v>0.95199999999999996</v>
      </c>
      <c r="Q658" s="171">
        <v>2.38</v>
      </c>
      <c r="R658" s="166">
        <f>IFERROR(VLOOKUP(B658,#REF!,1,0),0)</f>
        <v>0</v>
      </c>
    </row>
    <row r="659" spans="1:18" x14ac:dyDescent="0.25">
      <c r="A659" s="57">
        <v>658</v>
      </c>
      <c r="B659" s="57" t="s">
        <v>1877</v>
      </c>
      <c r="C659" s="57">
        <v>1</v>
      </c>
      <c r="D659" s="57" t="s">
        <v>2018</v>
      </c>
      <c r="E659" s="57" t="s">
        <v>2053</v>
      </c>
      <c r="F659" s="57">
        <v>4367</v>
      </c>
      <c r="G659" s="57">
        <v>3167</v>
      </c>
      <c r="H659" s="57">
        <v>120</v>
      </c>
      <c r="I659" s="57" t="s">
        <v>1212</v>
      </c>
      <c r="J659" s="57" t="s">
        <v>2020</v>
      </c>
      <c r="L659" s="57" t="s">
        <v>378</v>
      </c>
      <c r="M659" s="156">
        <v>45950</v>
      </c>
      <c r="P659" s="57">
        <v>1.3069999999999999</v>
      </c>
      <c r="Q659" s="171">
        <v>3.2679999999999998</v>
      </c>
      <c r="R659" s="166">
        <f>IFERROR(VLOOKUP(B659,#REF!,1,0),0)</f>
        <v>0</v>
      </c>
    </row>
    <row r="660" spans="1:18" x14ac:dyDescent="0.25">
      <c r="A660" s="57">
        <v>659</v>
      </c>
      <c r="B660" s="57" t="s">
        <v>1878</v>
      </c>
      <c r="C660" s="57">
        <v>1</v>
      </c>
      <c r="D660" s="57" t="s">
        <v>2018</v>
      </c>
      <c r="E660" s="57" t="s">
        <v>2053</v>
      </c>
      <c r="F660" s="57">
        <v>5357</v>
      </c>
      <c r="G660" s="57">
        <v>1810</v>
      </c>
      <c r="H660" s="57">
        <v>120</v>
      </c>
      <c r="I660" s="57" t="s">
        <v>1212</v>
      </c>
      <c r="J660" s="57" t="s">
        <v>2020</v>
      </c>
      <c r="L660" s="57" t="s">
        <v>378</v>
      </c>
      <c r="M660" s="156">
        <v>45950</v>
      </c>
      <c r="P660" s="57">
        <v>1.17</v>
      </c>
      <c r="Q660" s="171">
        <v>2.9249999999999998</v>
      </c>
      <c r="R660" s="166">
        <f>IFERROR(VLOOKUP(B660,#REF!,1,0),0)</f>
        <v>0</v>
      </c>
    </row>
    <row r="661" spans="1:18" x14ac:dyDescent="0.25">
      <c r="A661" s="57">
        <v>660</v>
      </c>
      <c r="B661" s="57" t="s">
        <v>1879</v>
      </c>
      <c r="C661" s="57">
        <v>1</v>
      </c>
      <c r="D661" s="57" t="s">
        <v>2018</v>
      </c>
      <c r="E661" s="57" t="s">
        <v>2054</v>
      </c>
      <c r="F661" s="57">
        <v>5220</v>
      </c>
      <c r="G661" s="57">
        <v>2980</v>
      </c>
      <c r="H661" s="57">
        <v>120</v>
      </c>
      <c r="I661" s="57" t="s">
        <v>2022</v>
      </c>
      <c r="J661" s="57" t="s">
        <v>2033</v>
      </c>
      <c r="L661" s="57" t="s">
        <v>378</v>
      </c>
      <c r="M661" s="156">
        <v>45950</v>
      </c>
      <c r="P661" s="57">
        <v>2.1219999999999999</v>
      </c>
      <c r="Q661" s="171">
        <v>5.3049999999999997</v>
      </c>
      <c r="R661" s="166">
        <f>IFERROR(VLOOKUP(B661,#REF!,1,0),0)</f>
        <v>0</v>
      </c>
    </row>
    <row r="662" spans="1:18" x14ac:dyDescent="0.25">
      <c r="A662" s="57">
        <v>661</v>
      </c>
      <c r="B662" s="57" t="s">
        <v>2055</v>
      </c>
      <c r="C662" s="57">
        <v>1</v>
      </c>
      <c r="D662" s="57" t="s">
        <v>2018</v>
      </c>
      <c r="E662" s="57" t="s">
        <v>2056</v>
      </c>
      <c r="F662" s="57">
        <v>5220</v>
      </c>
      <c r="G662" s="57">
        <v>2980</v>
      </c>
      <c r="H662" s="57">
        <v>120</v>
      </c>
      <c r="I662" s="57" t="s">
        <v>2022</v>
      </c>
      <c r="J662" s="57" t="s">
        <v>2033</v>
      </c>
      <c r="L662" s="57" t="s">
        <v>378</v>
      </c>
      <c r="M662" s="156">
        <v>45950</v>
      </c>
      <c r="P662" s="57">
        <v>2.1219999999999999</v>
      </c>
      <c r="Q662" s="171">
        <v>5.3049999999999997</v>
      </c>
      <c r="R662" s="166">
        <f>IFERROR(VLOOKUP(B662,#REF!,1,0),0)</f>
        <v>0</v>
      </c>
    </row>
    <row r="663" spans="1:18" x14ac:dyDescent="0.25">
      <c r="A663" s="57">
        <v>662</v>
      </c>
      <c r="B663" s="57" t="s">
        <v>2057</v>
      </c>
      <c r="C663" s="57">
        <v>1</v>
      </c>
      <c r="D663" s="57" t="s">
        <v>2018</v>
      </c>
      <c r="E663" s="57" t="s">
        <v>2052</v>
      </c>
      <c r="F663" s="57">
        <v>5220</v>
      </c>
      <c r="G663" s="57">
        <v>2980</v>
      </c>
      <c r="H663" s="57">
        <v>120</v>
      </c>
      <c r="I663" s="57" t="s">
        <v>2022</v>
      </c>
      <c r="J663" s="57" t="s">
        <v>2033</v>
      </c>
      <c r="L663" s="57" t="s">
        <v>378</v>
      </c>
      <c r="M663" s="156">
        <v>45950</v>
      </c>
      <c r="P663" s="57">
        <v>2.1219999999999999</v>
      </c>
      <c r="Q663" s="171">
        <v>5.3049999999999997</v>
      </c>
      <c r="R663" s="166">
        <f>IFERROR(VLOOKUP(B663,#REF!,1,0),0)</f>
        <v>0</v>
      </c>
    </row>
    <row r="664" spans="1:18" x14ac:dyDescent="0.25">
      <c r="A664" s="57">
        <v>663</v>
      </c>
      <c r="B664" s="57" t="s">
        <v>2058</v>
      </c>
      <c r="C664" s="57">
        <v>1</v>
      </c>
      <c r="D664" s="57" t="s">
        <v>2018</v>
      </c>
      <c r="E664" s="57" t="s">
        <v>2053</v>
      </c>
      <c r="F664" s="57">
        <v>5220</v>
      </c>
      <c r="G664" s="57">
        <v>2980</v>
      </c>
      <c r="H664" s="57">
        <v>120</v>
      </c>
      <c r="I664" s="57" t="s">
        <v>2022</v>
      </c>
      <c r="J664" s="57" t="s">
        <v>2033</v>
      </c>
      <c r="L664" s="57" t="s">
        <v>378</v>
      </c>
      <c r="M664" s="156">
        <v>45950</v>
      </c>
      <c r="P664" s="57">
        <v>2.1219999999999999</v>
      </c>
      <c r="Q664" s="171">
        <v>5.3049999999999997</v>
      </c>
      <c r="R664" s="166">
        <f>IFERROR(VLOOKUP(B664,#REF!,1,0),0)</f>
        <v>0</v>
      </c>
    </row>
    <row r="665" spans="1:18" x14ac:dyDescent="0.25">
      <c r="A665" s="57">
        <v>664</v>
      </c>
      <c r="B665" s="57" t="s">
        <v>1880</v>
      </c>
      <c r="C665" s="57">
        <v>1</v>
      </c>
      <c r="D665" s="57" t="s">
        <v>2018</v>
      </c>
      <c r="E665" s="57" t="s">
        <v>2054</v>
      </c>
      <c r="F665" s="57">
        <v>5220</v>
      </c>
      <c r="G665" s="57">
        <v>2980</v>
      </c>
      <c r="H665" s="57">
        <v>120</v>
      </c>
      <c r="I665" s="57" t="s">
        <v>2022</v>
      </c>
      <c r="J665" s="57" t="s">
        <v>2033</v>
      </c>
      <c r="L665" s="57" t="s">
        <v>378</v>
      </c>
      <c r="M665" s="156">
        <v>45950</v>
      </c>
      <c r="P665" s="57">
        <v>2.1219999999999999</v>
      </c>
      <c r="Q665" s="171">
        <v>5.3049999999999997</v>
      </c>
      <c r="R665" s="166">
        <f>IFERROR(VLOOKUP(B665,#REF!,1,0),0)</f>
        <v>0</v>
      </c>
    </row>
    <row r="666" spans="1:18" x14ac:dyDescent="0.25">
      <c r="A666" s="57">
        <v>665</v>
      </c>
      <c r="B666" s="57" t="s">
        <v>2059</v>
      </c>
      <c r="C666" s="57">
        <v>1</v>
      </c>
      <c r="D666" s="57" t="s">
        <v>2018</v>
      </c>
      <c r="E666" s="57" t="s">
        <v>2054</v>
      </c>
      <c r="F666" s="57">
        <v>5220</v>
      </c>
      <c r="G666" s="57">
        <v>2980</v>
      </c>
      <c r="H666" s="57">
        <v>120</v>
      </c>
      <c r="I666" s="57" t="s">
        <v>2022</v>
      </c>
      <c r="J666" s="57" t="s">
        <v>2033</v>
      </c>
      <c r="L666" s="57" t="s">
        <v>378</v>
      </c>
      <c r="M666" s="156">
        <v>45950</v>
      </c>
      <c r="P666" s="57">
        <v>2.1219999999999999</v>
      </c>
      <c r="Q666" s="171">
        <v>5.3049999999999997</v>
      </c>
      <c r="R666" s="166">
        <f>IFERROR(VLOOKUP(B666,#REF!,1,0),0)</f>
        <v>0</v>
      </c>
    </row>
    <row r="667" spans="1:18" x14ac:dyDescent="0.25">
      <c r="A667" s="57">
        <v>666</v>
      </c>
      <c r="B667" s="57" t="s">
        <v>2060</v>
      </c>
      <c r="C667" s="57">
        <v>1</v>
      </c>
      <c r="D667" s="57" t="s">
        <v>2018</v>
      </c>
      <c r="E667" s="57" t="s">
        <v>2054</v>
      </c>
      <c r="F667" s="57">
        <v>5220</v>
      </c>
      <c r="G667" s="57">
        <v>2980</v>
      </c>
      <c r="H667" s="57">
        <v>120</v>
      </c>
      <c r="I667" s="57" t="s">
        <v>2022</v>
      </c>
      <c r="J667" s="57" t="s">
        <v>2033</v>
      </c>
      <c r="L667" s="57" t="s">
        <v>378</v>
      </c>
      <c r="M667" s="156">
        <v>45950</v>
      </c>
      <c r="P667" s="57">
        <v>2.1219999999999999</v>
      </c>
      <c r="Q667" s="171">
        <v>5.3049999999999997</v>
      </c>
      <c r="R667" s="166">
        <f>IFERROR(VLOOKUP(B667,#REF!,1,0),0)</f>
        <v>0</v>
      </c>
    </row>
    <row r="668" spans="1:18" x14ac:dyDescent="0.25">
      <c r="A668" s="57">
        <v>667</v>
      </c>
      <c r="B668" s="57" t="s">
        <v>2061</v>
      </c>
      <c r="C668" s="57">
        <v>1</v>
      </c>
      <c r="D668" s="57" t="s">
        <v>2018</v>
      </c>
      <c r="E668" s="57" t="s">
        <v>2054</v>
      </c>
      <c r="F668" s="57">
        <v>5220</v>
      </c>
      <c r="G668" s="57">
        <v>2980</v>
      </c>
      <c r="H668" s="57">
        <v>120</v>
      </c>
      <c r="I668" s="57" t="s">
        <v>2022</v>
      </c>
      <c r="J668" s="57" t="s">
        <v>2033</v>
      </c>
      <c r="L668" s="57" t="s">
        <v>378</v>
      </c>
      <c r="M668" s="156">
        <v>45950</v>
      </c>
      <c r="P668" s="57">
        <v>2.1219999999999999</v>
      </c>
      <c r="Q668" s="171">
        <v>5.3049999999999997</v>
      </c>
      <c r="R668" s="166">
        <f>IFERROR(VLOOKUP(B668,#REF!,1,0),0)</f>
        <v>0</v>
      </c>
    </row>
    <row r="669" spans="1:18" x14ac:dyDescent="0.25">
      <c r="A669" s="57">
        <v>668</v>
      </c>
      <c r="B669" s="57" t="s">
        <v>2062</v>
      </c>
      <c r="C669" s="57">
        <v>1</v>
      </c>
      <c r="D669" s="57" t="s">
        <v>2018</v>
      </c>
      <c r="E669" s="57" t="s">
        <v>2056</v>
      </c>
      <c r="F669" s="57">
        <v>5220</v>
      </c>
      <c r="G669" s="57">
        <v>2980</v>
      </c>
      <c r="H669" s="57">
        <v>120</v>
      </c>
      <c r="I669" s="57" t="s">
        <v>2022</v>
      </c>
      <c r="J669" s="57" t="s">
        <v>2033</v>
      </c>
      <c r="L669" s="57" t="s">
        <v>378</v>
      </c>
      <c r="M669" s="156">
        <v>45950</v>
      </c>
      <c r="P669" s="57">
        <v>2.1219999999999999</v>
      </c>
      <c r="Q669" s="171">
        <v>5.3049999999999997</v>
      </c>
      <c r="R669" s="166">
        <f>IFERROR(VLOOKUP(B669,#REF!,1,0),0)</f>
        <v>0</v>
      </c>
    </row>
    <row r="670" spans="1:18" x14ac:dyDescent="0.25">
      <c r="A670" s="57">
        <v>669</v>
      </c>
      <c r="B670" s="57" t="s">
        <v>2063</v>
      </c>
      <c r="C670" s="57">
        <v>1</v>
      </c>
      <c r="D670" s="57" t="s">
        <v>2018</v>
      </c>
      <c r="E670" s="57" t="s">
        <v>2056</v>
      </c>
      <c r="F670" s="57">
        <v>5220</v>
      </c>
      <c r="G670" s="57">
        <v>2980</v>
      </c>
      <c r="H670" s="57">
        <v>120</v>
      </c>
      <c r="I670" s="57" t="s">
        <v>2022</v>
      </c>
      <c r="J670" s="57" t="s">
        <v>2033</v>
      </c>
      <c r="L670" s="57" t="s">
        <v>378</v>
      </c>
      <c r="M670" s="156">
        <v>45950</v>
      </c>
      <c r="P670" s="57">
        <v>2.1219999999999999</v>
      </c>
      <c r="Q670" s="171">
        <v>5.3049999999999997</v>
      </c>
      <c r="R670" s="166">
        <f>IFERROR(VLOOKUP(B670,#REF!,1,0),0)</f>
        <v>0</v>
      </c>
    </row>
    <row r="671" spans="1:18" x14ac:dyDescent="0.25">
      <c r="A671" s="57">
        <v>670</v>
      </c>
      <c r="B671" s="57" t="s">
        <v>2064</v>
      </c>
      <c r="C671" s="57">
        <v>1</v>
      </c>
      <c r="D671" s="57" t="s">
        <v>2018</v>
      </c>
      <c r="E671" s="57" t="s">
        <v>2056</v>
      </c>
      <c r="F671" s="57">
        <v>5220</v>
      </c>
      <c r="G671" s="57">
        <v>2980</v>
      </c>
      <c r="H671" s="57">
        <v>120</v>
      </c>
      <c r="I671" s="57" t="s">
        <v>2022</v>
      </c>
      <c r="J671" s="57" t="s">
        <v>2033</v>
      </c>
      <c r="L671" s="57" t="s">
        <v>378</v>
      </c>
      <c r="M671" s="156">
        <v>45950</v>
      </c>
      <c r="P671" s="57">
        <v>2.1219999999999999</v>
      </c>
      <c r="Q671" s="171">
        <v>5.3049999999999997</v>
      </c>
      <c r="R671" s="166">
        <f>IFERROR(VLOOKUP(B671,#REF!,1,0),0)</f>
        <v>0</v>
      </c>
    </row>
    <row r="672" spans="1:18" x14ac:dyDescent="0.25">
      <c r="A672" s="57">
        <v>671</v>
      </c>
      <c r="B672" s="57" t="s">
        <v>2065</v>
      </c>
      <c r="C672" s="57">
        <v>1</v>
      </c>
      <c r="D672" s="57" t="s">
        <v>2018</v>
      </c>
      <c r="E672" s="57" t="s">
        <v>2056</v>
      </c>
      <c r="F672" s="57">
        <v>5220</v>
      </c>
      <c r="G672" s="57">
        <v>2980</v>
      </c>
      <c r="H672" s="57">
        <v>120</v>
      </c>
      <c r="I672" s="57" t="s">
        <v>2022</v>
      </c>
      <c r="J672" s="57" t="s">
        <v>2033</v>
      </c>
      <c r="L672" s="57" t="s">
        <v>378</v>
      </c>
      <c r="M672" s="156">
        <v>45950</v>
      </c>
      <c r="P672" s="57">
        <v>2.1219999999999999</v>
      </c>
      <c r="Q672" s="171">
        <v>5.3049999999999997</v>
      </c>
      <c r="R672" s="166">
        <f>IFERROR(VLOOKUP(B672,#REF!,1,0),0)</f>
        <v>0</v>
      </c>
    </row>
    <row r="673" spans="1:18" x14ac:dyDescent="0.25">
      <c r="A673" s="57">
        <v>672</v>
      </c>
      <c r="B673" s="57" t="s">
        <v>2066</v>
      </c>
      <c r="C673" s="57">
        <v>1</v>
      </c>
      <c r="D673" s="57" t="s">
        <v>2018</v>
      </c>
      <c r="E673" s="57" t="s">
        <v>2052</v>
      </c>
      <c r="F673" s="57">
        <v>5220</v>
      </c>
      <c r="G673" s="57">
        <v>2980</v>
      </c>
      <c r="H673" s="57">
        <v>120</v>
      </c>
      <c r="I673" s="57" t="s">
        <v>2022</v>
      </c>
      <c r="J673" s="57" t="s">
        <v>2033</v>
      </c>
      <c r="L673" s="57" t="s">
        <v>378</v>
      </c>
      <c r="M673" s="156">
        <v>45950</v>
      </c>
      <c r="P673" s="57">
        <v>2.1219999999999999</v>
      </c>
      <c r="Q673" s="171">
        <v>5.3049999999999997</v>
      </c>
      <c r="R673" s="166">
        <f>IFERROR(VLOOKUP(B673,#REF!,1,0),0)</f>
        <v>0</v>
      </c>
    </row>
    <row r="674" spans="1:18" x14ac:dyDescent="0.25">
      <c r="A674" s="57">
        <v>673</v>
      </c>
      <c r="B674" s="57" t="s">
        <v>2067</v>
      </c>
      <c r="C674" s="57">
        <v>1</v>
      </c>
      <c r="D674" s="57" t="s">
        <v>2018</v>
      </c>
      <c r="E674" s="57" t="s">
        <v>2052</v>
      </c>
      <c r="F674" s="57">
        <v>5220</v>
      </c>
      <c r="G674" s="57">
        <v>2980</v>
      </c>
      <c r="H674" s="57">
        <v>120</v>
      </c>
      <c r="I674" s="57" t="s">
        <v>2022</v>
      </c>
      <c r="J674" s="57" t="s">
        <v>2033</v>
      </c>
      <c r="L674" s="57" t="s">
        <v>378</v>
      </c>
      <c r="M674" s="156">
        <v>45950</v>
      </c>
      <c r="P674" s="57">
        <v>2.1219999999999999</v>
      </c>
      <c r="Q674" s="171">
        <v>5.3049999999999997</v>
      </c>
      <c r="R674" s="166">
        <f>IFERROR(VLOOKUP(B674,#REF!,1,0),0)</f>
        <v>0</v>
      </c>
    </row>
    <row r="675" spans="1:18" x14ac:dyDescent="0.25">
      <c r="A675" s="57">
        <v>674</v>
      </c>
      <c r="B675" s="57" t="s">
        <v>2068</v>
      </c>
      <c r="C675" s="57">
        <v>1</v>
      </c>
      <c r="D675" s="57" t="s">
        <v>2018</v>
      </c>
      <c r="E675" s="57" t="s">
        <v>2052</v>
      </c>
      <c r="F675" s="57">
        <v>5220</v>
      </c>
      <c r="G675" s="57">
        <v>2980</v>
      </c>
      <c r="H675" s="57">
        <v>120</v>
      </c>
      <c r="I675" s="57" t="s">
        <v>2022</v>
      </c>
      <c r="J675" s="57" t="s">
        <v>2033</v>
      </c>
      <c r="L675" s="57" t="s">
        <v>378</v>
      </c>
      <c r="M675" s="156">
        <v>45950</v>
      </c>
      <c r="P675" s="57">
        <v>2.1219999999999999</v>
      </c>
      <c r="Q675" s="171">
        <v>5.3049999999999997</v>
      </c>
      <c r="R675" s="166">
        <f>IFERROR(VLOOKUP(B675,#REF!,1,0),0)</f>
        <v>0</v>
      </c>
    </row>
    <row r="676" spans="1:18" x14ac:dyDescent="0.25">
      <c r="A676" s="57">
        <v>675</v>
      </c>
      <c r="B676" s="57" t="s">
        <v>2069</v>
      </c>
      <c r="C676" s="57">
        <v>1</v>
      </c>
      <c r="D676" s="57" t="s">
        <v>2018</v>
      </c>
      <c r="E676" s="57" t="s">
        <v>2052</v>
      </c>
      <c r="F676" s="57">
        <v>5220</v>
      </c>
      <c r="G676" s="57">
        <v>2980</v>
      </c>
      <c r="H676" s="57">
        <v>120</v>
      </c>
      <c r="I676" s="57" t="s">
        <v>2022</v>
      </c>
      <c r="J676" s="57" t="s">
        <v>2033</v>
      </c>
      <c r="L676" s="57" t="s">
        <v>378</v>
      </c>
      <c r="M676" s="156">
        <v>45950</v>
      </c>
      <c r="P676" s="57">
        <v>2.1219999999999999</v>
      </c>
      <c r="Q676" s="171">
        <v>5.3049999999999997</v>
      </c>
      <c r="R676" s="166">
        <f>IFERROR(VLOOKUP(B676,#REF!,1,0),0)</f>
        <v>0</v>
      </c>
    </row>
    <row r="677" spans="1:18" x14ac:dyDescent="0.25">
      <c r="A677" s="57">
        <v>676</v>
      </c>
      <c r="B677" s="57" t="s">
        <v>2070</v>
      </c>
      <c r="C677" s="57">
        <v>1</v>
      </c>
      <c r="D677" s="57" t="s">
        <v>2018</v>
      </c>
      <c r="E677" s="57" t="s">
        <v>2053</v>
      </c>
      <c r="F677" s="57">
        <v>5220</v>
      </c>
      <c r="G677" s="57">
        <v>2980</v>
      </c>
      <c r="H677" s="57">
        <v>120</v>
      </c>
      <c r="I677" s="57" t="s">
        <v>2022</v>
      </c>
      <c r="J677" s="57" t="s">
        <v>2033</v>
      </c>
      <c r="L677" s="57" t="s">
        <v>378</v>
      </c>
      <c r="M677" s="156">
        <v>45950</v>
      </c>
      <c r="P677" s="57">
        <v>2.1219999999999999</v>
      </c>
      <c r="Q677" s="171">
        <v>5.3049999999999997</v>
      </c>
      <c r="R677" s="166">
        <f>IFERROR(VLOOKUP(B677,#REF!,1,0),0)</f>
        <v>0</v>
      </c>
    </row>
    <row r="678" spans="1:18" x14ac:dyDescent="0.25">
      <c r="A678" s="57">
        <v>677</v>
      </c>
      <c r="B678" s="57" t="s">
        <v>2071</v>
      </c>
      <c r="C678" s="57">
        <v>1</v>
      </c>
      <c r="D678" s="57" t="s">
        <v>2018</v>
      </c>
      <c r="E678" s="57" t="s">
        <v>2053</v>
      </c>
      <c r="F678" s="57">
        <v>5220</v>
      </c>
      <c r="G678" s="57">
        <v>2980</v>
      </c>
      <c r="H678" s="57">
        <v>120</v>
      </c>
      <c r="I678" s="57" t="s">
        <v>2022</v>
      </c>
      <c r="J678" s="57" t="s">
        <v>2033</v>
      </c>
      <c r="L678" s="57" t="s">
        <v>378</v>
      </c>
      <c r="M678" s="156">
        <v>45950</v>
      </c>
      <c r="P678" s="57">
        <v>2.1219999999999999</v>
      </c>
      <c r="Q678" s="171">
        <v>5.3049999999999997</v>
      </c>
      <c r="R678" s="166">
        <f>IFERROR(VLOOKUP(B678,#REF!,1,0),0)</f>
        <v>0</v>
      </c>
    </row>
    <row r="679" spans="1:18" x14ac:dyDescent="0.25">
      <c r="A679" s="57">
        <v>678</v>
      </c>
      <c r="B679" s="57" t="s">
        <v>2072</v>
      </c>
      <c r="C679" s="57">
        <v>1</v>
      </c>
      <c r="D679" s="57" t="s">
        <v>2018</v>
      </c>
      <c r="E679" s="57" t="s">
        <v>2053</v>
      </c>
      <c r="F679" s="57">
        <v>5220</v>
      </c>
      <c r="G679" s="57">
        <v>2980</v>
      </c>
      <c r="H679" s="57">
        <v>120</v>
      </c>
      <c r="I679" s="57" t="s">
        <v>2022</v>
      </c>
      <c r="J679" s="57" t="s">
        <v>2033</v>
      </c>
      <c r="L679" s="57" t="s">
        <v>378</v>
      </c>
      <c r="M679" s="156">
        <v>45950</v>
      </c>
      <c r="P679" s="57">
        <v>2.1219999999999999</v>
      </c>
      <c r="Q679" s="171">
        <v>5.3049999999999997</v>
      </c>
      <c r="R679" s="166">
        <f>IFERROR(VLOOKUP(B679,#REF!,1,0),0)</f>
        <v>0</v>
      </c>
    </row>
    <row r="680" spans="1:18" x14ac:dyDescent="0.25">
      <c r="A680" s="57">
        <v>679</v>
      </c>
      <c r="B680" s="57" t="s">
        <v>2073</v>
      </c>
      <c r="C680" s="57">
        <v>1</v>
      </c>
      <c r="D680" s="57" t="s">
        <v>2018</v>
      </c>
      <c r="E680" s="57" t="s">
        <v>2053</v>
      </c>
      <c r="F680" s="57">
        <v>5220</v>
      </c>
      <c r="G680" s="57">
        <v>2980</v>
      </c>
      <c r="H680" s="57">
        <v>120</v>
      </c>
      <c r="I680" s="57" t="s">
        <v>2022</v>
      </c>
      <c r="J680" s="57" t="s">
        <v>2033</v>
      </c>
      <c r="L680" s="57" t="s">
        <v>378</v>
      </c>
      <c r="M680" s="156">
        <v>45950</v>
      </c>
      <c r="P680" s="57">
        <v>2.1219999999999999</v>
      </c>
      <c r="Q680" s="171">
        <v>5.3049999999999997</v>
      </c>
      <c r="R680" s="166">
        <f>IFERROR(VLOOKUP(B680,#REF!,1,0),0)</f>
        <v>0</v>
      </c>
    </row>
    <row r="681" spans="1:18" x14ac:dyDescent="0.25">
      <c r="A681" s="57">
        <v>680</v>
      </c>
      <c r="B681" s="57" t="s">
        <v>1881</v>
      </c>
      <c r="C681" s="57">
        <v>1</v>
      </c>
      <c r="D681" s="57" t="s">
        <v>2018</v>
      </c>
      <c r="E681" s="57" t="s">
        <v>2054</v>
      </c>
      <c r="F681" s="57">
        <v>5357</v>
      </c>
      <c r="G681" s="57">
        <v>1865</v>
      </c>
      <c r="H681" s="57">
        <v>120</v>
      </c>
      <c r="I681" s="57" t="s">
        <v>1212</v>
      </c>
      <c r="J681" s="57" t="s">
        <v>2020</v>
      </c>
      <c r="L681" s="57" t="s">
        <v>378</v>
      </c>
      <c r="M681" s="156">
        <v>45950</v>
      </c>
      <c r="P681" s="57">
        <v>1.198</v>
      </c>
      <c r="Q681" s="171">
        <v>2.9950000000000001</v>
      </c>
      <c r="R681" s="166">
        <f>IFERROR(VLOOKUP(B681,#REF!,1,0),0)</f>
        <v>0</v>
      </c>
    </row>
    <row r="682" spans="1:18" x14ac:dyDescent="0.25">
      <c r="A682" s="57">
        <v>681</v>
      </c>
      <c r="B682" s="57" t="s">
        <v>1882</v>
      </c>
      <c r="C682" s="57">
        <v>1</v>
      </c>
      <c r="D682" s="57" t="s">
        <v>2018</v>
      </c>
      <c r="E682" s="57" t="s">
        <v>2054</v>
      </c>
      <c r="F682" s="57">
        <v>4367</v>
      </c>
      <c r="G682" s="57">
        <v>3065</v>
      </c>
      <c r="H682" s="57">
        <v>120</v>
      </c>
      <c r="I682" s="57" t="s">
        <v>1212</v>
      </c>
      <c r="J682" s="57" t="s">
        <v>2435</v>
      </c>
      <c r="L682" s="57" t="s">
        <v>378</v>
      </c>
      <c r="M682" s="156">
        <v>45950</v>
      </c>
      <c r="P682" s="57">
        <v>1.3129999999999999</v>
      </c>
      <c r="Q682" s="171">
        <v>3.2829999999999999</v>
      </c>
      <c r="R682" s="166">
        <f>IFERROR(VLOOKUP(B682,#REF!,1,0),0)</f>
        <v>0</v>
      </c>
    </row>
    <row r="683" spans="1:18" x14ac:dyDescent="0.25">
      <c r="A683" s="57">
        <v>682</v>
      </c>
      <c r="B683" s="57" t="s">
        <v>1883</v>
      </c>
      <c r="C683" s="57">
        <v>1</v>
      </c>
      <c r="D683" s="57" t="s">
        <v>2018</v>
      </c>
      <c r="E683" s="57" t="s">
        <v>2056</v>
      </c>
      <c r="F683" s="57">
        <v>2400</v>
      </c>
      <c r="G683" s="57">
        <v>2990</v>
      </c>
      <c r="H683" s="57">
        <v>120</v>
      </c>
      <c r="I683" s="57" t="s">
        <v>2022</v>
      </c>
      <c r="J683" s="57" t="s">
        <v>2046</v>
      </c>
      <c r="L683" s="57" t="s">
        <v>378</v>
      </c>
      <c r="M683" s="156">
        <v>45950</v>
      </c>
      <c r="P683" s="57">
        <v>0.97099999999999997</v>
      </c>
      <c r="Q683" s="171">
        <v>2.4279999999999999</v>
      </c>
      <c r="R683" s="166">
        <f>IFERROR(VLOOKUP(B683,#REF!,1,0),0)</f>
        <v>0</v>
      </c>
    </row>
    <row r="684" spans="1:18" x14ac:dyDescent="0.25">
      <c r="A684" s="57">
        <v>683</v>
      </c>
      <c r="B684" s="57" t="s">
        <v>2074</v>
      </c>
      <c r="C684" s="57">
        <v>1</v>
      </c>
      <c r="D684" s="57" t="s">
        <v>2018</v>
      </c>
      <c r="E684" s="57" t="s">
        <v>2075</v>
      </c>
      <c r="F684" s="57">
        <v>2400</v>
      </c>
      <c r="G684" s="57">
        <v>2990</v>
      </c>
      <c r="H684" s="57">
        <v>120</v>
      </c>
      <c r="I684" s="57" t="s">
        <v>2022</v>
      </c>
      <c r="J684" s="57" t="s">
        <v>2046</v>
      </c>
      <c r="L684" s="57" t="s">
        <v>378</v>
      </c>
      <c r="M684" s="156">
        <v>45950</v>
      </c>
      <c r="P684" s="57">
        <v>0.97099999999999997</v>
      </c>
      <c r="Q684" s="171">
        <v>2.4279999999999999</v>
      </c>
      <c r="R684" s="166">
        <f>IFERROR(VLOOKUP(B684,#REF!,1,0),0)</f>
        <v>0</v>
      </c>
    </row>
    <row r="685" spans="1:18" x14ac:dyDescent="0.25">
      <c r="A685" s="57">
        <v>684</v>
      </c>
      <c r="B685" s="57" t="s">
        <v>1884</v>
      </c>
      <c r="C685" s="57">
        <v>1</v>
      </c>
      <c r="D685" s="57" t="s">
        <v>2018</v>
      </c>
      <c r="E685" s="57" t="s">
        <v>2056</v>
      </c>
      <c r="F685" s="57">
        <v>5220</v>
      </c>
      <c r="G685" s="57">
        <v>2980</v>
      </c>
      <c r="H685" s="57">
        <v>120</v>
      </c>
      <c r="I685" s="57" t="s">
        <v>2022</v>
      </c>
      <c r="J685" s="57" t="s">
        <v>2033</v>
      </c>
      <c r="L685" s="57" t="s">
        <v>378</v>
      </c>
      <c r="M685" s="156">
        <v>45950</v>
      </c>
      <c r="P685" s="57">
        <v>2.1219999999999999</v>
      </c>
      <c r="Q685" s="171">
        <v>5.3049999999999997</v>
      </c>
      <c r="R685" s="166">
        <f>IFERROR(VLOOKUP(B685,#REF!,1,0),0)</f>
        <v>0</v>
      </c>
    </row>
    <row r="686" spans="1:18" x14ac:dyDescent="0.25">
      <c r="A686" s="57">
        <v>685</v>
      </c>
      <c r="B686" s="57" t="s">
        <v>2076</v>
      </c>
      <c r="C686" s="57">
        <v>1</v>
      </c>
      <c r="D686" s="57" t="s">
        <v>2018</v>
      </c>
      <c r="E686" s="57" t="s">
        <v>2054</v>
      </c>
      <c r="F686" s="57">
        <v>5220</v>
      </c>
      <c r="G686" s="57">
        <v>2980</v>
      </c>
      <c r="H686" s="57">
        <v>120</v>
      </c>
      <c r="I686" s="57" t="s">
        <v>2022</v>
      </c>
      <c r="J686" s="57" t="s">
        <v>2033</v>
      </c>
      <c r="L686" s="57" t="s">
        <v>378</v>
      </c>
      <c r="M686" s="156">
        <v>45950</v>
      </c>
      <c r="P686" s="57">
        <v>2.1219999999999999</v>
      </c>
      <c r="Q686" s="171">
        <v>5.3049999999999997</v>
      </c>
      <c r="R686" s="166">
        <f>IFERROR(VLOOKUP(B686,#REF!,1,0),0)</f>
        <v>0</v>
      </c>
    </row>
    <row r="687" spans="1:18" x14ac:dyDescent="0.25">
      <c r="A687" s="57">
        <v>686</v>
      </c>
      <c r="B687" s="57" t="s">
        <v>2077</v>
      </c>
      <c r="C687" s="57">
        <v>1</v>
      </c>
      <c r="D687" s="57" t="s">
        <v>2018</v>
      </c>
      <c r="E687" s="57" t="s">
        <v>2053</v>
      </c>
      <c r="F687" s="57">
        <v>5220</v>
      </c>
      <c r="G687" s="57">
        <v>2980</v>
      </c>
      <c r="H687" s="57">
        <v>120</v>
      </c>
      <c r="I687" s="57" t="s">
        <v>2022</v>
      </c>
      <c r="J687" s="57" t="s">
        <v>2033</v>
      </c>
      <c r="L687" s="57" t="s">
        <v>378</v>
      </c>
      <c r="M687" s="156">
        <v>45950</v>
      </c>
      <c r="P687" s="57">
        <v>2.1219999999999999</v>
      </c>
      <c r="Q687" s="171">
        <v>5.3049999999999997</v>
      </c>
      <c r="R687" s="166">
        <f>IFERROR(VLOOKUP(B687,#REF!,1,0),0)</f>
        <v>0</v>
      </c>
    </row>
    <row r="688" spans="1:18" x14ac:dyDescent="0.25">
      <c r="A688" s="57">
        <v>687</v>
      </c>
      <c r="B688" s="57" t="s">
        <v>2078</v>
      </c>
      <c r="C688" s="57">
        <v>1</v>
      </c>
      <c r="D688" s="57" t="s">
        <v>2018</v>
      </c>
      <c r="E688" s="57" t="s">
        <v>2052</v>
      </c>
      <c r="F688" s="57">
        <v>5220</v>
      </c>
      <c r="G688" s="57">
        <v>2980</v>
      </c>
      <c r="H688" s="57">
        <v>120</v>
      </c>
      <c r="I688" s="57" t="s">
        <v>2022</v>
      </c>
      <c r="J688" s="57" t="s">
        <v>2033</v>
      </c>
      <c r="L688" s="57" t="s">
        <v>378</v>
      </c>
      <c r="M688" s="156">
        <v>45950</v>
      </c>
      <c r="P688" s="57">
        <v>2.1219999999999999</v>
      </c>
      <c r="Q688" s="171">
        <v>5.3049999999999997</v>
      </c>
      <c r="R688" s="166">
        <f>IFERROR(VLOOKUP(B688,#REF!,1,0),0)</f>
        <v>0</v>
      </c>
    </row>
    <row r="689" spans="1:18" x14ac:dyDescent="0.25">
      <c r="A689" s="57">
        <v>688</v>
      </c>
      <c r="B689" s="57" t="s">
        <v>1885</v>
      </c>
      <c r="C689" s="57">
        <v>1</v>
      </c>
      <c r="D689" s="57" t="s">
        <v>2018</v>
      </c>
      <c r="E689" s="57" t="s">
        <v>2056</v>
      </c>
      <c r="F689" s="57">
        <v>4367</v>
      </c>
      <c r="G689" s="57">
        <v>3150</v>
      </c>
      <c r="H689" s="57">
        <v>120</v>
      </c>
      <c r="I689" s="57" t="s">
        <v>1212</v>
      </c>
      <c r="J689" s="57" t="s">
        <v>2020</v>
      </c>
      <c r="L689" s="57" t="s">
        <v>378</v>
      </c>
      <c r="M689" s="156">
        <v>45950</v>
      </c>
      <c r="P689" s="57">
        <v>1.296</v>
      </c>
      <c r="Q689" s="171">
        <v>3.24</v>
      </c>
      <c r="R689" s="166">
        <f>IFERROR(VLOOKUP(B689,#REF!,1,0),0)</f>
        <v>0</v>
      </c>
    </row>
    <row r="690" spans="1:18" x14ac:dyDescent="0.25">
      <c r="A690" s="57">
        <v>689</v>
      </c>
      <c r="B690" s="57" t="s">
        <v>1886</v>
      </c>
      <c r="C690" s="57">
        <v>1</v>
      </c>
      <c r="D690" s="57" t="s">
        <v>2018</v>
      </c>
      <c r="E690" s="57" t="s">
        <v>2079</v>
      </c>
      <c r="F690" s="57">
        <v>5357</v>
      </c>
      <c r="G690" s="57">
        <v>1860</v>
      </c>
      <c r="H690" s="57">
        <v>120</v>
      </c>
      <c r="I690" s="57" t="s">
        <v>1212</v>
      </c>
      <c r="J690" s="57" t="s">
        <v>2020</v>
      </c>
      <c r="L690" s="57" t="s">
        <v>378</v>
      </c>
      <c r="M690" s="156">
        <v>45950</v>
      </c>
      <c r="P690" s="57">
        <v>1.196</v>
      </c>
      <c r="Q690" s="171">
        <v>2.99</v>
      </c>
      <c r="R690" s="166">
        <f>IFERROR(VLOOKUP(B690,#REF!,1,0),0)</f>
        <v>0</v>
      </c>
    </row>
    <row r="691" spans="1:18" x14ac:dyDescent="0.25">
      <c r="A691" s="57">
        <v>690</v>
      </c>
      <c r="B691" s="57" t="s">
        <v>1887</v>
      </c>
      <c r="C691" s="57">
        <v>1</v>
      </c>
      <c r="D691" s="57" t="s">
        <v>2018</v>
      </c>
      <c r="E691" s="57" t="s">
        <v>2079</v>
      </c>
      <c r="F691" s="57">
        <v>4367</v>
      </c>
      <c r="G691" s="57">
        <v>3060</v>
      </c>
      <c r="H691" s="57">
        <v>120</v>
      </c>
      <c r="I691" s="57" t="s">
        <v>1212</v>
      </c>
      <c r="J691" s="57" t="s">
        <v>2020</v>
      </c>
      <c r="L691" s="57" t="s">
        <v>378</v>
      </c>
      <c r="M691" s="156">
        <v>45950</v>
      </c>
      <c r="P691" s="57">
        <v>1.31</v>
      </c>
      <c r="Q691" s="171">
        <v>3.2749999999999999</v>
      </c>
      <c r="R691" s="166">
        <f>IFERROR(VLOOKUP(B691,#REF!,1,0),0)</f>
        <v>0</v>
      </c>
    </row>
    <row r="692" spans="1:18" x14ac:dyDescent="0.25">
      <c r="A692" s="57">
        <v>691</v>
      </c>
      <c r="B692" s="57" t="s">
        <v>1888</v>
      </c>
      <c r="C692" s="57">
        <v>1</v>
      </c>
      <c r="D692" s="57" t="s">
        <v>2018</v>
      </c>
      <c r="E692" s="57" t="s">
        <v>2075</v>
      </c>
      <c r="F692" s="57">
        <v>4367</v>
      </c>
      <c r="G692" s="57">
        <v>3160</v>
      </c>
      <c r="H692" s="57">
        <v>120</v>
      </c>
      <c r="I692" s="57" t="s">
        <v>1212</v>
      </c>
      <c r="J692" s="57" t="s">
        <v>2020</v>
      </c>
      <c r="L692" s="57" t="s">
        <v>378</v>
      </c>
      <c r="M692" s="156">
        <v>45950</v>
      </c>
      <c r="P692" s="57">
        <v>1.298</v>
      </c>
      <c r="Q692" s="171">
        <v>3.2450000000000001</v>
      </c>
      <c r="R692" s="166">
        <f>IFERROR(VLOOKUP(B692,#REF!,1,0),0)</f>
        <v>0</v>
      </c>
    </row>
    <row r="693" spans="1:18" x14ac:dyDescent="0.25">
      <c r="A693" s="57">
        <v>692</v>
      </c>
      <c r="B693" s="57" t="s">
        <v>1889</v>
      </c>
      <c r="C693" s="57">
        <v>1</v>
      </c>
      <c r="D693" s="57" t="s">
        <v>2018</v>
      </c>
      <c r="E693" s="57" t="s">
        <v>2080</v>
      </c>
      <c r="F693" s="57">
        <v>5220</v>
      </c>
      <c r="G693" s="57">
        <v>3070</v>
      </c>
      <c r="H693" s="57">
        <v>120</v>
      </c>
      <c r="I693" s="57" t="s">
        <v>2022</v>
      </c>
      <c r="J693" s="57" t="s">
        <v>2031</v>
      </c>
      <c r="L693" s="57" t="s">
        <v>378</v>
      </c>
      <c r="M693" s="156">
        <v>45950</v>
      </c>
      <c r="P693" s="57">
        <v>2.0760000000000001</v>
      </c>
      <c r="Q693" s="171">
        <v>5.19</v>
      </c>
      <c r="R693" s="166">
        <f>IFERROR(VLOOKUP(B693,#REF!,1,0),0)</f>
        <v>0</v>
      </c>
    </row>
    <row r="694" spans="1:18" x14ac:dyDescent="0.25">
      <c r="A694" s="57">
        <v>693</v>
      </c>
      <c r="B694" s="57" t="s">
        <v>1890</v>
      </c>
      <c r="C694" s="57">
        <v>1</v>
      </c>
      <c r="D694" s="57" t="s">
        <v>2018</v>
      </c>
      <c r="E694" s="57" t="s">
        <v>2080</v>
      </c>
      <c r="F694" s="57">
        <v>5220</v>
      </c>
      <c r="G694" s="57">
        <v>3070</v>
      </c>
      <c r="H694" s="57">
        <v>120</v>
      </c>
      <c r="I694" s="57" t="s">
        <v>2022</v>
      </c>
      <c r="J694" s="57" t="s">
        <v>2031</v>
      </c>
      <c r="L694" s="57" t="s">
        <v>378</v>
      </c>
      <c r="M694" s="156">
        <v>45950</v>
      </c>
      <c r="P694" s="57">
        <v>2.0760000000000001</v>
      </c>
      <c r="Q694" s="171">
        <v>5.19</v>
      </c>
      <c r="R694" s="166">
        <f>IFERROR(VLOOKUP(B694,#REF!,1,0),0)</f>
        <v>0</v>
      </c>
    </row>
    <row r="695" spans="1:18" x14ac:dyDescent="0.25">
      <c r="A695" s="57">
        <v>694</v>
      </c>
      <c r="B695" s="57" t="s">
        <v>2081</v>
      </c>
      <c r="C695" s="57">
        <v>1</v>
      </c>
      <c r="D695" s="57" t="s">
        <v>2018</v>
      </c>
      <c r="E695" s="57" t="s">
        <v>2080</v>
      </c>
      <c r="F695" s="57">
        <v>5220</v>
      </c>
      <c r="G695" s="57">
        <v>3070</v>
      </c>
      <c r="H695" s="57">
        <v>120</v>
      </c>
      <c r="I695" s="57" t="s">
        <v>2022</v>
      </c>
      <c r="J695" s="57" t="s">
        <v>2031</v>
      </c>
      <c r="L695" s="57" t="s">
        <v>378</v>
      </c>
      <c r="M695" s="156">
        <v>45950</v>
      </c>
      <c r="P695" s="57">
        <v>2.0760000000000001</v>
      </c>
      <c r="Q695" s="171">
        <v>5.19</v>
      </c>
      <c r="R695" s="166">
        <f>IFERROR(VLOOKUP(B695,#REF!,1,0),0)</f>
        <v>0</v>
      </c>
    </row>
    <row r="696" spans="1:18" x14ac:dyDescent="0.25">
      <c r="A696" s="57">
        <v>695</v>
      </c>
      <c r="B696" s="57" t="s">
        <v>2082</v>
      </c>
      <c r="C696" s="57">
        <v>1</v>
      </c>
      <c r="D696" s="57" t="s">
        <v>2018</v>
      </c>
      <c r="E696" s="57" t="s">
        <v>2080</v>
      </c>
      <c r="F696" s="57">
        <v>5220</v>
      </c>
      <c r="G696" s="57">
        <v>3070</v>
      </c>
      <c r="H696" s="57">
        <v>120</v>
      </c>
      <c r="I696" s="57" t="s">
        <v>2022</v>
      </c>
      <c r="J696" s="57" t="s">
        <v>2031</v>
      </c>
      <c r="L696" s="57" t="s">
        <v>378</v>
      </c>
      <c r="M696" s="156">
        <v>45950</v>
      </c>
      <c r="P696" s="57">
        <v>2.0760000000000001</v>
      </c>
      <c r="Q696" s="171">
        <v>5.19</v>
      </c>
      <c r="R696" s="166">
        <f>IFERROR(VLOOKUP(B696,#REF!,1,0),0)</f>
        <v>0</v>
      </c>
    </row>
    <row r="697" spans="1:18" x14ac:dyDescent="0.25">
      <c r="A697" s="57">
        <v>696</v>
      </c>
      <c r="B697" s="57" t="s">
        <v>2083</v>
      </c>
      <c r="C697" s="57">
        <v>1</v>
      </c>
      <c r="D697" s="57" t="s">
        <v>2018</v>
      </c>
      <c r="E697" s="57" t="s">
        <v>2080</v>
      </c>
      <c r="F697" s="57">
        <v>5220</v>
      </c>
      <c r="G697" s="57">
        <v>3070</v>
      </c>
      <c r="H697" s="57">
        <v>120</v>
      </c>
      <c r="I697" s="57" t="s">
        <v>2022</v>
      </c>
      <c r="J697" s="57" t="s">
        <v>2031</v>
      </c>
      <c r="L697" s="57" t="s">
        <v>378</v>
      </c>
      <c r="M697" s="156">
        <v>45950</v>
      </c>
      <c r="P697" s="57">
        <v>2.0760000000000001</v>
      </c>
      <c r="Q697" s="171">
        <v>5.19</v>
      </c>
      <c r="R697" s="166">
        <f>IFERROR(VLOOKUP(B697,#REF!,1,0),0)</f>
        <v>0</v>
      </c>
    </row>
    <row r="698" spans="1:18" x14ac:dyDescent="0.25">
      <c r="A698" s="57">
        <v>697</v>
      </c>
      <c r="B698" s="57" t="s">
        <v>1891</v>
      </c>
      <c r="C698" s="57">
        <v>1</v>
      </c>
      <c r="D698" s="57" t="s">
        <v>2018</v>
      </c>
      <c r="E698" s="57" t="s">
        <v>2080</v>
      </c>
      <c r="F698" s="57">
        <v>5220</v>
      </c>
      <c r="G698" s="57">
        <v>3070</v>
      </c>
      <c r="H698" s="57">
        <v>120</v>
      </c>
      <c r="I698" s="57" t="s">
        <v>2022</v>
      </c>
      <c r="J698" s="57" t="s">
        <v>2031</v>
      </c>
      <c r="L698" s="57" t="s">
        <v>378</v>
      </c>
      <c r="M698" s="156">
        <v>45950</v>
      </c>
      <c r="P698" s="57">
        <v>2.0760000000000001</v>
      </c>
      <c r="Q698" s="171">
        <v>5.19</v>
      </c>
      <c r="R698" s="166">
        <f>IFERROR(VLOOKUP(B698,#REF!,1,0),0)</f>
        <v>0</v>
      </c>
    </row>
    <row r="699" spans="1:18" x14ac:dyDescent="0.25">
      <c r="A699" s="57">
        <v>698</v>
      </c>
      <c r="B699" s="57" t="s">
        <v>1892</v>
      </c>
      <c r="C699" s="57">
        <v>1</v>
      </c>
      <c r="D699" s="57" t="s">
        <v>2018</v>
      </c>
      <c r="E699" s="57" t="s">
        <v>2080</v>
      </c>
      <c r="F699" s="57">
        <v>5357</v>
      </c>
      <c r="G699" s="57">
        <v>1870</v>
      </c>
      <c r="H699" s="57">
        <v>120</v>
      </c>
      <c r="I699" s="57" t="s">
        <v>1212</v>
      </c>
      <c r="J699" s="57" t="s">
        <v>2020</v>
      </c>
      <c r="L699" s="57" t="s">
        <v>378</v>
      </c>
      <c r="M699" s="156">
        <v>45950</v>
      </c>
      <c r="P699" s="57">
        <v>1.2010000000000001</v>
      </c>
      <c r="Q699" s="171">
        <v>3.0030000000000001</v>
      </c>
      <c r="R699" s="166">
        <f>IFERROR(VLOOKUP(B699,#REF!,1,0),0)</f>
        <v>0</v>
      </c>
    </row>
    <row r="700" spans="1:18" x14ac:dyDescent="0.25">
      <c r="A700" s="57">
        <v>699</v>
      </c>
      <c r="B700" s="57" t="s">
        <v>1893</v>
      </c>
      <c r="C700" s="57">
        <v>1</v>
      </c>
      <c r="D700" s="57" t="s">
        <v>2018</v>
      </c>
      <c r="E700" s="57" t="s">
        <v>2080</v>
      </c>
      <c r="F700" s="57">
        <v>4367</v>
      </c>
      <c r="G700" s="57">
        <v>3070</v>
      </c>
      <c r="H700" s="57">
        <v>120</v>
      </c>
      <c r="I700" s="57" t="s">
        <v>1212</v>
      </c>
      <c r="J700" s="57" t="s">
        <v>2020</v>
      </c>
      <c r="L700" s="57" t="s">
        <v>378</v>
      </c>
      <c r="M700" s="156">
        <v>45950</v>
      </c>
      <c r="P700" s="57">
        <v>1.3149999999999999</v>
      </c>
      <c r="Q700" s="171">
        <v>3.2879999999999998</v>
      </c>
      <c r="R700" s="166">
        <f>IFERROR(VLOOKUP(B700,#REF!,1,0),0)</f>
        <v>0</v>
      </c>
    </row>
    <row r="701" spans="1:18" x14ac:dyDescent="0.25">
      <c r="A701" s="57">
        <v>700</v>
      </c>
      <c r="B701" s="57" t="s">
        <v>1894</v>
      </c>
      <c r="C701" s="57">
        <v>1</v>
      </c>
      <c r="D701" s="57" t="s">
        <v>2018</v>
      </c>
      <c r="E701" s="57" t="s">
        <v>2084</v>
      </c>
      <c r="F701" s="57">
        <v>2400</v>
      </c>
      <c r="G701" s="57">
        <v>2970</v>
      </c>
      <c r="H701" s="57">
        <v>120</v>
      </c>
      <c r="I701" s="57" t="s">
        <v>2022</v>
      </c>
      <c r="J701" s="57" t="s">
        <v>2046</v>
      </c>
      <c r="L701" s="57" t="s">
        <v>378</v>
      </c>
      <c r="M701" s="156">
        <v>45950</v>
      </c>
      <c r="P701" s="57">
        <v>0.96499999999999997</v>
      </c>
      <c r="Q701" s="171">
        <v>2.4129999999999998</v>
      </c>
      <c r="R701" s="166">
        <f>IFERROR(VLOOKUP(B701,#REF!,1,0),0)</f>
        <v>0</v>
      </c>
    </row>
    <row r="702" spans="1:18" x14ac:dyDescent="0.25">
      <c r="A702" s="57">
        <v>701</v>
      </c>
      <c r="B702" s="57" t="s">
        <v>1895</v>
      </c>
      <c r="C702" s="57">
        <v>1</v>
      </c>
      <c r="D702" s="57" t="s">
        <v>2018</v>
      </c>
      <c r="E702" s="57" t="s">
        <v>2084</v>
      </c>
      <c r="F702" s="57">
        <v>5220</v>
      </c>
      <c r="G702" s="57">
        <v>2875</v>
      </c>
      <c r="H702" s="57">
        <v>120</v>
      </c>
      <c r="I702" s="57" t="s">
        <v>2022</v>
      </c>
      <c r="J702" s="57" t="s">
        <v>2031</v>
      </c>
      <c r="L702" s="57" t="s">
        <v>378</v>
      </c>
      <c r="M702" s="156">
        <v>45950</v>
      </c>
      <c r="P702" s="57">
        <v>1.9490000000000001</v>
      </c>
      <c r="Q702" s="171">
        <v>4.8730000000000002</v>
      </c>
      <c r="R702" s="166">
        <f>IFERROR(VLOOKUP(B702,#REF!,1,0),0)</f>
        <v>0</v>
      </c>
    </row>
    <row r="703" spans="1:18" x14ac:dyDescent="0.25">
      <c r="A703" s="57">
        <v>702</v>
      </c>
      <c r="B703" s="57" t="s">
        <v>2085</v>
      </c>
      <c r="C703" s="57">
        <v>1</v>
      </c>
      <c r="D703" s="57" t="s">
        <v>2018</v>
      </c>
      <c r="E703" s="57" t="s">
        <v>2084</v>
      </c>
      <c r="F703" s="57">
        <v>5220</v>
      </c>
      <c r="G703" s="57">
        <v>2875</v>
      </c>
      <c r="H703" s="57">
        <v>120</v>
      </c>
      <c r="I703" s="57" t="s">
        <v>2022</v>
      </c>
      <c r="J703" s="57" t="s">
        <v>2031</v>
      </c>
      <c r="L703" s="57" t="s">
        <v>378</v>
      </c>
      <c r="M703" s="156">
        <v>45950</v>
      </c>
      <c r="P703" s="57">
        <v>1.9490000000000001</v>
      </c>
      <c r="Q703" s="171">
        <v>4.8730000000000002</v>
      </c>
      <c r="R703" s="166">
        <f>IFERROR(VLOOKUP(B703,#REF!,1,0),0)</f>
        <v>0</v>
      </c>
    </row>
    <row r="704" spans="1:18" x14ac:dyDescent="0.25">
      <c r="A704" s="57">
        <v>703</v>
      </c>
      <c r="B704" s="57" t="s">
        <v>2086</v>
      </c>
      <c r="C704" s="57">
        <v>1</v>
      </c>
      <c r="D704" s="57" t="s">
        <v>2018</v>
      </c>
      <c r="E704" s="57" t="s">
        <v>2084</v>
      </c>
      <c r="F704" s="57">
        <v>5220</v>
      </c>
      <c r="G704" s="57">
        <v>2875</v>
      </c>
      <c r="H704" s="57">
        <v>120</v>
      </c>
      <c r="I704" s="57" t="s">
        <v>2022</v>
      </c>
      <c r="J704" s="57" t="s">
        <v>2031</v>
      </c>
      <c r="L704" s="57" t="s">
        <v>378</v>
      </c>
      <c r="M704" s="156">
        <v>45950</v>
      </c>
      <c r="P704" s="57">
        <v>1.9490000000000001</v>
      </c>
      <c r="Q704" s="171">
        <v>4.8730000000000002</v>
      </c>
      <c r="R704" s="166">
        <f>IFERROR(VLOOKUP(B704,#REF!,1,0),0)</f>
        <v>0</v>
      </c>
    </row>
    <row r="705" spans="1:18" x14ac:dyDescent="0.25">
      <c r="A705" s="57">
        <v>704</v>
      </c>
      <c r="B705" s="57" t="s">
        <v>2087</v>
      </c>
      <c r="C705" s="57">
        <v>1</v>
      </c>
      <c r="D705" s="57" t="s">
        <v>2018</v>
      </c>
      <c r="E705" s="57" t="s">
        <v>2084</v>
      </c>
      <c r="F705" s="57">
        <v>5220</v>
      </c>
      <c r="G705" s="57">
        <v>2875</v>
      </c>
      <c r="H705" s="57">
        <v>120</v>
      </c>
      <c r="I705" s="57" t="s">
        <v>2022</v>
      </c>
      <c r="J705" s="57" t="s">
        <v>2031</v>
      </c>
      <c r="L705" s="57" t="s">
        <v>378</v>
      </c>
      <c r="M705" s="156">
        <v>45950</v>
      </c>
      <c r="P705" s="57">
        <v>1.9490000000000001</v>
      </c>
      <c r="Q705" s="171">
        <v>4.8730000000000002</v>
      </c>
      <c r="R705" s="166">
        <f>IFERROR(VLOOKUP(B705,#REF!,1,0),0)</f>
        <v>0</v>
      </c>
    </row>
    <row r="706" spans="1:18" x14ac:dyDescent="0.25">
      <c r="A706" s="57">
        <v>705</v>
      </c>
      <c r="B706" s="57" t="s">
        <v>2088</v>
      </c>
      <c r="C706" s="57">
        <v>1</v>
      </c>
      <c r="D706" s="57" t="s">
        <v>2018</v>
      </c>
      <c r="E706" s="57" t="s">
        <v>2084</v>
      </c>
      <c r="F706" s="57">
        <v>5220</v>
      </c>
      <c r="G706" s="57">
        <v>2875</v>
      </c>
      <c r="H706" s="57">
        <v>120</v>
      </c>
      <c r="I706" s="57" t="s">
        <v>2022</v>
      </c>
      <c r="J706" s="57" t="s">
        <v>2031</v>
      </c>
      <c r="L706" s="57" t="s">
        <v>378</v>
      </c>
      <c r="M706" s="156">
        <v>45950</v>
      </c>
      <c r="P706" s="57">
        <v>1.9490000000000001</v>
      </c>
      <c r="Q706" s="171">
        <v>4.8730000000000002</v>
      </c>
      <c r="R706" s="166">
        <f>IFERROR(VLOOKUP(B706,#REF!,1,0),0)</f>
        <v>0</v>
      </c>
    </row>
    <row r="707" spans="1:18" x14ac:dyDescent="0.25">
      <c r="A707" s="57">
        <v>706</v>
      </c>
      <c r="B707" s="57" t="s">
        <v>1896</v>
      </c>
      <c r="C707" s="57">
        <v>1</v>
      </c>
      <c r="D707" s="57" t="s">
        <v>2018</v>
      </c>
      <c r="E707" s="57" t="s">
        <v>2084</v>
      </c>
      <c r="F707" s="57">
        <v>5220</v>
      </c>
      <c r="G707" s="57">
        <v>2875</v>
      </c>
      <c r="H707" s="57">
        <v>120</v>
      </c>
      <c r="I707" s="57" t="s">
        <v>2022</v>
      </c>
      <c r="J707" s="57" t="s">
        <v>2031</v>
      </c>
      <c r="L707" s="57" t="s">
        <v>378</v>
      </c>
      <c r="M707" s="156">
        <v>45950</v>
      </c>
      <c r="P707" s="57">
        <v>1.9490000000000001</v>
      </c>
      <c r="Q707" s="171">
        <v>4.8730000000000002</v>
      </c>
      <c r="R707" s="166">
        <f>IFERROR(VLOOKUP(B707,#REF!,1,0),0)</f>
        <v>0</v>
      </c>
    </row>
    <row r="708" spans="1:18" x14ac:dyDescent="0.25">
      <c r="A708" s="57">
        <v>707</v>
      </c>
      <c r="B708" s="57" t="s">
        <v>1897</v>
      </c>
      <c r="C708" s="57">
        <v>1</v>
      </c>
      <c r="D708" s="57" t="s">
        <v>2018</v>
      </c>
      <c r="E708" s="57" t="s">
        <v>2084</v>
      </c>
      <c r="F708" s="57">
        <v>4370</v>
      </c>
      <c r="G708" s="57">
        <v>2970</v>
      </c>
      <c r="H708" s="57">
        <v>120</v>
      </c>
      <c r="I708" s="57" t="s">
        <v>1212</v>
      </c>
      <c r="J708" s="57" t="s">
        <v>2020</v>
      </c>
      <c r="L708" s="57" t="s">
        <v>378</v>
      </c>
      <c r="M708" s="156">
        <v>45950</v>
      </c>
      <c r="P708" s="57">
        <v>1.2629999999999999</v>
      </c>
      <c r="Q708" s="171">
        <v>3.1579999999999999</v>
      </c>
      <c r="R708" s="166">
        <f>IFERROR(VLOOKUP(B708,#REF!,1,0),0)</f>
        <v>0</v>
      </c>
    </row>
    <row r="709" spans="1:18" x14ac:dyDescent="0.25">
      <c r="A709" s="57">
        <v>708</v>
      </c>
      <c r="B709" s="57" t="s">
        <v>1898</v>
      </c>
      <c r="C709" s="57">
        <v>1</v>
      </c>
      <c r="D709" s="57" t="s">
        <v>2018</v>
      </c>
      <c r="E709" s="57" t="s">
        <v>2084</v>
      </c>
      <c r="F709" s="57">
        <v>5360</v>
      </c>
      <c r="G709" s="57">
        <v>1770</v>
      </c>
      <c r="H709" s="57">
        <v>120</v>
      </c>
      <c r="I709" s="57" t="s">
        <v>1212</v>
      </c>
      <c r="J709" s="57" t="s">
        <v>2020</v>
      </c>
      <c r="L709" s="57" t="s">
        <v>378</v>
      </c>
      <c r="M709" s="156">
        <v>45950</v>
      </c>
      <c r="P709" s="57">
        <v>1.1499999999999999</v>
      </c>
      <c r="Q709" s="171">
        <v>2.875</v>
      </c>
      <c r="R709" s="166">
        <f>IFERROR(VLOOKUP(B709,#REF!,1,0),0)</f>
        <v>0</v>
      </c>
    </row>
    <row r="710" spans="1:18" x14ac:dyDescent="0.25">
      <c r="A710" s="57">
        <v>709</v>
      </c>
      <c r="B710" s="57" t="s">
        <v>1899</v>
      </c>
      <c r="C710" s="57">
        <v>1</v>
      </c>
      <c r="D710" s="57" t="s">
        <v>2018</v>
      </c>
      <c r="E710" s="57" t="s">
        <v>2089</v>
      </c>
      <c r="F710" s="57">
        <v>5220</v>
      </c>
      <c r="G710" s="57">
        <v>2990</v>
      </c>
      <c r="H710" s="57">
        <v>120</v>
      </c>
      <c r="I710" s="57" t="s">
        <v>2022</v>
      </c>
      <c r="J710" s="57" t="s">
        <v>2033</v>
      </c>
      <c r="L710" s="57" t="s">
        <v>378</v>
      </c>
      <c r="M710" s="156">
        <v>45950</v>
      </c>
      <c r="P710" s="57">
        <v>2.1280000000000001</v>
      </c>
      <c r="Q710" s="171">
        <v>5.32</v>
      </c>
      <c r="R710" s="166">
        <f>IFERROR(VLOOKUP(B710,#REF!,1,0),0)</f>
        <v>0</v>
      </c>
    </row>
    <row r="711" spans="1:18" x14ac:dyDescent="0.25">
      <c r="A711" s="57">
        <v>710</v>
      </c>
      <c r="B711" s="57" t="s">
        <v>2090</v>
      </c>
      <c r="C711" s="57">
        <v>1</v>
      </c>
      <c r="D711" s="57" t="s">
        <v>2018</v>
      </c>
      <c r="E711" s="57" t="s">
        <v>2097</v>
      </c>
      <c r="F711" s="57">
        <v>5220</v>
      </c>
      <c r="G711" s="57">
        <v>2990</v>
      </c>
      <c r="H711" s="57">
        <v>120</v>
      </c>
      <c r="I711" s="57" t="s">
        <v>2022</v>
      </c>
      <c r="J711" s="57" t="s">
        <v>2033</v>
      </c>
      <c r="L711" s="57" t="s">
        <v>378</v>
      </c>
      <c r="M711" s="156">
        <v>45950</v>
      </c>
      <c r="P711" s="57">
        <v>2.1280000000000001</v>
      </c>
      <c r="Q711" s="171">
        <v>5.32</v>
      </c>
      <c r="R711" s="166">
        <f>IFERROR(VLOOKUP(B711,#REF!,1,0),0)</f>
        <v>0</v>
      </c>
    </row>
    <row r="712" spans="1:18" x14ac:dyDescent="0.25">
      <c r="A712" s="57">
        <v>711</v>
      </c>
      <c r="B712" s="57" t="s">
        <v>2091</v>
      </c>
      <c r="C712" s="57">
        <v>1</v>
      </c>
      <c r="D712" s="57" t="s">
        <v>2018</v>
      </c>
      <c r="E712" s="57" t="s">
        <v>2079</v>
      </c>
      <c r="F712" s="57">
        <v>5220</v>
      </c>
      <c r="G712" s="57">
        <v>2990</v>
      </c>
      <c r="H712" s="57">
        <v>120</v>
      </c>
      <c r="I712" s="57" t="s">
        <v>2022</v>
      </c>
      <c r="J712" s="57" t="s">
        <v>2033</v>
      </c>
      <c r="L712" s="57" t="s">
        <v>378</v>
      </c>
      <c r="M712" s="156">
        <v>45950</v>
      </c>
      <c r="P712" s="57">
        <v>2.1280000000000001</v>
      </c>
      <c r="Q712" s="171">
        <v>5.32</v>
      </c>
      <c r="R712" s="166">
        <f>IFERROR(VLOOKUP(B712,#REF!,1,0),0)</f>
        <v>0</v>
      </c>
    </row>
    <row r="713" spans="1:18" x14ac:dyDescent="0.25">
      <c r="A713" s="57">
        <v>712</v>
      </c>
      <c r="B713" s="57" t="s">
        <v>2092</v>
      </c>
      <c r="C713" s="57">
        <v>1</v>
      </c>
      <c r="D713" s="57" t="s">
        <v>2018</v>
      </c>
      <c r="E713" s="57" t="s">
        <v>2075</v>
      </c>
      <c r="F713" s="57">
        <v>5220</v>
      </c>
      <c r="G713" s="57">
        <v>2990</v>
      </c>
      <c r="H713" s="57">
        <v>120</v>
      </c>
      <c r="I713" s="57" t="s">
        <v>2022</v>
      </c>
      <c r="J713" s="57" t="s">
        <v>2033</v>
      </c>
      <c r="L713" s="57" t="s">
        <v>378</v>
      </c>
      <c r="M713" s="156">
        <v>45950</v>
      </c>
      <c r="P713" s="57">
        <v>2.1280000000000001</v>
      </c>
      <c r="Q713" s="171">
        <v>5.32</v>
      </c>
      <c r="R713" s="166">
        <f>IFERROR(VLOOKUP(B713,#REF!,1,0),0)</f>
        <v>0</v>
      </c>
    </row>
    <row r="714" spans="1:18" x14ac:dyDescent="0.25">
      <c r="A714" s="57">
        <v>713</v>
      </c>
      <c r="B714" s="57" t="s">
        <v>1900</v>
      </c>
      <c r="C714" s="57">
        <v>1</v>
      </c>
      <c r="D714" s="57" t="s">
        <v>2018</v>
      </c>
      <c r="E714" s="57" t="s">
        <v>2089</v>
      </c>
      <c r="F714" s="57">
        <v>5220</v>
      </c>
      <c r="G714" s="57">
        <v>2990</v>
      </c>
      <c r="H714" s="57">
        <v>120</v>
      </c>
      <c r="I714" s="57" t="s">
        <v>2022</v>
      </c>
      <c r="J714" s="57" t="s">
        <v>2033</v>
      </c>
      <c r="L714" s="57" t="s">
        <v>378</v>
      </c>
      <c r="M714" s="156">
        <v>45950</v>
      </c>
      <c r="P714" s="57">
        <v>2.1280000000000001</v>
      </c>
      <c r="Q714" s="171">
        <v>5.32</v>
      </c>
      <c r="R714" s="166">
        <f>IFERROR(VLOOKUP(B714,#REF!,1,0),0)</f>
        <v>0</v>
      </c>
    </row>
    <row r="715" spans="1:18" x14ac:dyDescent="0.25">
      <c r="A715" s="57">
        <v>714</v>
      </c>
      <c r="B715" s="57" t="s">
        <v>2093</v>
      </c>
      <c r="C715" s="57">
        <v>1</v>
      </c>
      <c r="D715" s="57" t="s">
        <v>2018</v>
      </c>
      <c r="E715" s="57" t="s">
        <v>2089</v>
      </c>
      <c r="F715" s="57">
        <v>5220</v>
      </c>
      <c r="G715" s="57">
        <v>2990</v>
      </c>
      <c r="H715" s="57">
        <v>120</v>
      </c>
      <c r="I715" s="57" t="s">
        <v>2022</v>
      </c>
      <c r="J715" s="57" t="s">
        <v>2033</v>
      </c>
      <c r="L715" s="57" t="s">
        <v>378</v>
      </c>
      <c r="M715" s="156">
        <v>45950</v>
      </c>
      <c r="P715" s="57">
        <v>2.1280000000000001</v>
      </c>
      <c r="Q715" s="171">
        <v>5.32</v>
      </c>
      <c r="R715" s="166">
        <f>IFERROR(VLOOKUP(B715,#REF!,1,0),0)</f>
        <v>0</v>
      </c>
    </row>
    <row r="716" spans="1:18" x14ac:dyDescent="0.25">
      <c r="A716" s="57">
        <v>715</v>
      </c>
      <c r="B716" s="57" t="s">
        <v>2094</v>
      </c>
      <c r="C716" s="57">
        <v>1</v>
      </c>
      <c r="D716" s="57" t="s">
        <v>2018</v>
      </c>
      <c r="E716" s="57" t="s">
        <v>2089</v>
      </c>
      <c r="F716" s="57">
        <v>5220</v>
      </c>
      <c r="G716" s="57">
        <v>2990</v>
      </c>
      <c r="H716" s="57">
        <v>120</v>
      </c>
      <c r="I716" s="57" t="s">
        <v>2022</v>
      </c>
      <c r="J716" s="57" t="s">
        <v>2033</v>
      </c>
      <c r="L716" s="57" t="s">
        <v>378</v>
      </c>
      <c r="M716" s="156">
        <v>45950</v>
      </c>
      <c r="P716" s="57">
        <v>2.1280000000000001</v>
      </c>
      <c r="Q716" s="171">
        <v>5.32</v>
      </c>
      <c r="R716" s="166">
        <f>IFERROR(VLOOKUP(B716,#REF!,1,0),0)</f>
        <v>0</v>
      </c>
    </row>
    <row r="717" spans="1:18" x14ac:dyDescent="0.25">
      <c r="A717" s="57">
        <v>716</v>
      </c>
      <c r="B717" s="57" t="s">
        <v>2095</v>
      </c>
      <c r="C717" s="57">
        <v>1</v>
      </c>
      <c r="D717" s="57" t="s">
        <v>2018</v>
      </c>
      <c r="E717" s="57" t="s">
        <v>2089</v>
      </c>
      <c r="F717" s="57">
        <v>5220</v>
      </c>
      <c r="G717" s="57">
        <v>2990</v>
      </c>
      <c r="H717" s="57">
        <v>120</v>
      </c>
      <c r="I717" s="57" t="s">
        <v>2022</v>
      </c>
      <c r="J717" s="57" t="s">
        <v>2033</v>
      </c>
      <c r="L717" s="57" t="s">
        <v>378</v>
      </c>
      <c r="M717" s="156">
        <v>45950</v>
      </c>
      <c r="P717" s="57">
        <v>2.1280000000000001</v>
      </c>
      <c r="Q717" s="171">
        <v>5.32</v>
      </c>
      <c r="R717" s="166">
        <f>IFERROR(VLOOKUP(B717,#REF!,1,0),0)</f>
        <v>0</v>
      </c>
    </row>
    <row r="718" spans="1:18" x14ac:dyDescent="0.25">
      <c r="A718" s="57">
        <v>717</v>
      </c>
      <c r="B718" s="57" t="s">
        <v>2096</v>
      </c>
      <c r="C718" s="57">
        <v>1</v>
      </c>
      <c r="D718" s="57" t="s">
        <v>2018</v>
      </c>
      <c r="E718" s="57" t="s">
        <v>2097</v>
      </c>
      <c r="F718" s="57">
        <v>5220</v>
      </c>
      <c r="G718" s="57">
        <v>2990</v>
      </c>
      <c r="H718" s="57">
        <v>120</v>
      </c>
      <c r="I718" s="57" t="s">
        <v>2022</v>
      </c>
      <c r="J718" s="57" t="s">
        <v>2033</v>
      </c>
      <c r="L718" s="57" t="s">
        <v>378</v>
      </c>
      <c r="M718" s="156">
        <v>45950</v>
      </c>
      <c r="P718" s="57">
        <v>2.1280000000000001</v>
      </c>
      <c r="Q718" s="171">
        <v>5.32</v>
      </c>
      <c r="R718" s="166">
        <f>IFERROR(VLOOKUP(B718,#REF!,1,0),0)</f>
        <v>0</v>
      </c>
    </row>
    <row r="719" spans="1:18" x14ac:dyDescent="0.25">
      <c r="A719" s="57">
        <v>718</v>
      </c>
      <c r="B719" s="57" t="s">
        <v>2098</v>
      </c>
      <c r="C719" s="57">
        <v>1</v>
      </c>
      <c r="D719" s="57" t="s">
        <v>2018</v>
      </c>
      <c r="E719" s="57" t="s">
        <v>2097</v>
      </c>
      <c r="F719" s="57">
        <v>5220</v>
      </c>
      <c r="G719" s="57">
        <v>2990</v>
      </c>
      <c r="H719" s="57">
        <v>120</v>
      </c>
      <c r="I719" s="57" t="s">
        <v>2022</v>
      </c>
      <c r="J719" s="57" t="s">
        <v>2033</v>
      </c>
      <c r="L719" s="57" t="s">
        <v>378</v>
      </c>
      <c r="M719" s="156">
        <v>45950</v>
      </c>
      <c r="P719" s="57">
        <v>2.1280000000000001</v>
      </c>
      <c r="Q719" s="171">
        <v>5.32</v>
      </c>
      <c r="R719" s="166">
        <f>IFERROR(VLOOKUP(B719,#REF!,1,0),0)</f>
        <v>0</v>
      </c>
    </row>
    <row r="720" spans="1:18" x14ac:dyDescent="0.25">
      <c r="A720" s="57">
        <v>719</v>
      </c>
      <c r="B720" s="57" t="s">
        <v>2099</v>
      </c>
      <c r="C720" s="57">
        <v>1</v>
      </c>
      <c r="D720" s="57" t="s">
        <v>2018</v>
      </c>
      <c r="E720" s="57" t="s">
        <v>2097</v>
      </c>
      <c r="F720" s="57">
        <v>5220</v>
      </c>
      <c r="G720" s="57">
        <v>2990</v>
      </c>
      <c r="H720" s="57">
        <v>120</v>
      </c>
      <c r="I720" s="57" t="s">
        <v>2022</v>
      </c>
      <c r="J720" s="57" t="s">
        <v>2033</v>
      </c>
      <c r="L720" s="57" t="s">
        <v>378</v>
      </c>
      <c r="M720" s="156">
        <v>45950</v>
      </c>
      <c r="P720" s="57">
        <v>2.1280000000000001</v>
      </c>
      <c r="Q720" s="171">
        <v>5.32</v>
      </c>
      <c r="R720" s="166">
        <f>IFERROR(VLOOKUP(B720,#REF!,1,0),0)</f>
        <v>0</v>
      </c>
    </row>
    <row r="721" spans="1:18" x14ac:dyDescent="0.25">
      <c r="A721" s="57">
        <v>720</v>
      </c>
      <c r="B721" s="57" t="s">
        <v>2100</v>
      </c>
      <c r="C721" s="57">
        <v>1</v>
      </c>
      <c r="D721" s="57" t="s">
        <v>2018</v>
      </c>
      <c r="E721" s="57" t="s">
        <v>2097</v>
      </c>
      <c r="F721" s="57">
        <v>5220</v>
      </c>
      <c r="G721" s="57">
        <v>2990</v>
      </c>
      <c r="H721" s="57">
        <v>120</v>
      </c>
      <c r="I721" s="57" t="s">
        <v>2022</v>
      </c>
      <c r="J721" s="57" t="s">
        <v>2033</v>
      </c>
      <c r="L721" s="57" t="s">
        <v>378</v>
      </c>
      <c r="M721" s="156">
        <v>45950</v>
      </c>
      <c r="P721" s="57">
        <v>2.1280000000000001</v>
      </c>
      <c r="Q721" s="171">
        <v>5.32</v>
      </c>
      <c r="R721" s="166">
        <f>IFERROR(VLOOKUP(B721,#REF!,1,0),0)</f>
        <v>0</v>
      </c>
    </row>
    <row r="722" spans="1:18" x14ac:dyDescent="0.25">
      <c r="A722" s="57">
        <v>721</v>
      </c>
      <c r="B722" s="57" t="s">
        <v>2101</v>
      </c>
      <c r="C722" s="57">
        <v>1</v>
      </c>
      <c r="D722" s="57" t="s">
        <v>2018</v>
      </c>
      <c r="E722" s="57" t="s">
        <v>2079</v>
      </c>
      <c r="F722" s="57">
        <v>5220</v>
      </c>
      <c r="G722" s="57">
        <v>2990</v>
      </c>
      <c r="H722" s="57">
        <v>120</v>
      </c>
      <c r="I722" s="57" t="s">
        <v>2022</v>
      </c>
      <c r="J722" s="57" t="s">
        <v>2033</v>
      </c>
      <c r="L722" s="57" t="s">
        <v>378</v>
      </c>
      <c r="M722" s="156">
        <v>45950</v>
      </c>
      <c r="P722" s="57">
        <v>2.1280000000000001</v>
      </c>
      <c r="Q722" s="171">
        <v>5.32</v>
      </c>
      <c r="R722" s="166">
        <f>IFERROR(VLOOKUP(B722,#REF!,1,0),0)</f>
        <v>0</v>
      </c>
    </row>
    <row r="723" spans="1:18" x14ac:dyDescent="0.25">
      <c r="A723" s="57">
        <v>722</v>
      </c>
      <c r="B723" s="57" t="s">
        <v>2102</v>
      </c>
      <c r="C723" s="57">
        <v>1</v>
      </c>
      <c r="D723" s="57" t="s">
        <v>2018</v>
      </c>
      <c r="E723" s="57" t="s">
        <v>2079</v>
      </c>
      <c r="F723" s="57">
        <v>5220</v>
      </c>
      <c r="G723" s="57">
        <v>2990</v>
      </c>
      <c r="H723" s="57">
        <v>120</v>
      </c>
      <c r="I723" s="57" t="s">
        <v>2022</v>
      </c>
      <c r="J723" s="57" t="s">
        <v>2033</v>
      </c>
      <c r="L723" s="57" t="s">
        <v>378</v>
      </c>
      <c r="M723" s="156">
        <v>45950</v>
      </c>
      <c r="P723" s="57">
        <v>2.1280000000000001</v>
      </c>
      <c r="Q723" s="171">
        <v>5.32</v>
      </c>
      <c r="R723" s="166">
        <f>IFERROR(VLOOKUP(B723,#REF!,1,0),0)</f>
        <v>0</v>
      </c>
    </row>
    <row r="724" spans="1:18" x14ac:dyDescent="0.25">
      <c r="A724" s="57">
        <v>723</v>
      </c>
      <c r="B724" s="57" t="s">
        <v>2103</v>
      </c>
      <c r="C724" s="57">
        <v>1</v>
      </c>
      <c r="D724" s="57" t="s">
        <v>2018</v>
      </c>
      <c r="E724" s="57" t="s">
        <v>2079</v>
      </c>
      <c r="F724" s="57">
        <v>5220</v>
      </c>
      <c r="G724" s="57">
        <v>2990</v>
      </c>
      <c r="H724" s="57">
        <v>120</v>
      </c>
      <c r="I724" s="57" t="s">
        <v>2022</v>
      </c>
      <c r="J724" s="57" t="s">
        <v>2033</v>
      </c>
      <c r="L724" s="57" t="s">
        <v>378</v>
      </c>
      <c r="M724" s="156">
        <v>45950</v>
      </c>
      <c r="P724" s="57">
        <v>2.1280000000000001</v>
      </c>
      <c r="Q724" s="171">
        <v>5.32</v>
      </c>
      <c r="R724" s="166">
        <f>IFERROR(VLOOKUP(B724,#REF!,1,0),0)</f>
        <v>0</v>
      </c>
    </row>
    <row r="725" spans="1:18" x14ac:dyDescent="0.25">
      <c r="A725" s="57">
        <v>724</v>
      </c>
      <c r="B725" s="57" t="s">
        <v>2104</v>
      </c>
      <c r="C725" s="57">
        <v>1</v>
      </c>
      <c r="D725" s="57" t="s">
        <v>2018</v>
      </c>
      <c r="E725" s="57" t="s">
        <v>2079</v>
      </c>
      <c r="F725" s="57">
        <v>5220</v>
      </c>
      <c r="G725" s="57">
        <v>2990</v>
      </c>
      <c r="H725" s="57">
        <v>120</v>
      </c>
      <c r="I725" s="57" t="s">
        <v>2022</v>
      </c>
      <c r="J725" s="57" t="s">
        <v>2033</v>
      </c>
      <c r="L725" s="57" t="s">
        <v>378</v>
      </c>
      <c r="M725" s="156">
        <v>45950</v>
      </c>
      <c r="P725" s="57">
        <v>2.1280000000000001</v>
      </c>
      <c r="Q725" s="171">
        <v>5.32</v>
      </c>
      <c r="R725" s="166">
        <f>IFERROR(VLOOKUP(B725,#REF!,1,0),0)</f>
        <v>0</v>
      </c>
    </row>
    <row r="726" spans="1:18" x14ac:dyDescent="0.25">
      <c r="A726" s="57">
        <v>725</v>
      </c>
      <c r="B726" s="57" t="s">
        <v>2105</v>
      </c>
      <c r="C726" s="57">
        <v>1</v>
      </c>
      <c r="D726" s="57" t="s">
        <v>2018</v>
      </c>
      <c r="E726" s="57" t="s">
        <v>2075</v>
      </c>
      <c r="F726" s="57">
        <v>5220</v>
      </c>
      <c r="G726" s="57">
        <v>2990</v>
      </c>
      <c r="H726" s="57">
        <v>120</v>
      </c>
      <c r="I726" s="57" t="s">
        <v>2022</v>
      </c>
      <c r="J726" s="57" t="s">
        <v>2033</v>
      </c>
      <c r="L726" s="57" t="s">
        <v>378</v>
      </c>
      <c r="M726" s="156">
        <v>45950</v>
      </c>
      <c r="P726" s="57">
        <v>2.1280000000000001</v>
      </c>
      <c r="Q726" s="171">
        <v>5.32</v>
      </c>
      <c r="R726" s="166">
        <f>IFERROR(VLOOKUP(B726,#REF!,1,0),0)</f>
        <v>0</v>
      </c>
    </row>
    <row r="727" spans="1:18" x14ac:dyDescent="0.25">
      <c r="A727" s="57">
        <v>726</v>
      </c>
      <c r="B727" s="57" t="s">
        <v>2106</v>
      </c>
      <c r="C727" s="57">
        <v>1</v>
      </c>
      <c r="D727" s="57" t="s">
        <v>2018</v>
      </c>
      <c r="E727" s="57" t="s">
        <v>2075</v>
      </c>
      <c r="F727" s="57">
        <v>5220</v>
      </c>
      <c r="G727" s="57">
        <v>2990</v>
      </c>
      <c r="H727" s="57">
        <v>120</v>
      </c>
      <c r="I727" s="57" t="s">
        <v>2022</v>
      </c>
      <c r="J727" s="57" t="s">
        <v>2033</v>
      </c>
      <c r="L727" s="57" t="s">
        <v>378</v>
      </c>
      <c r="M727" s="156">
        <v>45950</v>
      </c>
      <c r="P727" s="57">
        <v>2.1280000000000001</v>
      </c>
      <c r="Q727" s="171">
        <v>5.32</v>
      </c>
      <c r="R727" s="166">
        <f>IFERROR(VLOOKUP(B727,#REF!,1,0),0)</f>
        <v>0</v>
      </c>
    </row>
    <row r="728" spans="1:18" x14ac:dyDescent="0.25">
      <c r="A728" s="57">
        <v>727</v>
      </c>
      <c r="B728" s="57" t="s">
        <v>2107</v>
      </c>
      <c r="C728" s="57">
        <v>1</v>
      </c>
      <c r="D728" s="57" t="s">
        <v>2018</v>
      </c>
      <c r="E728" s="57" t="s">
        <v>2075</v>
      </c>
      <c r="F728" s="57">
        <v>5220</v>
      </c>
      <c r="G728" s="57">
        <v>2990</v>
      </c>
      <c r="H728" s="57">
        <v>120</v>
      </c>
      <c r="I728" s="57" t="s">
        <v>2022</v>
      </c>
      <c r="J728" s="57" t="s">
        <v>2033</v>
      </c>
      <c r="L728" s="57" t="s">
        <v>378</v>
      </c>
      <c r="M728" s="156">
        <v>45950</v>
      </c>
      <c r="P728" s="57">
        <v>2.1280000000000001</v>
      </c>
      <c r="Q728" s="171">
        <v>5.32</v>
      </c>
      <c r="R728" s="166">
        <f>IFERROR(VLOOKUP(B728,#REF!,1,0),0)</f>
        <v>0</v>
      </c>
    </row>
    <row r="729" spans="1:18" x14ac:dyDescent="0.25">
      <c r="A729" s="57">
        <v>728</v>
      </c>
      <c r="B729" s="57" t="s">
        <v>2108</v>
      </c>
      <c r="C729" s="57">
        <v>1</v>
      </c>
      <c r="D729" s="57" t="s">
        <v>2018</v>
      </c>
      <c r="E729" s="57" t="s">
        <v>2075</v>
      </c>
      <c r="F729" s="57">
        <v>5220</v>
      </c>
      <c r="G729" s="57">
        <v>2990</v>
      </c>
      <c r="H729" s="57">
        <v>120</v>
      </c>
      <c r="I729" s="57" t="s">
        <v>2022</v>
      </c>
      <c r="J729" s="57" t="s">
        <v>2033</v>
      </c>
      <c r="L729" s="57" t="s">
        <v>378</v>
      </c>
      <c r="M729" s="156">
        <v>45950</v>
      </c>
      <c r="P729" s="57">
        <v>2.1280000000000001</v>
      </c>
      <c r="Q729" s="171">
        <v>5.32</v>
      </c>
      <c r="R729" s="166">
        <f>IFERROR(VLOOKUP(B729,#REF!,1,0),0)</f>
        <v>0</v>
      </c>
    </row>
    <row r="730" spans="1:18" x14ac:dyDescent="0.25">
      <c r="A730" s="57">
        <v>729</v>
      </c>
      <c r="B730" s="57" t="s">
        <v>1901</v>
      </c>
      <c r="C730" s="57">
        <v>1</v>
      </c>
      <c r="D730" s="57" t="s">
        <v>2018</v>
      </c>
      <c r="E730" s="57" t="s">
        <v>2089</v>
      </c>
      <c r="F730" s="57">
        <v>5357</v>
      </c>
      <c r="G730" s="57">
        <v>1835</v>
      </c>
      <c r="H730" s="57">
        <v>120</v>
      </c>
      <c r="I730" s="57" t="s">
        <v>1212</v>
      </c>
      <c r="J730" s="57" t="s">
        <v>2020</v>
      </c>
      <c r="L730" s="57" t="s">
        <v>378</v>
      </c>
      <c r="M730" s="156">
        <v>45950</v>
      </c>
      <c r="P730" s="57">
        <v>1.1830000000000001</v>
      </c>
      <c r="Q730" s="171">
        <v>2.9580000000000002</v>
      </c>
      <c r="R730" s="166">
        <f>IFERROR(VLOOKUP(B730,#REF!,1,0),0)</f>
        <v>0</v>
      </c>
    </row>
    <row r="731" spans="1:18" x14ac:dyDescent="0.25">
      <c r="A731" s="57">
        <v>730</v>
      </c>
      <c r="B731" s="57" t="s">
        <v>1902</v>
      </c>
      <c r="C731" s="57">
        <v>1</v>
      </c>
      <c r="D731" s="57" t="s">
        <v>2018</v>
      </c>
      <c r="E731" s="57" t="s">
        <v>2089</v>
      </c>
      <c r="F731" s="57">
        <v>4367</v>
      </c>
      <c r="G731" s="57">
        <v>3035</v>
      </c>
      <c r="H731" s="57">
        <v>120</v>
      </c>
      <c r="I731" s="57" t="s">
        <v>1212</v>
      </c>
      <c r="J731" s="57" t="s">
        <v>2020</v>
      </c>
      <c r="L731" s="57" t="s">
        <v>378</v>
      </c>
      <c r="M731" s="156">
        <v>45950</v>
      </c>
      <c r="P731" s="57">
        <v>1.2969999999999999</v>
      </c>
      <c r="Q731" s="171">
        <v>3.2429999999999999</v>
      </c>
      <c r="R731" s="166">
        <f>IFERROR(VLOOKUP(B731,#REF!,1,0),0)</f>
        <v>0</v>
      </c>
    </row>
    <row r="732" spans="1:18" x14ac:dyDescent="0.25">
      <c r="A732" s="57">
        <v>731</v>
      </c>
      <c r="B732" s="57" t="s">
        <v>1903</v>
      </c>
      <c r="C732" s="57">
        <v>1</v>
      </c>
      <c r="D732" s="57" t="s">
        <v>2018</v>
      </c>
      <c r="E732" s="57" t="s">
        <v>2097</v>
      </c>
      <c r="F732" s="57">
        <v>2400</v>
      </c>
      <c r="G732" s="57">
        <v>2990</v>
      </c>
      <c r="H732" s="57">
        <v>120</v>
      </c>
      <c r="I732" s="57" t="s">
        <v>2022</v>
      </c>
      <c r="J732" s="57" t="s">
        <v>2046</v>
      </c>
      <c r="L732" s="57" t="s">
        <v>378</v>
      </c>
      <c r="M732" s="156">
        <v>45950</v>
      </c>
      <c r="P732" s="57">
        <v>0.97099999999999997</v>
      </c>
      <c r="Q732" s="171">
        <v>2.4279999999999999</v>
      </c>
      <c r="R732" s="166">
        <f>IFERROR(VLOOKUP(B732,#REF!,1,0),0)</f>
        <v>0</v>
      </c>
    </row>
    <row r="733" spans="1:18" x14ac:dyDescent="0.25">
      <c r="A733" s="57">
        <v>732</v>
      </c>
      <c r="B733" s="57" t="s">
        <v>1904</v>
      </c>
      <c r="C733" s="57">
        <v>1</v>
      </c>
      <c r="D733" s="57" t="s">
        <v>2018</v>
      </c>
      <c r="E733" s="57" t="s">
        <v>2097</v>
      </c>
      <c r="F733" s="57">
        <v>5220</v>
      </c>
      <c r="G733" s="57">
        <v>2990</v>
      </c>
      <c r="H733" s="57">
        <v>120</v>
      </c>
      <c r="I733" s="57" t="s">
        <v>2022</v>
      </c>
      <c r="J733" s="57" t="s">
        <v>2033</v>
      </c>
      <c r="L733" s="57" t="s">
        <v>378</v>
      </c>
      <c r="M733" s="156">
        <v>45950</v>
      </c>
      <c r="P733" s="57">
        <v>2.1280000000000001</v>
      </c>
      <c r="Q733" s="171">
        <v>5.32</v>
      </c>
      <c r="R733" s="166">
        <f>IFERROR(VLOOKUP(B733,#REF!,1,0),0)</f>
        <v>0</v>
      </c>
    </row>
    <row r="734" spans="1:18" x14ac:dyDescent="0.25">
      <c r="A734" s="57">
        <v>733</v>
      </c>
      <c r="B734" s="57" t="s">
        <v>2109</v>
      </c>
      <c r="C734" s="57">
        <v>1</v>
      </c>
      <c r="D734" s="57" t="s">
        <v>2018</v>
      </c>
      <c r="E734" s="57" t="s">
        <v>2089</v>
      </c>
      <c r="F734" s="57">
        <v>5220</v>
      </c>
      <c r="G734" s="57">
        <v>2990</v>
      </c>
      <c r="H734" s="57">
        <v>120</v>
      </c>
      <c r="I734" s="57" t="s">
        <v>2022</v>
      </c>
      <c r="J734" s="57" t="s">
        <v>2033</v>
      </c>
      <c r="L734" s="57" t="s">
        <v>378</v>
      </c>
      <c r="M734" s="156">
        <v>45950</v>
      </c>
      <c r="P734" s="57">
        <v>2.1280000000000001</v>
      </c>
      <c r="Q734" s="171">
        <v>5.32</v>
      </c>
      <c r="R734" s="166">
        <f>IFERROR(VLOOKUP(B734,#REF!,1,0),0)</f>
        <v>0</v>
      </c>
    </row>
    <row r="735" spans="1:18" x14ac:dyDescent="0.25">
      <c r="A735" s="57">
        <v>734</v>
      </c>
      <c r="B735" s="57" t="s">
        <v>2110</v>
      </c>
      <c r="C735" s="57">
        <v>1</v>
      </c>
      <c r="D735" s="57" t="s">
        <v>2018</v>
      </c>
      <c r="E735" s="57" t="s">
        <v>2075</v>
      </c>
      <c r="F735" s="57">
        <v>5220</v>
      </c>
      <c r="G735" s="57">
        <v>2990</v>
      </c>
      <c r="H735" s="57">
        <v>120</v>
      </c>
      <c r="I735" s="57" t="s">
        <v>2022</v>
      </c>
      <c r="J735" s="57" t="s">
        <v>2033</v>
      </c>
      <c r="L735" s="57" t="s">
        <v>378</v>
      </c>
      <c r="M735" s="156">
        <v>45950</v>
      </c>
      <c r="P735" s="57">
        <v>2.1280000000000001</v>
      </c>
      <c r="Q735" s="171">
        <v>5.32</v>
      </c>
      <c r="R735" s="166">
        <f>IFERROR(VLOOKUP(B735,#REF!,1,0),0)</f>
        <v>0</v>
      </c>
    </row>
    <row r="736" spans="1:18" x14ac:dyDescent="0.25">
      <c r="A736" s="57">
        <v>735</v>
      </c>
      <c r="B736" s="57" t="s">
        <v>2111</v>
      </c>
      <c r="C736" s="57">
        <v>1</v>
      </c>
      <c r="D736" s="57" t="s">
        <v>2018</v>
      </c>
      <c r="E736" s="57" t="s">
        <v>2079</v>
      </c>
      <c r="F736" s="57">
        <v>5220</v>
      </c>
      <c r="G736" s="57">
        <v>2990</v>
      </c>
      <c r="H736" s="57">
        <v>120</v>
      </c>
      <c r="I736" s="57" t="s">
        <v>2022</v>
      </c>
      <c r="J736" s="57" t="s">
        <v>2033</v>
      </c>
      <c r="L736" s="57" t="s">
        <v>378</v>
      </c>
      <c r="M736" s="156">
        <v>45950</v>
      </c>
      <c r="P736" s="57">
        <v>2.1280000000000001</v>
      </c>
      <c r="Q736" s="171">
        <v>5.32</v>
      </c>
      <c r="R736" s="166">
        <f>IFERROR(VLOOKUP(B736,#REF!,1,0),0)</f>
        <v>0</v>
      </c>
    </row>
    <row r="737" spans="1:18" x14ac:dyDescent="0.25">
      <c r="A737" s="57">
        <v>736</v>
      </c>
      <c r="B737" s="57" t="s">
        <v>1905</v>
      </c>
      <c r="C737" s="57">
        <v>1</v>
      </c>
      <c r="D737" s="57" t="s">
        <v>2018</v>
      </c>
      <c r="E737" s="57" t="s">
        <v>2097</v>
      </c>
      <c r="F737" s="57">
        <v>4367</v>
      </c>
      <c r="G737" s="57">
        <v>3150</v>
      </c>
      <c r="H737" s="57">
        <v>120</v>
      </c>
      <c r="I737" s="57" t="s">
        <v>1212</v>
      </c>
      <c r="J737" s="57" t="s">
        <v>2020</v>
      </c>
      <c r="L737" s="57" t="s">
        <v>378</v>
      </c>
      <c r="M737" s="156">
        <v>45950</v>
      </c>
      <c r="P737" s="57">
        <v>1.296</v>
      </c>
      <c r="Q737" s="171">
        <v>3.24</v>
      </c>
      <c r="R737" s="166">
        <f>IFERROR(VLOOKUP(B737,#REF!,1,0),0)</f>
        <v>0</v>
      </c>
    </row>
    <row r="738" spans="1:18" x14ac:dyDescent="0.25">
      <c r="A738" s="57">
        <v>737</v>
      </c>
      <c r="B738" s="57" t="s">
        <v>1906</v>
      </c>
      <c r="C738" s="57">
        <v>1</v>
      </c>
      <c r="D738" s="57" t="s">
        <v>2018</v>
      </c>
      <c r="E738" s="57" t="s">
        <v>2097</v>
      </c>
      <c r="F738" s="57">
        <v>5357</v>
      </c>
      <c r="G738" s="57">
        <v>1790</v>
      </c>
      <c r="H738" s="57">
        <v>120</v>
      </c>
      <c r="I738" s="57" t="s">
        <v>1212</v>
      </c>
      <c r="J738" s="57" t="s">
        <v>2020</v>
      </c>
      <c r="L738" s="57" t="s">
        <v>378</v>
      </c>
      <c r="M738" s="156">
        <v>45950</v>
      </c>
      <c r="P738" s="57">
        <v>1.163</v>
      </c>
      <c r="Q738" s="171">
        <v>2.9079999999999999</v>
      </c>
      <c r="R738" s="166">
        <f>IFERROR(VLOOKUP(B738,#REF!,1,0),0)</f>
        <v>0</v>
      </c>
    </row>
    <row r="739" spans="1:18" x14ac:dyDescent="0.25">
      <c r="A739" s="57">
        <v>738</v>
      </c>
      <c r="B739" s="57" t="s">
        <v>2112</v>
      </c>
      <c r="C739" s="57">
        <v>1</v>
      </c>
      <c r="D739" s="57" t="s">
        <v>2018</v>
      </c>
      <c r="E739" s="57" t="s">
        <v>2075</v>
      </c>
      <c r="F739" s="57">
        <v>5357</v>
      </c>
      <c r="G739" s="57">
        <v>1790</v>
      </c>
      <c r="H739" s="57">
        <v>120</v>
      </c>
      <c r="I739" s="57" t="s">
        <v>1212</v>
      </c>
      <c r="J739" s="57" t="s">
        <v>2020</v>
      </c>
      <c r="L739" s="57" t="s">
        <v>378</v>
      </c>
      <c r="M739" s="156">
        <v>45950</v>
      </c>
      <c r="P739" s="57">
        <v>1.163</v>
      </c>
      <c r="Q739" s="171">
        <v>2.9079999999999999</v>
      </c>
      <c r="R739" s="166">
        <f>IFERROR(VLOOKUP(B739,#REF!,1,0),0)</f>
        <v>0</v>
      </c>
    </row>
    <row r="740" spans="1:18" x14ac:dyDescent="0.25">
      <c r="A740" s="57">
        <v>739</v>
      </c>
      <c r="B740" s="57" t="s">
        <v>2113</v>
      </c>
      <c r="C740" s="57">
        <v>1</v>
      </c>
      <c r="D740" s="57" t="s">
        <v>2018</v>
      </c>
      <c r="E740" s="57" t="s">
        <v>2056</v>
      </c>
      <c r="F740" s="57">
        <v>5357</v>
      </c>
      <c r="G740" s="57">
        <v>1790</v>
      </c>
      <c r="H740" s="57">
        <v>120</v>
      </c>
      <c r="I740" s="57" t="s">
        <v>1212</v>
      </c>
      <c r="J740" s="57" t="s">
        <v>2020</v>
      </c>
      <c r="L740" s="57" t="s">
        <v>378</v>
      </c>
      <c r="M740" s="156">
        <v>45950</v>
      </c>
      <c r="P740" s="57">
        <v>1.163</v>
      </c>
      <c r="Q740" s="171">
        <v>2.9079999999999999</v>
      </c>
      <c r="R740" s="166">
        <f>IFERROR(VLOOKUP(B740,#REF!,1,0),0)</f>
        <v>0</v>
      </c>
    </row>
    <row r="741" spans="1:18" x14ac:dyDescent="0.25">
      <c r="A741" s="57">
        <v>740</v>
      </c>
      <c r="B741" s="57" t="s">
        <v>1907</v>
      </c>
      <c r="C741" s="57">
        <v>1</v>
      </c>
      <c r="D741" s="57" t="s">
        <v>2018</v>
      </c>
      <c r="E741" s="57" t="s">
        <v>2114</v>
      </c>
      <c r="F741" s="57">
        <v>5220</v>
      </c>
      <c r="G741" s="57">
        <v>2910</v>
      </c>
      <c r="H741" s="57">
        <v>120</v>
      </c>
      <c r="I741" s="57" t="s">
        <v>2022</v>
      </c>
      <c r="J741" s="57" t="s">
        <v>2033</v>
      </c>
      <c r="L741" s="57" t="s">
        <v>378</v>
      </c>
      <c r="M741" s="156">
        <v>45950</v>
      </c>
      <c r="P741" s="57">
        <v>2.0779999999999998</v>
      </c>
      <c r="Q741" s="171">
        <v>5.1950000000000003</v>
      </c>
      <c r="R741" s="166">
        <f>IFERROR(VLOOKUP(B741,#REF!,1,0),0)</f>
        <v>0</v>
      </c>
    </row>
    <row r="742" spans="1:18" x14ac:dyDescent="0.25">
      <c r="A742" s="57">
        <v>741</v>
      </c>
      <c r="B742" s="57" t="s">
        <v>2115</v>
      </c>
      <c r="C742" s="57">
        <v>1</v>
      </c>
      <c r="D742" s="57" t="s">
        <v>2018</v>
      </c>
      <c r="E742" s="57" t="s">
        <v>2116</v>
      </c>
      <c r="F742" s="57">
        <v>5220</v>
      </c>
      <c r="G742" s="57">
        <v>2910</v>
      </c>
      <c r="H742" s="57">
        <v>120</v>
      </c>
      <c r="I742" s="57" t="s">
        <v>2022</v>
      </c>
      <c r="J742" s="57" t="s">
        <v>2033</v>
      </c>
      <c r="L742" s="57" t="s">
        <v>378</v>
      </c>
      <c r="M742" s="156">
        <v>45950</v>
      </c>
      <c r="P742" s="57">
        <v>2.0779999999999998</v>
      </c>
      <c r="Q742" s="171">
        <v>5.1950000000000003</v>
      </c>
      <c r="R742" s="166">
        <f>IFERROR(VLOOKUP(B742,#REF!,1,0),0)</f>
        <v>0</v>
      </c>
    </row>
    <row r="743" spans="1:18" x14ac:dyDescent="0.25">
      <c r="A743" s="57">
        <v>742</v>
      </c>
      <c r="B743" s="57" t="s">
        <v>1908</v>
      </c>
      <c r="C743" s="57">
        <v>1</v>
      </c>
      <c r="D743" s="57" t="s">
        <v>2018</v>
      </c>
      <c r="E743" s="57" t="s">
        <v>2114</v>
      </c>
      <c r="F743" s="57">
        <v>5220</v>
      </c>
      <c r="G743" s="57">
        <v>2910</v>
      </c>
      <c r="H743" s="57">
        <v>120</v>
      </c>
      <c r="I743" s="57" t="s">
        <v>2022</v>
      </c>
      <c r="J743" s="57" t="s">
        <v>2033</v>
      </c>
      <c r="L743" s="57" t="s">
        <v>378</v>
      </c>
      <c r="M743" s="156">
        <v>45950</v>
      </c>
      <c r="P743" s="57">
        <v>2.0779999999999998</v>
      </c>
      <c r="Q743" s="171">
        <v>5.1950000000000003</v>
      </c>
      <c r="R743" s="166">
        <f>IFERROR(VLOOKUP(B743,#REF!,1,0),0)</f>
        <v>0</v>
      </c>
    </row>
    <row r="744" spans="1:18" x14ac:dyDescent="0.25">
      <c r="A744" s="57">
        <v>743</v>
      </c>
      <c r="B744" s="57" t="s">
        <v>2117</v>
      </c>
      <c r="C744" s="57">
        <v>1</v>
      </c>
      <c r="D744" s="57" t="s">
        <v>2018</v>
      </c>
      <c r="E744" s="57" t="s">
        <v>2114</v>
      </c>
      <c r="F744" s="57">
        <v>5220</v>
      </c>
      <c r="G744" s="57">
        <v>2910</v>
      </c>
      <c r="H744" s="57">
        <v>120</v>
      </c>
      <c r="I744" s="57" t="s">
        <v>2022</v>
      </c>
      <c r="J744" s="57" t="s">
        <v>2033</v>
      </c>
      <c r="L744" s="57" t="s">
        <v>378</v>
      </c>
      <c r="M744" s="156">
        <v>45950</v>
      </c>
      <c r="P744" s="57">
        <v>2.0779999999999998</v>
      </c>
      <c r="Q744" s="171">
        <v>5.1950000000000003</v>
      </c>
      <c r="R744" s="166">
        <f>IFERROR(VLOOKUP(B744,#REF!,1,0),0)</f>
        <v>0</v>
      </c>
    </row>
    <row r="745" spans="1:18" x14ac:dyDescent="0.25">
      <c r="A745" s="57">
        <v>744</v>
      </c>
      <c r="B745" s="57" t="s">
        <v>2118</v>
      </c>
      <c r="C745" s="57">
        <v>1</v>
      </c>
      <c r="D745" s="57" t="s">
        <v>2018</v>
      </c>
      <c r="E745" s="57" t="s">
        <v>2114</v>
      </c>
      <c r="F745" s="57">
        <v>5220</v>
      </c>
      <c r="G745" s="57">
        <v>2910</v>
      </c>
      <c r="H745" s="57">
        <v>120</v>
      </c>
      <c r="I745" s="57" t="s">
        <v>2022</v>
      </c>
      <c r="J745" s="57" t="s">
        <v>2033</v>
      </c>
      <c r="L745" s="57" t="s">
        <v>378</v>
      </c>
      <c r="M745" s="156">
        <v>45950</v>
      </c>
      <c r="P745" s="57">
        <v>2.0779999999999998</v>
      </c>
      <c r="Q745" s="171">
        <v>5.1950000000000003</v>
      </c>
      <c r="R745" s="166">
        <f>IFERROR(VLOOKUP(B745,#REF!,1,0),0)</f>
        <v>0</v>
      </c>
    </row>
    <row r="746" spans="1:18" x14ac:dyDescent="0.25">
      <c r="A746" s="57">
        <v>745</v>
      </c>
      <c r="B746" s="57" t="s">
        <v>2119</v>
      </c>
      <c r="C746" s="57">
        <v>1</v>
      </c>
      <c r="D746" s="57" t="s">
        <v>2018</v>
      </c>
      <c r="E746" s="57" t="s">
        <v>2114</v>
      </c>
      <c r="F746" s="57">
        <v>5220</v>
      </c>
      <c r="G746" s="57">
        <v>2910</v>
      </c>
      <c r="H746" s="57">
        <v>120</v>
      </c>
      <c r="I746" s="57" t="s">
        <v>2022</v>
      </c>
      <c r="J746" s="57" t="s">
        <v>2033</v>
      </c>
      <c r="L746" s="57" t="s">
        <v>378</v>
      </c>
      <c r="M746" s="156">
        <v>45950</v>
      </c>
      <c r="P746" s="57">
        <v>2.0779999999999998</v>
      </c>
      <c r="Q746" s="171">
        <v>5.1950000000000003</v>
      </c>
      <c r="R746" s="166">
        <f>IFERROR(VLOOKUP(B746,#REF!,1,0),0)</f>
        <v>0</v>
      </c>
    </row>
    <row r="747" spans="1:18" x14ac:dyDescent="0.25">
      <c r="A747" s="57">
        <v>746</v>
      </c>
      <c r="B747" s="57" t="s">
        <v>2120</v>
      </c>
      <c r="C747" s="57">
        <v>1</v>
      </c>
      <c r="D747" s="57" t="s">
        <v>2018</v>
      </c>
      <c r="E747" s="57" t="s">
        <v>2116</v>
      </c>
      <c r="F747" s="57">
        <v>5220</v>
      </c>
      <c r="G747" s="57">
        <v>2910</v>
      </c>
      <c r="H747" s="57">
        <v>120</v>
      </c>
      <c r="I747" s="57" t="s">
        <v>2022</v>
      </c>
      <c r="J747" s="57" t="s">
        <v>2033</v>
      </c>
      <c r="L747" s="57" t="s">
        <v>378</v>
      </c>
      <c r="M747" s="156">
        <v>45950</v>
      </c>
      <c r="P747" s="57">
        <v>2.0779999999999998</v>
      </c>
      <c r="Q747" s="171">
        <v>5.1950000000000003</v>
      </c>
      <c r="R747" s="166">
        <f>IFERROR(VLOOKUP(B747,#REF!,1,0),0)</f>
        <v>0</v>
      </c>
    </row>
    <row r="748" spans="1:18" x14ac:dyDescent="0.25">
      <c r="A748" s="57">
        <v>747</v>
      </c>
      <c r="B748" s="57" t="s">
        <v>2121</v>
      </c>
      <c r="C748" s="57">
        <v>1</v>
      </c>
      <c r="D748" s="57" t="s">
        <v>2018</v>
      </c>
      <c r="E748" s="57" t="s">
        <v>2116</v>
      </c>
      <c r="F748" s="57">
        <v>5220</v>
      </c>
      <c r="G748" s="57">
        <v>2910</v>
      </c>
      <c r="H748" s="57">
        <v>120</v>
      </c>
      <c r="I748" s="57" t="s">
        <v>2022</v>
      </c>
      <c r="J748" s="57" t="s">
        <v>2033</v>
      </c>
      <c r="L748" s="57" t="s">
        <v>378</v>
      </c>
      <c r="M748" s="156">
        <v>45950</v>
      </c>
      <c r="P748" s="57">
        <v>2.0779999999999998</v>
      </c>
      <c r="Q748" s="171">
        <v>5.1950000000000003</v>
      </c>
      <c r="R748" s="166">
        <f>IFERROR(VLOOKUP(B748,#REF!,1,0),0)</f>
        <v>0</v>
      </c>
    </row>
    <row r="749" spans="1:18" x14ac:dyDescent="0.25">
      <c r="A749" s="57">
        <v>748</v>
      </c>
      <c r="B749" s="57" t="s">
        <v>2122</v>
      </c>
      <c r="C749" s="57">
        <v>1</v>
      </c>
      <c r="D749" s="57" t="s">
        <v>2018</v>
      </c>
      <c r="E749" s="57" t="s">
        <v>2116</v>
      </c>
      <c r="F749" s="57">
        <v>5220</v>
      </c>
      <c r="G749" s="57">
        <v>2910</v>
      </c>
      <c r="H749" s="57">
        <v>120</v>
      </c>
      <c r="I749" s="57" t="s">
        <v>2022</v>
      </c>
      <c r="J749" s="57" t="s">
        <v>2033</v>
      </c>
      <c r="L749" s="57" t="s">
        <v>378</v>
      </c>
      <c r="M749" s="156">
        <v>45950</v>
      </c>
      <c r="P749" s="57">
        <v>2.0779999999999998</v>
      </c>
      <c r="Q749" s="171">
        <v>5.1950000000000003</v>
      </c>
      <c r="R749" s="166">
        <f>IFERROR(VLOOKUP(B749,#REF!,1,0),0)</f>
        <v>0</v>
      </c>
    </row>
    <row r="750" spans="1:18" x14ac:dyDescent="0.25">
      <c r="A750" s="57">
        <v>749</v>
      </c>
      <c r="B750" s="57" t="s">
        <v>2123</v>
      </c>
      <c r="C750" s="57">
        <v>1</v>
      </c>
      <c r="D750" s="57" t="s">
        <v>2018</v>
      </c>
      <c r="E750" s="57" t="s">
        <v>2116</v>
      </c>
      <c r="F750" s="57">
        <v>5220</v>
      </c>
      <c r="G750" s="57">
        <v>2910</v>
      </c>
      <c r="H750" s="57">
        <v>120</v>
      </c>
      <c r="I750" s="57" t="s">
        <v>2022</v>
      </c>
      <c r="J750" s="57" t="s">
        <v>2033</v>
      </c>
      <c r="L750" s="57" t="s">
        <v>378</v>
      </c>
      <c r="M750" s="156">
        <v>45950</v>
      </c>
      <c r="P750" s="57">
        <v>2.0779999999999998</v>
      </c>
      <c r="Q750" s="171">
        <v>5.1950000000000003</v>
      </c>
      <c r="R750" s="166">
        <f>IFERROR(VLOOKUP(B750,#REF!,1,0),0)</f>
        <v>0</v>
      </c>
    </row>
    <row r="751" spans="1:18" x14ac:dyDescent="0.25">
      <c r="A751" s="57">
        <v>750</v>
      </c>
      <c r="B751" s="57" t="s">
        <v>1909</v>
      </c>
      <c r="C751" s="57">
        <v>1</v>
      </c>
      <c r="D751" s="57" t="s">
        <v>2018</v>
      </c>
      <c r="E751" s="57" t="s">
        <v>2114</v>
      </c>
      <c r="F751" s="57">
        <v>5357</v>
      </c>
      <c r="G751" s="57">
        <v>1790</v>
      </c>
      <c r="H751" s="57">
        <v>120</v>
      </c>
      <c r="I751" s="57" t="s">
        <v>1212</v>
      </c>
      <c r="J751" s="57" t="s">
        <v>2020</v>
      </c>
      <c r="L751" s="57" t="s">
        <v>378</v>
      </c>
      <c r="M751" s="156">
        <v>45950</v>
      </c>
      <c r="P751" s="57">
        <v>1.1599999999999999</v>
      </c>
      <c r="Q751" s="171">
        <v>2.9</v>
      </c>
      <c r="R751" s="166">
        <f>IFERROR(VLOOKUP(B751,#REF!,1,0),0)</f>
        <v>0</v>
      </c>
    </row>
    <row r="752" spans="1:18" x14ac:dyDescent="0.25">
      <c r="A752" s="57">
        <v>751</v>
      </c>
      <c r="B752" s="57" t="s">
        <v>1910</v>
      </c>
      <c r="C752" s="57">
        <v>1</v>
      </c>
      <c r="D752" s="57" t="s">
        <v>2018</v>
      </c>
      <c r="E752" s="57" t="s">
        <v>2114</v>
      </c>
      <c r="F752" s="57">
        <v>4367</v>
      </c>
      <c r="G752" s="57">
        <v>2990</v>
      </c>
      <c r="H752" s="57">
        <v>120</v>
      </c>
      <c r="I752" s="57" t="s">
        <v>1212</v>
      </c>
      <c r="J752" s="57" t="s">
        <v>2020</v>
      </c>
      <c r="L752" s="57" t="s">
        <v>378</v>
      </c>
      <c r="M752" s="156">
        <v>45950</v>
      </c>
      <c r="P752" s="57">
        <v>1.2729999999999999</v>
      </c>
      <c r="Q752" s="171">
        <v>3.1829999999999998</v>
      </c>
      <c r="R752" s="166">
        <f>IFERROR(VLOOKUP(B752,#REF!,1,0),0)</f>
        <v>0</v>
      </c>
    </row>
    <row r="753" spans="1:18" x14ac:dyDescent="0.25">
      <c r="A753" s="57">
        <v>752</v>
      </c>
      <c r="B753" s="57" t="s">
        <v>1911</v>
      </c>
      <c r="C753" s="57">
        <v>1</v>
      </c>
      <c r="D753" s="57" t="s">
        <v>2018</v>
      </c>
      <c r="E753" s="57" t="s">
        <v>2116</v>
      </c>
      <c r="F753" s="57">
        <v>5220</v>
      </c>
      <c r="G753" s="57">
        <v>2910</v>
      </c>
      <c r="H753" s="57">
        <v>120</v>
      </c>
      <c r="I753" s="57" t="s">
        <v>2022</v>
      </c>
      <c r="J753" s="57" t="s">
        <v>2033</v>
      </c>
      <c r="L753" s="57" t="s">
        <v>378</v>
      </c>
      <c r="M753" s="156">
        <v>45950</v>
      </c>
      <c r="P753" s="57">
        <v>2.0779999999999998</v>
      </c>
      <c r="Q753" s="171">
        <v>5.1950000000000003</v>
      </c>
      <c r="R753" s="166">
        <f>IFERROR(VLOOKUP(B753,#REF!,1,0),0)</f>
        <v>0</v>
      </c>
    </row>
    <row r="754" spans="1:18" x14ac:dyDescent="0.25">
      <c r="A754" s="57">
        <v>753</v>
      </c>
      <c r="B754" s="57" t="s">
        <v>2124</v>
      </c>
      <c r="C754" s="57">
        <v>1</v>
      </c>
      <c r="D754" s="57" t="s">
        <v>2018</v>
      </c>
      <c r="E754" s="57" t="s">
        <v>2114</v>
      </c>
      <c r="F754" s="57">
        <v>5220</v>
      </c>
      <c r="G754" s="57">
        <v>2910</v>
      </c>
      <c r="H754" s="57">
        <v>120</v>
      </c>
      <c r="I754" s="57" t="s">
        <v>2022</v>
      </c>
      <c r="J754" s="57" t="s">
        <v>2033</v>
      </c>
      <c r="L754" s="57" t="s">
        <v>378</v>
      </c>
      <c r="M754" s="156">
        <v>45950</v>
      </c>
      <c r="P754" s="57">
        <v>2.0779999999999998</v>
      </c>
      <c r="Q754" s="171">
        <v>5.1950000000000003</v>
      </c>
      <c r="R754" s="166">
        <f>IFERROR(VLOOKUP(B754,#REF!,1,0),0)</f>
        <v>0</v>
      </c>
    </row>
    <row r="755" spans="1:18" x14ac:dyDescent="0.25">
      <c r="A755" s="57">
        <v>754</v>
      </c>
      <c r="B755" s="57" t="s">
        <v>1912</v>
      </c>
      <c r="C755" s="57">
        <v>1</v>
      </c>
      <c r="D755" s="57" t="s">
        <v>2018</v>
      </c>
      <c r="E755" s="57" t="s">
        <v>2116</v>
      </c>
      <c r="F755" s="57">
        <v>4367</v>
      </c>
      <c r="G755" s="57">
        <v>2990</v>
      </c>
      <c r="H755" s="57">
        <v>120</v>
      </c>
      <c r="I755" s="57" t="s">
        <v>1212</v>
      </c>
      <c r="J755" s="57" t="s">
        <v>2020</v>
      </c>
      <c r="L755" s="57" t="s">
        <v>378</v>
      </c>
      <c r="M755" s="156">
        <v>45950</v>
      </c>
      <c r="P755" s="57">
        <v>1.266</v>
      </c>
      <c r="Q755" s="171">
        <v>3.165</v>
      </c>
      <c r="R755" s="166">
        <f>IFERROR(VLOOKUP(B755,#REF!,1,0),0)</f>
        <v>0</v>
      </c>
    </row>
    <row r="756" spans="1:18" x14ac:dyDescent="0.25">
      <c r="A756" s="57">
        <v>755</v>
      </c>
      <c r="B756" s="57" t="s">
        <v>1913</v>
      </c>
      <c r="C756" s="57">
        <v>1</v>
      </c>
      <c r="D756" s="57" t="s">
        <v>2018</v>
      </c>
      <c r="E756" s="57" t="s">
        <v>2116</v>
      </c>
      <c r="F756" s="57">
        <v>5357</v>
      </c>
      <c r="G756" s="57">
        <v>1770</v>
      </c>
      <c r="H756" s="57">
        <v>120</v>
      </c>
      <c r="I756" s="57" t="s">
        <v>1212</v>
      </c>
      <c r="J756" s="57" t="s">
        <v>2020</v>
      </c>
      <c r="L756" s="57" t="s">
        <v>378</v>
      </c>
      <c r="M756" s="156">
        <v>45950</v>
      </c>
      <c r="P756" s="57">
        <v>1.149</v>
      </c>
      <c r="Q756" s="171">
        <v>2.8730000000000002</v>
      </c>
      <c r="R756" s="166">
        <f>IFERROR(VLOOKUP(B756,#REF!,1,0),0)</f>
        <v>0</v>
      </c>
    </row>
    <row r="757" spans="1:18" x14ac:dyDescent="0.25">
      <c r="A757" s="57">
        <v>756</v>
      </c>
      <c r="B757" s="57" t="s">
        <v>1914</v>
      </c>
      <c r="C757" s="57">
        <v>1</v>
      </c>
      <c r="D757" s="57" t="s">
        <v>2018</v>
      </c>
      <c r="E757" s="57" t="s">
        <v>2125</v>
      </c>
      <c r="F757" s="57">
        <v>2400</v>
      </c>
      <c r="G757" s="57">
        <v>2970</v>
      </c>
      <c r="H757" s="57">
        <v>120</v>
      </c>
      <c r="I757" s="57" t="s">
        <v>2022</v>
      </c>
      <c r="J757" s="57" t="s">
        <v>2046</v>
      </c>
      <c r="L757" s="57" t="s">
        <v>378</v>
      </c>
      <c r="M757" s="156">
        <v>45950</v>
      </c>
      <c r="P757" s="57">
        <v>0.96499999999999997</v>
      </c>
      <c r="Q757" s="171">
        <v>2.4129999999999998</v>
      </c>
      <c r="R757" s="166">
        <f>IFERROR(VLOOKUP(B757,#REF!,1,0),0)</f>
        <v>0</v>
      </c>
    </row>
    <row r="758" spans="1:18" x14ac:dyDescent="0.25">
      <c r="A758" s="57">
        <v>757</v>
      </c>
      <c r="B758" s="57" t="s">
        <v>1915</v>
      </c>
      <c r="C758" s="57">
        <v>1</v>
      </c>
      <c r="D758" s="57" t="s">
        <v>2018</v>
      </c>
      <c r="E758" s="57" t="s">
        <v>2125</v>
      </c>
      <c r="F758" s="57">
        <v>5357</v>
      </c>
      <c r="G758" s="57">
        <v>1770</v>
      </c>
      <c r="H758" s="57">
        <v>120</v>
      </c>
      <c r="I758" s="57" t="s">
        <v>1212</v>
      </c>
      <c r="J758" s="57" t="s">
        <v>2020</v>
      </c>
      <c r="L758" s="57" t="s">
        <v>378</v>
      </c>
      <c r="M758" s="156">
        <v>45950</v>
      </c>
      <c r="P758" s="57">
        <v>1.149</v>
      </c>
      <c r="Q758" s="171">
        <v>2.8730000000000002</v>
      </c>
      <c r="R758" s="166">
        <f>IFERROR(VLOOKUP(B758,#REF!,1,0),0)</f>
        <v>0</v>
      </c>
    </row>
    <row r="759" spans="1:18" x14ac:dyDescent="0.25">
      <c r="A759" s="57">
        <v>758</v>
      </c>
      <c r="B759" s="57" t="s">
        <v>1916</v>
      </c>
      <c r="C759" s="57">
        <v>1</v>
      </c>
      <c r="D759" s="57" t="s">
        <v>2018</v>
      </c>
      <c r="E759" s="57" t="s">
        <v>2125</v>
      </c>
      <c r="F759" s="57">
        <v>4367</v>
      </c>
      <c r="G759" s="57">
        <v>3030</v>
      </c>
      <c r="H759" s="57">
        <v>120</v>
      </c>
      <c r="I759" s="57" t="s">
        <v>1212</v>
      </c>
      <c r="J759" s="57" t="s">
        <v>2020</v>
      </c>
      <c r="L759" s="57" t="s">
        <v>378</v>
      </c>
      <c r="M759" s="156">
        <v>45950</v>
      </c>
      <c r="P759" s="57">
        <v>1.2709999999999999</v>
      </c>
      <c r="Q759" s="171">
        <v>3.1779999999999999</v>
      </c>
      <c r="R759" s="166">
        <f>IFERROR(VLOOKUP(B759,#REF!,1,0),0)</f>
        <v>0</v>
      </c>
    </row>
    <row r="760" spans="1:18" x14ac:dyDescent="0.25">
      <c r="A760" s="57">
        <v>759</v>
      </c>
      <c r="B760" s="57" t="s">
        <v>1917</v>
      </c>
      <c r="C760" s="57">
        <v>1</v>
      </c>
      <c r="D760" s="57" t="s">
        <v>2018</v>
      </c>
      <c r="E760" s="57" t="s">
        <v>2126</v>
      </c>
      <c r="F760" s="57">
        <v>4367</v>
      </c>
      <c r="G760" s="57">
        <v>3005</v>
      </c>
      <c r="H760" s="57">
        <v>120</v>
      </c>
      <c r="I760" s="57" t="s">
        <v>1212</v>
      </c>
      <c r="J760" s="57" t="s">
        <v>2020</v>
      </c>
      <c r="L760" s="57" t="s">
        <v>378</v>
      </c>
      <c r="M760" s="156">
        <v>45950</v>
      </c>
      <c r="P760" s="57">
        <v>1.2809999999999999</v>
      </c>
      <c r="Q760" s="171">
        <v>3.2029999999999998</v>
      </c>
      <c r="R760" s="166">
        <f>IFERROR(VLOOKUP(B760,#REF!,1,0),0)</f>
        <v>0</v>
      </c>
    </row>
    <row r="761" spans="1:18" x14ac:dyDescent="0.25">
      <c r="A761" s="57">
        <v>760</v>
      </c>
      <c r="B761" s="57" t="s">
        <v>1918</v>
      </c>
      <c r="C761" s="57">
        <v>1</v>
      </c>
      <c r="D761" s="57" t="s">
        <v>2018</v>
      </c>
      <c r="E761" s="57" t="s">
        <v>2126</v>
      </c>
      <c r="F761" s="57">
        <v>5357</v>
      </c>
      <c r="G761" s="57">
        <v>1805</v>
      </c>
      <c r="H761" s="57">
        <v>120</v>
      </c>
      <c r="I761" s="57" t="s">
        <v>1212</v>
      </c>
      <c r="J761" s="57" t="s">
        <v>2020</v>
      </c>
      <c r="L761" s="57" t="s">
        <v>378</v>
      </c>
      <c r="M761" s="156">
        <v>45950</v>
      </c>
      <c r="P761" s="57">
        <v>1.1679999999999999</v>
      </c>
      <c r="Q761" s="171">
        <v>2.92</v>
      </c>
      <c r="R761" s="166">
        <f>IFERROR(VLOOKUP(B761,#REF!,1,0),0)</f>
        <v>0</v>
      </c>
    </row>
    <row r="762" spans="1:18" x14ac:dyDescent="0.25">
      <c r="A762" s="57">
        <v>761</v>
      </c>
      <c r="B762" s="57" t="s">
        <v>1919</v>
      </c>
      <c r="C762" s="57">
        <v>1</v>
      </c>
      <c r="D762" s="57" t="s">
        <v>2018</v>
      </c>
      <c r="E762" s="57" t="s">
        <v>2127</v>
      </c>
      <c r="F762" s="57">
        <v>2400</v>
      </c>
      <c r="G762" s="57">
        <v>3005</v>
      </c>
      <c r="H762" s="57">
        <v>120</v>
      </c>
      <c r="I762" s="57" t="s">
        <v>2022</v>
      </c>
      <c r="J762" s="57" t="s">
        <v>2046</v>
      </c>
      <c r="L762" s="57" t="s">
        <v>378</v>
      </c>
      <c r="M762" s="156">
        <v>45950</v>
      </c>
      <c r="P762" s="57">
        <v>0.95</v>
      </c>
      <c r="Q762" s="171">
        <v>2.375</v>
      </c>
      <c r="R762" s="166">
        <f>IFERROR(VLOOKUP(B762,#REF!,1,0),0)</f>
        <v>0</v>
      </c>
    </row>
    <row r="763" spans="1:18" x14ac:dyDescent="0.25">
      <c r="A763" s="57">
        <v>762</v>
      </c>
      <c r="B763" s="57" t="s">
        <v>1920</v>
      </c>
      <c r="C763" s="57">
        <v>1</v>
      </c>
      <c r="D763" s="57" t="s">
        <v>2018</v>
      </c>
      <c r="E763" s="57" t="s">
        <v>2127</v>
      </c>
      <c r="F763" s="57">
        <v>5220</v>
      </c>
      <c r="G763" s="57">
        <v>2920</v>
      </c>
      <c r="H763" s="57">
        <v>120</v>
      </c>
      <c r="I763" s="57" t="s">
        <v>2022</v>
      </c>
      <c r="J763" s="57" t="s">
        <v>2033</v>
      </c>
      <c r="L763" s="57" t="s">
        <v>378</v>
      </c>
      <c r="M763" s="156">
        <v>45950</v>
      </c>
      <c r="P763" s="57">
        <v>2.0840000000000001</v>
      </c>
      <c r="Q763" s="171">
        <v>5.21</v>
      </c>
      <c r="R763" s="166">
        <f>IFERROR(VLOOKUP(B763,#REF!,1,0),0)</f>
        <v>0</v>
      </c>
    </row>
    <row r="764" spans="1:18" x14ac:dyDescent="0.25">
      <c r="A764" s="57">
        <v>763</v>
      </c>
      <c r="B764" s="57" t="s">
        <v>2128</v>
      </c>
      <c r="C764" s="57">
        <v>1</v>
      </c>
      <c r="D764" s="57" t="s">
        <v>2018</v>
      </c>
      <c r="E764" s="57" t="s">
        <v>2129</v>
      </c>
      <c r="F764" s="57">
        <v>5220</v>
      </c>
      <c r="G764" s="57">
        <v>2920</v>
      </c>
      <c r="H764" s="57">
        <v>120</v>
      </c>
      <c r="I764" s="57" t="s">
        <v>2022</v>
      </c>
      <c r="J764" s="57" t="s">
        <v>2033</v>
      </c>
      <c r="L764" s="57" t="s">
        <v>378</v>
      </c>
      <c r="M764" s="156">
        <v>45950</v>
      </c>
      <c r="P764" s="57">
        <v>2.0840000000000001</v>
      </c>
      <c r="Q764" s="171">
        <v>5.21</v>
      </c>
      <c r="R764" s="166">
        <f>IFERROR(VLOOKUP(B764,#REF!,1,0),0)</f>
        <v>0</v>
      </c>
    </row>
    <row r="765" spans="1:18" x14ac:dyDescent="0.25">
      <c r="A765" s="57">
        <v>764</v>
      </c>
      <c r="B765" s="57" t="s">
        <v>2130</v>
      </c>
      <c r="C765" s="57">
        <v>1</v>
      </c>
      <c r="D765" s="57" t="s">
        <v>2018</v>
      </c>
      <c r="E765" s="57" t="s">
        <v>2125</v>
      </c>
      <c r="F765" s="57">
        <v>5220</v>
      </c>
      <c r="G765" s="57">
        <v>2920</v>
      </c>
      <c r="H765" s="57">
        <v>120</v>
      </c>
      <c r="I765" s="57" t="s">
        <v>2022</v>
      </c>
      <c r="J765" s="57" t="s">
        <v>2033</v>
      </c>
      <c r="L765" s="57" t="s">
        <v>378</v>
      </c>
      <c r="M765" s="156">
        <v>45950</v>
      </c>
      <c r="P765" s="57">
        <v>2.0840000000000001</v>
      </c>
      <c r="Q765" s="171">
        <v>5.21</v>
      </c>
      <c r="R765" s="166">
        <f>IFERROR(VLOOKUP(B765,#REF!,1,0),0)</f>
        <v>0</v>
      </c>
    </row>
    <row r="766" spans="1:18" x14ac:dyDescent="0.25">
      <c r="A766" s="57">
        <v>765</v>
      </c>
      <c r="B766" s="57" t="s">
        <v>2131</v>
      </c>
      <c r="C766" s="57">
        <v>1</v>
      </c>
      <c r="D766" s="57" t="s">
        <v>2018</v>
      </c>
      <c r="E766" s="57" t="s">
        <v>2126</v>
      </c>
      <c r="F766" s="57">
        <v>5220</v>
      </c>
      <c r="G766" s="57">
        <v>2920</v>
      </c>
      <c r="H766" s="57">
        <v>120</v>
      </c>
      <c r="I766" s="57" t="s">
        <v>2022</v>
      </c>
      <c r="J766" s="57" t="s">
        <v>2033</v>
      </c>
      <c r="L766" s="57" t="s">
        <v>378</v>
      </c>
      <c r="M766" s="156">
        <v>45950</v>
      </c>
      <c r="P766" s="57">
        <v>2.0840000000000001</v>
      </c>
      <c r="Q766" s="171">
        <v>5.21</v>
      </c>
      <c r="R766" s="166">
        <f>IFERROR(VLOOKUP(B766,#REF!,1,0),0)</f>
        <v>0</v>
      </c>
    </row>
    <row r="767" spans="1:18" x14ac:dyDescent="0.25">
      <c r="A767" s="57">
        <v>766</v>
      </c>
      <c r="B767" s="57" t="s">
        <v>1921</v>
      </c>
      <c r="C767" s="57">
        <v>1</v>
      </c>
      <c r="D767" s="57" t="s">
        <v>2018</v>
      </c>
      <c r="E767" s="57" t="s">
        <v>2127</v>
      </c>
      <c r="F767" s="57">
        <v>5220</v>
      </c>
      <c r="G767" s="57">
        <v>2920</v>
      </c>
      <c r="H767" s="57">
        <v>120</v>
      </c>
      <c r="I767" s="57" t="s">
        <v>2022</v>
      </c>
      <c r="J767" s="57" t="s">
        <v>2033</v>
      </c>
      <c r="L767" s="57" t="s">
        <v>378</v>
      </c>
      <c r="M767" s="156">
        <v>45950</v>
      </c>
      <c r="P767" s="57">
        <v>2.0840000000000001</v>
      </c>
      <c r="Q767" s="171">
        <v>5.21</v>
      </c>
      <c r="R767" s="166">
        <f>IFERROR(VLOOKUP(B767,#REF!,1,0),0)</f>
        <v>0</v>
      </c>
    </row>
    <row r="768" spans="1:18" x14ac:dyDescent="0.25">
      <c r="A768" s="57">
        <v>767</v>
      </c>
      <c r="B768" s="57" t="s">
        <v>2132</v>
      </c>
      <c r="C768" s="57">
        <v>1</v>
      </c>
      <c r="D768" s="57" t="s">
        <v>2018</v>
      </c>
      <c r="E768" s="57" t="s">
        <v>2127</v>
      </c>
      <c r="F768" s="57">
        <v>5220</v>
      </c>
      <c r="G768" s="57">
        <v>2920</v>
      </c>
      <c r="H768" s="57">
        <v>120</v>
      </c>
      <c r="I768" s="57" t="s">
        <v>2022</v>
      </c>
      <c r="J768" s="57" t="s">
        <v>2033</v>
      </c>
      <c r="L768" s="57" t="s">
        <v>378</v>
      </c>
      <c r="M768" s="156">
        <v>45950</v>
      </c>
      <c r="P768" s="57">
        <v>2.0840000000000001</v>
      </c>
      <c r="Q768" s="171">
        <v>5.21</v>
      </c>
      <c r="R768" s="166">
        <f>IFERROR(VLOOKUP(B768,#REF!,1,0),0)</f>
        <v>0</v>
      </c>
    </row>
    <row r="769" spans="1:18" x14ac:dyDescent="0.25">
      <c r="A769" s="57">
        <v>768</v>
      </c>
      <c r="B769" s="57" t="s">
        <v>2133</v>
      </c>
      <c r="C769" s="57">
        <v>1</v>
      </c>
      <c r="D769" s="57" t="s">
        <v>2018</v>
      </c>
      <c r="E769" s="57" t="s">
        <v>2127</v>
      </c>
      <c r="F769" s="57">
        <v>5220</v>
      </c>
      <c r="G769" s="57">
        <v>2920</v>
      </c>
      <c r="H769" s="57">
        <v>120</v>
      </c>
      <c r="I769" s="57" t="s">
        <v>2022</v>
      </c>
      <c r="J769" s="57" t="s">
        <v>2033</v>
      </c>
      <c r="L769" s="57" t="s">
        <v>378</v>
      </c>
      <c r="M769" s="156">
        <v>45950</v>
      </c>
      <c r="P769" s="57">
        <v>2.0840000000000001</v>
      </c>
      <c r="Q769" s="171">
        <v>5.21</v>
      </c>
      <c r="R769" s="166">
        <f>IFERROR(VLOOKUP(B769,#REF!,1,0),0)</f>
        <v>0</v>
      </c>
    </row>
    <row r="770" spans="1:18" x14ac:dyDescent="0.25">
      <c r="A770" s="57">
        <v>769</v>
      </c>
      <c r="B770" s="57" t="s">
        <v>2134</v>
      </c>
      <c r="C770" s="57">
        <v>1</v>
      </c>
      <c r="D770" s="57" t="s">
        <v>2018</v>
      </c>
      <c r="E770" s="57" t="s">
        <v>2127</v>
      </c>
      <c r="F770" s="57">
        <v>5220</v>
      </c>
      <c r="G770" s="57">
        <v>2920</v>
      </c>
      <c r="H770" s="57">
        <v>120</v>
      </c>
      <c r="I770" s="57" t="s">
        <v>2022</v>
      </c>
      <c r="J770" s="57" t="s">
        <v>2033</v>
      </c>
      <c r="L770" s="57" t="s">
        <v>378</v>
      </c>
      <c r="M770" s="156">
        <v>45950</v>
      </c>
      <c r="P770" s="57">
        <v>2.0840000000000001</v>
      </c>
      <c r="Q770" s="171">
        <v>5.21</v>
      </c>
      <c r="R770" s="166">
        <f>IFERROR(VLOOKUP(B770,#REF!,1,0),0)</f>
        <v>0</v>
      </c>
    </row>
    <row r="771" spans="1:18" x14ac:dyDescent="0.25">
      <c r="A771" s="57">
        <v>770</v>
      </c>
      <c r="B771" s="57" t="s">
        <v>2135</v>
      </c>
      <c r="C771" s="57">
        <v>1</v>
      </c>
      <c r="D771" s="57" t="s">
        <v>2018</v>
      </c>
      <c r="E771" s="57" t="s">
        <v>2129</v>
      </c>
      <c r="F771" s="57">
        <v>5220</v>
      </c>
      <c r="G771" s="57">
        <v>2920</v>
      </c>
      <c r="H771" s="57">
        <v>120</v>
      </c>
      <c r="I771" s="57" t="s">
        <v>2022</v>
      </c>
      <c r="J771" s="57" t="s">
        <v>2033</v>
      </c>
      <c r="L771" s="57" t="s">
        <v>378</v>
      </c>
      <c r="M771" s="156">
        <v>45950</v>
      </c>
      <c r="P771" s="57">
        <v>2.0840000000000001</v>
      </c>
      <c r="Q771" s="171">
        <v>5.21</v>
      </c>
      <c r="R771" s="166">
        <f>IFERROR(VLOOKUP(B771,#REF!,1,0),0)</f>
        <v>0</v>
      </c>
    </row>
    <row r="772" spans="1:18" x14ac:dyDescent="0.25">
      <c r="A772" s="57">
        <v>771</v>
      </c>
      <c r="B772" s="57" t="s">
        <v>2136</v>
      </c>
      <c r="C772" s="57">
        <v>1</v>
      </c>
      <c r="D772" s="57" t="s">
        <v>2018</v>
      </c>
      <c r="E772" s="57" t="s">
        <v>2129</v>
      </c>
      <c r="F772" s="57">
        <v>5220</v>
      </c>
      <c r="G772" s="57">
        <v>2920</v>
      </c>
      <c r="H772" s="57">
        <v>120</v>
      </c>
      <c r="I772" s="57" t="s">
        <v>2022</v>
      </c>
      <c r="J772" s="57" t="s">
        <v>2033</v>
      </c>
      <c r="L772" s="57" t="s">
        <v>378</v>
      </c>
      <c r="M772" s="156">
        <v>45950</v>
      </c>
      <c r="P772" s="57">
        <v>2.0840000000000001</v>
      </c>
      <c r="Q772" s="171">
        <v>5.21</v>
      </c>
      <c r="R772" s="166">
        <f>IFERROR(VLOOKUP(B772,#REF!,1,0),0)</f>
        <v>0</v>
      </c>
    </row>
    <row r="773" spans="1:18" x14ac:dyDescent="0.25">
      <c r="A773" s="57">
        <v>772</v>
      </c>
      <c r="B773" s="57" t="s">
        <v>2137</v>
      </c>
      <c r="C773" s="57">
        <v>1</v>
      </c>
      <c r="D773" s="57" t="s">
        <v>2018</v>
      </c>
      <c r="E773" s="57" t="s">
        <v>2129</v>
      </c>
      <c r="F773" s="57">
        <v>5220</v>
      </c>
      <c r="G773" s="57">
        <v>2920</v>
      </c>
      <c r="H773" s="57">
        <v>120</v>
      </c>
      <c r="I773" s="57" t="s">
        <v>2022</v>
      </c>
      <c r="J773" s="57" t="s">
        <v>2033</v>
      </c>
      <c r="L773" s="57" t="s">
        <v>378</v>
      </c>
      <c r="M773" s="156">
        <v>45950</v>
      </c>
      <c r="P773" s="57">
        <v>2.0840000000000001</v>
      </c>
      <c r="Q773" s="171">
        <v>5.21</v>
      </c>
      <c r="R773" s="166">
        <f>IFERROR(VLOOKUP(B773,#REF!,1,0),0)</f>
        <v>0</v>
      </c>
    </row>
    <row r="774" spans="1:18" x14ac:dyDescent="0.25">
      <c r="A774" s="57">
        <v>773</v>
      </c>
      <c r="B774" s="57" t="s">
        <v>2138</v>
      </c>
      <c r="C774" s="57">
        <v>1</v>
      </c>
      <c r="D774" s="57" t="s">
        <v>2018</v>
      </c>
      <c r="E774" s="57" t="s">
        <v>2129</v>
      </c>
      <c r="F774" s="57">
        <v>5220</v>
      </c>
      <c r="G774" s="57">
        <v>2920</v>
      </c>
      <c r="H774" s="57">
        <v>120</v>
      </c>
      <c r="I774" s="57" t="s">
        <v>2022</v>
      </c>
      <c r="J774" s="57" t="s">
        <v>2033</v>
      </c>
      <c r="L774" s="57" t="s">
        <v>378</v>
      </c>
      <c r="M774" s="156">
        <v>45950</v>
      </c>
      <c r="P774" s="57">
        <v>2.0840000000000001</v>
      </c>
      <c r="Q774" s="171">
        <v>5.21</v>
      </c>
      <c r="R774" s="166">
        <f>IFERROR(VLOOKUP(B774,#REF!,1,0),0)</f>
        <v>0</v>
      </c>
    </row>
    <row r="775" spans="1:18" x14ac:dyDescent="0.25">
      <c r="A775" s="57">
        <v>774</v>
      </c>
      <c r="B775" s="57" t="s">
        <v>2139</v>
      </c>
      <c r="C775" s="57">
        <v>1</v>
      </c>
      <c r="D775" s="57" t="s">
        <v>2018</v>
      </c>
      <c r="E775" s="57" t="s">
        <v>2125</v>
      </c>
      <c r="F775" s="57">
        <v>5220</v>
      </c>
      <c r="G775" s="57">
        <v>2920</v>
      </c>
      <c r="H775" s="57">
        <v>120</v>
      </c>
      <c r="I775" s="57" t="s">
        <v>2022</v>
      </c>
      <c r="J775" s="57" t="s">
        <v>2033</v>
      </c>
      <c r="L775" s="57" t="s">
        <v>378</v>
      </c>
      <c r="M775" s="156">
        <v>45950</v>
      </c>
      <c r="P775" s="57">
        <v>2.0840000000000001</v>
      </c>
      <c r="Q775" s="171">
        <v>5.21</v>
      </c>
      <c r="R775" s="166">
        <f>IFERROR(VLOOKUP(B775,#REF!,1,0),0)</f>
        <v>0</v>
      </c>
    </row>
    <row r="776" spans="1:18" x14ac:dyDescent="0.25">
      <c r="A776" s="57">
        <v>775</v>
      </c>
      <c r="B776" s="57" t="s">
        <v>2140</v>
      </c>
      <c r="C776" s="57">
        <v>1</v>
      </c>
      <c r="D776" s="57" t="s">
        <v>2018</v>
      </c>
      <c r="E776" s="57" t="s">
        <v>2125</v>
      </c>
      <c r="F776" s="57">
        <v>5220</v>
      </c>
      <c r="G776" s="57">
        <v>2920</v>
      </c>
      <c r="H776" s="57">
        <v>120</v>
      </c>
      <c r="I776" s="57" t="s">
        <v>2022</v>
      </c>
      <c r="J776" s="57" t="s">
        <v>2033</v>
      </c>
      <c r="L776" s="57" t="s">
        <v>378</v>
      </c>
      <c r="M776" s="156">
        <v>45950</v>
      </c>
      <c r="P776" s="57">
        <v>2.0840000000000001</v>
      </c>
      <c r="Q776" s="171">
        <v>5.21</v>
      </c>
      <c r="R776" s="166">
        <f>IFERROR(VLOOKUP(B776,#REF!,1,0),0)</f>
        <v>0</v>
      </c>
    </row>
    <row r="777" spans="1:18" x14ac:dyDescent="0.25">
      <c r="A777" s="57">
        <v>776</v>
      </c>
      <c r="B777" s="57" t="s">
        <v>2141</v>
      </c>
      <c r="C777" s="57">
        <v>1</v>
      </c>
      <c r="D777" s="57" t="s">
        <v>2018</v>
      </c>
      <c r="E777" s="57" t="s">
        <v>2125</v>
      </c>
      <c r="F777" s="57">
        <v>5220</v>
      </c>
      <c r="G777" s="57">
        <v>2920</v>
      </c>
      <c r="H777" s="57">
        <v>120</v>
      </c>
      <c r="I777" s="57" t="s">
        <v>2022</v>
      </c>
      <c r="J777" s="57" t="s">
        <v>2033</v>
      </c>
      <c r="L777" s="57" t="s">
        <v>378</v>
      </c>
      <c r="M777" s="156">
        <v>45950</v>
      </c>
      <c r="P777" s="57">
        <v>2.0840000000000001</v>
      </c>
      <c r="Q777" s="171">
        <v>5.21</v>
      </c>
      <c r="R777" s="166">
        <f>IFERROR(VLOOKUP(B777,#REF!,1,0),0)</f>
        <v>0</v>
      </c>
    </row>
    <row r="778" spans="1:18" x14ac:dyDescent="0.25">
      <c r="A778" s="57">
        <v>777</v>
      </c>
      <c r="B778" s="57" t="s">
        <v>2142</v>
      </c>
      <c r="C778" s="57">
        <v>1</v>
      </c>
      <c r="D778" s="57" t="s">
        <v>2018</v>
      </c>
      <c r="E778" s="57" t="s">
        <v>2125</v>
      </c>
      <c r="F778" s="57">
        <v>5220</v>
      </c>
      <c r="G778" s="57">
        <v>2920</v>
      </c>
      <c r="H778" s="57">
        <v>120</v>
      </c>
      <c r="I778" s="57" t="s">
        <v>2022</v>
      </c>
      <c r="J778" s="57" t="s">
        <v>2033</v>
      </c>
      <c r="L778" s="57" t="s">
        <v>378</v>
      </c>
      <c r="M778" s="156">
        <v>45950</v>
      </c>
      <c r="P778" s="57">
        <v>2.0840000000000001</v>
      </c>
      <c r="Q778" s="171">
        <v>5.21</v>
      </c>
      <c r="R778" s="166">
        <f>IFERROR(VLOOKUP(B778,#REF!,1,0),0)</f>
        <v>0</v>
      </c>
    </row>
    <row r="779" spans="1:18" x14ac:dyDescent="0.25">
      <c r="A779" s="57">
        <v>778</v>
      </c>
      <c r="B779" s="57" t="s">
        <v>2143</v>
      </c>
      <c r="C779" s="57">
        <v>1</v>
      </c>
      <c r="D779" s="57" t="s">
        <v>2018</v>
      </c>
      <c r="E779" s="57" t="s">
        <v>2126</v>
      </c>
      <c r="F779" s="57">
        <v>5220</v>
      </c>
      <c r="G779" s="57">
        <v>2920</v>
      </c>
      <c r="H779" s="57">
        <v>120</v>
      </c>
      <c r="I779" s="57" t="s">
        <v>2022</v>
      </c>
      <c r="J779" s="57" t="s">
        <v>2033</v>
      </c>
      <c r="L779" s="57" t="s">
        <v>378</v>
      </c>
      <c r="M779" s="156">
        <v>45950</v>
      </c>
      <c r="P779" s="57">
        <v>2.0840000000000001</v>
      </c>
      <c r="Q779" s="171">
        <v>5.21</v>
      </c>
      <c r="R779" s="166">
        <f>IFERROR(VLOOKUP(B779,#REF!,1,0),0)</f>
        <v>0</v>
      </c>
    </row>
    <row r="780" spans="1:18" x14ac:dyDescent="0.25">
      <c r="A780" s="57">
        <v>779</v>
      </c>
      <c r="B780" s="57" t="s">
        <v>2144</v>
      </c>
      <c r="C780" s="57">
        <v>1</v>
      </c>
      <c r="D780" s="57" t="s">
        <v>2018</v>
      </c>
      <c r="E780" s="57" t="s">
        <v>2126</v>
      </c>
      <c r="F780" s="57">
        <v>5220</v>
      </c>
      <c r="G780" s="57">
        <v>2920</v>
      </c>
      <c r="H780" s="57">
        <v>120</v>
      </c>
      <c r="I780" s="57" t="s">
        <v>2022</v>
      </c>
      <c r="J780" s="57" t="s">
        <v>2033</v>
      </c>
      <c r="L780" s="57" t="s">
        <v>378</v>
      </c>
      <c r="M780" s="156">
        <v>45950</v>
      </c>
      <c r="P780" s="57">
        <v>2.0840000000000001</v>
      </c>
      <c r="Q780" s="171">
        <v>5.21</v>
      </c>
      <c r="R780" s="166">
        <f>IFERROR(VLOOKUP(B780,#REF!,1,0),0)</f>
        <v>0</v>
      </c>
    </row>
    <row r="781" spans="1:18" x14ac:dyDescent="0.25">
      <c r="A781" s="57">
        <v>780</v>
      </c>
      <c r="B781" s="57" t="s">
        <v>2145</v>
      </c>
      <c r="C781" s="57">
        <v>1</v>
      </c>
      <c r="D781" s="57" t="s">
        <v>2018</v>
      </c>
      <c r="E781" s="57" t="s">
        <v>2126</v>
      </c>
      <c r="F781" s="57">
        <v>5220</v>
      </c>
      <c r="G781" s="57">
        <v>2920</v>
      </c>
      <c r="H781" s="57">
        <v>120</v>
      </c>
      <c r="I781" s="57" t="s">
        <v>2022</v>
      </c>
      <c r="J781" s="57" t="s">
        <v>2033</v>
      </c>
      <c r="L781" s="57" t="s">
        <v>378</v>
      </c>
      <c r="M781" s="156">
        <v>45950</v>
      </c>
      <c r="P781" s="57">
        <v>2.0840000000000001</v>
      </c>
      <c r="Q781" s="171">
        <v>5.21</v>
      </c>
      <c r="R781" s="166">
        <f>IFERROR(VLOOKUP(B781,#REF!,1,0),0)</f>
        <v>0</v>
      </c>
    </row>
    <row r="782" spans="1:18" x14ac:dyDescent="0.25">
      <c r="A782" s="57">
        <v>781</v>
      </c>
      <c r="B782" s="57" t="s">
        <v>2146</v>
      </c>
      <c r="C782" s="57">
        <v>1</v>
      </c>
      <c r="D782" s="57" t="s">
        <v>2018</v>
      </c>
      <c r="E782" s="57" t="s">
        <v>2126</v>
      </c>
      <c r="F782" s="57">
        <v>5220</v>
      </c>
      <c r="G782" s="57">
        <v>2920</v>
      </c>
      <c r="H782" s="57">
        <v>120</v>
      </c>
      <c r="I782" s="57" t="s">
        <v>2022</v>
      </c>
      <c r="J782" s="57" t="s">
        <v>2033</v>
      </c>
      <c r="L782" s="57" t="s">
        <v>378</v>
      </c>
      <c r="M782" s="156">
        <v>45950</v>
      </c>
      <c r="P782" s="57">
        <v>2.0840000000000001</v>
      </c>
      <c r="Q782" s="171">
        <v>5.21</v>
      </c>
      <c r="R782" s="166">
        <f>IFERROR(VLOOKUP(B782,#REF!,1,0),0)</f>
        <v>0</v>
      </c>
    </row>
    <row r="783" spans="1:18" x14ac:dyDescent="0.25">
      <c r="A783" s="57">
        <v>782</v>
      </c>
      <c r="B783" s="57" t="s">
        <v>1922</v>
      </c>
      <c r="C783" s="57">
        <v>1</v>
      </c>
      <c r="D783" s="57" t="s">
        <v>2018</v>
      </c>
      <c r="E783" s="57" t="s">
        <v>2127</v>
      </c>
      <c r="F783" s="57">
        <v>5357</v>
      </c>
      <c r="G783" s="57">
        <v>1850</v>
      </c>
      <c r="H783" s="57">
        <v>120</v>
      </c>
      <c r="I783" s="57" t="s">
        <v>1212</v>
      </c>
      <c r="J783" s="57" t="s">
        <v>2020</v>
      </c>
      <c r="L783" s="57" t="s">
        <v>378</v>
      </c>
      <c r="M783" s="156">
        <v>45950</v>
      </c>
      <c r="P783" s="57">
        <v>1.1910000000000001</v>
      </c>
      <c r="Q783" s="171">
        <v>2.9780000000000002</v>
      </c>
      <c r="R783" s="166">
        <f>IFERROR(VLOOKUP(B783,#REF!,1,0),0)</f>
        <v>0</v>
      </c>
    </row>
    <row r="784" spans="1:18" x14ac:dyDescent="0.25">
      <c r="A784" s="57">
        <v>783</v>
      </c>
      <c r="B784" s="57" t="s">
        <v>1923</v>
      </c>
      <c r="C784" s="57">
        <v>1</v>
      </c>
      <c r="D784" s="57" t="s">
        <v>2018</v>
      </c>
      <c r="E784" s="57" t="s">
        <v>2127</v>
      </c>
      <c r="F784" s="57">
        <v>4367</v>
      </c>
      <c r="G784" s="57">
        <v>3120</v>
      </c>
      <c r="H784" s="57">
        <v>120</v>
      </c>
      <c r="I784" s="57" t="s">
        <v>1212</v>
      </c>
      <c r="J784" s="57" t="s">
        <v>2020</v>
      </c>
      <c r="L784" s="57" t="s">
        <v>378</v>
      </c>
      <c r="M784" s="156">
        <v>45950</v>
      </c>
      <c r="P784" s="57">
        <v>1.3149999999999999</v>
      </c>
      <c r="Q784" s="171">
        <v>3.2879999999999998</v>
      </c>
      <c r="R784" s="166">
        <f>IFERROR(VLOOKUP(B784,#REF!,1,0),0)</f>
        <v>0</v>
      </c>
    </row>
    <row r="785" spans="1:18" x14ac:dyDescent="0.25">
      <c r="A785" s="57">
        <v>784</v>
      </c>
      <c r="B785" s="57" t="s">
        <v>1924</v>
      </c>
      <c r="C785" s="57">
        <v>1</v>
      </c>
      <c r="D785" s="57" t="s">
        <v>2018</v>
      </c>
      <c r="E785" s="57" t="s">
        <v>2129</v>
      </c>
      <c r="F785" s="57">
        <v>5220</v>
      </c>
      <c r="G785" s="57">
        <v>2920</v>
      </c>
      <c r="H785" s="57">
        <v>120</v>
      </c>
      <c r="I785" s="57" t="s">
        <v>2022</v>
      </c>
      <c r="J785" s="57" t="s">
        <v>2033</v>
      </c>
      <c r="L785" s="57" t="s">
        <v>378</v>
      </c>
      <c r="M785" s="156">
        <v>45950</v>
      </c>
      <c r="P785" s="57">
        <v>2.0840000000000001</v>
      </c>
      <c r="Q785" s="171">
        <v>5.21</v>
      </c>
      <c r="R785" s="166">
        <f>IFERROR(VLOOKUP(B785,#REF!,1,0),0)</f>
        <v>0</v>
      </c>
    </row>
    <row r="786" spans="1:18" x14ac:dyDescent="0.25">
      <c r="A786" s="57">
        <v>785</v>
      </c>
      <c r="B786" s="57" t="s">
        <v>2147</v>
      </c>
      <c r="C786" s="57">
        <v>1</v>
      </c>
      <c r="D786" s="57" t="s">
        <v>2018</v>
      </c>
      <c r="E786" s="57" t="s">
        <v>2127</v>
      </c>
      <c r="F786" s="57">
        <v>5220</v>
      </c>
      <c r="G786" s="57">
        <v>2920</v>
      </c>
      <c r="H786" s="57">
        <v>120</v>
      </c>
      <c r="I786" s="57" t="s">
        <v>2022</v>
      </c>
      <c r="J786" s="57" t="s">
        <v>2033</v>
      </c>
      <c r="L786" s="57" t="s">
        <v>378</v>
      </c>
      <c r="M786" s="156">
        <v>45950</v>
      </c>
      <c r="P786" s="57">
        <v>2.0840000000000001</v>
      </c>
      <c r="Q786" s="171">
        <v>5.21</v>
      </c>
      <c r="R786" s="166">
        <f>IFERROR(VLOOKUP(B786,#REF!,1,0),0)</f>
        <v>0</v>
      </c>
    </row>
    <row r="787" spans="1:18" x14ac:dyDescent="0.25">
      <c r="A787" s="57">
        <v>786</v>
      </c>
      <c r="B787" s="57" t="s">
        <v>2148</v>
      </c>
      <c r="C787" s="57">
        <v>1</v>
      </c>
      <c r="D787" s="57" t="s">
        <v>2018</v>
      </c>
      <c r="E787" s="57" t="s">
        <v>2126</v>
      </c>
      <c r="F787" s="57">
        <v>5220</v>
      </c>
      <c r="G787" s="57">
        <v>2920</v>
      </c>
      <c r="H787" s="57">
        <v>120</v>
      </c>
      <c r="I787" s="57" t="s">
        <v>2022</v>
      </c>
      <c r="J787" s="57" t="s">
        <v>2033</v>
      </c>
      <c r="L787" s="57" t="s">
        <v>378</v>
      </c>
      <c r="M787" s="156">
        <v>45950</v>
      </c>
      <c r="P787" s="57">
        <v>2.0840000000000001</v>
      </c>
      <c r="Q787" s="171">
        <v>5.21</v>
      </c>
      <c r="R787" s="166">
        <f>IFERROR(VLOOKUP(B787,#REF!,1,0),0)</f>
        <v>0</v>
      </c>
    </row>
    <row r="788" spans="1:18" x14ac:dyDescent="0.25">
      <c r="A788" s="57">
        <v>787</v>
      </c>
      <c r="B788" s="57" t="s">
        <v>2149</v>
      </c>
      <c r="C788" s="57">
        <v>1</v>
      </c>
      <c r="D788" s="57" t="s">
        <v>2018</v>
      </c>
      <c r="E788" s="57" t="s">
        <v>2125</v>
      </c>
      <c r="F788" s="57">
        <v>5220</v>
      </c>
      <c r="G788" s="57">
        <v>2920</v>
      </c>
      <c r="H788" s="57">
        <v>120</v>
      </c>
      <c r="I788" s="57" t="s">
        <v>2022</v>
      </c>
      <c r="J788" s="57" t="s">
        <v>2033</v>
      </c>
      <c r="L788" s="57" t="s">
        <v>378</v>
      </c>
      <c r="M788" s="156">
        <v>45950</v>
      </c>
      <c r="P788" s="57">
        <v>2.0840000000000001</v>
      </c>
      <c r="Q788" s="171">
        <v>5.21</v>
      </c>
      <c r="R788" s="166">
        <f>IFERROR(VLOOKUP(B788,#REF!,1,0),0)</f>
        <v>0</v>
      </c>
    </row>
    <row r="789" spans="1:18" x14ac:dyDescent="0.25">
      <c r="A789" s="57">
        <v>788</v>
      </c>
      <c r="B789" s="57" t="s">
        <v>1925</v>
      </c>
      <c r="C789" s="57">
        <v>1</v>
      </c>
      <c r="D789" s="57" t="s">
        <v>2018</v>
      </c>
      <c r="E789" s="57" t="s">
        <v>2129</v>
      </c>
      <c r="F789" s="57">
        <v>4367</v>
      </c>
      <c r="G789" s="57">
        <v>3190</v>
      </c>
      <c r="H789" s="57">
        <v>120</v>
      </c>
      <c r="I789" s="57" t="s">
        <v>1212</v>
      </c>
      <c r="J789" s="57" t="s">
        <v>2020</v>
      </c>
      <c r="L789" s="57" t="s">
        <v>378</v>
      </c>
      <c r="M789" s="156">
        <v>45950</v>
      </c>
      <c r="P789" s="57">
        <v>1.3779999999999999</v>
      </c>
      <c r="Q789" s="171">
        <v>3.4449999999999998</v>
      </c>
      <c r="R789" s="166">
        <f>IFERROR(VLOOKUP(B789,#REF!,1,0),0)</f>
        <v>0</v>
      </c>
    </row>
    <row r="790" spans="1:18" x14ac:dyDescent="0.25">
      <c r="A790" s="57">
        <v>789</v>
      </c>
      <c r="B790" s="57" t="s">
        <v>1926</v>
      </c>
      <c r="C790" s="57">
        <v>1</v>
      </c>
      <c r="D790" s="57" t="s">
        <v>2018</v>
      </c>
      <c r="E790" s="57" t="s">
        <v>2129</v>
      </c>
      <c r="F790" s="57">
        <v>5357</v>
      </c>
      <c r="G790" s="57">
        <v>1990</v>
      </c>
      <c r="H790" s="57">
        <v>120</v>
      </c>
      <c r="I790" s="57" t="s">
        <v>1212</v>
      </c>
      <c r="J790" s="57" t="s">
        <v>2020</v>
      </c>
      <c r="L790" s="57" t="s">
        <v>378</v>
      </c>
      <c r="M790" s="156">
        <v>45950</v>
      </c>
      <c r="P790" s="57">
        <v>1.2649999999999999</v>
      </c>
      <c r="Q790" s="171">
        <v>3.1629999999999998</v>
      </c>
      <c r="R790" s="166">
        <f>IFERROR(VLOOKUP(B790,#REF!,1,0),0)</f>
        <v>0</v>
      </c>
    </row>
    <row r="791" spans="1:18" x14ac:dyDescent="0.25">
      <c r="A791" s="57">
        <v>790</v>
      </c>
      <c r="B791" s="57" t="s">
        <v>1927</v>
      </c>
      <c r="C791" s="57">
        <v>1</v>
      </c>
      <c r="D791" s="57" t="s">
        <v>2018</v>
      </c>
      <c r="E791" s="57" t="s">
        <v>2150</v>
      </c>
      <c r="F791" s="57">
        <v>2400</v>
      </c>
      <c r="G791" s="57">
        <v>3230</v>
      </c>
      <c r="H791" s="57">
        <v>120</v>
      </c>
      <c r="I791" s="57" t="s">
        <v>2022</v>
      </c>
      <c r="J791" s="57" t="s">
        <v>2046</v>
      </c>
      <c r="L791" s="57" t="s">
        <v>378</v>
      </c>
      <c r="M791" s="156">
        <v>45950</v>
      </c>
      <c r="P791" s="57">
        <v>1.0149999999999999</v>
      </c>
      <c r="Q791" s="171">
        <v>2.5379999999999998</v>
      </c>
      <c r="R791" s="166">
        <f>IFERROR(VLOOKUP(B791,#REF!,1,0),0)</f>
        <v>0</v>
      </c>
    </row>
    <row r="792" spans="1:18" x14ac:dyDescent="0.25">
      <c r="A792" s="57">
        <v>791</v>
      </c>
      <c r="B792" s="57" t="s">
        <v>1928</v>
      </c>
      <c r="C792" s="57">
        <v>1</v>
      </c>
      <c r="D792" s="57" t="s">
        <v>2018</v>
      </c>
      <c r="E792" s="57" t="s">
        <v>2150</v>
      </c>
      <c r="F792" s="57">
        <v>5220</v>
      </c>
      <c r="G792" s="57">
        <v>2880</v>
      </c>
      <c r="H792" s="57">
        <v>120</v>
      </c>
      <c r="I792" s="57" t="s">
        <v>2022</v>
      </c>
      <c r="J792" s="57" t="s">
        <v>2033</v>
      </c>
      <c r="L792" s="57" t="s">
        <v>378</v>
      </c>
      <c r="M792" s="156">
        <v>45950</v>
      </c>
      <c r="P792" s="57">
        <v>2.0590000000000002</v>
      </c>
      <c r="Q792" s="171">
        <v>5.1479999999999997</v>
      </c>
      <c r="R792" s="166">
        <f>IFERROR(VLOOKUP(B792,#REF!,1,0),0)</f>
        <v>0</v>
      </c>
    </row>
    <row r="793" spans="1:18" x14ac:dyDescent="0.25">
      <c r="A793" s="57">
        <v>792</v>
      </c>
      <c r="B793" s="57" t="s">
        <v>2151</v>
      </c>
      <c r="C793" s="57">
        <v>1</v>
      </c>
      <c r="D793" s="57" t="s">
        <v>2018</v>
      </c>
      <c r="E793" s="57" t="s">
        <v>2152</v>
      </c>
      <c r="F793" s="57">
        <v>5220</v>
      </c>
      <c r="G793" s="57">
        <v>2880</v>
      </c>
      <c r="H793" s="57">
        <v>120</v>
      </c>
      <c r="I793" s="57" t="s">
        <v>2022</v>
      </c>
      <c r="J793" s="57" t="s">
        <v>2033</v>
      </c>
      <c r="L793" s="57" t="s">
        <v>378</v>
      </c>
      <c r="M793" s="156">
        <v>45950</v>
      </c>
      <c r="P793" s="57">
        <v>2.0590000000000002</v>
      </c>
      <c r="Q793" s="171">
        <v>5.1479999999999997</v>
      </c>
      <c r="R793" s="166">
        <f>IFERROR(VLOOKUP(B793,#REF!,1,0),0)</f>
        <v>0</v>
      </c>
    </row>
    <row r="794" spans="1:18" x14ac:dyDescent="0.25">
      <c r="A794" s="57">
        <v>793</v>
      </c>
      <c r="B794" s="57" t="s">
        <v>1929</v>
      </c>
      <c r="C794" s="57">
        <v>1</v>
      </c>
      <c r="D794" s="57" t="s">
        <v>2018</v>
      </c>
      <c r="E794" s="57" t="s">
        <v>2150</v>
      </c>
      <c r="F794" s="57">
        <v>5220</v>
      </c>
      <c r="G794" s="57">
        <v>2880</v>
      </c>
      <c r="H794" s="57">
        <v>120</v>
      </c>
      <c r="I794" s="57" t="s">
        <v>2022</v>
      </c>
      <c r="J794" s="57" t="s">
        <v>2033</v>
      </c>
      <c r="L794" s="57" t="s">
        <v>378</v>
      </c>
      <c r="M794" s="156">
        <v>45950</v>
      </c>
      <c r="P794" s="57">
        <v>2.0590000000000002</v>
      </c>
      <c r="Q794" s="171">
        <v>5.1479999999999997</v>
      </c>
      <c r="R794" s="166">
        <f>IFERROR(VLOOKUP(B794,#REF!,1,0),0)</f>
        <v>0</v>
      </c>
    </row>
    <row r="795" spans="1:18" x14ac:dyDescent="0.25">
      <c r="A795" s="57">
        <v>794</v>
      </c>
      <c r="B795" s="57" t="s">
        <v>2153</v>
      </c>
      <c r="C795" s="57">
        <v>1</v>
      </c>
      <c r="D795" s="57" t="s">
        <v>2018</v>
      </c>
      <c r="E795" s="57" t="s">
        <v>2150</v>
      </c>
      <c r="F795" s="57">
        <v>5220</v>
      </c>
      <c r="G795" s="57">
        <v>2880</v>
      </c>
      <c r="H795" s="57">
        <v>120</v>
      </c>
      <c r="I795" s="57" t="s">
        <v>2022</v>
      </c>
      <c r="J795" s="57" t="s">
        <v>2033</v>
      </c>
      <c r="L795" s="57" t="s">
        <v>378</v>
      </c>
      <c r="M795" s="156">
        <v>45950</v>
      </c>
      <c r="P795" s="57">
        <v>2.0590000000000002</v>
      </c>
      <c r="Q795" s="171">
        <v>5.1479999999999997</v>
      </c>
      <c r="R795" s="166">
        <f>IFERROR(VLOOKUP(B795,#REF!,1,0),0)</f>
        <v>0</v>
      </c>
    </row>
    <row r="796" spans="1:18" x14ac:dyDescent="0.25">
      <c r="A796" s="57">
        <v>795</v>
      </c>
      <c r="B796" s="57" t="s">
        <v>2154</v>
      </c>
      <c r="C796" s="57">
        <v>1</v>
      </c>
      <c r="D796" s="57" t="s">
        <v>2018</v>
      </c>
      <c r="E796" s="57" t="s">
        <v>2150</v>
      </c>
      <c r="F796" s="57">
        <v>5220</v>
      </c>
      <c r="G796" s="57">
        <v>2880</v>
      </c>
      <c r="H796" s="57">
        <v>120</v>
      </c>
      <c r="I796" s="57" t="s">
        <v>2022</v>
      </c>
      <c r="J796" s="57" t="s">
        <v>2033</v>
      </c>
      <c r="L796" s="57" t="s">
        <v>378</v>
      </c>
      <c r="M796" s="156">
        <v>45950</v>
      </c>
      <c r="P796" s="57">
        <v>2.0590000000000002</v>
      </c>
      <c r="Q796" s="171">
        <v>5.1479999999999997</v>
      </c>
      <c r="R796" s="166">
        <f>IFERROR(VLOOKUP(B796,#REF!,1,0),0)</f>
        <v>0</v>
      </c>
    </row>
    <row r="797" spans="1:18" x14ac:dyDescent="0.25">
      <c r="A797" s="57">
        <v>796</v>
      </c>
      <c r="B797" s="57" t="s">
        <v>2155</v>
      </c>
      <c r="C797" s="57">
        <v>1</v>
      </c>
      <c r="D797" s="57" t="s">
        <v>2018</v>
      </c>
      <c r="E797" s="57" t="s">
        <v>2150</v>
      </c>
      <c r="F797" s="57">
        <v>5220</v>
      </c>
      <c r="G797" s="57">
        <v>2880</v>
      </c>
      <c r="H797" s="57">
        <v>120</v>
      </c>
      <c r="I797" s="57" t="s">
        <v>2022</v>
      </c>
      <c r="J797" s="57" t="s">
        <v>2033</v>
      </c>
      <c r="L797" s="57" t="s">
        <v>378</v>
      </c>
      <c r="M797" s="156">
        <v>45950</v>
      </c>
      <c r="P797" s="57">
        <v>2.0590000000000002</v>
      </c>
      <c r="Q797" s="171">
        <v>5.1479999999999997</v>
      </c>
      <c r="R797" s="166">
        <f>IFERROR(VLOOKUP(B797,#REF!,1,0),0)</f>
        <v>0</v>
      </c>
    </row>
    <row r="798" spans="1:18" x14ac:dyDescent="0.25">
      <c r="A798" s="57">
        <v>797</v>
      </c>
      <c r="B798" s="57" t="s">
        <v>2156</v>
      </c>
      <c r="C798" s="57">
        <v>1</v>
      </c>
      <c r="D798" s="57" t="s">
        <v>2018</v>
      </c>
      <c r="E798" s="57" t="s">
        <v>2152</v>
      </c>
      <c r="F798" s="57">
        <v>5220</v>
      </c>
      <c r="G798" s="57">
        <v>2880</v>
      </c>
      <c r="H798" s="57">
        <v>120</v>
      </c>
      <c r="I798" s="57" t="s">
        <v>2022</v>
      </c>
      <c r="J798" s="57" t="s">
        <v>2033</v>
      </c>
      <c r="L798" s="57" t="s">
        <v>378</v>
      </c>
      <c r="M798" s="156">
        <v>45950</v>
      </c>
      <c r="P798" s="57">
        <v>2.0590000000000002</v>
      </c>
      <c r="Q798" s="171">
        <v>5.1479999999999997</v>
      </c>
      <c r="R798" s="166">
        <f>IFERROR(VLOOKUP(B798,#REF!,1,0),0)</f>
        <v>0</v>
      </c>
    </row>
    <row r="799" spans="1:18" x14ac:dyDescent="0.25">
      <c r="A799" s="57">
        <v>798</v>
      </c>
      <c r="B799" s="57" t="s">
        <v>2157</v>
      </c>
      <c r="C799" s="57">
        <v>1</v>
      </c>
      <c r="D799" s="57" t="s">
        <v>2018</v>
      </c>
      <c r="E799" s="57" t="s">
        <v>2152</v>
      </c>
      <c r="F799" s="57">
        <v>5220</v>
      </c>
      <c r="G799" s="57">
        <v>2880</v>
      </c>
      <c r="H799" s="57">
        <v>120</v>
      </c>
      <c r="I799" s="57" t="s">
        <v>2022</v>
      </c>
      <c r="J799" s="57" t="s">
        <v>2033</v>
      </c>
      <c r="L799" s="57" t="s">
        <v>378</v>
      </c>
      <c r="M799" s="156">
        <v>45950</v>
      </c>
      <c r="P799" s="57">
        <v>2.0590000000000002</v>
      </c>
      <c r="Q799" s="171">
        <v>5.1479999999999997</v>
      </c>
      <c r="R799" s="166">
        <f>IFERROR(VLOOKUP(B799,#REF!,1,0),0)</f>
        <v>0</v>
      </c>
    </row>
    <row r="800" spans="1:18" x14ac:dyDescent="0.25">
      <c r="A800" s="57">
        <v>799</v>
      </c>
      <c r="B800" s="57" t="s">
        <v>2158</v>
      </c>
      <c r="C800" s="57">
        <v>1</v>
      </c>
      <c r="D800" s="57" t="s">
        <v>2018</v>
      </c>
      <c r="E800" s="57" t="s">
        <v>2152</v>
      </c>
      <c r="F800" s="57">
        <v>5220</v>
      </c>
      <c r="G800" s="57">
        <v>2880</v>
      </c>
      <c r="H800" s="57">
        <v>120</v>
      </c>
      <c r="I800" s="57" t="s">
        <v>2022</v>
      </c>
      <c r="J800" s="57" t="s">
        <v>2033</v>
      </c>
      <c r="L800" s="57" t="s">
        <v>378</v>
      </c>
      <c r="M800" s="156">
        <v>45950</v>
      </c>
      <c r="P800" s="57">
        <v>2.0590000000000002</v>
      </c>
      <c r="Q800" s="171">
        <v>5.1479999999999997</v>
      </c>
      <c r="R800" s="166">
        <f>IFERROR(VLOOKUP(B800,#REF!,1,0),0)</f>
        <v>0</v>
      </c>
    </row>
    <row r="801" spans="1:18" x14ac:dyDescent="0.25">
      <c r="A801" s="57">
        <v>800</v>
      </c>
      <c r="B801" s="57" t="s">
        <v>2159</v>
      </c>
      <c r="C801" s="57">
        <v>1</v>
      </c>
      <c r="D801" s="57" t="s">
        <v>2018</v>
      </c>
      <c r="E801" s="57" t="s">
        <v>2152</v>
      </c>
      <c r="F801" s="57">
        <v>5220</v>
      </c>
      <c r="G801" s="57">
        <v>2880</v>
      </c>
      <c r="H801" s="57">
        <v>120</v>
      </c>
      <c r="I801" s="57" t="s">
        <v>2022</v>
      </c>
      <c r="J801" s="57" t="s">
        <v>2033</v>
      </c>
      <c r="L801" s="57" t="s">
        <v>378</v>
      </c>
      <c r="M801" s="156">
        <v>45950</v>
      </c>
      <c r="P801" s="57">
        <v>2.0590000000000002</v>
      </c>
      <c r="Q801" s="171">
        <v>5.1479999999999997</v>
      </c>
      <c r="R801" s="166">
        <f>IFERROR(VLOOKUP(B801,#REF!,1,0),0)</f>
        <v>0</v>
      </c>
    </row>
    <row r="802" spans="1:18" x14ac:dyDescent="0.25">
      <c r="A802" s="57">
        <v>801</v>
      </c>
      <c r="B802" s="57" t="s">
        <v>1930</v>
      </c>
      <c r="C802" s="57">
        <v>1</v>
      </c>
      <c r="D802" s="57" t="s">
        <v>2018</v>
      </c>
      <c r="E802" s="57" t="s">
        <v>2150</v>
      </c>
      <c r="F802" s="57">
        <v>5357</v>
      </c>
      <c r="G802" s="57">
        <v>2030</v>
      </c>
      <c r="H802" s="57">
        <v>120</v>
      </c>
      <c r="I802" s="57" t="s">
        <v>1212</v>
      </c>
      <c r="J802" s="57" t="s">
        <v>2020</v>
      </c>
      <c r="L802" s="57" t="s">
        <v>378</v>
      </c>
      <c r="M802" s="156">
        <v>45950</v>
      </c>
      <c r="P802" s="57">
        <v>1.2909999999999999</v>
      </c>
      <c r="Q802" s="171">
        <v>3.2280000000000002</v>
      </c>
      <c r="R802" s="166">
        <f>IFERROR(VLOOKUP(B802,#REF!,1,0),0)</f>
        <v>0</v>
      </c>
    </row>
    <row r="803" spans="1:18" x14ac:dyDescent="0.25">
      <c r="A803" s="57">
        <v>802</v>
      </c>
      <c r="B803" s="57" t="s">
        <v>1931</v>
      </c>
      <c r="C803" s="57">
        <v>1</v>
      </c>
      <c r="D803" s="57" t="s">
        <v>2018</v>
      </c>
      <c r="E803" s="57" t="s">
        <v>2150</v>
      </c>
      <c r="F803" s="57">
        <v>4367</v>
      </c>
      <c r="G803" s="57">
        <v>3230</v>
      </c>
      <c r="H803" s="57">
        <v>120</v>
      </c>
      <c r="I803" s="57" t="s">
        <v>1212</v>
      </c>
      <c r="J803" s="57" t="s">
        <v>2020</v>
      </c>
      <c r="L803" s="57" t="s">
        <v>378</v>
      </c>
      <c r="M803" s="156">
        <v>45950</v>
      </c>
      <c r="P803" s="57">
        <v>1.399</v>
      </c>
      <c r="Q803" s="171">
        <v>3.4980000000000002</v>
      </c>
      <c r="R803" s="166">
        <f>IFERROR(VLOOKUP(B803,#REF!,1,0),0)</f>
        <v>0</v>
      </c>
    </row>
    <row r="804" spans="1:18" x14ac:dyDescent="0.25">
      <c r="A804" s="57">
        <v>803</v>
      </c>
      <c r="B804" s="57" t="s">
        <v>1932</v>
      </c>
      <c r="C804" s="57">
        <v>1</v>
      </c>
      <c r="D804" s="57" t="s">
        <v>2018</v>
      </c>
      <c r="E804" s="57" t="s">
        <v>2152</v>
      </c>
      <c r="F804" s="57">
        <v>2400</v>
      </c>
      <c r="G804" s="57">
        <v>3275</v>
      </c>
      <c r="H804" s="57">
        <v>120</v>
      </c>
      <c r="I804" s="57" t="s">
        <v>2022</v>
      </c>
      <c r="J804" s="57" t="s">
        <v>2023</v>
      </c>
      <c r="L804" s="57" t="s">
        <v>378</v>
      </c>
      <c r="M804" s="156">
        <v>45950</v>
      </c>
      <c r="P804" s="57">
        <v>1.0529999999999999</v>
      </c>
      <c r="Q804" s="171">
        <v>2.633</v>
      </c>
      <c r="R804" s="166">
        <f>IFERROR(VLOOKUP(B804,#REF!,1,0),0)</f>
        <v>0</v>
      </c>
    </row>
    <row r="805" spans="1:18" x14ac:dyDescent="0.25">
      <c r="A805" s="57">
        <v>804</v>
      </c>
      <c r="B805" s="57" t="s">
        <v>1933</v>
      </c>
      <c r="C805" s="57">
        <v>1</v>
      </c>
      <c r="D805" s="57" t="s">
        <v>2018</v>
      </c>
      <c r="E805" s="57" t="s">
        <v>2152</v>
      </c>
      <c r="F805" s="57">
        <v>5220</v>
      </c>
      <c r="G805" s="57">
        <v>2880</v>
      </c>
      <c r="H805" s="57">
        <v>120</v>
      </c>
      <c r="I805" s="57" t="s">
        <v>2022</v>
      </c>
      <c r="J805" s="57" t="s">
        <v>2033</v>
      </c>
      <c r="L805" s="57" t="s">
        <v>378</v>
      </c>
      <c r="M805" s="156">
        <v>45950</v>
      </c>
      <c r="P805" s="57">
        <v>2.0590000000000002</v>
      </c>
      <c r="Q805" s="171">
        <v>5.1479999999999997</v>
      </c>
      <c r="R805" s="166">
        <f>IFERROR(VLOOKUP(B805,#REF!,1,0),0)</f>
        <v>0</v>
      </c>
    </row>
    <row r="806" spans="1:18" x14ac:dyDescent="0.25">
      <c r="A806" s="57">
        <v>805</v>
      </c>
      <c r="B806" s="57" t="s">
        <v>2160</v>
      </c>
      <c r="C806" s="57">
        <v>1</v>
      </c>
      <c r="D806" s="57" t="s">
        <v>2018</v>
      </c>
      <c r="E806" s="57" t="s">
        <v>2150</v>
      </c>
      <c r="F806" s="57">
        <v>5220</v>
      </c>
      <c r="G806" s="57">
        <v>2880</v>
      </c>
      <c r="H806" s="57">
        <v>120</v>
      </c>
      <c r="I806" s="57" t="s">
        <v>2022</v>
      </c>
      <c r="J806" s="57" t="s">
        <v>2033</v>
      </c>
      <c r="L806" s="57" t="s">
        <v>378</v>
      </c>
      <c r="M806" s="156">
        <v>45950</v>
      </c>
      <c r="P806" s="57">
        <v>2.0590000000000002</v>
      </c>
      <c r="Q806" s="171">
        <v>5.1479999999999997</v>
      </c>
      <c r="R806" s="166">
        <f>IFERROR(VLOOKUP(B806,#REF!,1,0),0)</f>
        <v>0</v>
      </c>
    </row>
    <row r="807" spans="1:18" x14ac:dyDescent="0.25">
      <c r="A807" s="57">
        <v>806</v>
      </c>
      <c r="B807" s="57" t="s">
        <v>1934</v>
      </c>
      <c r="C807" s="57">
        <v>1</v>
      </c>
      <c r="D807" s="57" t="s">
        <v>2018</v>
      </c>
      <c r="E807" s="57" t="s">
        <v>2152</v>
      </c>
      <c r="F807" s="57">
        <v>4367</v>
      </c>
      <c r="G807" s="57">
        <v>3230</v>
      </c>
      <c r="H807" s="57">
        <v>120</v>
      </c>
      <c r="I807" s="57" t="s">
        <v>1212</v>
      </c>
      <c r="J807" s="57" t="s">
        <v>2020</v>
      </c>
      <c r="L807" s="57" t="s">
        <v>378</v>
      </c>
      <c r="M807" s="156">
        <v>45950</v>
      </c>
      <c r="P807" s="57">
        <v>1.395</v>
      </c>
      <c r="Q807" s="171">
        <v>3.488</v>
      </c>
      <c r="R807" s="166">
        <f>IFERROR(VLOOKUP(B807,#REF!,1,0),0)</f>
        <v>0</v>
      </c>
    </row>
    <row r="808" spans="1:18" x14ac:dyDescent="0.25">
      <c r="A808" s="57">
        <v>807</v>
      </c>
      <c r="B808" s="57" t="s">
        <v>1935</v>
      </c>
      <c r="C808" s="57">
        <v>1</v>
      </c>
      <c r="D808" s="57" t="s">
        <v>2018</v>
      </c>
      <c r="E808" s="57" t="s">
        <v>2152</v>
      </c>
      <c r="F808" s="57">
        <v>5357</v>
      </c>
      <c r="G808" s="57">
        <v>2020</v>
      </c>
      <c r="H808" s="57">
        <v>120</v>
      </c>
      <c r="I808" s="57" t="s">
        <v>1212</v>
      </c>
      <c r="J808" s="57" t="s">
        <v>2020</v>
      </c>
      <c r="L808" s="57" t="s">
        <v>378</v>
      </c>
      <c r="M808" s="156">
        <v>45950</v>
      </c>
      <c r="P808" s="57">
        <v>1.2849999999999999</v>
      </c>
      <c r="Q808" s="171">
        <v>3.2130000000000001</v>
      </c>
      <c r="R808" s="166">
        <f>IFERROR(VLOOKUP(B808,#REF!,1,0),0)</f>
        <v>0</v>
      </c>
    </row>
    <row r="809" spans="1:18" x14ac:dyDescent="0.25">
      <c r="A809" s="57">
        <v>808</v>
      </c>
      <c r="B809" s="57" t="s">
        <v>1936</v>
      </c>
      <c r="C809" s="57">
        <v>1</v>
      </c>
      <c r="D809" s="57" t="s">
        <v>2018</v>
      </c>
      <c r="E809" s="57" t="s">
        <v>2161</v>
      </c>
      <c r="F809" s="57">
        <v>4777</v>
      </c>
      <c r="G809" s="57">
        <v>3135</v>
      </c>
      <c r="H809" s="57">
        <v>120</v>
      </c>
      <c r="I809" s="57" t="s">
        <v>2022</v>
      </c>
      <c r="J809" s="57" t="s">
        <v>2031</v>
      </c>
      <c r="L809" s="57" t="s">
        <v>378</v>
      </c>
      <c r="M809" s="156">
        <v>45950</v>
      </c>
      <c r="P809" s="57">
        <v>1.944</v>
      </c>
      <c r="Q809" s="171">
        <v>4.8600000000000003</v>
      </c>
      <c r="R809" s="166">
        <f>IFERROR(VLOOKUP(B809,#REF!,1,0),0)</f>
        <v>0</v>
      </c>
    </row>
    <row r="810" spans="1:18" x14ac:dyDescent="0.25">
      <c r="A810" s="57">
        <v>809</v>
      </c>
      <c r="B810" s="57" t="s">
        <v>1937</v>
      </c>
      <c r="C810" s="57">
        <v>1</v>
      </c>
      <c r="D810" s="57" t="s">
        <v>2018</v>
      </c>
      <c r="E810" s="57" t="s">
        <v>2161</v>
      </c>
      <c r="F810" s="57">
        <v>5266</v>
      </c>
      <c r="G810" s="57">
        <v>3270</v>
      </c>
      <c r="H810" s="57">
        <v>120</v>
      </c>
      <c r="I810" s="57" t="s">
        <v>2022</v>
      </c>
      <c r="J810" s="57" t="s">
        <v>2032</v>
      </c>
      <c r="L810" s="57" t="s">
        <v>378</v>
      </c>
      <c r="M810" s="156">
        <v>45950</v>
      </c>
      <c r="P810" s="57">
        <v>2.246</v>
      </c>
      <c r="Q810" s="171">
        <v>5.6150000000000002</v>
      </c>
      <c r="R810" s="166">
        <f>IFERROR(VLOOKUP(B810,#REF!,1,0),0)</f>
        <v>0</v>
      </c>
    </row>
    <row r="811" spans="1:18" x14ac:dyDescent="0.25">
      <c r="A811" s="57">
        <v>810</v>
      </c>
      <c r="B811" s="57" t="s">
        <v>1938</v>
      </c>
      <c r="C811" s="57">
        <v>1</v>
      </c>
      <c r="D811" s="57" t="s">
        <v>2018</v>
      </c>
      <c r="E811" s="57" t="s">
        <v>2161</v>
      </c>
      <c r="F811" s="57">
        <v>5266</v>
      </c>
      <c r="G811" s="57">
        <v>3270</v>
      </c>
      <c r="H811" s="57">
        <v>120</v>
      </c>
      <c r="I811" s="57" t="s">
        <v>2022</v>
      </c>
      <c r="J811" s="57" t="s">
        <v>2032</v>
      </c>
      <c r="L811" s="57" t="s">
        <v>378</v>
      </c>
      <c r="M811" s="156">
        <v>45950</v>
      </c>
      <c r="P811" s="57">
        <v>2.246</v>
      </c>
      <c r="Q811" s="171">
        <v>5.6150000000000002</v>
      </c>
      <c r="R811" s="166">
        <f>IFERROR(VLOOKUP(B811,#REF!,1,0),0)</f>
        <v>0</v>
      </c>
    </row>
    <row r="812" spans="1:18" x14ac:dyDescent="0.25">
      <c r="A812" s="57">
        <v>811</v>
      </c>
      <c r="B812" s="57" t="s">
        <v>2162</v>
      </c>
      <c r="C812" s="57">
        <v>1</v>
      </c>
      <c r="D812" s="57" t="s">
        <v>2018</v>
      </c>
      <c r="E812" s="57" t="s">
        <v>2161</v>
      </c>
      <c r="F812" s="57">
        <v>5266</v>
      </c>
      <c r="G812" s="57">
        <v>3270</v>
      </c>
      <c r="H812" s="57">
        <v>120</v>
      </c>
      <c r="I812" s="57" t="s">
        <v>2022</v>
      </c>
      <c r="J812" s="57" t="s">
        <v>2032</v>
      </c>
      <c r="L812" s="57" t="s">
        <v>378</v>
      </c>
      <c r="M812" s="156">
        <v>45950</v>
      </c>
      <c r="P812" s="57">
        <v>2.246</v>
      </c>
      <c r="Q812" s="171">
        <v>5.6150000000000002</v>
      </c>
      <c r="R812" s="166">
        <f>IFERROR(VLOOKUP(B812,#REF!,1,0),0)</f>
        <v>0</v>
      </c>
    </row>
    <row r="813" spans="1:18" x14ac:dyDescent="0.25">
      <c r="A813" s="57">
        <v>812</v>
      </c>
      <c r="B813" s="57" t="s">
        <v>2163</v>
      </c>
      <c r="C813" s="57">
        <v>1</v>
      </c>
      <c r="D813" s="57" t="s">
        <v>2018</v>
      </c>
      <c r="E813" s="57" t="s">
        <v>2161</v>
      </c>
      <c r="F813" s="57">
        <v>5266</v>
      </c>
      <c r="G813" s="57">
        <v>3270</v>
      </c>
      <c r="H813" s="57">
        <v>120</v>
      </c>
      <c r="I813" s="57" t="s">
        <v>2022</v>
      </c>
      <c r="J813" s="57" t="s">
        <v>2032</v>
      </c>
      <c r="L813" s="57" t="s">
        <v>378</v>
      </c>
      <c r="M813" s="156">
        <v>45950</v>
      </c>
      <c r="P813" s="57">
        <v>2.246</v>
      </c>
      <c r="Q813" s="171">
        <v>5.6150000000000002</v>
      </c>
      <c r="R813" s="166">
        <f>IFERROR(VLOOKUP(B813,#REF!,1,0),0)</f>
        <v>0</v>
      </c>
    </row>
    <row r="814" spans="1:18" x14ac:dyDescent="0.25">
      <c r="A814" s="57">
        <v>813</v>
      </c>
      <c r="B814" s="57" t="s">
        <v>1939</v>
      </c>
      <c r="C814" s="57">
        <v>1</v>
      </c>
      <c r="D814" s="57" t="s">
        <v>2018</v>
      </c>
      <c r="E814" s="57" t="s">
        <v>2161</v>
      </c>
      <c r="F814" s="57">
        <v>5265</v>
      </c>
      <c r="G814" s="57">
        <v>3135</v>
      </c>
      <c r="H814" s="57">
        <v>120</v>
      </c>
      <c r="I814" s="57" t="s">
        <v>2022</v>
      </c>
      <c r="J814" s="57" t="s">
        <v>2032</v>
      </c>
      <c r="L814" s="57" t="s">
        <v>378</v>
      </c>
      <c r="M814" s="156">
        <v>45950</v>
      </c>
      <c r="P814" s="57">
        <v>2.16</v>
      </c>
      <c r="Q814" s="171">
        <v>5.4</v>
      </c>
      <c r="R814" s="166">
        <f>IFERROR(VLOOKUP(B814,#REF!,1,0),0)</f>
        <v>0</v>
      </c>
    </row>
    <row r="815" spans="1:18" x14ac:dyDescent="0.25">
      <c r="A815" s="57">
        <v>814</v>
      </c>
      <c r="B815" s="57" t="s">
        <v>1940</v>
      </c>
      <c r="C815" s="57">
        <v>1</v>
      </c>
      <c r="D815" s="57" t="s">
        <v>2018</v>
      </c>
      <c r="E815" s="57" t="s">
        <v>2161</v>
      </c>
      <c r="F815" s="57">
        <v>4310</v>
      </c>
      <c r="G815" s="57">
        <v>2800</v>
      </c>
      <c r="H815" s="57">
        <v>120</v>
      </c>
      <c r="I815" s="57" t="s">
        <v>2022</v>
      </c>
      <c r="J815" s="57" t="s">
        <v>2034</v>
      </c>
      <c r="L815" s="57" t="s">
        <v>378</v>
      </c>
      <c r="M815" s="156">
        <v>45950</v>
      </c>
      <c r="P815" s="57">
        <v>1.4119999999999999</v>
      </c>
      <c r="Q815" s="171">
        <v>3.53</v>
      </c>
      <c r="R815" s="166">
        <f>IFERROR(VLOOKUP(B815,#REF!,1,0),0)</f>
        <v>0</v>
      </c>
    </row>
    <row r="816" spans="1:18" x14ac:dyDescent="0.25">
      <c r="A816" s="57">
        <v>815</v>
      </c>
      <c r="B816" s="57" t="s">
        <v>2042</v>
      </c>
      <c r="C816" s="57">
        <v>1</v>
      </c>
      <c r="D816" s="57" t="s">
        <v>2018</v>
      </c>
      <c r="E816" s="57" t="s">
        <v>2150</v>
      </c>
      <c r="F816" s="57">
        <v>4310</v>
      </c>
      <c r="G816" s="57">
        <v>2800</v>
      </c>
      <c r="H816" s="57">
        <v>120</v>
      </c>
      <c r="I816" s="57" t="s">
        <v>2022</v>
      </c>
      <c r="J816" s="57" t="s">
        <v>2034</v>
      </c>
      <c r="L816" s="57" t="s">
        <v>378</v>
      </c>
      <c r="M816" s="156">
        <v>45950</v>
      </c>
      <c r="P816" s="57">
        <v>1.4119999999999999</v>
      </c>
      <c r="Q816" s="171">
        <v>3.53</v>
      </c>
      <c r="R816" s="166">
        <f>IFERROR(VLOOKUP(B816,#REF!,1,0),0)</f>
        <v>0</v>
      </c>
    </row>
    <row r="817" spans="1:18" x14ac:dyDescent="0.25">
      <c r="A817" s="57">
        <v>816</v>
      </c>
      <c r="B817" s="57" t="s">
        <v>2164</v>
      </c>
      <c r="C817" s="57">
        <v>1</v>
      </c>
      <c r="D817" s="57" t="s">
        <v>2018</v>
      </c>
      <c r="E817" s="57" t="s">
        <v>2127</v>
      </c>
      <c r="F817" s="57">
        <v>4310</v>
      </c>
      <c r="G817" s="57">
        <v>2800</v>
      </c>
      <c r="H817" s="57">
        <v>120</v>
      </c>
      <c r="I817" s="57" t="s">
        <v>2022</v>
      </c>
      <c r="J817" s="57" t="s">
        <v>2034</v>
      </c>
      <c r="L817" s="57" t="s">
        <v>378</v>
      </c>
      <c r="M817" s="156">
        <v>45950</v>
      </c>
      <c r="P817" s="57">
        <v>1.4119999999999999</v>
      </c>
      <c r="Q817" s="171">
        <v>3.53</v>
      </c>
      <c r="R817" s="166">
        <f>IFERROR(VLOOKUP(B817,#REF!,1,0),0)</f>
        <v>0</v>
      </c>
    </row>
    <row r="818" spans="1:18" x14ac:dyDescent="0.25">
      <c r="A818" s="57">
        <v>817</v>
      </c>
      <c r="B818" s="57" t="s">
        <v>2165</v>
      </c>
      <c r="C818" s="57">
        <v>1</v>
      </c>
      <c r="D818" s="57" t="s">
        <v>2018</v>
      </c>
      <c r="E818" s="57" t="s">
        <v>2125</v>
      </c>
      <c r="F818" s="57">
        <v>4310</v>
      </c>
      <c r="G818" s="57">
        <v>2800</v>
      </c>
      <c r="H818" s="57">
        <v>120</v>
      </c>
      <c r="I818" s="57" t="s">
        <v>2022</v>
      </c>
      <c r="J818" s="57" t="s">
        <v>2034</v>
      </c>
      <c r="L818" s="57" t="s">
        <v>378</v>
      </c>
      <c r="M818" s="156">
        <v>45950</v>
      </c>
      <c r="P818" s="57">
        <v>1.4119999999999999</v>
      </c>
      <c r="Q818" s="171">
        <v>3.53</v>
      </c>
      <c r="R818" s="166">
        <f>IFERROR(VLOOKUP(B818,#REF!,1,0),0)</f>
        <v>0</v>
      </c>
    </row>
    <row r="819" spans="1:18" x14ac:dyDescent="0.25">
      <c r="A819" s="57">
        <v>818</v>
      </c>
      <c r="B819" s="57" t="s">
        <v>2166</v>
      </c>
      <c r="C819" s="57">
        <v>1</v>
      </c>
      <c r="D819" s="57" t="s">
        <v>2018</v>
      </c>
      <c r="E819" s="57" t="s">
        <v>2114</v>
      </c>
      <c r="F819" s="57">
        <v>4310</v>
      </c>
      <c r="G819" s="57">
        <v>2800</v>
      </c>
      <c r="H819" s="57">
        <v>120</v>
      </c>
      <c r="I819" s="57" t="s">
        <v>2022</v>
      </c>
      <c r="J819" s="57" t="s">
        <v>2034</v>
      </c>
      <c r="L819" s="57" t="s">
        <v>378</v>
      </c>
      <c r="M819" s="156">
        <v>45950</v>
      </c>
      <c r="P819" s="57">
        <v>1.4119999999999999</v>
      </c>
      <c r="Q819" s="171">
        <v>3.53</v>
      </c>
      <c r="R819" s="166">
        <f>IFERROR(VLOOKUP(B819,#REF!,1,0),0)</f>
        <v>0</v>
      </c>
    </row>
    <row r="820" spans="1:18" x14ac:dyDescent="0.25">
      <c r="A820" s="57">
        <v>819</v>
      </c>
      <c r="B820" s="57" t="s">
        <v>2167</v>
      </c>
      <c r="C820" s="57">
        <v>1</v>
      </c>
      <c r="D820" s="57" t="s">
        <v>2018</v>
      </c>
      <c r="E820" s="57" t="s">
        <v>2089</v>
      </c>
      <c r="F820" s="57">
        <v>4310</v>
      </c>
      <c r="G820" s="57">
        <v>2800</v>
      </c>
      <c r="H820" s="57">
        <v>120</v>
      </c>
      <c r="I820" s="57" t="s">
        <v>2022</v>
      </c>
      <c r="J820" s="57" t="s">
        <v>2034</v>
      </c>
      <c r="L820" s="57" t="s">
        <v>378</v>
      </c>
      <c r="M820" s="156">
        <v>45950</v>
      </c>
      <c r="P820" s="57">
        <v>1.4119999999999999</v>
      </c>
      <c r="Q820" s="171">
        <v>3.53</v>
      </c>
      <c r="R820" s="166">
        <f>IFERROR(VLOOKUP(B820,#REF!,1,0),0)</f>
        <v>0</v>
      </c>
    </row>
    <row r="821" spans="1:18" x14ac:dyDescent="0.25">
      <c r="A821" s="57">
        <v>820</v>
      </c>
      <c r="B821" s="57" t="s">
        <v>2168</v>
      </c>
      <c r="C821" s="57">
        <v>1</v>
      </c>
      <c r="D821" s="57" t="s">
        <v>2018</v>
      </c>
      <c r="E821" s="57" t="s">
        <v>2080</v>
      </c>
      <c r="F821" s="57">
        <v>4310</v>
      </c>
      <c r="G821" s="57">
        <v>2800</v>
      </c>
      <c r="H821" s="57">
        <v>120</v>
      </c>
      <c r="I821" s="57" t="s">
        <v>2022</v>
      </c>
      <c r="J821" s="57" t="s">
        <v>2034</v>
      </c>
      <c r="L821" s="57" t="s">
        <v>378</v>
      </c>
      <c r="M821" s="156">
        <v>45950</v>
      </c>
      <c r="P821" s="57">
        <v>1.4119999999999999</v>
      </c>
      <c r="Q821" s="171">
        <v>3.53</v>
      </c>
      <c r="R821" s="166">
        <f>IFERROR(VLOOKUP(B821,#REF!,1,0),0)</f>
        <v>0</v>
      </c>
    </row>
    <row r="822" spans="1:18" x14ac:dyDescent="0.25">
      <c r="A822" s="57">
        <v>821</v>
      </c>
      <c r="B822" s="57" t="s">
        <v>2169</v>
      </c>
      <c r="C822" s="57">
        <v>1</v>
      </c>
      <c r="D822" s="57" t="s">
        <v>2018</v>
      </c>
      <c r="E822" s="57" t="s">
        <v>2079</v>
      </c>
      <c r="F822" s="57">
        <v>4310</v>
      </c>
      <c r="G822" s="57">
        <v>2800</v>
      </c>
      <c r="H822" s="57">
        <v>120</v>
      </c>
      <c r="I822" s="57" t="s">
        <v>2022</v>
      </c>
      <c r="J822" s="57" t="s">
        <v>2034</v>
      </c>
      <c r="L822" s="57" t="s">
        <v>378</v>
      </c>
      <c r="M822" s="156">
        <v>45950</v>
      </c>
      <c r="P822" s="57">
        <v>1.4119999999999999</v>
      </c>
      <c r="Q822" s="171">
        <v>3.53</v>
      </c>
      <c r="R822" s="166">
        <f>IFERROR(VLOOKUP(B822,#REF!,1,0),0)</f>
        <v>0</v>
      </c>
    </row>
    <row r="823" spans="1:18" x14ac:dyDescent="0.25">
      <c r="A823" s="57">
        <v>822</v>
      </c>
      <c r="B823" s="57" t="s">
        <v>2170</v>
      </c>
      <c r="C823" s="57">
        <v>1</v>
      </c>
      <c r="D823" s="57" t="s">
        <v>2018</v>
      </c>
      <c r="E823" s="57" t="s">
        <v>2054</v>
      </c>
      <c r="F823" s="57">
        <v>4310</v>
      </c>
      <c r="G823" s="57">
        <v>2800</v>
      </c>
      <c r="H823" s="57">
        <v>120</v>
      </c>
      <c r="I823" s="57" t="s">
        <v>2022</v>
      </c>
      <c r="J823" s="57" t="s">
        <v>2034</v>
      </c>
      <c r="L823" s="57" t="s">
        <v>378</v>
      </c>
      <c r="M823" s="156">
        <v>45950</v>
      </c>
      <c r="P823" s="57">
        <v>1.4119999999999999</v>
      </c>
      <c r="Q823" s="171">
        <v>3.53</v>
      </c>
      <c r="R823" s="166">
        <f>IFERROR(VLOOKUP(B823,#REF!,1,0),0)</f>
        <v>0</v>
      </c>
    </row>
    <row r="824" spans="1:18" x14ac:dyDescent="0.25">
      <c r="A824" s="57">
        <v>823</v>
      </c>
      <c r="B824" s="57" t="s">
        <v>2171</v>
      </c>
      <c r="C824" s="57">
        <v>1</v>
      </c>
      <c r="D824" s="57" t="s">
        <v>2018</v>
      </c>
      <c r="E824" s="57" t="s">
        <v>2052</v>
      </c>
      <c r="F824" s="57">
        <v>4310</v>
      </c>
      <c r="G824" s="57">
        <v>2800</v>
      </c>
      <c r="H824" s="57">
        <v>120</v>
      </c>
      <c r="I824" s="57" t="s">
        <v>2022</v>
      </c>
      <c r="J824" s="57" t="s">
        <v>2034</v>
      </c>
      <c r="L824" s="57" t="s">
        <v>378</v>
      </c>
      <c r="M824" s="156">
        <v>45950</v>
      </c>
      <c r="P824" s="57">
        <v>1.4119999999999999</v>
      </c>
      <c r="Q824" s="171">
        <v>3.53</v>
      </c>
      <c r="R824" s="166">
        <f>IFERROR(VLOOKUP(B824,#REF!,1,0),0)</f>
        <v>0</v>
      </c>
    </row>
    <row r="825" spans="1:18" x14ac:dyDescent="0.25">
      <c r="A825" s="57">
        <v>824</v>
      </c>
      <c r="B825" s="57" t="s">
        <v>1941</v>
      </c>
      <c r="C825" s="57">
        <v>1</v>
      </c>
      <c r="D825" s="57" t="s">
        <v>2018</v>
      </c>
      <c r="E825" s="57" t="s">
        <v>2161</v>
      </c>
      <c r="F825" s="57">
        <v>3954</v>
      </c>
      <c r="G825" s="57">
        <v>2075</v>
      </c>
      <c r="H825" s="57">
        <v>120</v>
      </c>
      <c r="I825" s="57" t="s">
        <v>2022</v>
      </c>
      <c r="J825" s="57" t="s">
        <v>2172</v>
      </c>
      <c r="L825" s="57" t="s">
        <v>378</v>
      </c>
      <c r="M825" s="156">
        <v>45950</v>
      </c>
      <c r="P825" s="57">
        <v>1.0589999999999999</v>
      </c>
      <c r="Q825" s="171">
        <v>2.6480000000000001</v>
      </c>
      <c r="R825" s="166">
        <f>IFERROR(VLOOKUP(B825,#REF!,1,0),0)</f>
        <v>0</v>
      </c>
    </row>
    <row r="826" spans="1:18" x14ac:dyDescent="0.25">
      <c r="A826" s="57">
        <v>825</v>
      </c>
      <c r="B826" s="57" t="s">
        <v>1942</v>
      </c>
      <c r="C826" s="57">
        <v>1</v>
      </c>
      <c r="D826" s="57" t="s">
        <v>2018</v>
      </c>
      <c r="E826" s="57" t="s">
        <v>2161</v>
      </c>
      <c r="F826" s="57">
        <v>3954</v>
      </c>
      <c r="G826" s="57">
        <v>3275</v>
      </c>
      <c r="H826" s="57">
        <v>120</v>
      </c>
      <c r="I826" s="57" t="s">
        <v>2022</v>
      </c>
      <c r="J826" s="57" t="s">
        <v>2172</v>
      </c>
      <c r="L826" s="57" t="s">
        <v>378</v>
      </c>
      <c r="M826" s="156">
        <v>45950</v>
      </c>
      <c r="P826" s="57">
        <v>1.232</v>
      </c>
      <c r="Q826" s="171">
        <v>3.08</v>
      </c>
      <c r="R826" s="166">
        <f>IFERROR(VLOOKUP(B826,#REF!,1,0),0)</f>
        <v>0</v>
      </c>
    </row>
    <row r="827" spans="1:18" x14ac:dyDescent="0.25">
      <c r="A827" s="57">
        <v>826</v>
      </c>
      <c r="B827" s="57" t="s">
        <v>1943</v>
      </c>
      <c r="C827" s="57">
        <v>1</v>
      </c>
      <c r="D827" s="57" t="s">
        <v>2018</v>
      </c>
      <c r="E827" s="57" t="s">
        <v>2161</v>
      </c>
      <c r="F827" s="57">
        <v>4944</v>
      </c>
      <c r="G827" s="57">
        <v>2075</v>
      </c>
      <c r="H827" s="57">
        <v>120</v>
      </c>
      <c r="I827" s="57" t="s">
        <v>1212</v>
      </c>
      <c r="J827" s="57" t="s">
        <v>2021</v>
      </c>
      <c r="L827" s="57" t="s">
        <v>378</v>
      </c>
      <c r="M827" s="156">
        <v>45950</v>
      </c>
      <c r="P827" s="57">
        <v>1.282</v>
      </c>
      <c r="Q827" s="171">
        <v>3.2050000000000001</v>
      </c>
      <c r="R827" s="166">
        <f>IFERROR(VLOOKUP(B827,#REF!,1,0),0)</f>
        <v>0</v>
      </c>
    </row>
    <row r="828" spans="1:18" x14ac:dyDescent="0.25">
      <c r="A828" s="57">
        <v>827</v>
      </c>
      <c r="B828" s="57" t="s">
        <v>2192</v>
      </c>
      <c r="C828" s="57">
        <v>1</v>
      </c>
      <c r="D828" s="57" t="s">
        <v>2193</v>
      </c>
      <c r="E828" s="57" t="s">
        <v>2415</v>
      </c>
      <c r="F828" s="57">
        <v>5220</v>
      </c>
      <c r="G828" s="57">
        <v>3160</v>
      </c>
      <c r="H828" s="57">
        <v>120</v>
      </c>
      <c r="I828" s="57" t="s">
        <v>2022</v>
      </c>
      <c r="J828" s="57" t="s">
        <v>2031</v>
      </c>
      <c r="L828" s="57" t="s">
        <v>378</v>
      </c>
      <c r="M828" s="156">
        <v>45957</v>
      </c>
      <c r="P828" s="57">
        <v>2.0830000000000002</v>
      </c>
      <c r="Q828" s="171">
        <v>5.2080000000000002</v>
      </c>
      <c r="R828" s="166">
        <f>IFERROR(VLOOKUP(B828,#REF!,1,0),0)</f>
        <v>0</v>
      </c>
    </row>
    <row r="829" spans="1:18" x14ac:dyDescent="0.25">
      <c r="A829" s="57">
        <v>828</v>
      </c>
      <c r="B829" s="57" t="s">
        <v>2194</v>
      </c>
      <c r="C829" s="57">
        <v>1</v>
      </c>
      <c r="D829" s="57" t="s">
        <v>2193</v>
      </c>
      <c r="E829" s="57" t="s">
        <v>2415</v>
      </c>
      <c r="F829" s="57">
        <v>5220</v>
      </c>
      <c r="G829" s="57">
        <v>3160</v>
      </c>
      <c r="H829" s="57">
        <v>120</v>
      </c>
      <c r="I829" s="57" t="s">
        <v>2022</v>
      </c>
      <c r="J829" s="57" t="s">
        <v>2031</v>
      </c>
      <c r="L829" s="57" t="s">
        <v>378</v>
      </c>
      <c r="M829" s="156">
        <v>45957</v>
      </c>
      <c r="P829" s="57">
        <v>2.0830000000000002</v>
      </c>
      <c r="Q829" s="171">
        <v>5.2080000000000002</v>
      </c>
      <c r="R829" s="166">
        <f>IFERROR(VLOOKUP(B829,#REF!,1,0),0)</f>
        <v>0</v>
      </c>
    </row>
    <row r="830" spans="1:18" x14ac:dyDescent="0.25">
      <c r="A830" s="57">
        <v>829</v>
      </c>
      <c r="B830" s="57" t="s">
        <v>2195</v>
      </c>
      <c r="C830" s="57">
        <v>1</v>
      </c>
      <c r="D830" s="57" t="s">
        <v>2193</v>
      </c>
      <c r="E830" s="57" t="s">
        <v>2415</v>
      </c>
      <c r="F830" s="57">
        <v>5220</v>
      </c>
      <c r="G830" s="57">
        <v>3335</v>
      </c>
      <c r="H830" s="57">
        <v>120</v>
      </c>
      <c r="I830" s="57" t="s">
        <v>2022</v>
      </c>
      <c r="J830" s="57" t="s">
        <v>2032</v>
      </c>
      <c r="L830" s="57" t="s">
        <v>378</v>
      </c>
      <c r="M830" s="156">
        <v>45957</v>
      </c>
      <c r="P830" s="57">
        <v>2.2730000000000001</v>
      </c>
      <c r="Q830" s="171">
        <v>5.6825000000000001</v>
      </c>
      <c r="R830" s="166">
        <f>IFERROR(VLOOKUP(B830,#REF!,1,0),0)</f>
        <v>0</v>
      </c>
    </row>
    <row r="831" spans="1:18" x14ac:dyDescent="0.25">
      <c r="A831" s="57">
        <v>830</v>
      </c>
      <c r="B831" s="57" t="s">
        <v>2196</v>
      </c>
      <c r="C831" s="57">
        <v>1</v>
      </c>
      <c r="D831" s="57" t="s">
        <v>2193</v>
      </c>
      <c r="E831" s="57" t="s">
        <v>2415</v>
      </c>
      <c r="F831" s="57">
        <v>5220</v>
      </c>
      <c r="G831" s="57">
        <v>3335</v>
      </c>
      <c r="H831" s="57">
        <v>120</v>
      </c>
      <c r="I831" s="57" t="s">
        <v>2022</v>
      </c>
      <c r="J831" s="57" t="s">
        <v>2032</v>
      </c>
      <c r="L831" s="57" t="s">
        <v>378</v>
      </c>
      <c r="M831" s="156">
        <v>45957</v>
      </c>
      <c r="P831" s="57">
        <v>2.2730000000000001</v>
      </c>
      <c r="Q831" s="171">
        <v>5.6825000000000001</v>
      </c>
      <c r="R831" s="166">
        <f>IFERROR(VLOOKUP(B831,#REF!,1,0),0)</f>
        <v>0</v>
      </c>
    </row>
    <row r="832" spans="1:18" x14ac:dyDescent="0.25">
      <c r="A832" s="57">
        <v>831</v>
      </c>
      <c r="B832" s="57" t="s">
        <v>2197</v>
      </c>
      <c r="C832" s="57">
        <v>1</v>
      </c>
      <c r="D832" s="57" t="s">
        <v>2193</v>
      </c>
      <c r="E832" s="57" t="s">
        <v>2415</v>
      </c>
      <c r="F832" s="57">
        <v>5220</v>
      </c>
      <c r="G832" s="57">
        <v>3510</v>
      </c>
      <c r="H832" s="57">
        <v>120</v>
      </c>
      <c r="I832" s="57" t="s">
        <v>2022</v>
      </c>
      <c r="J832" s="57" t="s">
        <v>2032</v>
      </c>
      <c r="L832" s="57" t="s">
        <v>378</v>
      </c>
      <c r="M832" s="156">
        <v>45957</v>
      </c>
      <c r="P832" s="57">
        <v>2.383</v>
      </c>
      <c r="Q832" s="171">
        <v>5.9574999999999996</v>
      </c>
      <c r="R832" s="166">
        <f>IFERROR(VLOOKUP(B832,#REF!,1,0),0)</f>
        <v>0</v>
      </c>
    </row>
    <row r="833" spans="1:18" x14ac:dyDescent="0.25">
      <c r="A833" s="57">
        <v>832</v>
      </c>
      <c r="B833" s="57" t="s">
        <v>2198</v>
      </c>
      <c r="C833" s="57">
        <v>1</v>
      </c>
      <c r="D833" s="57" t="s">
        <v>2193</v>
      </c>
      <c r="E833" s="57" t="s">
        <v>2415</v>
      </c>
      <c r="F833" s="57">
        <v>5220</v>
      </c>
      <c r="G833" s="57">
        <v>3510</v>
      </c>
      <c r="H833" s="57">
        <v>120</v>
      </c>
      <c r="I833" s="57" t="s">
        <v>2022</v>
      </c>
      <c r="J833" s="57" t="s">
        <v>2436</v>
      </c>
      <c r="L833" s="57" t="s">
        <v>378</v>
      </c>
      <c r="M833" s="156">
        <v>45957</v>
      </c>
      <c r="P833" s="57">
        <v>2.5779999999999998</v>
      </c>
      <c r="Q833" s="171">
        <v>6.4449999999999994</v>
      </c>
      <c r="R833" s="166">
        <f>IFERROR(VLOOKUP(B833,#REF!,1,0),0)</f>
        <v>0</v>
      </c>
    </row>
    <row r="834" spans="1:18" x14ac:dyDescent="0.25">
      <c r="A834" s="57">
        <v>833</v>
      </c>
      <c r="B834" s="57" t="s">
        <v>2199</v>
      </c>
      <c r="C834" s="57">
        <v>1</v>
      </c>
      <c r="D834" s="57" t="s">
        <v>2193</v>
      </c>
      <c r="E834" s="57" t="s">
        <v>2415</v>
      </c>
      <c r="F834" s="57">
        <v>2400</v>
      </c>
      <c r="G834" s="57">
        <v>3505</v>
      </c>
      <c r="H834" s="57">
        <v>120</v>
      </c>
      <c r="I834" s="57" t="s">
        <v>2022</v>
      </c>
      <c r="J834" s="57" t="s">
        <v>2028</v>
      </c>
      <c r="L834" s="57" t="s">
        <v>378</v>
      </c>
      <c r="M834" s="156">
        <v>45957</v>
      </c>
      <c r="P834" s="57">
        <v>1.2290000000000001</v>
      </c>
      <c r="Q834" s="171">
        <v>3.0725000000000002</v>
      </c>
      <c r="R834" s="166">
        <f>IFERROR(VLOOKUP(B834,#REF!,1,0),0)</f>
        <v>0</v>
      </c>
    </row>
    <row r="835" spans="1:18" x14ac:dyDescent="0.25">
      <c r="A835" s="57">
        <v>834</v>
      </c>
      <c r="B835" s="57" t="s">
        <v>2191</v>
      </c>
      <c r="C835" s="57">
        <v>1</v>
      </c>
      <c r="D835" s="57" t="s">
        <v>2193</v>
      </c>
      <c r="E835" s="57" t="s">
        <v>2415</v>
      </c>
      <c r="F835" s="57">
        <v>4310</v>
      </c>
      <c r="G835" s="57">
        <v>2800</v>
      </c>
      <c r="H835" s="57">
        <v>120</v>
      </c>
      <c r="I835" s="57" t="s">
        <v>1161</v>
      </c>
      <c r="J835" s="57" t="s">
        <v>2034</v>
      </c>
      <c r="L835" s="57" t="s">
        <v>378</v>
      </c>
      <c r="M835" s="156">
        <v>45957</v>
      </c>
      <c r="P835" s="57">
        <v>1.413</v>
      </c>
      <c r="Q835" s="171">
        <v>3.5325000000000002</v>
      </c>
      <c r="R835" s="166">
        <f>IFERROR(VLOOKUP(B835,#REF!,1,0),0)</f>
        <v>0</v>
      </c>
    </row>
    <row r="836" spans="1:18" x14ac:dyDescent="0.25">
      <c r="A836" s="57">
        <v>835</v>
      </c>
      <c r="B836" s="57" t="s">
        <v>2200</v>
      </c>
      <c r="C836" s="57">
        <v>1</v>
      </c>
      <c r="D836" s="57" t="s">
        <v>2193</v>
      </c>
      <c r="E836" s="57" t="s">
        <v>2416</v>
      </c>
      <c r="F836" s="57">
        <v>4310</v>
      </c>
      <c r="G836" s="57">
        <v>2800</v>
      </c>
      <c r="H836" s="57">
        <v>120</v>
      </c>
      <c r="I836" s="57" t="s">
        <v>1161</v>
      </c>
      <c r="J836" s="57" t="s">
        <v>2034</v>
      </c>
      <c r="L836" s="57" t="s">
        <v>378</v>
      </c>
      <c r="M836" s="156">
        <v>45957</v>
      </c>
      <c r="P836" s="57">
        <v>1.413</v>
      </c>
      <c r="Q836" s="171">
        <v>3.5325000000000002</v>
      </c>
      <c r="R836" s="166">
        <f>IFERROR(VLOOKUP(B836,#REF!,1,0),0)</f>
        <v>0</v>
      </c>
    </row>
    <row r="837" spans="1:18" x14ac:dyDescent="0.25">
      <c r="A837" s="57">
        <v>836</v>
      </c>
      <c r="B837" s="57" t="s">
        <v>2201</v>
      </c>
      <c r="C837" s="57">
        <v>1</v>
      </c>
      <c r="D837" s="57" t="s">
        <v>2193</v>
      </c>
      <c r="E837" s="57" t="s">
        <v>2417</v>
      </c>
      <c r="F837" s="57">
        <v>4310</v>
      </c>
      <c r="G837" s="57">
        <v>2800</v>
      </c>
      <c r="H837" s="57">
        <v>120</v>
      </c>
      <c r="I837" s="57" t="s">
        <v>1161</v>
      </c>
      <c r="J837" s="57" t="s">
        <v>2034</v>
      </c>
      <c r="L837" s="57" t="s">
        <v>378</v>
      </c>
      <c r="M837" s="156">
        <v>45957</v>
      </c>
      <c r="P837" s="57">
        <v>1.413</v>
      </c>
      <c r="Q837" s="171">
        <v>3.5325000000000002</v>
      </c>
      <c r="R837" s="166">
        <f>IFERROR(VLOOKUP(B837,#REF!,1,0),0)</f>
        <v>0</v>
      </c>
    </row>
    <row r="838" spans="1:18" x14ac:dyDescent="0.25">
      <c r="A838" s="57">
        <v>837</v>
      </c>
      <c r="B838" s="57" t="s">
        <v>2202</v>
      </c>
      <c r="C838" s="57">
        <v>1</v>
      </c>
      <c r="D838" s="57" t="s">
        <v>2193</v>
      </c>
      <c r="E838" s="57" t="s">
        <v>2418</v>
      </c>
      <c r="F838" s="57">
        <v>4310</v>
      </c>
      <c r="G838" s="57">
        <v>2800</v>
      </c>
      <c r="H838" s="57">
        <v>120</v>
      </c>
      <c r="I838" s="57" t="s">
        <v>1161</v>
      </c>
      <c r="J838" s="57" t="s">
        <v>2034</v>
      </c>
      <c r="L838" s="57" t="s">
        <v>378</v>
      </c>
      <c r="M838" s="156">
        <v>45957</v>
      </c>
      <c r="P838" s="57">
        <v>1.413</v>
      </c>
      <c r="Q838" s="171">
        <v>3.5325000000000002</v>
      </c>
      <c r="R838" s="166">
        <f>IFERROR(VLOOKUP(B838,#REF!,1,0),0)</f>
        <v>0</v>
      </c>
    </row>
    <row r="839" spans="1:18" x14ac:dyDescent="0.25">
      <c r="A839" s="57">
        <v>838</v>
      </c>
      <c r="B839" s="57" t="s">
        <v>2203</v>
      </c>
      <c r="C839" s="57">
        <v>1</v>
      </c>
      <c r="D839" s="57" t="s">
        <v>2193</v>
      </c>
      <c r="E839" s="57" t="s">
        <v>2419</v>
      </c>
      <c r="F839" s="57">
        <v>4310</v>
      </c>
      <c r="G839" s="57">
        <v>2800</v>
      </c>
      <c r="H839" s="57">
        <v>120</v>
      </c>
      <c r="I839" s="57" t="s">
        <v>1161</v>
      </c>
      <c r="J839" s="57" t="s">
        <v>2034</v>
      </c>
      <c r="L839" s="57" t="s">
        <v>378</v>
      </c>
      <c r="M839" s="156">
        <v>45957</v>
      </c>
      <c r="P839" s="57">
        <v>1.413</v>
      </c>
      <c r="Q839" s="171">
        <v>3.5325000000000002</v>
      </c>
      <c r="R839" s="166">
        <f>IFERROR(VLOOKUP(B839,#REF!,1,0),0)</f>
        <v>0</v>
      </c>
    </row>
    <row r="840" spans="1:18" x14ac:dyDescent="0.25">
      <c r="A840" s="57">
        <v>839</v>
      </c>
      <c r="B840" s="57" t="s">
        <v>2204</v>
      </c>
      <c r="C840" s="57">
        <v>1</v>
      </c>
      <c r="D840" s="57" t="s">
        <v>2193</v>
      </c>
      <c r="E840" s="57" t="s">
        <v>2420</v>
      </c>
      <c r="F840" s="57">
        <v>4310</v>
      </c>
      <c r="G840" s="57">
        <v>2800</v>
      </c>
      <c r="H840" s="57">
        <v>120</v>
      </c>
      <c r="I840" s="57" t="s">
        <v>1161</v>
      </c>
      <c r="J840" s="57" t="s">
        <v>2034</v>
      </c>
      <c r="L840" s="57" t="s">
        <v>378</v>
      </c>
      <c r="M840" s="156">
        <v>45957</v>
      </c>
      <c r="P840" s="57">
        <v>1.413</v>
      </c>
      <c r="Q840" s="171">
        <v>3.5325000000000002</v>
      </c>
      <c r="R840" s="166">
        <f>IFERROR(VLOOKUP(B840,#REF!,1,0),0)</f>
        <v>0</v>
      </c>
    </row>
    <row r="841" spans="1:18" x14ac:dyDescent="0.25">
      <c r="A841" s="57">
        <v>840</v>
      </c>
      <c r="B841" s="57" t="s">
        <v>2205</v>
      </c>
      <c r="C841" s="57">
        <v>1</v>
      </c>
      <c r="D841" s="57" t="s">
        <v>2193</v>
      </c>
      <c r="E841" s="57" t="s">
        <v>2421</v>
      </c>
      <c r="F841" s="57">
        <v>4310</v>
      </c>
      <c r="G841" s="57">
        <v>2800</v>
      </c>
      <c r="H841" s="57">
        <v>120</v>
      </c>
      <c r="I841" s="57" t="s">
        <v>1161</v>
      </c>
      <c r="J841" s="57" t="s">
        <v>2034</v>
      </c>
      <c r="L841" s="57" t="s">
        <v>378</v>
      </c>
      <c r="M841" s="156">
        <v>45957</v>
      </c>
      <c r="P841" s="57">
        <v>1.413</v>
      </c>
      <c r="Q841" s="171">
        <v>3.5325000000000002</v>
      </c>
      <c r="R841" s="166">
        <f>IFERROR(VLOOKUP(B841,#REF!,1,0),0)</f>
        <v>0</v>
      </c>
    </row>
    <row r="842" spans="1:18" x14ac:dyDescent="0.25">
      <c r="A842" s="57">
        <v>841</v>
      </c>
      <c r="B842" s="57" t="s">
        <v>2206</v>
      </c>
      <c r="C842" s="57">
        <v>1</v>
      </c>
      <c r="D842" s="57" t="s">
        <v>2193</v>
      </c>
      <c r="E842" s="57" t="s">
        <v>2422</v>
      </c>
      <c r="F842" s="57">
        <v>4310</v>
      </c>
      <c r="G842" s="57">
        <v>2800</v>
      </c>
      <c r="H842" s="57">
        <v>120</v>
      </c>
      <c r="I842" s="57" t="s">
        <v>1161</v>
      </c>
      <c r="J842" s="57" t="s">
        <v>2034</v>
      </c>
      <c r="L842" s="57" t="s">
        <v>378</v>
      </c>
      <c r="M842" s="156">
        <v>45957</v>
      </c>
      <c r="P842" s="57">
        <v>1.413</v>
      </c>
      <c r="Q842" s="171">
        <v>3.5325000000000002</v>
      </c>
      <c r="R842" s="166">
        <f>IFERROR(VLOOKUP(B842,#REF!,1,0),0)</f>
        <v>0</v>
      </c>
    </row>
    <row r="843" spans="1:18" x14ac:dyDescent="0.25">
      <c r="A843" s="57">
        <v>842</v>
      </c>
      <c r="B843" s="57" t="s">
        <v>2207</v>
      </c>
      <c r="C843" s="57">
        <v>1</v>
      </c>
      <c r="D843" s="57" t="s">
        <v>2193</v>
      </c>
      <c r="E843" s="57" t="s">
        <v>2415</v>
      </c>
      <c r="F843" s="57">
        <v>4865</v>
      </c>
      <c r="G843" s="57">
        <v>3505</v>
      </c>
      <c r="H843" s="57">
        <v>120</v>
      </c>
      <c r="I843" s="57" t="s">
        <v>1212</v>
      </c>
      <c r="J843" s="57" t="s">
        <v>2024</v>
      </c>
      <c r="L843" s="57" t="s">
        <v>378</v>
      </c>
      <c r="M843" s="156">
        <v>45957</v>
      </c>
      <c r="P843" s="57">
        <v>1.657</v>
      </c>
      <c r="Q843" s="171">
        <v>4.1425000000000001</v>
      </c>
      <c r="R843" s="166">
        <f>IFERROR(VLOOKUP(B843,#REF!,1,0),0)</f>
        <v>0</v>
      </c>
    </row>
    <row r="844" spans="1:18" x14ac:dyDescent="0.25">
      <c r="A844" s="57">
        <v>843</v>
      </c>
      <c r="B844" s="57" t="s">
        <v>2208</v>
      </c>
      <c r="C844" s="57">
        <v>1</v>
      </c>
      <c r="D844" s="57" t="s">
        <v>2193</v>
      </c>
      <c r="E844" s="57" t="s">
        <v>2415</v>
      </c>
      <c r="F844" s="57">
        <v>4865</v>
      </c>
      <c r="G844" s="57">
        <v>2305</v>
      </c>
      <c r="H844" s="57">
        <v>120</v>
      </c>
      <c r="I844" s="57" t="s">
        <v>1212</v>
      </c>
      <c r="J844" s="57" t="s">
        <v>2024</v>
      </c>
      <c r="L844" s="57" t="s">
        <v>378</v>
      </c>
      <c r="M844" s="156">
        <v>45957</v>
      </c>
      <c r="P844" s="57">
        <v>1.554</v>
      </c>
      <c r="Q844" s="171">
        <v>3.8850000000000002</v>
      </c>
      <c r="R844" s="166">
        <f>IFERROR(VLOOKUP(B844,#REF!,1,0),0)</f>
        <v>0</v>
      </c>
    </row>
    <row r="845" spans="1:18" x14ac:dyDescent="0.25">
      <c r="A845" s="57">
        <v>844</v>
      </c>
      <c r="B845" s="57" t="s">
        <v>2209</v>
      </c>
      <c r="C845" s="57">
        <v>1</v>
      </c>
      <c r="D845" s="57" t="s">
        <v>2193</v>
      </c>
      <c r="E845" s="57" t="s">
        <v>2423</v>
      </c>
      <c r="F845" s="57">
        <v>5220</v>
      </c>
      <c r="G845" s="57">
        <v>2890</v>
      </c>
      <c r="H845" s="57">
        <v>120</v>
      </c>
      <c r="I845" s="57" t="s">
        <v>2022</v>
      </c>
      <c r="J845" s="57" t="s">
        <v>2024</v>
      </c>
      <c r="L845" s="57" t="s">
        <v>378</v>
      </c>
      <c r="M845" s="156">
        <v>45957</v>
      </c>
      <c r="P845" s="57">
        <v>2.0649999999999999</v>
      </c>
      <c r="Q845" s="171">
        <v>5.1624999999999996</v>
      </c>
      <c r="R845" s="166">
        <f>IFERROR(VLOOKUP(B845,#REF!,1,0),0)</f>
        <v>0</v>
      </c>
    </row>
    <row r="846" spans="1:18" x14ac:dyDescent="0.25">
      <c r="A846" s="57">
        <v>845</v>
      </c>
      <c r="B846" s="57" t="s">
        <v>2210</v>
      </c>
      <c r="C846" s="57">
        <v>1</v>
      </c>
      <c r="D846" s="57" t="s">
        <v>2193</v>
      </c>
      <c r="E846" s="57" t="s">
        <v>2416</v>
      </c>
      <c r="F846" s="57">
        <v>5220</v>
      </c>
      <c r="G846" s="57">
        <v>2890</v>
      </c>
      <c r="H846" s="57">
        <v>120</v>
      </c>
      <c r="I846" s="57" t="s">
        <v>2022</v>
      </c>
      <c r="J846" s="57" t="s">
        <v>2024</v>
      </c>
      <c r="L846" s="57" t="s">
        <v>378</v>
      </c>
      <c r="M846" s="156">
        <v>45957</v>
      </c>
      <c r="P846" s="57">
        <v>2.0649999999999999</v>
      </c>
      <c r="Q846" s="171">
        <v>5.1624999999999996</v>
      </c>
      <c r="R846" s="166">
        <f>IFERROR(VLOOKUP(B846,#REF!,1,0),0)</f>
        <v>0</v>
      </c>
    </row>
    <row r="847" spans="1:18" x14ac:dyDescent="0.25">
      <c r="A847" s="57">
        <v>846</v>
      </c>
      <c r="B847" s="57" t="s">
        <v>2211</v>
      </c>
      <c r="C847" s="57">
        <v>1</v>
      </c>
      <c r="D847" s="57" t="s">
        <v>2193</v>
      </c>
      <c r="E847" s="57" t="s">
        <v>2423</v>
      </c>
      <c r="F847" s="57">
        <v>5220</v>
      </c>
      <c r="G847" s="57">
        <v>2890</v>
      </c>
      <c r="H847" s="57">
        <v>120</v>
      </c>
      <c r="I847" s="57" t="s">
        <v>2022</v>
      </c>
      <c r="J847" s="57" t="s">
        <v>2024</v>
      </c>
      <c r="L847" s="57" t="s">
        <v>378</v>
      </c>
      <c r="M847" s="156">
        <v>45957</v>
      </c>
      <c r="P847" s="57">
        <v>2.0649999999999999</v>
      </c>
      <c r="Q847" s="171">
        <v>5.1624999999999996</v>
      </c>
      <c r="R847" s="166">
        <f>IFERROR(VLOOKUP(B847,#REF!,1,0),0)</f>
        <v>0</v>
      </c>
    </row>
    <row r="848" spans="1:18" x14ac:dyDescent="0.25">
      <c r="A848" s="57">
        <v>847</v>
      </c>
      <c r="B848" s="57" t="s">
        <v>2212</v>
      </c>
      <c r="C848" s="57">
        <v>1</v>
      </c>
      <c r="D848" s="57" t="s">
        <v>2193</v>
      </c>
      <c r="E848" s="57" t="s">
        <v>2423</v>
      </c>
      <c r="F848" s="57">
        <v>5220</v>
      </c>
      <c r="G848" s="57">
        <v>2890</v>
      </c>
      <c r="H848" s="57">
        <v>120</v>
      </c>
      <c r="I848" s="57" t="s">
        <v>2022</v>
      </c>
      <c r="J848" s="57" t="s">
        <v>2024</v>
      </c>
      <c r="L848" s="57" t="s">
        <v>378</v>
      </c>
      <c r="M848" s="156">
        <v>45957</v>
      </c>
      <c r="P848" s="57">
        <v>2.0649999999999999</v>
      </c>
      <c r="Q848" s="171">
        <v>5.1624999999999996</v>
      </c>
      <c r="R848" s="166">
        <f>IFERROR(VLOOKUP(B848,#REF!,1,0),0)</f>
        <v>0</v>
      </c>
    </row>
    <row r="849" spans="1:18" x14ac:dyDescent="0.25">
      <c r="A849" s="57">
        <v>848</v>
      </c>
      <c r="B849" s="57" t="s">
        <v>2213</v>
      </c>
      <c r="C849" s="57">
        <v>1</v>
      </c>
      <c r="D849" s="57" t="s">
        <v>2193</v>
      </c>
      <c r="E849" s="57" t="s">
        <v>2423</v>
      </c>
      <c r="F849" s="57">
        <v>5220</v>
      </c>
      <c r="G849" s="57">
        <v>2890</v>
      </c>
      <c r="H849" s="57">
        <v>120</v>
      </c>
      <c r="I849" s="57" t="s">
        <v>2022</v>
      </c>
      <c r="J849" s="57" t="s">
        <v>2024</v>
      </c>
      <c r="L849" s="57" t="s">
        <v>378</v>
      </c>
      <c r="M849" s="156">
        <v>45957</v>
      </c>
      <c r="P849" s="57">
        <v>2.0649999999999999</v>
      </c>
      <c r="Q849" s="171">
        <v>5.1624999999999996</v>
      </c>
      <c r="R849" s="166">
        <f>IFERROR(VLOOKUP(B849,#REF!,1,0),0)</f>
        <v>0</v>
      </c>
    </row>
    <row r="850" spans="1:18" x14ac:dyDescent="0.25">
      <c r="A850" s="57">
        <v>849</v>
      </c>
      <c r="B850" s="57" t="s">
        <v>2214</v>
      </c>
      <c r="C850" s="57">
        <v>1</v>
      </c>
      <c r="D850" s="57" t="s">
        <v>2193</v>
      </c>
      <c r="E850" s="57" t="s">
        <v>2423</v>
      </c>
      <c r="F850" s="57">
        <v>5220</v>
      </c>
      <c r="G850" s="57">
        <v>2890</v>
      </c>
      <c r="H850" s="57">
        <v>120</v>
      </c>
      <c r="I850" s="57" t="s">
        <v>2022</v>
      </c>
      <c r="J850" s="57" t="s">
        <v>2024</v>
      </c>
      <c r="L850" s="57" t="s">
        <v>378</v>
      </c>
      <c r="M850" s="156">
        <v>45957</v>
      </c>
      <c r="P850" s="57">
        <v>2.0649999999999999</v>
      </c>
      <c r="Q850" s="171">
        <v>5.1624999999999996</v>
      </c>
      <c r="R850" s="166">
        <f>IFERROR(VLOOKUP(B850,#REF!,1,0),0)</f>
        <v>0</v>
      </c>
    </row>
    <row r="851" spans="1:18" x14ac:dyDescent="0.25">
      <c r="A851" s="57">
        <v>850</v>
      </c>
      <c r="B851" s="57" t="s">
        <v>2215</v>
      </c>
      <c r="C851" s="57">
        <v>1</v>
      </c>
      <c r="D851" s="57" t="s">
        <v>2193</v>
      </c>
      <c r="E851" s="57" t="s">
        <v>2416</v>
      </c>
      <c r="F851" s="57">
        <v>5220</v>
      </c>
      <c r="G851" s="57">
        <v>2890</v>
      </c>
      <c r="H851" s="57">
        <v>120</v>
      </c>
      <c r="I851" s="57" t="s">
        <v>2022</v>
      </c>
      <c r="J851" s="57" t="s">
        <v>2024</v>
      </c>
      <c r="L851" s="57" t="s">
        <v>378</v>
      </c>
      <c r="M851" s="156">
        <v>45957</v>
      </c>
      <c r="P851" s="57">
        <v>2.0649999999999999</v>
      </c>
      <c r="Q851" s="171">
        <v>5.1624999999999996</v>
      </c>
      <c r="R851" s="166">
        <f>IFERROR(VLOOKUP(B851,#REF!,1,0),0)</f>
        <v>0</v>
      </c>
    </row>
    <row r="852" spans="1:18" x14ac:dyDescent="0.25">
      <c r="A852" s="57">
        <v>851</v>
      </c>
      <c r="B852" s="57" t="s">
        <v>2216</v>
      </c>
      <c r="C852" s="57">
        <v>1</v>
      </c>
      <c r="D852" s="57" t="s">
        <v>2193</v>
      </c>
      <c r="E852" s="57" t="s">
        <v>2416</v>
      </c>
      <c r="F852" s="57">
        <v>5220</v>
      </c>
      <c r="G852" s="57">
        <v>2890</v>
      </c>
      <c r="H852" s="57">
        <v>120</v>
      </c>
      <c r="I852" s="57" t="s">
        <v>2022</v>
      </c>
      <c r="J852" s="57" t="s">
        <v>2024</v>
      </c>
      <c r="L852" s="57" t="s">
        <v>378</v>
      </c>
      <c r="M852" s="156">
        <v>45957</v>
      </c>
      <c r="P852" s="57">
        <v>2.0649999999999999</v>
      </c>
      <c r="Q852" s="171">
        <v>5.1624999999999996</v>
      </c>
      <c r="R852" s="166">
        <f>IFERROR(VLOOKUP(B852,#REF!,1,0),0)</f>
        <v>0</v>
      </c>
    </row>
    <row r="853" spans="1:18" x14ac:dyDescent="0.25">
      <c r="A853" s="57">
        <v>852</v>
      </c>
      <c r="B853" s="57" t="s">
        <v>2217</v>
      </c>
      <c r="C853" s="57">
        <v>1</v>
      </c>
      <c r="D853" s="57" t="s">
        <v>2193</v>
      </c>
      <c r="E853" s="57" t="s">
        <v>2416</v>
      </c>
      <c r="F853" s="57">
        <v>5220</v>
      </c>
      <c r="G853" s="57">
        <v>2890</v>
      </c>
      <c r="H853" s="57">
        <v>120</v>
      </c>
      <c r="I853" s="57" t="s">
        <v>2022</v>
      </c>
      <c r="J853" s="57" t="s">
        <v>2024</v>
      </c>
      <c r="L853" s="57" t="s">
        <v>378</v>
      </c>
      <c r="M853" s="156">
        <v>45957</v>
      </c>
      <c r="P853" s="57">
        <v>2.0649999999999999</v>
      </c>
      <c r="Q853" s="171">
        <v>5.1624999999999996</v>
      </c>
      <c r="R853" s="166">
        <f>IFERROR(VLOOKUP(B853,#REF!,1,0),0)</f>
        <v>0</v>
      </c>
    </row>
    <row r="854" spans="1:18" x14ac:dyDescent="0.25">
      <c r="A854" s="57">
        <v>853</v>
      </c>
      <c r="B854" s="57" t="s">
        <v>2218</v>
      </c>
      <c r="C854" s="57">
        <v>1</v>
      </c>
      <c r="D854" s="57" t="s">
        <v>2193</v>
      </c>
      <c r="E854" s="57" t="s">
        <v>2416</v>
      </c>
      <c r="F854" s="57">
        <v>5220</v>
      </c>
      <c r="G854" s="57">
        <v>2890</v>
      </c>
      <c r="H854" s="57">
        <v>120</v>
      </c>
      <c r="I854" s="57" t="s">
        <v>2022</v>
      </c>
      <c r="J854" s="57" t="s">
        <v>2024</v>
      </c>
      <c r="L854" s="57" t="s">
        <v>378</v>
      </c>
      <c r="M854" s="156">
        <v>45957</v>
      </c>
      <c r="P854" s="57">
        <v>2.0649999999999999</v>
      </c>
      <c r="Q854" s="171">
        <v>5.1624999999999996</v>
      </c>
      <c r="R854" s="166">
        <f>IFERROR(VLOOKUP(B854,#REF!,1,0),0)</f>
        <v>0</v>
      </c>
    </row>
    <row r="855" spans="1:18" x14ac:dyDescent="0.25">
      <c r="A855" s="57">
        <v>854</v>
      </c>
      <c r="B855" s="57" t="s">
        <v>2219</v>
      </c>
      <c r="C855" s="57">
        <v>1</v>
      </c>
      <c r="D855" s="57" t="s">
        <v>2193</v>
      </c>
      <c r="E855" s="57" t="s">
        <v>2423</v>
      </c>
      <c r="F855" s="57">
        <v>5220</v>
      </c>
      <c r="G855" s="57">
        <v>2890</v>
      </c>
      <c r="H855" s="57">
        <v>120</v>
      </c>
      <c r="I855" s="57" t="s">
        <v>2022</v>
      </c>
      <c r="J855" s="57" t="s">
        <v>2024</v>
      </c>
      <c r="L855" s="57" t="s">
        <v>378</v>
      </c>
      <c r="M855" s="156">
        <v>45957</v>
      </c>
      <c r="P855" s="57">
        <v>2.0649999999999999</v>
      </c>
      <c r="Q855" s="171">
        <v>5.1624999999999996</v>
      </c>
      <c r="R855" s="166">
        <f>IFERROR(VLOOKUP(B855,#REF!,1,0),0)</f>
        <v>0</v>
      </c>
    </row>
    <row r="856" spans="1:18" x14ac:dyDescent="0.25">
      <c r="A856" s="57">
        <v>855</v>
      </c>
      <c r="B856" s="57" t="s">
        <v>2220</v>
      </c>
      <c r="C856" s="57">
        <v>1</v>
      </c>
      <c r="D856" s="57" t="s">
        <v>2193</v>
      </c>
      <c r="E856" s="57" t="s">
        <v>2416</v>
      </c>
      <c r="F856" s="57">
        <v>5220</v>
      </c>
      <c r="G856" s="57">
        <v>2890</v>
      </c>
      <c r="H856" s="57">
        <v>120</v>
      </c>
      <c r="I856" s="57" t="s">
        <v>2022</v>
      </c>
      <c r="J856" s="57" t="s">
        <v>2024</v>
      </c>
      <c r="L856" s="57" t="s">
        <v>378</v>
      </c>
      <c r="M856" s="156">
        <v>45957</v>
      </c>
      <c r="P856" s="57">
        <v>2.0649999999999999</v>
      </c>
      <c r="Q856" s="171">
        <v>5.1624999999999996</v>
      </c>
      <c r="R856" s="166">
        <f>IFERROR(VLOOKUP(B856,#REF!,1,0),0)</f>
        <v>0</v>
      </c>
    </row>
    <row r="857" spans="1:18" x14ac:dyDescent="0.25">
      <c r="A857" s="57">
        <v>856</v>
      </c>
      <c r="B857" s="57" t="s">
        <v>2221</v>
      </c>
      <c r="C857" s="57">
        <v>1</v>
      </c>
      <c r="D857" s="57" t="s">
        <v>2193</v>
      </c>
      <c r="E857" s="57" t="s">
        <v>2423</v>
      </c>
      <c r="F857" s="57">
        <v>4862</v>
      </c>
      <c r="G857" s="57">
        <v>2305</v>
      </c>
      <c r="H857" s="57">
        <v>120</v>
      </c>
      <c r="I857" s="57" t="s">
        <v>1212</v>
      </c>
      <c r="J857" s="57" t="s">
        <v>2024</v>
      </c>
      <c r="L857" s="57" t="s">
        <v>378</v>
      </c>
      <c r="M857" s="156">
        <v>45957</v>
      </c>
      <c r="P857" s="57">
        <v>1.617</v>
      </c>
      <c r="Q857" s="171">
        <v>4.0425000000000004</v>
      </c>
      <c r="R857" s="166">
        <f>IFERROR(VLOOKUP(B857,#REF!,1,0),0)</f>
        <v>0</v>
      </c>
    </row>
    <row r="858" spans="1:18" x14ac:dyDescent="0.25">
      <c r="A858" s="57">
        <v>857</v>
      </c>
      <c r="B858" s="57" t="s">
        <v>2222</v>
      </c>
      <c r="C858" s="57">
        <v>1</v>
      </c>
      <c r="D858" s="57" t="s">
        <v>2193</v>
      </c>
      <c r="E858" s="57" t="s">
        <v>2423</v>
      </c>
      <c r="F858" s="57">
        <v>4862</v>
      </c>
      <c r="G858" s="57">
        <v>3505</v>
      </c>
      <c r="H858" s="57">
        <v>120</v>
      </c>
      <c r="I858" s="57" t="s">
        <v>1212</v>
      </c>
      <c r="J858" s="57" t="s">
        <v>2024</v>
      </c>
      <c r="L858" s="57" t="s">
        <v>378</v>
      </c>
      <c r="M858" s="156">
        <v>45957</v>
      </c>
      <c r="P858" s="57">
        <v>1.242</v>
      </c>
      <c r="Q858" s="171">
        <v>3.105</v>
      </c>
      <c r="R858" s="166">
        <f>IFERROR(VLOOKUP(B858,#REF!,1,0),0)</f>
        <v>0</v>
      </c>
    </row>
    <row r="859" spans="1:18" x14ac:dyDescent="0.25">
      <c r="A859" s="57">
        <v>858</v>
      </c>
      <c r="B859" s="57" t="s">
        <v>2223</v>
      </c>
      <c r="C859" s="57">
        <v>1</v>
      </c>
      <c r="D859" s="57" t="s">
        <v>2193</v>
      </c>
      <c r="E859" s="57" t="s">
        <v>2416</v>
      </c>
      <c r="F859" s="57">
        <v>2400</v>
      </c>
      <c r="G859" s="57">
        <v>3420</v>
      </c>
      <c r="H859" s="57">
        <v>120</v>
      </c>
      <c r="I859" s="57" t="s">
        <v>2022</v>
      </c>
      <c r="J859" s="57" t="s">
        <v>2023</v>
      </c>
      <c r="L859" s="57" t="s">
        <v>378</v>
      </c>
      <c r="M859" s="156">
        <v>45957</v>
      </c>
      <c r="P859" s="57">
        <v>1.095</v>
      </c>
      <c r="Q859" s="171">
        <v>2.7374999999999998</v>
      </c>
      <c r="R859" s="166">
        <f>IFERROR(VLOOKUP(B859,#REF!,1,0),0)</f>
        <v>0</v>
      </c>
    </row>
    <row r="860" spans="1:18" x14ac:dyDescent="0.25">
      <c r="A860" s="57">
        <v>859</v>
      </c>
      <c r="B860" s="57" t="s">
        <v>2224</v>
      </c>
      <c r="C860" s="57">
        <v>1</v>
      </c>
      <c r="D860" s="57" t="s">
        <v>2193</v>
      </c>
      <c r="E860" s="57" t="s">
        <v>2416</v>
      </c>
      <c r="F860" s="57">
        <v>4862</v>
      </c>
      <c r="G860" s="57">
        <v>3440</v>
      </c>
      <c r="H860" s="57">
        <v>120</v>
      </c>
      <c r="I860" s="57" t="s">
        <v>1212</v>
      </c>
      <c r="J860" s="57" t="s">
        <v>2021</v>
      </c>
      <c r="L860" s="57" t="s">
        <v>378</v>
      </c>
      <c r="M860" s="156">
        <v>45957</v>
      </c>
      <c r="P860" s="57">
        <v>1.611</v>
      </c>
      <c r="Q860" s="171">
        <v>4.0274999999999999</v>
      </c>
      <c r="R860" s="166">
        <f>IFERROR(VLOOKUP(B860,#REF!,1,0),0)</f>
        <v>0</v>
      </c>
    </row>
    <row r="861" spans="1:18" x14ac:dyDescent="0.25">
      <c r="A861" s="57">
        <v>860</v>
      </c>
      <c r="B861" s="57" t="s">
        <v>2225</v>
      </c>
      <c r="C861" s="57">
        <v>1</v>
      </c>
      <c r="D861" s="57" t="s">
        <v>2193</v>
      </c>
      <c r="E861" s="57" t="s">
        <v>2416</v>
      </c>
      <c r="F861" s="57">
        <v>4862</v>
      </c>
      <c r="G861" s="57">
        <v>2220</v>
      </c>
      <c r="H861" s="57">
        <v>120</v>
      </c>
      <c r="I861" s="57" t="s">
        <v>1212</v>
      </c>
      <c r="J861" s="57" t="s">
        <v>2021</v>
      </c>
      <c r="L861" s="57" t="s">
        <v>378</v>
      </c>
      <c r="M861" s="156">
        <v>45957</v>
      </c>
      <c r="P861" s="57">
        <v>1.3540000000000001</v>
      </c>
      <c r="Q861" s="171">
        <v>3.3850000000000002</v>
      </c>
      <c r="R861" s="166">
        <f>IFERROR(VLOOKUP(B861,#REF!,1,0),0)</f>
        <v>0</v>
      </c>
    </row>
    <row r="862" spans="1:18" x14ac:dyDescent="0.25">
      <c r="A862" s="57">
        <v>861</v>
      </c>
      <c r="B862" s="57" t="s">
        <v>2226</v>
      </c>
      <c r="C862" s="57">
        <v>1</v>
      </c>
      <c r="D862" s="57" t="s">
        <v>2193</v>
      </c>
      <c r="E862" s="57" t="s">
        <v>2424</v>
      </c>
      <c r="F862" s="57">
        <v>5220</v>
      </c>
      <c r="G862" s="57">
        <v>2920</v>
      </c>
      <c r="H862" s="57">
        <v>120</v>
      </c>
      <c r="I862" s="57" t="s">
        <v>2022</v>
      </c>
      <c r="J862" s="57" t="s">
        <v>2024</v>
      </c>
      <c r="L862" s="57" t="s">
        <v>378</v>
      </c>
      <c r="M862" s="156">
        <v>45957</v>
      </c>
      <c r="P862" s="57">
        <v>2.0840000000000001</v>
      </c>
      <c r="Q862" s="171">
        <v>5.21</v>
      </c>
      <c r="R862" s="166">
        <f>IFERROR(VLOOKUP(B862,#REF!,1,0),0)</f>
        <v>0</v>
      </c>
    </row>
    <row r="863" spans="1:18" x14ac:dyDescent="0.25">
      <c r="A863" s="57">
        <v>862</v>
      </c>
      <c r="B863" s="57" t="s">
        <v>2227</v>
      </c>
      <c r="C863" s="57">
        <v>1</v>
      </c>
      <c r="D863" s="57" t="s">
        <v>2193</v>
      </c>
      <c r="E863" s="57" t="s">
        <v>2417</v>
      </c>
      <c r="F863" s="57">
        <v>5220</v>
      </c>
      <c r="G863" s="57">
        <v>2920</v>
      </c>
      <c r="H863" s="57">
        <v>120</v>
      </c>
      <c r="I863" s="57" t="s">
        <v>2022</v>
      </c>
      <c r="J863" s="57" t="s">
        <v>2024</v>
      </c>
      <c r="L863" s="57" t="s">
        <v>378</v>
      </c>
      <c r="M863" s="156">
        <v>45957</v>
      </c>
      <c r="P863" s="57">
        <v>2.0840000000000001</v>
      </c>
      <c r="Q863" s="171">
        <v>5.21</v>
      </c>
      <c r="R863" s="166">
        <f>IFERROR(VLOOKUP(B863,#REF!,1,0),0)</f>
        <v>0</v>
      </c>
    </row>
    <row r="864" spans="1:18" x14ac:dyDescent="0.25">
      <c r="A864" s="57">
        <v>863</v>
      </c>
      <c r="B864" s="57" t="s">
        <v>2228</v>
      </c>
      <c r="C864" s="57">
        <v>1</v>
      </c>
      <c r="D864" s="57" t="s">
        <v>2193</v>
      </c>
      <c r="E864" s="57" t="s">
        <v>2424</v>
      </c>
      <c r="F864" s="57">
        <v>5220</v>
      </c>
      <c r="G864" s="57">
        <v>2920</v>
      </c>
      <c r="H864" s="57">
        <v>120</v>
      </c>
      <c r="I864" s="57" t="s">
        <v>2022</v>
      </c>
      <c r="J864" s="57" t="s">
        <v>2024</v>
      </c>
      <c r="L864" s="57" t="s">
        <v>378</v>
      </c>
      <c r="M864" s="156">
        <v>45957</v>
      </c>
      <c r="P864" s="57">
        <v>2.0840000000000001</v>
      </c>
      <c r="Q864" s="171">
        <v>5.21</v>
      </c>
      <c r="R864" s="166">
        <f>IFERROR(VLOOKUP(B864,#REF!,1,0),0)</f>
        <v>0</v>
      </c>
    </row>
    <row r="865" spans="1:18" x14ac:dyDescent="0.25">
      <c r="A865" s="57">
        <v>864</v>
      </c>
      <c r="B865" s="57" t="s">
        <v>2229</v>
      </c>
      <c r="C865" s="57">
        <v>1</v>
      </c>
      <c r="D865" s="57" t="s">
        <v>2193</v>
      </c>
      <c r="E865" s="57" t="s">
        <v>2424</v>
      </c>
      <c r="F865" s="57">
        <v>5220</v>
      </c>
      <c r="G865" s="57">
        <v>2920</v>
      </c>
      <c r="H865" s="57">
        <v>120</v>
      </c>
      <c r="I865" s="57" t="s">
        <v>2022</v>
      </c>
      <c r="J865" s="57" t="s">
        <v>2024</v>
      </c>
      <c r="L865" s="57" t="s">
        <v>378</v>
      </c>
      <c r="M865" s="156">
        <v>45957</v>
      </c>
      <c r="P865" s="57">
        <v>2.0840000000000001</v>
      </c>
      <c r="Q865" s="171">
        <v>5.21</v>
      </c>
      <c r="R865" s="166">
        <f>IFERROR(VLOOKUP(B865,#REF!,1,0),0)</f>
        <v>0</v>
      </c>
    </row>
    <row r="866" spans="1:18" x14ac:dyDescent="0.25">
      <c r="A866" s="57">
        <v>865</v>
      </c>
      <c r="B866" s="57" t="s">
        <v>2230</v>
      </c>
      <c r="C866" s="57">
        <v>1</v>
      </c>
      <c r="D866" s="57" t="s">
        <v>2193</v>
      </c>
      <c r="E866" s="57" t="s">
        <v>2424</v>
      </c>
      <c r="F866" s="57">
        <v>5220</v>
      </c>
      <c r="G866" s="57">
        <v>2920</v>
      </c>
      <c r="H866" s="57">
        <v>120</v>
      </c>
      <c r="I866" s="57" t="s">
        <v>2022</v>
      </c>
      <c r="J866" s="57" t="s">
        <v>2024</v>
      </c>
      <c r="L866" s="57" t="s">
        <v>378</v>
      </c>
      <c r="M866" s="156">
        <v>45957</v>
      </c>
      <c r="P866" s="57">
        <v>2.0840000000000001</v>
      </c>
      <c r="Q866" s="171">
        <v>5.21</v>
      </c>
      <c r="R866" s="166">
        <f>IFERROR(VLOOKUP(B866,#REF!,1,0),0)</f>
        <v>0</v>
      </c>
    </row>
    <row r="867" spans="1:18" x14ac:dyDescent="0.25">
      <c r="A867" s="57">
        <v>866</v>
      </c>
      <c r="B867" s="57" t="s">
        <v>2231</v>
      </c>
      <c r="C867" s="57">
        <v>1</v>
      </c>
      <c r="D867" s="57" t="s">
        <v>2193</v>
      </c>
      <c r="E867" s="57" t="s">
        <v>2424</v>
      </c>
      <c r="F867" s="57">
        <v>5220</v>
      </c>
      <c r="G867" s="57">
        <v>2920</v>
      </c>
      <c r="H867" s="57">
        <v>120</v>
      </c>
      <c r="I867" s="57" t="s">
        <v>2022</v>
      </c>
      <c r="J867" s="57" t="s">
        <v>2024</v>
      </c>
      <c r="L867" s="57" t="s">
        <v>378</v>
      </c>
      <c r="M867" s="156">
        <v>45957</v>
      </c>
      <c r="P867" s="57">
        <v>2.0840000000000001</v>
      </c>
      <c r="Q867" s="171">
        <v>5.21</v>
      </c>
      <c r="R867" s="166">
        <f>IFERROR(VLOOKUP(B867,#REF!,1,0),0)</f>
        <v>0</v>
      </c>
    </row>
    <row r="868" spans="1:18" x14ac:dyDescent="0.25">
      <c r="A868" s="57">
        <v>867</v>
      </c>
      <c r="B868" s="57" t="s">
        <v>2232</v>
      </c>
      <c r="C868" s="57">
        <v>1</v>
      </c>
      <c r="D868" s="57" t="s">
        <v>2193</v>
      </c>
      <c r="E868" s="57" t="s">
        <v>2417</v>
      </c>
      <c r="F868" s="57">
        <v>5220</v>
      </c>
      <c r="G868" s="57">
        <v>2920</v>
      </c>
      <c r="H868" s="57">
        <v>120</v>
      </c>
      <c r="I868" s="57" t="s">
        <v>2022</v>
      </c>
      <c r="J868" s="57" t="s">
        <v>2024</v>
      </c>
      <c r="L868" s="57" t="s">
        <v>378</v>
      </c>
      <c r="M868" s="156">
        <v>45957</v>
      </c>
      <c r="P868" s="57">
        <v>2.0840000000000001</v>
      </c>
      <c r="Q868" s="171">
        <v>5.21</v>
      </c>
      <c r="R868" s="166">
        <f>IFERROR(VLOOKUP(B868,#REF!,1,0),0)</f>
        <v>0</v>
      </c>
    </row>
    <row r="869" spans="1:18" x14ac:dyDescent="0.25">
      <c r="A869" s="57">
        <v>868</v>
      </c>
      <c r="B869" s="57" t="s">
        <v>2233</v>
      </c>
      <c r="C869" s="57">
        <v>1</v>
      </c>
      <c r="D869" s="57" t="s">
        <v>2193</v>
      </c>
      <c r="E869" s="57" t="s">
        <v>2417</v>
      </c>
      <c r="F869" s="57">
        <v>5220</v>
      </c>
      <c r="G869" s="57">
        <v>2920</v>
      </c>
      <c r="H869" s="57">
        <v>120</v>
      </c>
      <c r="I869" s="57" t="s">
        <v>2022</v>
      </c>
      <c r="J869" s="57" t="s">
        <v>2024</v>
      </c>
      <c r="L869" s="57" t="s">
        <v>378</v>
      </c>
      <c r="M869" s="156">
        <v>45957</v>
      </c>
      <c r="P869" s="57">
        <v>2.0840000000000001</v>
      </c>
      <c r="Q869" s="171">
        <v>5.21</v>
      </c>
      <c r="R869" s="166">
        <f>IFERROR(VLOOKUP(B869,#REF!,1,0),0)</f>
        <v>0</v>
      </c>
    </row>
    <row r="870" spans="1:18" x14ac:dyDescent="0.25">
      <c r="A870" s="57">
        <v>869</v>
      </c>
      <c r="B870" s="57" t="s">
        <v>2234</v>
      </c>
      <c r="C870" s="57">
        <v>1</v>
      </c>
      <c r="D870" s="57" t="s">
        <v>2193</v>
      </c>
      <c r="E870" s="57" t="s">
        <v>2417</v>
      </c>
      <c r="F870" s="57">
        <v>5220</v>
      </c>
      <c r="G870" s="57">
        <v>2920</v>
      </c>
      <c r="H870" s="57">
        <v>120</v>
      </c>
      <c r="I870" s="57" t="s">
        <v>2022</v>
      </c>
      <c r="J870" s="57" t="s">
        <v>2024</v>
      </c>
      <c r="L870" s="57" t="s">
        <v>378</v>
      </c>
      <c r="M870" s="156">
        <v>45957</v>
      </c>
      <c r="P870" s="57">
        <v>2.0840000000000001</v>
      </c>
      <c r="Q870" s="171">
        <v>5.21</v>
      </c>
      <c r="R870" s="166">
        <f>IFERROR(VLOOKUP(B870,#REF!,1,0),0)</f>
        <v>0</v>
      </c>
    </row>
    <row r="871" spans="1:18" x14ac:dyDescent="0.25">
      <c r="A871" s="57">
        <v>870</v>
      </c>
      <c r="B871" s="57" t="s">
        <v>2235</v>
      </c>
      <c r="C871" s="57">
        <v>1</v>
      </c>
      <c r="D871" s="57" t="s">
        <v>2193</v>
      </c>
      <c r="E871" s="57" t="s">
        <v>2417</v>
      </c>
      <c r="F871" s="57">
        <v>5220</v>
      </c>
      <c r="G871" s="57">
        <v>2920</v>
      </c>
      <c r="H871" s="57">
        <v>120</v>
      </c>
      <c r="I871" s="57" t="s">
        <v>2022</v>
      </c>
      <c r="J871" s="57" t="s">
        <v>2024</v>
      </c>
      <c r="L871" s="57" t="s">
        <v>378</v>
      </c>
      <c r="M871" s="156">
        <v>45957</v>
      </c>
      <c r="P871" s="57">
        <v>2.0840000000000001</v>
      </c>
      <c r="Q871" s="171">
        <v>5.21</v>
      </c>
      <c r="R871" s="166">
        <f>IFERROR(VLOOKUP(B871,#REF!,1,0),0)</f>
        <v>0</v>
      </c>
    </row>
    <row r="872" spans="1:18" x14ac:dyDescent="0.25">
      <c r="A872" s="57">
        <v>871</v>
      </c>
      <c r="B872" s="57" t="s">
        <v>2236</v>
      </c>
      <c r="C872" s="57">
        <v>1</v>
      </c>
      <c r="D872" s="57" t="s">
        <v>2193</v>
      </c>
      <c r="E872" s="57" t="s">
        <v>2424</v>
      </c>
      <c r="F872" s="57">
        <v>5220</v>
      </c>
      <c r="G872" s="57">
        <v>2920</v>
      </c>
      <c r="H872" s="57">
        <v>120</v>
      </c>
      <c r="I872" s="57" t="s">
        <v>2022</v>
      </c>
      <c r="J872" s="57" t="s">
        <v>2024</v>
      </c>
      <c r="L872" s="57" t="s">
        <v>378</v>
      </c>
      <c r="M872" s="156">
        <v>45957</v>
      </c>
      <c r="P872" s="57">
        <v>2.0840000000000001</v>
      </c>
      <c r="Q872" s="171">
        <v>5.21</v>
      </c>
      <c r="R872" s="166">
        <f>IFERROR(VLOOKUP(B872,#REF!,1,0),0)</f>
        <v>0</v>
      </c>
    </row>
    <row r="873" spans="1:18" x14ac:dyDescent="0.25">
      <c r="A873" s="57">
        <v>872</v>
      </c>
      <c r="B873" s="57" t="s">
        <v>2237</v>
      </c>
      <c r="C873" s="57">
        <v>1</v>
      </c>
      <c r="D873" s="57" t="s">
        <v>2193</v>
      </c>
      <c r="E873" s="57" t="s">
        <v>2417</v>
      </c>
      <c r="F873" s="57">
        <v>5220</v>
      </c>
      <c r="G873" s="57">
        <v>2920</v>
      </c>
      <c r="H873" s="57">
        <v>120</v>
      </c>
      <c r="I873" s="57" t="s">
        <v>2022</v>
      </c>
      <c r="J873" s="57" t="s">
        <v>2024</v>
      </c>
      <c r="L873" s="57" t="s">
        <v>378</v>
      </c>
      <c r="M873" s="156">
        <v>45957</v>
      </c>
      <c r="P873" s="57">
        <v>2.0840000000000001</v>
      </c>
      <c r="Q873" s="171">
        <v>5.21</v>
      </c>
      <c r="R873" s="166">
        <f>IFERROR(VLOOKUP(B873,#REF!,1,0),0)</f>
        <v>0</v>
      </c>
    </row>
    <row r="874" spans="1:18" x14ac:dyDescent="0.25">
      <c r="A874" s="57">
        <v>873</v>
      </c>
      <c r="B874" s="57" t="s">
        <v>2238</v>
      </c>
      <c r="C874" s="57">
        <v>1</v>
      </c>
      <c r="D874" s="57" t="s">
        <v>2193</v>
      </c>
      <c r="E874" s="57" t="s">
        <v>2424</v>
      </c>
      <c r="F874" s="57">
        <v>4862</v>
      </c>
      <c r="G874" s="57">
        <v>2180</v>
      </c>
      <c r="H874" s="57">
        <v>120</v>
      </c>
      <c r="I874" s="57" t="s">
        <v>1212</v>
      </c>
      <c r="J874" s="57" t="s">
        <v>2021</v>
      </c>
      <c r="L874" s="57" t="s">
        <v>378</v>
      </c>
      <c r="M874" s="156">
        <v>45957</v>
      </c>
      <c r="P874" s="57">
        <v>1.331</v>
      </c>
      <c r="Q874" s="171">
        <v>3.3274999999999997</v>
      </c>
      <c r="R874" s="166">
        <f>IFERROR(VLOOKUP(B874,#REF!,1,0),0)</f>
        <v>0</v>
      </c>
    </row>
    <row r="875" spans="1:18" x14ac:dyDescent="0.25">
      <c r="A875" s="57">
        <v>874</v>
      </c>
      <c r="B875" s="57" t="s">
        <v>2239</v>
      </c>
      <c r="C875" s="57">
        <v>1</v>
      </c>
      <c r="D875" s="57" t="s">
        <v>2193</v>
      </c>
      <c r="E875" s="57" t="s">
        <v>2424</v>
      </c>
      <c r="F875" s="57">
        <v>4862</v>
      </c>
      <c r="G875" s="57">
        <v>3380</v>
      </c>
      <c r="H875" s="57">
        <v>120</v>
      </c>
      <c r="I875" s="57" t="s">
        <v>1212</v>
      </c>
      <c r="J875" s="57" t="s">
        <v>2021</v>
      </c>
      <c r="L875" s="57" t="s">
        <v>378</v>
      </c>
      <c r="M875" s="156">
        <v>45957</v>
      </c>
      <c r="P875" s="57">
        <v>1.585</v>
      </c>
      <c r="Q875" s="171">
        <v>3.9624999999999999</v>
      </c>
      <c r="R875" s="166">
        <f>IFERROR(VLOOKUP(B875,#REF!,1,0),0)</f>
        <v>0</v>
      </c>
    </row>
    <row r="876" spans="1:18" x14ac:dyDescent="0.25">
      <c r="A876" s="57">
        <v>875</v>
      </c>
      <c r="B876" s="57" t="s">
        <v>2240</v>
      </c>
      <c r="C876" s="57">
        <v>1</v>
      </c>
      <c r="D876" s="57" t="s">
        <v>2193</v>
      </c>
      <c r="E876" s="57" t="s">
        <v>2417</v>
      </c>
      <c r="F876" s="57">
        <v>4862</v>
      </c>
      <c r="G876" s="57">
        <v>3260</v>
      </c>
      <c r="H876" s="57">
        <v>120</v>
      </c>
      <c r="I876" s="57" t="s">
        <v>1212</v>
      </c>
      <c r="J876" s="57" t="s">
        <v>2020</v>
      </c>
      <c r="L876" s="57" t="s">
        <v>378</v>
      </c>
      <c r="M876" s="156">
        <v>45957</v>
      </c>
      <c r="P876" s="57">
        <v>1.4590000000000001</v>
      </c>
      <c r="Q876" s="171">
        <v>3.6475</v>
      </c>
      <c r="R876" s="166">
        <f>IFERROR(VLOOKUP(B876,#REF!,1,0),0)</f>
        <v>0</v>
      </c>
    </row>
    <row r="877" spans="1:18" x14ac:dyDescent="0.25">
      <c r="A877" s="57">
        <v>876</v>
      </c>
      <c r="B877" s="57" t="s">
        <v>2241</v>
      </c>
      <c r="C877" s="57">
        <v>1</v>
      </c>
      <c r="D877" s="57" t="s">
        <v>2193</v>
      </c>
      <c r="E877" s="57" t="s">
        <v>2417</v>
      </c>
      <c r="F877" s="57">
        <v>4862</v>
      </c>
      <c r="G877" s="57">
        <v>1990</v>
      </c>
      <c r="H877" s="57">
        <v>120</v>
      </c>
      <c r="I877" s="57" t="s">
        <v>1212</v>
      </c>
      <c r="J877" s="57" t="s">
        <v>2020</v>
      </c>
      <c r="L877" s="57" t="s">
        <v>378</v>
      </c>
      <c r="M877" s="156">
        <v>45957</v>
      </c>
      <c r="P877" s="57">
        <v>1.1950000000000001</v>
      </c>
      <c r="Q877" s="171">
        <v>2.9875000000000003</v>
      </c>
      <c r="R877" s="166">
        <f>IFERROR(VLOOKUP(B877,#REF!,1,0),0)</f>
        <v>0</v>
      </c>
    </row>
    <row r="878" spans="1:18" x14ac:dyDescent="0.25">
      <c r="A878" s="57">
        <v>877</v>
      </c>
      <c r="B878" s="57" t="s">
        <v>2242</v>
      </c>
      <c r="C878" s="57">
        <v>1</v>
      </c>
      <c r="D878" s="57" t="s">
        <v>2193</v>
      </c>
      <c r="E878" s="57" t="s">
        <v>2425</v>
      </c>
      <c r="F878" s="57">
        <v>2400</v>
      </c>
      <c r="G878" s="57">
        <v>3105</v>
      </c>
      <c r="H878" s="57">
        <v>120</v>
      </c>
      <c r="I878" s="57" t="s">
        <v>2022</v>
      </c>
      <c r="J878" s="57" t="s">
        <v>2046</v>
      </c>
      <c r="L878" s="57" t="s">
        <v>378</v>
      </c>
      <c r="M878" s="156">
        <v>45957</v>
      </c>
      <c r="P878" s="57">
        <v>0.97899999999999998</v>
      </c>
      <c r="Q878" s="171">
        <v>2.4474999999999998</v>
      </c>
      <c r="R878" s="166">
        <f>IFERROR(VLOOKUP(B878,#REF!,1,0),0)</f>
        <v>0</v>
      </c>
    </row>
    <row r="879" spans="1:18" x14ac:dyDescent="0.25">
      <c r="A879" s="57">
        <v>878</v>
      </c>
      <c r="B879" s="57" t="s">
        <v>2243</v>
      </c>
      <c r="C879" s="57">
        <v>1</v>
      </c>
      <c r="D879" s="57" t="s">
        <v>2193</v>
      </c>
      <c r="E879" s="57" t="s">
        <v>2425</v>
      </c>
      <c r="F879" s="57">
        <v>5220</v>
      </c>
      <c r="G879" s="57">
        <v>2920</v>
      </c>
      <c r="H879" s="57">
        <v>120</v>
      </c>
      <c r="I879" s="57" t="s">
        <v>2022</v>
      </c>
      <c r="J879" s="57" t="s">
        <v>2024</v>
      </c>
      <c r="L879" s="57" t="s">
        <v>378</v>
      </c>
      <c r="M879" s="156">
        <v>45957</v>
      </c>
      <c r="P879" s="57">
        <v>2.0840000000000001</v>
      </c>
      <c r="Q879" s="171">
        <v>5.21</v>
      </c>
      <c r="R879" s="166">
        <f>IFERROR(VLOOKUP(B879,#REF!,1,0),0)</f>
        <v>0</v>
      </c>
    </row>
    <row r="880" spans="1:18" x14ac:dyDescent="0.25">
      <c r="A880" s="57">
        <v>879</v>
      </c>
      <c r="B880" s="178" t="s">
        <v>2244</v>
      </c>
      <c r="C880" s="57">
        <v>1</v>
      </c>
      <c r="D880" s="57" t="s">
        <v>2193</v>
      </c>
      <c r="E880" s="57" t="s">
        <v>2418</v>
      </c>
      <c r="F880" s="57">
        <v>5220</v>
      </c>
      <c r="G880" s="57">
        <v>2920</v>
      </c>
      <c r="H880" s="57">
        <v>120</v>
      </c>
      <c r="I880" s="57" t="s">
        <v>2022</v>
      </c>
      <c r="J880" s="57" t="s">
        <v>2024</v>
      </c>
      <c r="L880" s="57" t="s">
        <v>378</v>
      </c>
      <c r="M880" s="156">
        <v>45957</v>
      </c>
      <c r="P880" s="57">
        <v>2.0840000000000001</v>
      </c>
      <c r="Q880" s="171">
        <v>5.21</v>
      </c>
      <c r="R880" s="166">
        <f>IFERROR(VLOOKUP(B880,#REF!,1,0),0)</f>
        <v>0</v>
      </c>
    </row>
    <row r="881" spans="1:18" x14ac:dyDescent="0.25">
      <c r="A881" s="57">
        <v>880</v>
      </c>
      <c r="B881" s="57" t="s">
        <v>2245</v>
      </c>
      <c r="C881" s="57">
        <v>1</v>
      </c>
      <c r="D881" s="57" t="s">
        <v>2193</v>
      </c>
      <c r="E881" s="57" t="s">
        <v>2425</v>
      </c>
      <c r="F881" s="57">
        <v>5220</v>
      </c>
      <c r="G881" s="57">
        <v>2920</v>
      </c>
      <c r="H881" s="57">
        <v>120</v>
      </c>
      <c r="I881" s="57" t="s">
        <v>2022</v>
      </c>
      <c r="J881" s="57" t="s">
        <v>2024</v>
      </c>
      <c r="L881" s="57" t="s">
        <v>378</v>
      </c>
      <c r="M881" s="156">
        <v>45957</v>
      </c>
      <c r="P881" s="57">
        <v>2.0840000000000001</v>
      </c>
      <c r="Q881" s="171">
        <v>5.21</v>
      </c>
      <c r="R881" s="166">
        <f>IFERROR(VLOOKUP(B881,#REF!,1,0),0)</f>
        <v>0</v>
      </c>
    </row>
    <row r="882" spans="1:18" x14ac:dyDescent="0.25">
      <c r="A882" s="57">
        <v>881</v>
      </c>
      <c r="B882" s="57" t="s">
        <v>2246</v>
      </c>
      <c r="C882" s="57">
        <v>1</v>
      </c>
      <c r="D882" s="57" t="s">
        <v>2193</v>
      </c>
      <c r="E882" s="57" t="s">
        <v>2425</v>
      </c>
      <c r="F882" s="57">
        <v>5220</v>
      </c>
      <c r="G882" s="57">
        <v>2920</v>
      </c>
      <c r="H882" s="57">
        <v>120</v>
      </c>
      <c r="I882" s="57" t="s">
        <v>2022</v>
      </c>
      <c r="J882" s="57" t="s">
        <v>2024</v>
      </c>
      <c r="L882" s="57" t="s">
        <v>378</v>
      </c>
      <c r="M882" s="156">
        <v>45957</v>
      </c>
      <c r="P882" s="57">
        <v>2.0840000000000001</v>
      </c>
      <c r="Q882" s="171">
        <v>5.21</v>
      </c>
      <c r="R882" s="166">
        <f>IFERROR(VLOOKUP(B882,#REF!,1,0),0)</f>
        <v>0</v>
      </c>
    </row>
    <row r="883" spans="1:18" x14ac:dyDescent="0.25">
      <c r="A883" s="57">
        <v>882</v>
      </c>
      <c r="B883" s="57" t="s">
        <v>2247</v>
      </c>
      <c r="C883" s="57">
        <v>1</v>
      </c>
      <c r="D883" s="57" t="s">
        <v>2193</v>
      </c>
      <c r="E883" s="57" t="s">
        <v>2425</v>
      </c>
      <c r="F883" s="57">
        <v>5220</v>
      </c>
      <c r="G883" s="57">
        <v>2920</v>
      </c>
      <c r="H883" s="57">
        <v>120</v>
      </c>
      <c r="I883" s="57" t="s">
        <v>2022</v>
      </c>
      <c r="J883" s="57" t="s">
        <v>2024</v>
      </c>
      <c r="L883" s="57" t="s">
        <v>378</v>
      </c>
      <c r="M883" s="156">
        <v>45957</v>
      </c>
      <c r="P883" s="57">
        <v>2.0840000000000001</v>
      </c>
      <c r="Q883" s="171">
        <v>5.21</v>
      </c>
      <c r="R883" s="166">
        <f>IFERROR(VLOOKUP(B883,#REF!,1,0),0)</f>
        <v>0</v>
      </c>
    </row>
    <row r="884" spans="1:18" x14ac:dyDescent="0.25">
      <c r="A884" s="57">
        <v>883</v>
      </c>
      <c r="B884" s="57" t="s">
        <v>2248</v>
      </c>
      <c r="C884" s="57">
        <v>1</v>
      </c>
      <c r="D884" s="57" t="s">
        <v>2193</v>
      </c>
      <c r="E884" s="57" t="s">
        <v>2425</v>
      </c>
      <c r="F884" s="57">
        <v>5220</v>
      </c>
      <c r="G884" s="57">
        <v>2920</v>
      </c>
      <c r="H884" s="57">
        <v>120</v>
      </c>
      <c r="I884" s="57" t="s">
        <v>2022</v>
      </c>
      <c r="J884" s="57" t="s">
        <v>2024</v>
      </c>
      <c r="L884" s="57" t="s">
        <v>378</v>
      </c>
      <c r="M884" s="156">
        <v>45957</v>
      </c>
      <c r="P884" s="57">
        <v>2.0840000000000001</v>
      </c>
      <c r="Q884" s="171">
        <v>5.21</v>
      </c>
      <c r="R884" s="166">
        <f>IFERROR(VLOOKUP(B884,#REF!,1,0),0)</f>
        <v>0</v>
      </c>
    </row>
    <row r="885" spans="1:18" x14ac:dyDescent="0.25">
      <c r="A885" s="57">
        <v>884</v>
      </c>
      <c r="B885" s="57" t="s">
        <v>2249</v>
      </c>
      <c r="C885" s="57">
        <v>1</v>
      </c>
      <c r="D885" s="57" t="s">
        <v>2193</v>
      </c>
      <c r="E885" s="57" t="s">
        <v>2418</v>
      </c>
      <c r="F885" s="57">
        <v>5220</v>
      </c>
      <c r="G885" s="57">
        <v>2920</v>
      </c>
      <c r="H885" s="57">
        <v>120</v>
      </c>
      <c r="I885" s="57" t="s">
        <v>2022</v>
      </c>
      <c r="J885" s="57" t="s">
        <v>2024</v>
      </c>
      <c r="L885" s="57" t="s">
        <v>378</v>
      </c>
      <c r="M885" s="156">
        <v>45957</v>
      </c>
      <c r="P885" s="57">
        <v>2.0840000000000001</v>
      </c>
      <c r="Q885" s="171">
        <v>5.21</v>
      </c>
      <c r="R885" s="166">
        <f>IFERROR(VLOOKUP(B885,#REF!,1,0),0)</f>
        <v>0</v>
      </c>
    </row>
    <row r="886" spans="1:18" x14ac:dyDescent="0.25">
      <c r="A886" s="57">
        <v>885</v>
      </c>
      <c r="B886" s="57" t="s">
        <v>2250</v>
      </c>
      <c r="C886" s="57">
        <v>1</v>
      </c>
      <c r="D886" s="57" t="s">
        <v>2193</v>
      </c>
      <c r="E886" s="57" t="s">
        <v>2418</v>
      </c>
      <c r="F886" s="57">
        <v>5220</v>
      </c>
      <c r="G886" s="57">
        <v>2920</v>
      </c>
      <c r="H886" s="57">
        <v>120</v>
      </c>
      <c r="I886" s="57" t="s">
        <v>2022</v>
      </c>
      <c r="J886" s="57" t="s">
        <v>2024</v>
      </c>
      <c r="L886" s="57" t="s">
        <v>378</v>
      </c>
      <c r="M886" s="156">
        <v>45957</v>
      </c>
      <c r="P886" s="57">
        <v>2.0840000000000001</v>
      </c>
      <c r="Q886" s="171">
        <v>5.21</v>
      </c>
      <c r="R886" s="166">
        <f>IFERROR(VLOOKUP(B886,#REF!,1,0),0)</f>
        <v>0</v>
      </c>
    </row>
    <row r="887" spans="1:18" x14ac:dyDescent="0.25">
      <c r="A887" s="57">
        <v>886</v>
      </c>
      <c r="B887" s="57" t="s">
        <v>2251</v>
      </c>
      <c r="C887" s="57">
        <v>1</v>
      </c>
      <c r="D887" s="57" t="s">
        <v>2193</v>
      </c>
      <c r="E887" s="57" t="s">
        <v>2418</v>
      </c>
      <c r="F887" s="57">
        <v>5220</v>
      </c>
      <c r="G887" s="57">
        <v>2920</v>
      </c>
      <c r="H887" s="57">
        <v>120</v>
      </c>
      <c r="I887" s="57" t="s">
        <v>2022</v>
      </c>
      <c r="J887" s="57" t="s">
        <v>2024</v>
      </c>
      <c r="L887" s="57" t="s">
        <v>378</v>
      </c>
      <c r="M887" s="156">
        <v>45957</v>
      </c>
      <c r="P887" s="57">
        <v>2.0840000000000001</v>
      </c>
      <c r="Q887" s="171">
        <v>5.21</v>
      </c>
      <c r="R887" s="166">
        <f>IFERROR(VLOOKUP(B887,#REF!,1,0),0)</f>
        <v>0</v>
      </c>
    </row>
    <row r="888" spans="1:18" x14ac:dyDescent="0.25">
      <c r="A888" s="57">
        <v>887</v>
      </c>
      <c r="B888" s="57" t="s">
        <v>2252</v>
      </c>
      <c r="C888" s="57">
        <v>1</v>
      </c>
      <c r="D888" s="57" t="s">
        <v>2193</v>
      </c>
      <c r="E888" s="57" t="s">
        <v>2418</v>
      </c>
      <c r="F888" s="57">
        <v>5220</v>
      </c>
      <c r="G888" s="57">
        <v>2920</v>
      </c>
      <c r="H888" s="57">
        <v>120</v>
      </c>
      <c r="I888" s="57" t="s">
        <v>2022</v>
      </c>
      <c r="J888" s="57" t="s">
        <v>2024</v>
      </c>
      <c r="L888" s="57" t="s">
        <v>378</v>
      </c>
      <c r="M888" s="156">
        <v>45957</v>
      </c>
      <c r="P888" s="57">
        <v>2.0840000000000001</v>
      </c>
      <c r="Q888" s="171">
        <v>5.21</v>
      </c>
      <c r="R888" s="166">
        <f>IFERROR(VLOOKUP(B888,#REF!,1,0),0)</f>
        <v>0</v>
      </c>
    </row>
    <row r="889" spans="1:18" x14ac:dyDescent="0.25">
      <c r="A889" s="57">
        <v>888</v>
      </c>
      <c r="B889" s="57" t="s">
        <v>2253</v>
      </c>
      <c r="C889" s="57">
        <v>1</v>
      </c>
      <c r="D889" s="57" t="s">
        <v>2193</v>
      </c>
      <c r="E889" s="57" t="s">
        <v>2425</v>
      </c>
      <c r="F889" s="57">
        <v>5220</v>
      </c>
      <c r="G889" s="57">
        <v>2920</v>
      </c>
      <c r="H889" s="57">
        <v>120</v>
      </c>
      <c r="I889" s="57" t="s">
        <v>2022</v>
      </c>
      <c r="J889" s="57" t="s">
        <v>2024</v>
      </c>
      <c r="L889" s="57" t="s">
        <v>378</v>
      </c>
      <c r="M889" s="156">
        <v>45957</v>
      </c>
      <c r="P889" s="57">
        <v>2.0840000000000001</v>
      </c>
      <c r="Q889" s="171">
        <v>5.21</v>
      </c>
      <c r="R889" s="166">
        <f>IFERROR(VLOOKUP(B889,#REF!,1,0),0)</f>
        <v>0</v>
      </c>
    </row>
    <row r="890" spans="1:18" x14ac:dyDescent="0.25">
      <c r="A890" s="57">
        <v>889</v>
      </c>
      <c r="B890" s="57" t="s">
        <v>2254</v>
      </c>
      <c r="C890" s="57">
        <v>1</v>
      </c>
      <c r="D890" s="57" t="s">
        <v>2193</v>
      </c>
      <c r="E890" s="57" t="s">
        <v>2418</v>
      </c>
      <c r="F890" s="57">
        <v>5220</v>
      </c>
      <c r="G890" s="57">
        <v>2920</v>
      </c>
      <c r="H890" s="57">
        <v>120</v>
      </c>
      <c r="I890" s="57" t="s">
        <v>2022</v>
      </c>
      <c r="J890" s="57" t="s">
        <v>2024</v>
      </c>
      <c r="L890" s="57" t="s">
        <v>378</v>
      </c>
      <c r="M890" s="156">
        <v>45957</v>
      </c>
      <c r="P890" s="57">
        <v>2.0840000000000001</v>
      </c>
      <c r="Q890" s="171">
        <v>5.21</v>
      </c>
      <c r="R890" s="166">
        <f>IFERROR(VLOOKUP(B890,#REF!,1,0),0)</f>
        <v>0</v>
      </c>
    </row>
    <row r="891" spans="1:18" x14ac:dyDescent="0.25">
      <c r="A891" s="57">
        <v>890</v>
      </c>
      <c r="B891" s="57" t="s">
        <v>2255</v>
      </c>
      <c r="C891" s="57">
        <v>1</v>
      </c>
      <c r="D891" s="57" t="s">
        <v>2193</v>
      </c>
      <c r="E891" s="57" t="s">
        <v>2425</v>
      </c>
      <c r="F891" s="57">
        <v>4862</v>
      </c>
      <c r="G891" s="57">
        <v>1905</v>
      </c>
      <c r="H891" s="57">
        <v>120</v>
      </c>
      <c r="I891" s="57" t="s">
        <v>1212</v>
      </c>
      <c r="J891" s="57" t="s">
        <v>2020</v>
      </c>
      <c r="L891" s="57" t="s">
        <v>378</v>
      </c>
      <c r="M891" s="156">
        <v>45957</v>
      </c>
      <c r="P891" s="57">
        <v>1.51</v>
      </c>
      <c r="Q891" s="171">
        <v>3.7749999999999999</v>
      </c>
      <c r="R891" s="166">
        <f>IFERROR(VLOOKUP(B891,#REF!,1,0),0)</f>
        <v>0</v>
      </c>
    </row>
    <row r="892" spans="1:18" x14ac:dyDescent="0.25">
      <c r="A892" s="57">
        <v>891</v>
      </c>
      <c r="B892" s="57" t="s">
        <v>2256</v>
      </c>
      <c r="C892" s="57">
        <v>1</v>
      </c>
      <c r="D892" s="57" t="s">
        <v>2193</v>
      </c>
      <c r="E892" s="57" t="s">
        <v>2425</v>
      </c>
      <c r="F892" s="57">
        <v>4862</v>
      </c>
      <c r="G892" s="57">
        <v>3105</v>
      </c>
      <c r="H892" s="57">
        <v>120</v>
      </c>
      <c r="I892" s="57" t="s">
        <v>1212</v>
      </c>
      <c r="J892" s="57" t="s">
        <v>2020</v>
      </c>
      <c r="L892" s="57" t="s">
        <v>378</v>
      </c>
      <c r="M892" s="156">
        <v>45957</v>
      </c>
      <c r="P892" s="57">
        <v>1.399</v>
      </c>
      <c r="Q892" s="171">
        <v>3.4975000000000001</v>
      </c>
      <c r="R892" s="166">
        <f>IFERROR(VLOOKUP(B892,#REF!,1,0),0)</f>
        <v>0</v>
      </c>
    </row>
    <row r="893" spans="1:18" x14ac:dyDescent="0.25">
      <c r="A893" s="57">
        <v>892</v>
      </c>
      <c r="B893" s="57" t="s">
        <v>2257</v>
      </c>
      <c r="C893" s="57">
        <v>1</v>
      </c>
      <c r="D893" s="57" t="s">
        <v>2193</v>
      </c>
      <c r="E893" s="57" t="s">
        <v>2418</v>
      </c>
      <c r="F893" s="57">
        <v>2400</v>
      </c>
      <c r="G893" s="57">
        <v>3090</v>
      </c>
      <c r="H893" s="57">
        <v>120</v>
      </c>
      <c r="I893" s="57" t="s">
        <v>2022</v>
      </c>
      <c r="J893" s="57" t="s">
        <v>2046</v>
      </c>
      <c r="L893" s="57" t="s">
        <v>378</v>
      </c>
      <c r="M893" s="156">
        <v>45957</v>
      </c>
      <c r="P893" s="57">
        <v>0.95499999999999996</v>
      </c>
      <c r="Q893" s="171">
        <v>2.3874999999999997</v>
      </c>
      <c r="R893" s="166">
        <f>IFERROR(VLOOKUP(B893,#REF!,1,0),0)</f>
        <v>0</v>
      </c>
    </row>
    <row r="894" spans="1:18" x14ac:dyDescent="0.25">
      <c r="A894" s="57">
        <v>893</v>
      </c>
      <c r="B894" s="57" t="s">
        <v>2258</v>
      </c>
      <c r="C894" s="57">
        <v>1</v>
      </c>
      <c r="D894" s="57" t="s">
        <v>2193</v>
      </c>
      <c r="E894" s="57" t="s">
        <v>2418</v>
      </c>
      <c r="F894" s="57">
        <v>4862</v>
      </c>
      <c r="G894" s="57">
        <v>3150</v>
      </c>
      <c r="H894" s="57">
        <v>120</v>
      </c>
      <c r="I894" s="57" t="s">
        <v>1212</v>
      </c>
      <c r="J894" s="57" t="s">
        <v>2020</v>
      </c>
      <c r="L894" s="57" t="s">
        <v>378</v>
      </c>
      <c r="M894" s="156">
        <v>45957</v>
      </c>
      <c r="P894" s="57">
        <v>1.399</v>
      </c>
      <c r="Q894" s="171">
        <v>3.4975000000000001</v>
      </c>
      <c r="R894" s="166">
        <f>IFERROR(VLOOKUP(B894,#REF!,1,0),0)</f>
        <v>0</v>
      </c>
    </row>
    <row r="895" spans="1:18" x14ac:dyDescent="0.25">
      <c r="A895" s="57">
        <v>894</v>
      </c>
      <c r="B895" s="57" t="s">
        <v>2259</v>
      </c>
      <c r="C895" s="57">
        <v>1</v>
      </c>
      <c r="D895" s="57" t="s">
        <v>2193</v>
      </c>
      <c r="E895" s="57" t="s">
        <v>2418</v>
      </c>
      <c r="F895" s="57">
        <v>4862</v>
      </c>
      <c r="G895" s="57">
        <v>1890</v>
      </c>
      <c r="H895" s="57">
        <v>120</v>
      </c>
      <c r="I895" s="57" t="s">
        <v>1212</v>
      </c>
      <c r="J895" s="57" t="s">
        <v>2020</v>
      </c>
      <c r="L895" s="57" t="s">
        <v>378</v>
      </c>
      <c r="M895" s="156">
        <v>45957</v>
      </c>
      <c r="P895" s="57">
        <v>1.143</v>
      </c>
      <c r="Q895" s="171">
        <v>2.8574999999999999</v>
      </c>
      <c r="R895" s="166">
        <f>IFERROR(VLOOKUP(B895,#REF!,1,0),0)</f>
        <v>0</v>
      </c>
    </row>
    <row r="896" spans="1:18" x14ac:dyDescent="0.25">
      <c r="A896" s="57">
        <v>895</v>
      </c>
      <c r="B896" s="57" t="s">
        <v>2260</v>
      </c>
      <c r="C896" s="57">
        <v>1</v>
      </c>
      <c r="D896" s="57" t="s">
        <v>2193</v>
      </c>
      <c r="E896" s="57" t="s">
        <v>2426</v>
      </c>
      <c r="F896" s="57">
        <v>5220</v>
      </c>
      <c r="G896" s="57">
        <v>2930</v>
      </c>
      <c r="H896" s="57">
        <v>120</v>
      </c>
      <c r="I896" s="57" t="s">
        <v>2022</v>
      </c>
      <c r="J896" s="57" t="s">
        <v>2024</v>
      </c>
      <c r="L896" s="57" t="s">
        <v>378</v>
      </c>
      <c r="M896" s="156">
        <v>45957</v>
      </c>
      <c r="P896" s="57">
        <v>2.09</v>
      </c>
      <c r="Q896" s="171">
        <v>5.2249999999999996</v>
      </c>
      <c r="R896" s="166">
        <f>IFERROR(VLOOKUP(B896,#REF!,1,0),0)</f>
        <v>0</v>
      </c>
    </row>
    <row r="897" spans="1:18" x14ac:dyDescent="0.25">
      <c r="A897" s="57">
        <v>896</v>
      </c>
      <c r="B897" s="57" t="s">
        <v>2261</v>
      </c>
      <c r="C897" s="57">
        <v>1</v>
      </c>
      <c r="D897" s="57" t="s">
        <v>2193</v>
      </c>
      <c r="E897" s="57" t="s">
        <v>2419</v>
      </c>
      <c r="F897" s="57">
        <v>5220</v>
      </c>
      <c r="G897" s="57">
        <v>2930</v>
      </c>
      <c r="H897" s="57">
        <v>120</v>
      </c>
      <c r="I897" s="57" t="s">
        <v>2022</v>
      </c>
      <c r="J897" s="57" t="s">
        <v>2024</v>
      </c>
      <c r="L897" s="57" t="s">
        <v>378</v>
      </c>
      <c r="M897" s="156">
        <v>45957</v>
      </c>
      <c r="P897" s="57">
        <v>2.09</v>
      </c>
      <c r="Q897" s="171">
        <v>5.2249999999999996</v>
      </c>
      <c r="R897" s="166">
        <f>IFERROR(VLOOKUP(B897,#REF!,1,0),0)</f>
        <v>0</v>
      </c>
    </row>
    <row r="898" spans="1:18" x14ac:dyDescent="0.25">
      <c r="A898" s="57">
        <v>897</v>
      </c>
      <c r="B898" s="57" t="s">
        <v>2262</v>
      </c>
      <c r="C898" s="57">
        <v>1</v>
      </c>
      <c r="D898" s="57" t="s">
        <v>2193</v>
      </c>
      <c r="E898" s="57" t="s">
        <v>2426</v>
      </c>
      <c r="F898" s="57">
        <v>5220</v>
      </c>
      <c r="G898" s="57">
        <v>2930</v>
      </c>
      <c r="H898" s="57">
        <v>120</v>
      </c>
      <c r="I898" s="57" t="s">
        <v>2022</v>
      </c>
      <c r="J898" s="57" t="s">
        <v>2024</v>
      </c>
      <c r="L898" s="57" t="s">
        <v>378</v>
      </c>
      <c r="M898" s="156">
        <v>45957</v>
      </c>
      <c r="P898" s="57">
        <v>2.09</v>
      </c>
      <c r="Q898" s="171">
        <v>5.2249999999999996</v>
      </c>
      <c r="R898" s="166">
        <f>IFERROR(VLOOKUP(B898,#REF!,1,0),0)</f>
        <v>0</v>
      </c>
    </row>
    <row r="899" spans="1:18" x14ac:dyDescent="0.25">
      <c r="A899" s="57">
        <v>898</v>
      </c>
      <c r="B899" s="57" t="s">
        <v>2263</v>
      </c>
      <c r="C899" s="57">
        <v>1</v>
      </c>
      <c r="D899" s="57" t="s">
        <v>2193</v>
      </c>
      <c r="E899" s="57" t="s">
        <v>2426</v>
      </c>
      <c r="F899" s="57">
        <v>5220</v>
      </c>
      <c r="G899" s="57">
        <v>2930</v>
      </c>
      <c r="H899" s="57">
        <v>120</v>
      </c>
      <c r="I899" s="57" t="s">
        <v>2022</v>
      </c>
      <c r="J899" s="57" t="s">
        <v>2024</v>
      </c>
      <c r="L899" s="57" t="s">
        <v>378</v>
      </c>
      <c r="M899" s="156">
        <v>45957</v>
      </c>
      <c r="P899" s="57">
        <v>2.09</v>
      </c>
      <c r="Q899" s="171">
        <v>5.2249999999999996</v>
      </c>
      <c r="R899" s="166">
        <f>IFERROR(VLOOKUP(B899,#REF!,1,0),0)</f>
        <v>0</v>
      </c>
    </row>
    <row r="900" spans="1:18" x14ac:dyDescent="0.25">
      <c r="A900" s="57">
        <v>899</v>
      </c>
      <c r="B900" s="57" t="s">
        <v>2264</v>
      </c>
      <c r="C900" s="57">
        <v>1</v>
      </c>
      <c r="D900" s="57" t="s">
        <v>2193</v>
      </c>
      <c r="E900" s="57" t="s">
        <v>2426</v>
      </c>
      <c r="F900" s="57">
        <v>5220</v>
      </c>
      <c r="G900" s="57">
        <v>2930</v>
      </c>
      <c r="H900" s="57">
        <v>120</v>
      </c>
      <c r="I900" s="57" t="s">
        <v>2022</v>
      </c>
      <c r="J900" s="57" t="s">
        <v>2024</v>
      </c>
      <c r="L900" s="57" t="s">
        <v>378</v>
      </c>
      <c r="M900" s="156">
        <v>45957</v>
      </c>
      <c r="P900" s="57">
        <v>2.09</v>
      </c>
      <c r="Q900" s="171">
        <v>5.2249999999999996</v>
      </c>
      <c r="R900" s="166">
        <f>IFERROR(VLOOKUP(B900,#REF!,1,0),0)</f>
        <v>0</v>
      </c>
    </row>
    <row r="901" spans="1:18" x14ac:dyDescent="0.25">
      <c r="A901" s="57">
        <v>900</v>
      </c>
      <c r="B901" s="57" t="s">
        <v>2265</v>
      </c>
      <c r="C901" s="57">
        <v>1</v>
      </c>
      <c r="D901" s="57" t="s">
        <v>2193</v>
      </c>
      <c r="E901" s="57" t="s">
        <v>2426</v>
      </c>
      <c r="F901" s="57">
        <v>5220</v>
      </c>
      <c r="G901" s="57">
        <v>2930</v>
      </c>
      <c r="H901" s="57">
        <v>120</v>
      </c>
      <c r="I901" s="57" t="s">
        <v>2022</v>
      </c>
      <c r="J901" s="57" t="s">
        <v>2024</v>
      </c>
      <c r="L901" s="57" t="s">
        <v>378</v>
      </c>
      <c r="M901" s="156">
        <v>45957</v>
      </c>
      <c r="P901" s="57">
        <v>2.09</v>
      </c>
      <c r="Q901" s="171">
        <v>5.2249999999999996</v>
      </c>
      <c r="R901" s="166">
        <f>IFERROR(VLOOKUP(B901,#REF!,1,0),0)</f>
        <v>0</v>
      </c>
    </row>
    <row r="902" spans="1:18" x14ac:dyDescent="0.25">
      <c r="A902" s="57">
        <v>901</v>
      </c>
      <c r="B902" s="57" t="s">
        <v>2266</v>
      </c>
      <c r="C902" s="57">
        <v>1</v>
      </c>
      <c r="D902" s="57" t="s">
        <v>2193</v>
      </c>
      <c r="E902" s="57" t="s">
        <v>2419</v>
      </c>
      <c r="F902" s="57">
        <v>5220</v>
      </c>
      <c r="G902" s="57">
        <v>2930</v>
      </c>
      <c r="H902" s="57">
        <v>120</v>
      </c>
      <c r="I902" s="57" t="s">
        <v>2022</v>
      </c>
      <c r="J902" s="57" t="s">
        <v>2024</v>
      </c>
      <c r="L902" s="57" t="s">
        <v>378</v>
      </c>
      <c r="M902" s="156">
        <v>45957</v>
      </c>
      <c r="P902" s="57">
        <v>2.09</v>
      </c>
      <c r="Q902" s="171">
        <v>5.2249999999999996</v>
      </c>
      <c r="R902" s="166">
        <f>IFERROR(VLOOKUP(B902,#REF!,1,0),0)</f>
        <v>0</v>
      </c>
    </row>
    <row r="903" spans="1:18" x14ac:dyDescent="0.25">
      <c r="A903" s="57">
        <v>902</v>
      </c>
      <c r="B903" s="57" t="s">
        <v>2267</v>
      </c>
      <c r="C903" s="57">
        <v>1</v>
      </c>
      <c r="D903" s="57" t="s">
        <v>2193</v>
      </c>
      <c r="E903" s="57" t="s">
        <v>2419</v>
      </c>
      <c r="F903" s="57">
        <v>5220</v>
      </c>
      <c r="G903" s="57">
        <v>2930</v>
      </c>
      <c r="H903" s="57">
        <v>120</v>
      </c>
      <c r="I903" s="57" t="s">
        <v>2022</v>
      </c>
      <c r="J903" s="57" t="s">
        <v>2024</v>
      </c>
      <c r="L903" s="57" t="s">
        <v>378</v>
      </c>
      <c r="M903" s="156">
        <v>45957</v>
      </c>
      <c r="P903" s="57">
        <v>2.09</v>
      </c>
      <c r="Q903" s="171">
        <v>5.2249999999999996</v>
      </c>
      <c r="R903" s="166">
        <f>IFERROR(VLOOKUP(B903,#REF!,1,0),0)</f>
        <v>0</v>
      </c>
    </row>
    <row r="904" spans="1:18" x14ac:dyDescent="0.25">
      <c r="A904" s="57">
        <v>903</v>
      </c>
      <c r="B904" s="57" t="s">
        <v>2268</v>
      </c>
      <c r="C904" s="57">
        <v>1</v>
      </c>
      <c r="D904" s="57" t="s">
        <v>2193</v>
      </c>
      <c r="E904" s="57" t="s">
        <v>2419</v>
      </c>
      <c r="F904" s="57">
        <v>5220</v>
      </c>
      <c r="G904" s="57">
        <v>2930</v>
      </c>
      <c r="H904" s="57">
        <v>120</v>
      </c>
      <c r="I904" s="57" t="s">
        <v>2022</v>
      </c>
      <c r="J904" s="57" t="s">
        <v>2024</v>
      </c>
      <c r="L904" s="57" t="s">
        <v>378</v>
      </c>
      <c r="M904" s="156">
        <v>45957</v>
      </c>
      <c r="P904" s="57">
        <v>2.09</v>
      </c>
      <c r="Q904" s="171">
        <v>5.2249999999999996</v>
      </c>
      <c r="R904" s="166">
        <f>IFERROR(VLOOKUP(B904,#REF!,1,0),0)</f>
        <v>0</v>
      </c>
    </row>
    <row r="905" spans="1:18" x14ac:dyDescent="0.25">
      <c r="A905" s="57">
        <v>904</v>
      </c>
      <c r="B905" s="57" t="s">
        <v>2269</v>
      </c>
      <c r="C905" s="57">
        <v>1</v>
      </c>
      <c r="D905" s="57" t="s">
        <v>2193</v>
      </c>
      <c r="E905" s="57" t="s">
        <v>2419</v>
      </c>
      <c r="F905" s="57">
        <v>5220</v>
      </c>
      <c r="G905" s="57">
        <v>2930</v>
      </c>
      <c r="H905" s="57">
        <v>120</v>
      </c>
      <c r="I905" s="57" t="s">
        <v>2022</v>
      </c>
      <c r="J905" s="57" t="s">
        <v>2024</v>
      </c>
      <c r="L905" s="57" t="s">
        <v>378</v>
      </c>
      <c r="M905" s="156">
        <v>45957</v>
      </c>
      <c r="P905" s="57">
        <v>2.09</v>
      </c>
      <c r="Q905" s="171">
        <v>5.2249999999999996</v>
      </c>
      <c r="R905" s="166">
        <f>IFERROR(VLOOKUP(B905,#REF!,1,0),0)</f>
        <v>0</v>
      </c>
    </row>
    <row r="906" spans="1:18" x14ac:dyDescent="0.25">
      <c r="A906" s="57">
        <v>905</v>
      </c>
      <c r="B906" s="57" t="s">
        <v>2270</v>
      </c>
      <c r="C906" s="57">
        <v>1</v>
      </c>
      <c r="D906" s="57" t="s">
        <v>2193</v>
      </c>
      <c r="E906" s="57" t="s">
        <v>2426</v>
      </c>
      <c r="F906" s="57">
        <v>5220</v>
      </c>
      <c r="G906" s="57">
        <v>2930</v>
      </c>
      <c r="H906" s="57">
        <v>120</v>
      </c>
      <c r="I906" s="57" t="s">
        <v>2022</v>
      </c>
      <c r="J906" s="57" t="s">
        <v>2024</v>
      </c>
      <c r="L906" s="57" t="s">
        <v>378</v>
      </c>
      <c r="M906" s="156">
        <v>45957</v>
      </c>
      <c r="P906" s="57">
        <v>2.09</v>
      </c>
      <c r="Q906" s="171">
        <v>5.2249999999999996</v>
      </c>
      <c r="R906" s="166">
        <f>IFERROR(VLOOKUP(B906,#REF!,1,0),0)</f>
        <v>0</v>
      </c>
    </row>
    <row r="907" spans="1:18" x14ac:dyDescent="0.25">
      <c r="A907" s="57">
        <v>906</v>
      </c>
      <c r="B907" s="57" t="s">
        <v>2271</v>
      </c>
      <c r="C907" s="57">
        <v>1</v>
      </c>
      <c r="D907" s="57" t="s">
        <v>2193</v>
      </c>
      <c r="E907" s="57" t="s">
        <v>2419</v>
      </c>
      <c r="F907" s="57">
        <v>5220</v>
      </c>
      <c r="G907" s="57">
        <v>2930</v>
      </c>
      <c r="H907" s="57">
        <v>120</v>
      </c>
      <c r="I907" s="57" t="s">
        <v>2022</v>
      </c>
      <c r="J907" s="57" t="s">
        <v>2024</v>
      </c>
      <c r="L907" s="57" t="s">
        <v>378</v>
      </c>
      <c r="M907" s="156">
        <v>45957</v>
      </c>
      <c r="P907" s="57">
        <v>2.09</v>
      </c>
      <c r="Q907" s="171">
        <v>5.2249999999999996</v>
      </c>
      <c r="R907" s="166">
        <f>IFERROR(VLOOKUP(B907,#REF!,1,0),0)</f>
        <v>0</v>
      </c>
    </row>
    <row r="908" spans="1:18" x14ac:dyDescent="0.25">
      <c r="A908" s="57">
        <v>907</v>
      </c>
      <c r="B908" s="57" t="s">
        <v>2272</v>
      </c>
      <c r="C908" s="57">
        <v>1</v>
      </c>
      <c r="D908" s="57" t="s">
        <v>2193</v>
      </c>
      <c r="E908" s="57" t="s">
        <v>2426</v>
      </c>
      <c r="F908" s="57">
        <v>4862</v>
      </c>
      <c r="G908" s="57">
        <v>1890</v>
      </c>
      <c r="H908" s="57">
        <v>120</v>
      </c>
      <c r="I908" s="57" t="s">
        <v>1212</v>
      </c>
      <c r="J908" s="57" t="s">
        <v>2020</v>
      </c>
      <c r="L908" s="57" t="s">
        <v>378</v>
      </c>
      <c r="M908" s="156">
        <v>45957</v>
      </c>
      <c r="P908" s="57">
        <v>1.143</v>
      </c>
      <c r="Q908" s="171">
        <v>2.8574999999999999</v>
      </c>
      <c r="R908" s="166">
        <f>IFERROR(VLOOKUP(B908,#REF!,1,0),0)</f>
        <v>0</v>
      </c>
    </row>
    <row r="909" spans="1:18" x14ac:dyDescent="0.25">
      <c r="A909" s="57">
        <v>908</v>
      </c>
      <c r="B909" s="57" t="s">
        <v>2273</v>
      </c>
      <c r="C909" s="57">
        <v>1</v>
      </c>
      <c r="D909" s="57" t="s">
        <v>2193</v>
      </c>
      <c r="E909" s="57" t="s">
        <v>2426</v>
      </c>
      <c r="F909" s="57">
        <v>4862</v>
      </c>
      <c r="G909" s="57">
        <v>3090</v>
      </c>
      <c r="H909" s="57">
        <v>120</v>
      </c>
      <c r="I909" s="57" t="s">
        <v>1212</v>
      </c>
      <c r="J909" s="57" t="s">
        <v>2020</v>
      </c>
      <c r="L909" s="57" t="s">
        <v>378</v>
      </c>
      <c r="M909" s="156">
        <v>45957</v>
      </c>
      <c r="P909" s="57">
        <v>1.39</v>
      </c>
      <c r="Q909" s="171">
        <v>3.4749999999999996</v>
      </c>
      <c r="R909" s="166">
        <f>IFERROR(VLOOKUP(B909,#REF!,1,0),0)</f>
        <v>0</v>
      </c>
    </row>
    <row r="910" spans="1:18" x14ac:dyDescent="0.25">
      <c r="A910" s="57">
        <v>909</v>
      </c>
      <c r="B910" s="57" t="s">
        <v>2274</v>
      </c>
      <c r="C910" s="57">
        <v>1</v>
      </c>
      <c r="D910" s="57" t="s">
        <v>2193</v>
      </c>
      <c r="E910" s="57" t="s">
        <v>2419</v>
      </c>
      <c r="F910" s="57">
        <v>2400</v>
      </c>
      <c r="G910" s="57">
        <v>3020</v>
      </c>
      <c r="H910" s="57">
        <v>120</v>
      </c>
      <c r="I910" s="57" t="s">
        <v>2022</v>
      </c>
      <c r="J910" s="57" t="s">
        <v>2046</v>
      </c>
      <c r="L910" s="57" t="s">
        <v>378</v>
      </c>
      <c r="M910" s="156">
        <v>45957</v>
      </c>
      <c r="P910" s="57">
        <v>0.97499999999999998</v>
      </c>
      <c r="Q910" s="171">
        <v>2.4375</v>
      </c>
      <c r="R910" s="166">
        <f>IFERROR(VLOOKUP(B910,#REF!,1,0),0)</f>
        <v>0</v>
      </c>
    </row>
    <row r="911" spans="1:18" x14ac:dyDescent="0.25">
      <c r="A911" s="57">
        <v>910</v>
      </c>
      <c r="B911" s="57" t="s">
        <v>2275</v>
      </c>
      <c r="C911" s="57">
        <v>1</v>
      </c>
      <c r="D911" s="57" t="s">
        <v>2193</v>
      </c>
      <c r="E911" s="57" t="s">
        <v>2419</v>
      </c>
      <c r="F911" s="57">
        <v>3586</v>
      </c>
      <c r="G911" s="57">
        <v>3090</v>
      </c>
      <c r="H911" s="57">
        <v>120</v>
      </c>
      <c r="I911" s="57" t="s">
        <v>2022</v>
      </c>
      <c r="J911" s="57" t="s">
        <v>2051</v>
      </c>
      <c r="L911" s="57" t="s">
        <v>378</v>
      </c>
      <c r="M911" s="156">
        <v>45957</v>
      </c>
      <c r="P911" s="57">
        <v>1.03</v>
      </c>
      <c r="Q911" s="171">
        <v>2.5750000000000002</v>
      </c>
      <c r="R911" s="166">
        <f>IFERROR(VLOOKUP(B911,#REF!,1,0),0)</f>
        <v>0</v>
      </c>
    </row>
    <row r="912" spans="1:18" x14ac:dyDescent="0.25">
      <c r="A912" s="57">
        <v>911</v>
      </c>
      <c r="B912" s="57" t="s">
        <v>2276</v>
      </c>
      <c r="C912" s="57">
        <v>1</v>
      </c>
      <c r="D912" s="57" t="s">
        <v>2193</v>
      </c>
      <c r="E912" s="57" t="s">
        <v>2419</v>
      </c>
      <c r="F912" s="57">
        <v>3586</v>
      </c>
      <c r="G912" s="57">
        <v>1820</v>
      </c>
      <c r="H912" s="57">
        <v>120</v>
      </c>
      <c r="I912" s="57" t="s">
        <v>2022</v>
      </c>
      <c r="J912" s="57" t="s">
        <v>2051</v>
      </c>
      <c r="L912" s="57" t="s">
        <v>378</v>
      </c>
      <c r="M912" s="156">
        <v>45957</v>
      </c>
      <c r="P912" s="57">
        <v>0.84799999999999998</v>
      </c>
      <c r="Q912" s="171">
        <v>2.12</v>
      </c>
      <c r="R912" s="166">
        <f>IFERROR(VLOOKUP(B912,#REF!,1,0),0)</f>
        <v>0</v>
      </c>
    </row>
    <row r="913" spans="1:18" x14ac:dyDescent="0.25">
      <c r="A913" s="57">
        <v>912</v>
      </c>
      <c r="B913" s="57" t="s">
        <v>2277</v>
      </c>
      <c r="C913" s="57">
        <v>1</v>
      </c>
      <c r="D913" s="57" t="s">
        <v>2193</v>
      </c>
      <c r="E913" s="57" t="s">
        <v>2419</v>
      </c>
      <c r="F913" s="57">
        <v>3586</v>
      </c>
      <c r="G913" s="57">
        <v>1820</v>
      </c>
      <c r="H913" s="57">
        <v>120</v>
      </c>
      <c r="I913" s="57" t="s">
        <v>2022</v>
      </c>
      <c r="J913" s="57" t="s">
        <v>2051</v>
      </c>
      <c r="L913" s="57" t="s">
        <v>378</v>
      </c>
      <c r="M913" s="156">
        <v>45957</v>
      </c>
      <c r="P913" s="57">
        <v>0.79200000000000004</v>
      </c>
      <c r="Q913" s="171">
        <v>1.98</v>
      </c>
      <c r="R913" s="166">
        <f>IFERROR(VLOOKUP(B913,#REF!,1,0),0)</f>
        <v>0</v>
      </c>
    </row>
    <row r="914" spans="1:18" x14ac:dyDescent="0.25">
      <c r="A914" s="57">
        <v>913</v>
      </c>
      <c r="B914" s="57" t="s">
        <v>2278</v>
      </c>
      <c r="C914" s="57">
        <v>1</v>
      </c>
      <c r="D914" s="57" t="s">
        <v>2193</v>
      </c>
      <c r="E914" s="57" t="s">
        <v>2427</v>
      </c>
      <c r="F914" s="57">
        <v>5220</v>
      </c>
      <c r="G914" s="57">
        <v>2960</v>
      </c>
      <c r="H914" s="57">
        <v>120</v>
      </c>
      <c r="I914" s="57" t="s">
        <v>2022</v>
      </c>
      <c r="J914" s="57" t="s">
        <v>2031</v>
      </c>
      <c r="L914" s="57" t="s">
        <v>378</v>
      </c>
      <c r="M914" s="156">
        <v>45957</v>
      </c>
      <c r="P914" s="57">
        <v>1.958</v>
      </c>
      <c r="Q914" s="171">
        <v>4.8949999999999996</v>
      </c>
      <c r="R914" s="166">
        <f>IFERROR(VLOOKUP(B914,#REF!,1,0),0)</f>
        <v>0</v>
      </c>
    </row>
    <row r="915" spans="1:18" x14ac:dyDescent="0.25">
      <c r="A915" s="57">
        <v>914</v>
      </c>
      <c r="B915" s="57" t="s">
        <v>2279</v>
      </c>
      <c r="C915" s="57">
        <v>1</v>
      </c>
      <c r="D915" s="57" t="s">
        <v>2193</v>
      </c>
      <c r="E915" s="57" t="s">
        <v>2427</v>
      </c>
      <c r="F915" s="57">
        <v>5220</v>
      </c>
      <c r="G915" s="57">
        <v>2960</v>
      </c>
      <c r="H915" s="57">
        <v>120</v>
      </c>
      <c r="I915" s="57" t="s">
        <v>2022</v>
      </c>
      <c r="J915" s="57" t="s">
        <v>2031</v>
      </c>
      <c r="L915" s="57" t="s">
        <v>378</v>
      </c>
      <c r="M915" s="156">
        <v>45957</v>
      </c>
      <c r="P915" s="57">
        <v>1.958</v>
      </c>
      <c r="Q915" s="171">
        <v>4.8949999999999996</v>
      </c>
      <c r="R915" s="166">
        <f>IFERROR(VLOOKUP(B915,#REF!,1,0),0)</f>
        <v>0</v>
      </c>
    </row>
    <row r="916" spans="1:18" x14ac:dyDescent="0.25">
      <c r="A916" s="57">
        <v>915</v>
      </c>
      <c r="B916" s="57" t="s">
        <v>2280</v>
      </c>
      <c r="C916" s="57">
        <v>1</v>
      </c>
      <c r="D916" s="57" t="s">
        <v>2193</v>
      </c>
      <c r="E916" s="57" t="s">
        <v>2427</v>
      </c>
      <c r="F916" s="57">
        <v>5220</v>
      </c>
      <c r="G916" s="57">
        <v>2960</v>
      </c>
      <c r="H916" s="57">
        <v>120</v>
      </c>
      <c r="I916" s="57" t="s">
        <v>2022</v>
      </c>
      <c r="J916" s="57" t="s">
        <v>2031</v>
      </c>
      <c r="L916" s="57" t="s">
        <v>378</v>
      </c>
      <c r="M916" s="156">
        <v>45957</v>
      </c>
      <c r="P916" s="57">
        <v>1.958</v>
      </c>
      <c r="Q916" s="171">
        <v>4.8949999999999996</v>
      </c>
      <c r="R916" s="166">
        <f>IFERROR(VLOOKUP(B916,#REF!,1,0),0)</f>
        <v>0</v>
      </c>
    </row>
    <row r="917" spans="1:18" x14ac:dyDescent="0.25">
      <c r="A917" s="57">
        <v>916</v>
      </c>
      <c r="B917" s="57" t="s">
        <v>2281</v>
      </c>
      <c r="C917" s="57">
        <v>1</v>
      </c>
      <c r="D917" s="57" t="s">
        <v>2193</v>
      </c>
      <c r="E917" s="57" t="s">
        <v>2427</v>
      </c>
      <c r="F917" s="57">
        <v>5220</v>
      </c>
      <c r="G917" s="57">
        <v>2960</v>
      </c>
      <c r="H917" s="57">
        <v>120</v>
      </c>
      <c r="I917" s="57" t="s">
        <v>2022</v>
      </c>
      <c r="J917" s="57" t="s">
        <v>2031</v>
      </c>
      <c r="L917" s="57" t="s">
        <v>378</v>
      </c>
      <c r="M917" s="156">
        <v>45957</v>
      </c>
      <c r="P917" s="57">
        <v>1.958</v>
      </c>
      <c r="Q917" s="171">
        <v>4.8949999999999996</v>
      </c>
      <c r="R917" s="166">
        <f>IFERROR(VLOOKUP(B917,#REF!,1,0),0)</f>
        <v>0</v>
      </c>
    </row>
    <row r="918" spans="1:18" x14ac:dyDescent="0.25">
      <c r="A918" s="57">
        <v>917</v>
      </c>
      <c r="B918" s="57" t="s">
        <v>2282</v>
      </c>
      <c r="C918" s="57">
        <v>1</v>
      </c>
      <c r="D918" s="57" t="s">
        <v>2193</v>
      </c>
      <c r="E918" s="57" t="s">
        <v>2427</v>
      </c>
      <c r="F918" s="57">
        <v>5220</v>
      </c>
      <c r="G918" s="57">
        <v>2960</v>
      </c>
      <c r="H918" s="57">
        <v>120</v>
      </c>
      <c r="I918" s="57" t="s">
        <v>2022</v>
      </c>
      <c r="J918" s="57" t="s">
        <v>2031</v>
      </c>
      <c r="L918" s="57" t="s">
        <v>378</v>
      </c>
      <c r="M918" s="156">
        <v>45957</v>
      </c>
      <c r="P918" s="57">
        <v>1.958</v>
      </c>
      <c r="Q918" s="171">
        <v>4.8949999999999996</v>
      </c>
      <c r="R918" s="166">
        <f>IFERROR(VLOOKUP(B918,#REF!,1,0),0)</f>
        <v>0</v>
      </c>
    </row>
    <row r="919" spans="1:18" x14ac:dyDescent="0.25">
      <c r="A919" s="57">
        <v>918</v>
      </c>
      <c r="B919" s="57" t="s">
        <v>2283</v>
      </c>
      <c r="C919" s="57">
        <v>1</v>
      </c>
      <c r="D919" s="57" t="s">
        <v>2193</v>
      </c>
      <c r="E919" s="57" t="s">
        <v>2427</v>
      </c>
      <c r="F919" s="57">
        <v>5220</v>
      </c>
      <c r="G919" s="57">
        <v>2960</v>
      </c>
      <c r="H919" s="57">
        <v>120</v>
      </c>
      <c r="I919" s="57" t="s">
        <v>2022</v>
      </c>
      <c r="J919" s="57" t="s">
        <v>2031</v>
      </c>
      <c r="L919" s="57" t="s">
        <v>378</v>
      </c>
      <c r="M919" s="156">
        <v>45957</v>
      </c>
      <c r="P919" s="57">
        <v>1.958</v>
      </c>
      <c r="Q919" s="171">
        <v>4.8949999999999996</v>
      </c>
      <c r="R919" s="166">
        <f>IFERROR(VLOOKUP(B919,#REF!,1,0),0)</f>
        <v>0</v>
      </c>
    </row>
    <row r="920" spans="1:18" x14ac:dyDescent="0.25">
      <c r="A920" s="57">
        <v>919</v>
      </c>
      <c r="B920" s="57" t="s">
        <v>2284</v>
      </c>
      <c r="C920" s="57">
        <v>1</v>
      </c>
      <c r="D920" s="57" t="s">
        <v>2193</v>
      </c>
      <c r="E920" s="57" t="s">
        <v>2427</v>
      </c>
      <c r="F920" s="57">
        <v>3610</v>
      </c>
      <c r="G920" s="57">
        <v>1820</v>
      </c>
      <c r="H920" s="57">
        <v>120</v>
      </c>
      <c r="I920" s="57" t="s">
        <v>2022</v>
      </c>
      <c r="J920" s="57" t="s">
        <v>2051</v>
      </c>
      <c r="L920" s="57" t="s">
        <v>378</v>
      </c>
      <c r="M920" s="156">
        <v>45957</v>
      </c>
      <c r="P920" s="57">
        <v>0.79500000000000004</v>
      </c>
      <c r="Q920" s="171">
        <v>1.9875</v>
      </c>
      <c r="R920" s="166">
        <f>IFERROR(VLOOKUP(B920,#REF!,1,0),0)</f>
        <v>0</v>
      </c>
    </row>
    <row r="921" spans="1:18" x14ac:dyDescent="0.25">
      <c r="A921" s="57">
        <v>920</v>
      </c>
      <c r="B921" s="57" t="s">
        <v>2285</v>
      </c>
      <c r="C921" s="57">
        <v>1</v>
      </c>
      <c r="D921" s="57" t="s">
        <v>2193</v>
      </c>
      <c r="E921" s="57" t="s">
        <v>2427</v>
      </c>
      <c r="F921" s="57">
        <v>3610</v>
      </c>
      <c r="G921" s="57">
        <v>1820</v>
      </c>
      <c r="H921" s="57">
        <v>120</v>
      </c>
      <c r="I921" s="57" t="s">
        <v>2022</v>
      </c>
      <c r="J921" s="57" t="s">
        <v>2051</v>
      </c>
      <c r="L921" s="57" t="s">
        <v>378</v>
      </c>
      <c r="M921" s="156">
        <v>45957</v>
      </c>
      <c r="P921" s="57">
        <v>0.85099999999999998</v>
      </c>
      <c r="Q921" s="171">
        <v>2.1274999999999999</v>
      </c>
      <c r="R921" s="166">
        <f>IFERROR(VLOOKUP(B921,#REF!,1,0),0)</f>
        <v>0</v>
      </c>
    </row>
    <row r="922" spans="1:18" x14ac:dyDescent="0.25">
      <c r="A922" s="57">
        <v>921</v>
      </c>
      <c r="B922" s="57" t="s">
        <v>2286</v>
      </c>
      <c r="C922" s="57">
        <v>1</v>
      </c>
      <c r="D922" s="57" t="s">
        <v>2193</v>
      </c>
      <c r="E922" s="57" t="s">
        <v>2427</v>
      </c>
      <c r="F922" s="57">
        <v>3610</v>
      </c>
      <c r="G922" s="57">
        <v>3020</v>
      </c>
      <c r="H922" s="57">
        <v>120</v>
      </c>
      <c r="I922" s="57" t="s">
        <v>2022</v>
      </c>
      <c r="J922" s="57" t="s">
        <v>2051</v>
      </c>
      <c r="L922" s="57" t="s">
        <v>378</v>
      </c>
      <c r="M922" s="156">
        <v>45957</v>
      </c>
      <c r="P922" s="57">
        <v>1.0229999999999999</v>
      </c>
      <c r="Q922" s="171">
        <v>2.5574999999999997</v>
      </c>
      <c r="R922" s="166">
        <f>IFERROR(VLOOKUP(B922,#REF!,1,0),0)</f>
        <v>0</v>
      </c>
    </row>
    <row r="923" spans="1:18" x14ac:dyDescent="0.25">
      <c r="A923" s="57">
        <v>922</v>
      </c>
      <c r="B923" s="57" t="s">
        <v>2287</v>
      </c>
      <c r="C923" s="57">
        <v>1</v>
      </c>
      <c r="D923" s="57" t="s">
        <v>2193</v>
      </c>
      <c r="E923" s="57" t="s">
        <v>2428</v>
      </c>
      <c r="F923" s="57">
        <v>2400</v>
      </c>
      <c r="G923" s="57">
        <v>3040</v>
      </c>
      <c r="H923" s="57">
        <v>120</v>
      </c>
      <c r="I923" s="57" t="s">
        <v>2022</v>
      </c>
      <c r="J923" s="57" t="s">
        <v>2046</v>
      </c>
      <c r="L923" s="57" t="s">
        <v>378</v>
      </c>
      <c r="M923" s="156">
        <v>45957</v>
      </c>
      <c r="P923" s="57">
        <v>0.98599999999999999</v>
      </c>
      <c r="Q923" s="171">
        <v>2.4649999999999999</v>
      </c>
      <c r="R923" s="166">
        <f>IFERROR(VLOOKUP(B923,#REF!,1,0),0)</f>
        <v>0</v>
      </c>
    </row>
    <row r="924" spans="1:18" x14ac:dyDescent="0.25">
      <c r="A924" s="57">
        <v>923</v>
      </c>
      <c r="B924" s="57" t="s">
        <v>2288</v>
      </c>
      <c r="C924" s="57">
        <v>1</v>
      </c>
      <c r="D924" s="57" t="s">
        <v>2193</v>
      </c>
      <c r="E924" s="57" t="s">
        <v>2428</v>
      </c>
      <c r="F924" s="57">
        <v>4624</v>
      </c>
      <c r="G924" s="57">
        <v>3030</v>
      </c>
      <c r="H924" s="57">
        <v>120</v>
      </c>
      <c r="I924" s="57" t="s">
        <v>2022</v>
      </c>
      <c r="J924" s="57" t="s">
        <v>2031</v>
      </c>
      <c r="L924" s="57" t="s">
        <v>378</v>
      </c>
      <c r="M924" s="156">
        <v>45957</v>
      </c>
      <c r="P924" s="57">
        <v>1.8420000000000001</v>
      </c>
      <c r="Q924" s="171">
        <v>4.6050000000000004</v>
      </c>
      <c r="R924" s="166">
        <f>IFERROR(VLOOKUP(B924,#REF!,1,0),0)</f>
        <v>0</v>
      </c>
    </row>
    <row r="925" spans="1:18" x14ac:dyDescent="0.25">
      <c r="A925" s="57">
        <v>924</v>
      </c>
      <c r="B925" s="57" t="s">
        <v>2289</v>
      </c>
      <c r="C925" s="57">
        <v>1</v>
      </c>
      <c r="D925" s="57" t="s">
        <v>2193</v>
      </c>
      <c r="E925" s="57" t="s">
        <v>2428</v>
      </c>
      <c r="F925" s="57">
        <v>5383</v>
      </c>
      <c r="G925" s="57">
        <v>3030</v>
      </c>
      <c r="H925" s="57">
        <v>120</v>
      </c>
      <c r="I925" s="57" t="s">
        <v>2022</v>
      </c>
      <c r="J925" s="57" t="s">
        <v>2031</v>
      </c>
      <c r="L925" s="57" t="s">
        <v>378</v>
      </c>
      <c r="M925" s="156">
        <v>45957</v>
      </c>
      <c r="P925" s="57">
        <v>2.0459999999999998</v>
      </c>
      <c r="Q925" s="171">
        <v>5.1149999999999993</v>
      </c>
      <c r="R925" s="166">
        <f>IFERROR(VLOOKUP(B925,#REF!,1,0),0)</f>
        <v>0</v>
      </c>
    </row>
    <row r="926" spans="1:18" x14ac:dyDescent="0.25">
      <c r="A926" s="57">
        <v>925</v>
      </c>
      <c r="B926" s="57" t="s">
        <v>2290</v>
      </c>
      <c r="C926" s="57">
        <v>1</v>
      </c>
      <c r="D926" s="57" t="s">
        <v>2193</v>
      </c>
      <c r="E926" s="57" t="s">
        <v>2428</v>
      </c>
      <c r="F926" s="57">
        <v>5380</v>
      </c>
      <c r="G926" s="57">
        <v>3030</v>
      </c>
      <c r="H926" s="57">
        <v>120</v>
      </c>
      <c r="I926" s="57" t="s">
        <v>2022</v>
      </c>
      <c r="J926" s="57" t="s">
        <v>2031</v>
      </c>
      <c r="L926" s="57" t="s">
        <v>378</v>
      </c>
      <c r="M926" s="156">
        <v>45957</v>
      </c>
      <c r="P926" s="57">
        <v>2.0449999999999999</v>
      </c>
      <c r="Q926" s="171">
        <v>5.1124999999999998</v>
      </c>
      <c r="R926" s="166">
        <f>IFERROR(VLOOKUP(B926,#REF!,1,0),0)</f>
        <v>0</v>
      </c>
    </row>
    <row r="927" spans="1:18" x14ac:dyDescent="0.25">
      <c r="A927" s="57">
        <v>926</v>
      </c>
      <c r="B927" s="57" t="s">
        <v>2291</v>
      </c>
      <c r="C927" s="57">
        <v>1</v>
      </c>
      <c r="D927" s="57" t="s">
        <v>2193</v>
      </c>
      <c r="E927" s="57" t="s">
        <v>2428</v>
      </c>
      <c r="F927" s="57">
        <v>5380</v>
      </c>
      <c r="G927" s="57">
        <v>3030</v>
      </c>
      <c r="H927" s="57">
        <v>120</v>
      </c>
      <c r="I927" s="57" t="s">
        <v>2022</v>
      </c>
      <c r="J927" s="57" t="s">
        <v>2031</v>
      </c>
      <c r="L927" s="57" t="s">
        <v>378</v>
      </c>
      <c r="M927" s="156">
        <v>45957</v>
      </c>
      <c r="P927" s="57">
        <v>2.0449999999999999</v>
      </c>
      <c r="Q927" s="171">
        <v>5.1124999999999998</v>
      </c>
      <c r="R927" s="166">
        <f>IFERROR(VLOOKUP(B927,#REF!,1,0),0)</f>
        <v>0</v>
      </c>
    </row>
    <row r="928" spans="1:18" x14ac:dyDescent="0.25">
      <c r="A928" s="57">
        <v>927</v>
      </c>
      <c r="B928" s="57" t="s">
        <v>2292</v>
      </c>
      <c r="C928" s="57">
        <v>1</v>
      </c>
      <c r="D928" s="57" t="s">
        <v>2193</v>
      </c>
      <c r="E928" s="57" t="s">
        <v>2428</v>
      </c>
      <c r="F928" s="57">
        <v>5380</v>
      </c>
      <c r="G928" s="57">
        <v>3030</v>
      </c>
      <c r="H928" s="57">
        <v>120</v>
      </c>
      <c r="I928" s="57" t="s">
        <v>2022</v>
      </c>
      <c r="J928" s="57" t="s">
        <v>2031</v>
      </c>
      <c r="L928" s="57" t="s">
        <v>378</v>
      </c>
      <c r="M928" s="156">
        <v>45957</v>
      </c>
      <c r="P928" s="57">
        <v>2.0449999999999999</v>
      </c>
      <c r="Q928" s="171">
        <v>5.1124999999999998</v>
      </c>
      <c r="R928" s="166">
        <f>IFERROR(VLOOKUP(B928,#REF!,1,0),0)</f>
        <v>0</v>
      </c>
    </row>
    <row r="929" spans="1:18" x14ac:dyDescent="0.25">
      <c r="A929" s="57">
        <v>928</v>
      </c>
      <c r="B929" s="57" t="s">
        <v>2293</v>
      </c>
      <c r="C929" s="57">
        <v>1</v>
      </c>
      <c r="D929" s="57" t="s">
        <v>2193</v>
      </c>
      <c r="E929" s="57" t="s">
        <v>2428</v>
      </c>
      <c r="F929" s="57">
        <v>5385</v>
      </c>
      <c r="G929" s="57">
        <v>3030</v>
      </c>
      <c r="H929" s="57">
        <v>120</v>
      </c>
      <c r="I929" s="57" t="s">
        <v>2022</v>
      </c>
      <c r="J929" s="57" t="s">
        <v>2031</v>
      </c>
      <c r="L929" s="57" t="s">
        <v>378</v>
      </c>
      <c r="M929" s="156">
        <v>45957</v>
      </c>
      <c r="P929" s="57">
        <v>2.0449999999999999</v>
      </c>
      <c r="Q929" s="171">
        <v>5.1124999999999998</v>
      </c>
      <c r="R929" s="166">
        <f>IFERROR(VLOOKUP(B929,#REF!,1,0),0)</f>
        <v>0</v>
      </c>
    </row>
    <row r="930" spans="1:18" x14ac:dyDescent="0.25">
      <c r="A930" s="57">
        <v>929</v>
      </c>
      <c r="B930" s="57" t="s">
        <v>2294</v>
      </c>
      <c r="C930" s="57">
        <v>1</v>
      </c>
      <c r="D930" s="57" t="s">
        <v>2193</v>
      </c>
      <c r="E930" s="57" t="s">
        <v>2428</v>
      </c>
      <c r="F930" s="57">
        <v>4598</v>
      </c>
      <c r="G930" s="57">
        <v>3040</v>
      </c>
      <c r="H930" s="57">
        <v>120</v>
      </c>
      <c r="I930" s="57" t="s">
        <v>1212</v>
      </c>
      <c r="J930" s="57" t="s">
        <v>2020</v>
      </c>
      <c r="L930" s="57" t="s">
        <v>378</v>
      </c>
      <c r="M930" s="156">
        <v>45957</v>
      </c>
      <c r="P930" s="57">
        <v>1.3280000000000001</v>
      </c>
      <c r="Q930" s="171">
        <v>3.3200000000000003</v>
      </c>
      <c r="R930" s="166">
        <f>IFERROR(VLOOKUP(B930,#REF!,1,0),0)</f>
        <v>0</v>
      </c>
    </row>
    <row r="931" spans="1:18" x14ac:dyDescent="0.25">
      <c r="A931" s="57">
        <v>930</v>
      </c>
      <c r="B931" s="57" t="s">
        <v>2295</v>
      </c>
      <c r="C931" s="57">
        <v>1</v>
      </c>
      <c r="D931" s="57" t="s">
        <v>2193</v>
      </c>
      <c r="E931" s="57" t="s">
        <v>2428</v>
      </c>
      <c r="F931" s="57">
        <v>4600</v>
      </c>
      <c r="G931" s="57">
        <v>1840</v>
      </c>
      <c r="H931" s="57">
        <v>120</v>
      </c>
      <c r="I931" s="57" t="s">
        <v>1212</v>
      </c>
      <c r="J931" s="57" t="s">
        <v>2020</v>
      </c>
      <c r="L931" s="57" t="s">
        <v>378</v>
      </c>
      <c r="M931" s="156">
        <v>45957</v>
      </c>
      <c r="P931" s="57">
        <v>1.1559999999999999</v>
      </c>
      <c r="Q931" s="171">
        <v>2.8899999999999997</v>
      </c>
      <c r="R931" s="166">
        <f>IFERROR(VLOOKUP(B931,#REF!,1,0),0)</f>
        <v>0</v>
      </c>
    </row>
    <row r="932" spans="1:18" x14ac:dyDescent="0.25">
      <c r="A932" s="57">
        <v>931</v>
      </c>
      <c r="B932" s="57" t="s">
        <v>2296</v>
      </c>
      <c r="C932" s="57">
        <v>1</v>
      </c>
      <c r="D932" s="57" t="s">
        <v>2193</v>
      </c>
      <c r="E932" s="57" t="s">
        <v>2428</v>
      </c>
      <c r="F932" s="57">
        <v>4600</v>
      </c>
      <c r="G932" s="57">
        <v>1840</v>
      </c>
      <c r="H932" s="57">
        <v>120</v>
      </c>
      <c r="I932" s="57" t="s">
        <v>1212</v>
      </c>
      <c r="J932" s="57" t="s">
        <v>2020</v>
      </c>
      <c r="L932" s="57" t="s">
        <v>378</v>
      </c>
      <c r="M932" s="156">
        <v>45957</v>
      </c>
      <c r="P932" s="57">
        <v>1.1559999999999999</v>
      </c>
      <c r="Q932" s="171">
        <v>2.8899999999999997</v>
      </c>
      <c r="R932" s="166">
        <f>IFERROR(VLOOKUP(B932,#REF!,1,0),0)</f>
        <v>0</v>
      </c>
    </row>
    <row r="933" spans="1:18" x14ac:dyDescent="0.25">
      <c r="A933" s="57">
        <v>932</v>
      </c>
      <c r="B933" s="57" t="s">
        <v>2297</v>
      </c>
      <c r="C933" s="57">
        <v>1</v>
      </c>
      <c r="D933" s="57" t="s">
        <v>2193</v>
      </c>
      <c r="E933" s="57" t="s">
        <v>2428</v>
      </c>
      <c r="F933" s="57">
        <v>4600</v>
      </c>
      <c r="G933" s="57">
        <v>1840</v>
      </c>
      <c r="H933" s="57">
        <v>120</v>
      </c>
      <c r="I933" s="57" t="s">
        <v>1212</v>
      </c>
      <c r="J933" s="57" t="s">
        <v>2020</v>
      </c>
      <c r="L933" s="57" t="s">
        <v>378</v>
      </c>
      <c r="M933" s="156">
        <v>45957</v>
      </c>
      <c r="P933" s="57">
        <v>1.0840000000000001</v>
      </c>
      <c r="Q933" s="171">
        <v>2.71</v>
      </c>
      <c r="R933" s="166">
        <f>IFERROR(VLOOKUP(B933,#REF!,1,0),0)</f>
        <v>0</v>
      </c>
    </row>
    <row r="934" spans="1:18" x14ac:dyDescent="0.25">
      <c r="A934" s="57">
        <v>933</v>
      </c>
      <c r="B934" s="57" t="s">
        <v>2298</v>
      </c>
      <c r="C934" s="57">
        <v>1</v>
      </c>
      <c r="D934" s="57" t="s">
        <v>2193</v>
      </c>
      <c r="E934" s="57" t="s">
        <v>2429</v>
      </c>
      <c r="F934" s="57">
        <v>5220</v>
      </c>
      <c r="G934" s="57">
        <v>2930</v>
      </c>
      <c r="H934" s="57">
        <v>120</v>
      </c>
      <c r="I934" s="57" t="s">
        <v>2022</v>
      </c>
      <c r="J934" s="57" t="s">
        <v>2024</v>
      </c>
      <c r="L934" s="57" t="s">
        <v>378</v>
      </c>
      <c r="M934" s="156">
        <v>45957</v>
      </c>
      <c r="P934" s="57">
        <v>2.09</v>
      </c>
      <c r="Q934" s="171">
        <v>5.2249999999999996</v>
      </c>
      <c r="R934" s="166">
        <f>IFERROR(VLOOKUP(B934,#REF!,1,0),0)</f>
        <v>0</v>
      </c>
    </row>
    <row r="935" spans="1:18" x14ac:dyDescent="0.25">
      <c r="A935" s="57">
        <v>934</v>
      </c>
      <c r="B935" s="57" t="s">
        <v>2299</v>
      </c>
      <c r="C935" s="57">
        <v>1</v>
      </c>
      <c r="D935" s="57" t="s">
        <v>2193</v>
      </c>
      <c r="E935" s="57" t="s">
        <v>2430</v>
      </c>
      <c r="F935" s="57">
        <v>5220</v>
      </c>
      <c r="G935" s="57">
        <v>2930</v>
      </c>
      <c r="H935" s="57">
        <v>120</v>
      </c>
      <c r="I935" s="57" t="s">
        <v>2022</v>
      </c>
      <c r="J935" s="57" t="s">
        <v>2024</v>
      </c>
      <c r="L935" s="57" t="s">
        <v>378</v>
      </c>
      <c r="M935" s="156">
        <v>45957</v>
      </c>
      <c r="P935" s="57">
        <v>2.09</v>
      </c>
      <c r="Q935" s="171">
        <v>5.2249999999999996</v>
      </c>
      <c r="R935" s="166">
        <f>IFERROR(VLOOKUP(B935,#REF!,1,0),0)</f>
        <v>0</v>
      </c>
    </row>
    <row r="936" spans="1:18" x14ac:dyDescent="0.25">
      <c r="A936" s="57">
        <v>935</v>
      </c>
      <c r="B936" s="57" t="s">
        <v>2300</v>
      </c>
      <c r="C936" s="57">
        <v>1</v>
      </c>
      <c r="D936" s="57" t="s">
        <v>2193</v>
      </c>
      <c r="E936" s="57" t="s">
        <v>2429</v>
      </c>
      <c r="F936" s="57">
        <v>5220</v>
      </c>
      <c r="G936" s="57">
        <v>2930</v>
      </c>
      <c r="H936" s="57">
        <v>120</v>
      </c>
      <c r="I936" s="57" t="s">
        <v>2022</v>
      </c>
      <c r="J936" s="57" t="s">
        <v>2033</v>
      </c>
      <c r="L936" s="57" t="s">
        <v>378</v>
      </c>
      <c r="M936" s="156">
        <v>45957</v>
      </c>
      <c r="P936" s="57">
        <v>2.09</v>
      </c>
      <c r="Q936" s="171">
        <v>5.2249999999999996</v>
      </c>
      <c r="R936" s="166">
        <f>IFERROR(VLOOKUP(B936,#REF!,1,0),0)</f>
        <v>0</v>
      </c>
    </row>
    <row r="937" spans="1:18" x14ac:dyDescent="0.25">
      <c r="A937" s="57">
        <v>936</v>
      </c>
      <c r="B937" s="57" t="s">
        <v>2301</v>
      </c>
      <c r="C937" s="57">
        <v>1</v>
      </c>
      <c r="D937" s="57" t="s">
        <v>2193</v>
      </c>
      <c r="E937" s="57" t="s">
        <v>2429</v>
      </c>
      <c r="F937" s="57">
        <v>5220</v>
      </c>
      <c r="G937" s="57">
        <v>2930</v>
      </c>
      <c r="H937" s="57">
        <v>120</v>
      </c>
      <c r="I937" s="57" t="s">
        <v>2022</v>
      </c>
      <c r="J937" s="57" t="s">
        <v>2033</v>
      </c>
      <c r="L937" s="57" t="s">
        <v>378</v>
      </c>
      <c r="M937" s="156">
        <v>45957</v>
      </c>
      <c r="P937" s="57">
        <v>2.09</v>
      </c>
      <c r="Q937" s="171">
        <v>5.2249999999999996</v>
      </c>
      <c r="R937" s="166">
        <f>IFERROR(VLOOKUP(B937,#REF!,1,0),0)</f>
        <v>0</v>
      </c>
    </row>
    <row r="938" spans="1:18" x14ac:dyDescent="0.25">
      <c r="A938" s="57">
        <v>937</v>
      </c>
      <c r="B938" s="57" t="s">
        <v>2302</v>
      </c>
      <c r="C938" s="57">
        <v>1</v>
      </c>
      <c r="D938" s="57" t="s">
        <v>2193</v>
      </c>
      <c r="E938" s="57" t="s">
        <v>2429</v>
      </c>
      <c r="F938" s="57">
        <v>5220</v>
      </c>
      <c r="G938" s="57">
        <v>2930</v>
      </c>
      <c r="H938" s="57">
        <v>120</v>
      </c>
      <c r="I938" s="57" t="s">
        <v>2022</v>
      </c>
      <c r="J938" s="57" t="s">
        <v>2033</v>
      </c>
      <c r="L938" s="57" t="s">
        <v>378</v>
      </c>
      <c r="M938" s="156">
        <v>45957</v>
      </c>
      <c r="P938" s="57">
        <v>2.09</v>
      </c>
      <c r="Q938" s="171">
        <v>5.2249999999999996</v>
      </c>
      <c r="R938" s="166">
        <f>IFERROR(VLOOKUP(B938,#REF!,1,0),0)</f>
        <v>0</v>
      </c>
    </row>
    <row r="939" spans="1:18" x14ac:dyDescent="0.25">
      <c r="A939" s="57">
        <v>938</v>
      </c>
      <c r="B939" s="57" t="s">
        <v>2303</v>
      </c>
      <c r="C939" s="57">
        <v>1</v>
      </c>
      <c r="D939" s="57" t="s">
        <v>2193</v>
      </c>
      <c r="E939" s="57" t="s">
        <v>2429</v>
      </c>
      <c r="F939" s="57">
        <v>5220</v>
      </c>
      <c r="G939" s="57">
        <v>2930</v>
      </c>
      <c r="H939" s="57">
        <v>120</v>
      </c>
      <c r="I939" s="57" t="s">
        <v>2022</v>
      </c>
      <c r="J939" s="57" t="s">
        <v>2033</v>
      </c>
      <c r="L939" s="57" t="s">
        <v>378</v>
      </c>
      <c r="M939" s="156">
        <v>45957</v>
      </c>
      <c r="P939" s="57">
        <v>2.09</v>
      </c>
      <c r="Q939" s="171">
        <v>5.2249999999999996</v>
      </c>
      <c r="R939" s="166">
        <f>IFERROR(VLOOKUP(B939,#REF!,1,0),0)</f>
        <v>0</v>
      </c>
    </row>
    <row r="940" spans="1:18" x14ac:dyDescent="0.25">
      <c r="A940" s="57">
        <v>939</v>
      </c>
      <c r="B940" s="57" t="s">
        <v>2304</v>
      </c>
      <c r="C940" s="57">
        <v>1</v>
      </c>
      <c r="D940" s="57" t="s">
        <v>2193</v>
      </c>
      <c r="E940" s="57" t="s">
        <v>2430</v>
      </c>
      <c r="F940" s="57">
        <v>5220</v>
      </c>
      <c r="G940" s="57">
        <v>2930</v>
      </c>
      <c r="H940" s="57">
        <v>120</v>
      </c>
      <c r="I940" s="57" t="s">
        <v>2022</v>
      </c>
      <c r="J940" s="57" t="s">
        <v>2033</v>
      </c>
      <c r="L940" s="57" t="s">
        <v>378</v>
      </c>
      <c r="M940" s="156">
        <v>45957</v>
      </c>
      <c r="P940" s="57">
        <v>2.09</v>
      </c>
      <c r="Q940" s="171">
        <v>5.2249999999999996</v>
      </c>
      <c r="R940" s="166">
        <f>IFERROR(VLOOKUP(B940,#REF!,1,0),0)</f>
        <v>0</v>
      </c>
    </row>
    <row r="941" spans="1:18" x14ac:dyDescent="0.25">
      <c r="A941" s="57">
        <v>940</v>
      </c>
      <c r="B941" s="57" t="s">
        <v>2305</v>
      </c>
      <c r="C941" s="57">
        <v>1</v>
      </c>
      <c r="D941" s="57" t="s">
        <v>2193</v>
      </c>
      <c r="E941" s="57" t="s">
        <v>2430</v>
      </c>
      <c r="F941" s="57">
        <v>5220</v>
      </c>
      <c r="G941" s="57">
        <v>2930</v>
      </c>
      <c r="H941" s="57">
        <v>120</v>
      </c>
      <c r="I941" s="57" t="s">
        <v>2022</v>
      </c>
      <c r="J941" s="57" t="s">
        <v>2033</v>
      </c>
      <c r="L941" s="57" t="s">
        <v>378</v>
      </c>
      <c r="M941" s="156">
        <v>45957</v>
      </c>
      <c r="P941" s="57">
        <v>2.09</v>
      </c>
      <c r="Q941" s="171">
        <v>5.2249999999999996</v>
      </c>
      <c r="R941" s="166">
        <f>IFERROR(VLOOKUP(B941,#REF!,1,0),0)</f>
        <v>0</v>
      </c>
    </row>
    <row r="942" spans="1:18" x14ac:dyDescent="0.25">
      <c r="A942" s="57">
        <v>941</v>
      </c>
      <c r="B942" s="57" t="s">
        <v>2306</v>
      </c>
      <c r="C942" s="57">
        <v>1</v>
      </c>
      <c r="D942" s="57" t="s">
        <v>2193</v>
      </c>
      <c r="E942" s="57" t="s">
        <v>2430</v>
      </c>
      <c r="F942" s="57">
        <v>5220</v>
      </c>
      <c r="G942" s="57">
        <v>2930</v>
      </c>
      <c r="H942" s="57">
        <v>120</v>
      </c>
      <c r="I942" s="57" t="s">
        <v>2022</v>
      </c>
      <c r="J942" s="57" t="s">
        <v>2033</v>
      </c>
      <c r="L942" s="57" t="s">
        <v>378</v>
      </c>
      <c r="M942" s="156">
        <v>45957</v>
      </c>
      <c r="P942" s="57">
        <v>2.09</v>
      </c>
      <c r="Q942" s="171">
        <v>5.2249999999999996</v>
      </c>
      <c r="R942" s="166">
        <f>IFERROR(VLOOKUP(B942,#REF!,1,0),0)</f>
        <v>0</v>
      </c>
    </row>
    <row r="943" spans="1:18" x14ac:dyDescent="0.25">
      <c r="A943" s="57">
        <v>942</v>
      </c>
      <c r="B943" s="57" t="s">
        <v>2307</v>
      </c>
      <c r="C943" s="57">
        <v>1</v>
      </c>
      <c r="D943" s="57" t="s">
        <v>2193</v>
      </c>
      <c r="E943" s="57" t="s">
        <v>2430</v>
      </c>
      <c r="F943" s="57">
        <v>5220</v>
      </c>
      <c r="G943" s="57">
        <v>2930</v>
      </c>
      <c r="H943" s="57">
        <v>120</v>
      </c>
      <c r="I943" s="57" t="s">
        <v>2022</v>
      </c>
      <c r="J943" s="57" t="s">
        <v>2033</v>
      </c>
      <c r="L943" s="57" t="s">
        <v>378</v>
      </c>
      <c r="M943" s="156">
        <v>45957</v>
      </c>
      <c r="P943" s="57">
        <v>2.09</v>
      </c>
      <c r="Q943" s="171">
        <v>5.2249999999999996</v>
      </c>
      <c r="R943" s="166">
        <f>IFERROR(VLOOKUP(B943,#REF!,1,0),0)</f>
        <v>0</v>
      </c>
    </row>
    <row r="944" spans="1:18" x14ac:dyDescent="0.25">
      <c r="A944" s="57">
        <v>943</v>
      </c>
      <c r="B944" s="57" t="s">
        <v>2308</v>
      </c>
      <c r="C944" s="57">
        <v>1</v>
      </c>
      <c r="D944" s="57" t="s">
        <v>2193</v>
      </c>
      <c r="E944" s="57" t="s">
        <v>2429</v>
      </c>
      <c r="F944" s="57">
        <v>5220</v>
      </c>
      <c r="G944" s="57">
        <v>2930</v>
      </c>
      <c r="H944" s="57">
        <v>120</v>
      </c>
      <c r="I944" s="57" t="s">
        <v>2022</v>
      </c>
      <c r="J944" s="57" t="s">
        <v>2033</v>
      </c>
      <c r="L944" s="57" t="s">
        <v>378</v>
      </c>
      <c r="M944" s="156">
        <v>45957</v>
      </c>
      <c r="P944" s="57">
        <v>2.09</v>
      </c>
      <c r="Q944" s="171">
        <v>5.2249999999999996</v>
      </c>
      <c r="R944" s="166">
        <f>IFERROR(VLOOKUP(B944,#REF!,1,0),0)</f>
        <v>0</v>
      </c>
    </row>
    <row r="945" spans="1:18" x14ac:dyDescent="0.25">
      <c r="A945" s="57">
        <v>944</v>
      </c>
      <c r="B945" s="57" t="s">
        <v>2309</v>
      </c>
      <c r="C945" s="57">
        <v>1</v>
      </c>
      <c r="D945" s="57" t="s">
        <v>2193</v>
      </c>
      <c r="E945" s="57" t="s">
        <v>2430</v>
      </c>
      <c r="F945" s="57">
        <v>5220</v>
      </c>
      <c r="G945" s="57">
        <v>2930</v>
      </c>
      <c r="H945" s="57">
        <v>120</v>
      </c>
      <c r="I945" s="57" t="s">
        <v>2022</v>
      </c>
      <c r="J945" s="57" t="s">
        <v>2033</v>
      </c>
      <c r="L945" s="57" t="s">
        <v>378</v>
      </c>
      <c r="M945" s="156">
        <v>45957</v>
      </c>
      <c r="P945" s="57">
        <v>2.09</v>
      </c>
      <c r="Q945" s="171">
        <v>5.2249999999999996</v>
      </c>
      <c r="R945" s="166">
        <f>IFERROR(VLOOKUP(B945,#REF!,1,0),0)</f>
        <v>0</v>
      </c>
    </row>
    <row r="946" spans="1:18" x14ac:dyDescent="0.25">
      <c r="A946" s="57">
        <v>945</v>
      </c>
      <c r="B946" s="57" t="s">
        <v>2310</v>
      </c>
      <c r="C946" s="57">
        <v>1</v>
      </c>
      <c r="D946" s="57" t="s">
        <v>2193</v>
      </c>
      <c r="E946" s="57" t="s">
        <v>2429</v>
      </c>
      <c r="F946" s="57">
        <v>4862</v>
      </c>
      <c r="G946" s="57">
        <v>1840</v>
      </c>
      <c r="H946" s="57">
        <v>120</v>
      </c>
      <c r="I946" s="57" t="s">
        <v>1212</v>
      </c>
      <c r="J946" s="57" t="s">
        <v>2020</v>
      </c>
      <c r="L946" s="57" t="s">
        <v>378</v>
      </c>
      <c r="M946" s="156">
        <v>45957</v>
      </c>
      <c r="P946" s="57">
        <v>1.119</v>
      </c>
      <c r="Q946" s="171">
        <v>2.7974999999999999</v>
      </c>
      <c r="R946" s="166">
        <f>IFERROR(VLOOKUP(B946,#REF!,1,0),0)</f>
        <v>0</v>
      </c>
    </row>
    <row r="947" spans="1:18" x14ac:dyDescent="0.25">
      <c r="A947" s="57">
        <v>946</v>
      </c>
      <c r="B947" s="57" t="s">
        <v>2311</v>
      </c>
      <c r="C947" s="57">
        <v>1</v>
      </c>
      <c r="D947" s="57" t="s">
        <v>2193</v>
      </c>
      <c r="E947" s="57" t="s">
        <v>2429</v>
      </c>
      <c r="F947" s="57">
        <v>4862</v>
      </c>
      <c r="G947" s="57">
        <v>3110</v>
      </c>
      <c r="H947" s="57">
        <v>120</v>
      </c>
      <c r="I947" s="57" t="s">
        <v>1212</v>
      </c>
      <c r="J947" s="57" t="s">
        <v>2020</v>
      </c>
      <c r="L947" s="57" t="s">
        <v>378</v>
      </c>
      <c r="M947" s="156">
        <v>45957</v>
      </c>
      <c r="P947" s="57">
        <v>1.371</v>
      </c>
      <c r="Q947" s="171">
        <v>3.4275000000000002</v>
      </c>
      <c r="R947" s="166">
        <f>IFERROR(VLOOKUP(B947,#REF!,1,0),0)</f>
        <v>0</v>
      </c>
    </row>
    <row r="948" spans="1:18" x14ac:dyDescent="0.25">
      <c r="A948" s="57">
        <v>947</v>
      </c>
      <c r="B948" s="57" t="s">
        <v>2312</v>
      </c>
      <c r="C948" s="57">
        <v>1</v>
      </c>
      <c r="D948" s="57" t="s">
        <v>2193</v>
      </c>
      <c r="E948" s="57" t="s">
        <v>2430</v>
      </c>
      <c r="F948" s="57">
        <v>2400</v>
      </c>
      <c r="G948" s="57">
        <v>3110</v>
      </c>
      <c r="H948" s="57">
        <v>120</v>
      </c>
      <c r="I948" s="57" t="s">
        <v>2022</v>
      </c>
      <c r="J948" s="57" t="s">
        <v>2046</v>
      </c>
      <c r="L948" s="57" t="s">
        <v>378</v>
      </c>
      <c r="M948" s="156">
        <v>45957</v>
      </c>
      <c r="P948" s="57">
        <v>1.006</v>
      </c>
      <c r="Q948" s="171">
        <v>2.5150000000000001</v>
      </c>
      <c r="R948" s="166">
        <f>IFERROR(VLOOKUP(B948,#REF!,1,0),0)</f>
        <v>0</v>
      </c>
    </row>
    <row r="949" spans="1:18" x14ac:dyDescent="0.25">
      <c r="A949" s="57">
        <v>948</v>
      </c>
      <c r="B949" s="57" t="s">
        <v>2313</v>
      </c>
      <c r="C949" s="57">
        <v>1</v>
      </c>
      <c r="D949" s="57" t="s">
        <v>2193</v>
      </c>
      <c r="E949" s="57" t="s">
        <v>2430</v>
      </c>
      <c r="F949" s="57">
        <v>4862</v>
      </c>
      <c r="G949" s="57">
        <v>3110</v>
      </c>
      <c r="H949" s="57">
        <v>120</v>
      </c>
      <c r="I949" s="57" t="s">
        <v>1212</v>
      </c>
      <c r="J949" s="57" t="s">
        <v>2020</v>
      </c>
      <c r="L949" s="57" t="s">
        <v>378</v>
      </c>
      <c r="M949" s="156">
        <v>45957</v>
      </c>
      <c r="P949" s="57">
        <v>1.399</v>
      </c>
      <c r="Q949" s="171">
        <v>3.4975000000000001</v>
      </c>
      <c r="R949" s="166">
        <f>IFERROR(VLOOKUP(B949,#REF!,1,0),0)</f>
        <v>0</v>
      </c>
    </row>
    <row r="950" spans="1:18" x14ac:dyDescent="0.25">
      <c r="A950" s="57">
        <v>949</v>
      </c>
      <c r="B950" s="57" t="s">
        <v>2314</v>
      </c>
      <c r="C950" s="57">
        <v>1</v>
      </c>
      <c r="D950" s="57" t="s">
        <v>2193</v>
      </c>
      <c r="E950" s="57" t="s">
        <v>2430</v>
      </c>
      <c r="F950" s="57">
        <v>4862</v>
      </c>
      <c r="G950" s="57">
        <v>1910</v>
      </c>
      <c r="H950" s="57">
        <v>120</v>
      </c>
      <c r="I950" s="57" t="s">
        <v>1212</v>
      </c>
      <c r="J950" s="57" t="s">
        <v>2020</v>
      </c>
      <c r="L950" s="57" t="s">
        <v>378</v>
      </c>
      <c r="M950" s="156">
        <v>45957</v>
      </c>
      <c r="P950" s="57">
        <v>1.163</v>
      </c>
      <c r="Q950" s="171">
        <v>2.9075000000000002</v>
      </c>
      <c r="R950" s="166">
        <f>IFERROR(VLOOKUP(B950,#REF!,1,0),0)</f>
        <v>0</v>
      </c>
    </row>
    <row r="951" spans="1:18" x14ac:dyDescent="0.25">
      <c r="A951" s="57">
        <v>950</v>
      </c>
      <c r="B951" s="57" t="s">
        <v>2315</v>
      </c>
      <c r="C951" s="57">
        <v>1</v>
      </c>
      <c r="D951" s="57" t="s">
        <v>2193</v>
      </c>
      <c r="E951" s="57" t="s">
        <v>2431</v>
      </c>
      <c r="F951" s="57">
        <v>5220</v>
      </c>
      <c r="G951" s="57">
        <v>2920</v>
      </c>
      <c r="H951" s="57">
        <v>120</v>
      </c>
      <c r="I951" s="57" t="s">
        <v>2022</v>
      </c>
      <c r="J951" s="57" t="s">
        <v>2033</v>
      </c>
      <c r="L951" s="57" t="s">
        <v>378</v>
      </c>
      <c r="M951" s="156">
        <v>45957</v>
      </c>
      <c r="P951" s="57">
        <v>2.0840000000000001</v>
      </c>
      <c r="Q951" s="171">
        <v>5.21</v>
      </c>
      <c r="R951" s="166">
        <f>IFERROR(VLOOKUP(B951,#REF!,1,0),0)</f>
        <v>0</v>
      </c>
    </row>
    <row r="952" spans="1:18" x14ac:dyDescent="0.25">
      <c r="A952" s="57">
        <v>951</v>
      </c>
      <c r="B952" s="57" t="s">
        <v>2316</v>
      </c>
      <c r="C952" s="57">
        <v>1</v>
      </c>
      <c r="D952" s="57" t="s">
        <v>2193</v>
      </c>
      <c r="E952" s="57" t="s">
        <v>2432</v>
      </c>
      <c r="F952" s="57">
        <v>5220</v>
      </c>
      <c r="G952" s="57">
        <v>2920</v>
      </c>
      <c r="H952" s="57">
        <v>120</v>
      </c>
      <c r="I952" s="57" t="s">
        <v>2022</v>
      </c>
      <c r="J952" s="57" t="s">
        <v>2033</v>
      </c>
      <c r="L952" s="57" t="s">
        <v>378</v>
      </c>
      <c r="M952" s="156">
        <v>45957</v>
      </c>
      <c r="P952" s="57">
        <v>2.0840000000000001</v>
      </c>
      <c r="Q952" s="171">
        <v>5.21</v>
      </c>
      <c r="R952" s="166">
        <f>IFERROR(VLOOKUP(B952,#REF!,1,0),0)</f>
        <v>0</v>
      </c>
    </row>
    <row r="953" spans="1:18" x14ac:dyDescent="0.25">
      <c r="A953" s="57">
        <v>952</v>
      </c>
      <c r="B953" s="57" t="s">
        <v>2317</v>
      </c>
      <c r="C953" s="57">
        <v>1</v>
      </c>
      <c r="D953" s="57" t="s">
        <v>2193</v>
      </c>
      <c r="E953" s="57" t="s">
        <v>2431</v>
      </c>
      <c r="F953" s="57">
        <v>5220</v>
      </c>
      <c r="G953" s="57">
        <v>2920</v>
      </c>
      <c r="H953" s="57">
        <v>120</v>
      </c>
      <c r="I953" s="57" t="s">
        <v>2022</v>
      </c>
      <c r="J953" s="57" t="s">
        <v>2033</v>
      </c>
      <c r="L953" s="57" t="s">
        <v>378</v>
      </c>
      <c r="M953" s="156">
        <v>45957</v>
      </c>
      <c r="P953" s="57">
        <v>2.0840000000000001</v>
      </c>
      <c r="Q953" s="171">
        <v>5.21</v>
      </c>
      <c r="R953" s="166">
        <f>IFERROR(VLOOKUP(B953,#REF!,1,0),0)</f>
        <v>0</v>
      </c>
    </row>
    <row r="954" spans="1:18" x14ac:dyDescent="0.25">
      <c r="A954" s="57">
        <v>953</v>
      </c>
      <c r="B954" s="57" t="s">
        <v>2318</v>
      </c>
      <c r="C954" s="57">
        <v>1</v>
      </c>
      <c r="D954" s="57" t="s">
        <v>2193</v>
      </c>
      <c r="E954" s="57" t="s">
        <v>2431</v>
      </c>
      <c r="F954" s="57">
        <v>5220</v>
      </c>
      <c r="G954" s="57">
        <v>2920</v>
      </c>
      <c r="H954" s="57">
        <v>120</v>
      </c>
      <c r="I954" s="57" t="s">
        <v>2022</v>
      </c>
      <c r="J954" s="57" t="s">
        <v>2033</v>
      </c>
      <c r="L954" s="57" t="s">
        <v>378</v>
      </c>
      <c r="M954" s="156">
        <v>45957</v>
      </c>
      <c r="P954" s="57">
        <v>2.0840000000000001</v>
      </c>
      <c r="Q954" s="171">
        <v>5.21</v>
      </c>
      <c r="R954" s="166">
        <f>IFERROR(VLOOKUP(B954,#REF!,1,0),0)</f>
        <v>0</v>
      </c>
    </row>
    <row r="955" spans="1:18" x14ac:dyDescent="0.25">
      <c r="A955" s="57">
        <v>954</v>
      </c>
      <c r="B955" s="57" t="s">
        <v>2319</v>
      </c>
      <c r="C955" s="57">
        <v>1</v>
      </c>
      <c r="D955" s="57" t="s">
        <v>2193</v>
      </c>
      <c r="E955" s="57" t="s">
        <v>2431</v>
      </c>
      <c r="F955" s="57">
        <v>5220</v>
      </c>
      <c r="G955" s="57">
        <v>2920</v>
      </c>
      <c r="H955" s="57">
        <v>120</v>
      </c>
      <c r="I955" s="57" t="s">
        <v>2022</v>
      </c>
      <c r="J955" s="57" t="s">
        <v>2033</v>
      </c>
      <c r="L955" s="57" t="s">
        <v>378</v>
      </c>
      <c r="M955" s="156">
        <v>45957</v>
      </c>
      <c r="P955" s="57">
        <v>2.0840000000000001</v>
      </c>
      <c r="Q955" s="171">
        <v>5.21</v>
      </c>
      <c r="R955" s="166">
        <f>IFERROR(VLOOKUP(B955,#REF!,1,0),0)</f>
        <v>0</v>
      </c>
    </row>
    <row r="956" spans="1:18" x14ac:dyDescent="0.25">
      <c r="A956" s="57">
        <v>955</v>
      </c>
      <c r="B956" s="57" t="s">
        <v>2320</v>
      </c>
      <c r="C956" s="57">
        <v>1</v>
      </c>
      <c r="D956" s="57" t="s">
        <v>2193</v>
      </c>
      <c r="E956" s="57" t="s">
        <v>2431</v>
      </c>
      <c r="F956" s="57">
        <v>5220</v>
      </c>
      <c r="G956" s="57">
        <v>2920</v>
      </c>
      <c r="H956" s="57">
        <v>120</v>
      </c>
      <c r="I956" s="57" t="s">
        <v>2022</v>
      </c>
      <c r="J956" s="57" t="s">
        <v>2033</v>
      </c>
      <c r="L956" s="57" t="s">
        <v>378</v>
      </c>
      <c r="M956" s="156">
        <v>45957</v>
      </c>
      <c r="P956" s="57">
        <v>2.0840000000000001</v>
      </c>
      <c r="Q956" s="171">
        <v>5.21</v>
      </c>
      <c r="R956" s="166">
        <f>IFERROR(VLOOKUP(B956,#REF!,1,0),0)</f>
        <v>0</v>
      </c>
    </row>
    <row r="957" spans="1:18" x14ac:dyDescent="0.25">
      <c r="A957" s="57">
        <v>956</v>
      </c>
      <c r="B957" s="57" t="s">
        <v>2321</v>
      </c>
      <c r="C957" s="57">
        <v>1</v>
      </c>
      <c r="D957" s="57" t="s">
        <v>2193</v>
      </c>
      <c r="E957" s="57" t="s">
        <v>2432</v>
      </c>
      <c r="F957" s="57">
        <v>5220</v>
      </c>
      <c r="G957" s="57">
        <v>2920</v>
      </c>
      <c r="H957" s="57">
        <v>120</v>
      </c>
      <c r="I957" s="57" t="s">
        <v>2022</v>
      </c>
      <c r="J957" s="57" t="s">
        <v>2033</v>
      </c>
      <c r="L957" s="57" t="s">
        <v>378</v>
      </c>
      <c r="M957" s="156">
        <v>45957</v>
      </c>
      <c r="P957" s="57">
        <v>2.0840000000000001</v>
      </c>
      <c r="Q957" s="171">
        <v>5.21</v>
      </c>
      <c r="R957" s="166">
        <f>IFERROR(VLOOKUP(B957,#REF!,1,0),0)</f>
        <v>0</v>
      </c>
    </row>
    <row r="958" spans="1:18" x14ac:dyDescent="0.25">
      <c r="A958" s="57">
        <v>957</v>
      </c>
      <c r="B958" s="57" t="s">
        <v>2322</v>
      </c>
      <c r="C958" s="57">
        <v>1</v>
      </c>
      <c r="D958" s="57" t="s">
        <v>2193</v>
      </c>
      <c r="E958" s="57" t="s">
        <v>2432</v>
      </c>
      <c r="F958" s="57">
        <v>5220</v>
      </c>
      <c r="G958" s="57">
        <v>2920</v>
      </c>
      <c r="H958" s="57">
        <v>120</v>
      </c>
      <c r="I958" s="57" t="s">
        <v>2022</v>
      </c>
      <c r="J958" s="57" t="s">
        <v>2033</v>
      </c>
      <c r="L958" s="57" t="s">
        <v>378</v>
      </c>
      <c r="M958" s="156">
        <v>45957</v>
      </c>
      <c r="P958" s="57">
        <v>2.0840000000000001</v>
      </c>
      <c r="Q958" s="171">
        <v>5.21</v>
      </c>
      <c r="R958" s="166">
        <f>IFERROR(VLOOKUP(B958,#REF!,1,0),0)</f>
        <v>0</v>
      </c>
    </row>
    <row r="959" spans="1:18" x14ac:dyDescent="0.25">
      <c r="A959" s="57">
        <v>958</v>
      </c>
      <c r="B959" s="57" t="s">
        <v>2323</v>
      </c>
      <c r="C959" s="57">
        <v>1</v>
      </c>
      <c r="D959" s="57" t="s">
        <v>2193</v>
      </c>
      <c r="E959" s="57" t="s">
        <v>2432</v>
      </c>
      <c r="F959" s="57">
        <v>5220</v>
      </c>
      <c r="G959" s="57">
        <v>2920</v>
      </c>
      <c r="H959" s="57">
        <v>120</v>
      </c>
      <c r="I959" s="57" t="s">
        <v>2022</v>
      </c>
      <c r="J959" s="57" t="s">
        <v>2033</v>
      </c>
      <c r="L959" s="57" t="s">
        <v>378</v>
      </c>
      <c r="M959" s="156">
        <v>45957</v>
      </c>
      <c r="P959" s="57">
        <v>2.0840000000000001</v>
      </c>
      <c r="Q959" s="171">
        <v>5.21</v>
      </c>
      <c r="R959" s="166">
        <f>IFERROR(VLOOKUP(B959,#REF!,1,0),0)</f>
        <v>0</v>
      </c>
    </row>
    <row r="960" spans="1:18" x14ac:dyDescent="0.25">
      <c r="A960" s="57">
        <v>959</v>
      </c>
      <c r="B960" s="57" t="s">
        <v>2324</v>
      </c>
      <c r="C960" s="57">
        <v>1</v>
      </c>
      <c r="D960" s="57" t="s">
        <v>2193</v>
      </c>
      <c r="E960" s="57" t="s">
        <v>2432</v>
      </c>
      <c r="F960" s="57">
        <v>5220</v>
      </c>
      <c r="G960" s="57">
        <v>2920</v>
      </c>
      <c r="H960" s="57">
        <v>120</v>
      </c>
      <c r="I960" s="57" t="s">
        <v>2022</v>
      </c>
      <c r="J960" s="57" t="s">
        <v>2033</v>
      </c>
      <c r="L960" s="57" t="s">
        <v>378</v>
      </c>
      <c r="M960" s="156">
        <v>45957</v>
      </c>
      <c r="P960" s="57">
        <v>2.0840000000000001</v>
      </c>
      <c r="Q960" s="171">
        <v>5.21</v>
      </c>
      <c r="R960" s="166">
        <f>IFERROR(VLOOKUP(B960,#REF!,1,0),0)</f>
        <v>0</v>
      </c>
    </row>
    <row r="961" spans="1:22" x14ac:dyDescent="0.25">
      <c r="A961" s="57">
        <v>960</v>
      </c>
      <c r="B961" s="57" t="s">
        <v>2325</v>
      </c>
      <c r="C961" s="57">
        <v>1</v>
      </c>
      <c r="D961" s="57" t="s">
        <v>2193</v>
      </c>
      <c r="E961" s="57" t="s">
        <v>2431</v>
      </c>
      <c r="F961" s="57">
        <v>5220</v>
      </c>
      <c r="G961" s="57">
        <v>2920</v>
      </c>
      <c r="H961" s="57">
        <v>120</v>
      </c>
      <c r="I961" s="57" t="s">
        <v>2022</v>
      </c>
      <c r="J961" s="57" t="s">
        <v>2033</v>
      </c>
      <c r="L961" s="57" t="s">
        <v>378</v>
      </c>
      <c r="M961" s="156">
        <v>45957</v>
      </c>
      <c r="P961" s="57">
        <v>2.0840000000000001</v>
      </c>
      <c r="Q961" s="171">
        <v>5.21</v>
      </c>
      <c r="R961" s="166">
        <f>IFERROR(VLOOKUP(B961,#REF!,1,0),0)</f>
        <v>0</v>
      </c>
    </row>
    <row r="962" spans="1:22" x14ac:dyDescent="0.25">
      <c r="A962" s="57">
        <v>961</v>
      </c>
      <c r="B962" s="57" t="s">
        <v>2326</v>
      </c>
      <c r="C962" s="57">
        <v>1</v>
      </c>
      <c r="D962" s="57" t="s">
        <v>2193</v>
      </c>
      <c r="E962" s="57" t="s">
        <v>2432</v>
      </c>
      <c r="F962" s="57">
        <v>5220</v>
      </c>
      <c r="G962" s="57">
        <v>2920</v>
      </c>
      <c r="H962" s="57">
        <v>120</v>
      </c>
      <c r="I962" s="57" t="s">
        <v>2022</v>
      </c>
      <c r="J962" s="57" t="s">
        <v>2033</v>
      </c>
      <c r="L962" s="57" t="s">
        <v>378</v>
      </c>
      <c r="M962" s="156">
        <v>45957</v>
      </c>
      <c r="P962" s="57">
        <v>2.0840000000000001</v>
      </c>
      <c r="Q962" s="171">
        <v>5.21</v>
      </c>
      <c r="R962" s="166">
        <f>IFERROR(VLOOKUP(B962,#REF!,1,0),0)</f>
        <v>0</v>
      </c>
    </row>
    <row r="963" spans="1:22" x14ac:dyDescent="0.25">
      <c r="A963" s="57">
        <v>962</v>
      </c>
      <c r="B963" s="57" t="s">
        <v>2327</v>
      </c>
      <c r="C963" s="57">
        <v>1</v>
      </c>
      <c r="D963" s="57" t="s">
        <v>2193</v>
      </c>
      <c r="E963" s="57" t="s">
        <v>2431</v>
      </c>
      <c r="F963" s="57">
        <v>4862</v>
      </c>
      <c r="G963" s="57">
        <v>1910</v>
      </c>
      <c r="H963" s="57">
        <v>120</v>
      </c>
      <c r="I963" s="57" t="s">
        <v>1212</v>
      </c>
      <c r="J963" s="57" t="s">
        <v>2020</v>
      </c>
      <c r="L963" s="57" t="s">
        <v>378</v>
      </c>
      <c r="M963" s="156">
        <v>45957</v>
      </c>
      <c r="P963" s="57">
        <v>1.1539999999999999</v>
      </c>
      <c r="Q963" s="171">
        <v>2.8849999999999998</v>
      </c>
      <c r="R963" s="166">
        <f>IFERROR(VLOOKUP(B963,#REF!,1,0),0)</f>
        <v>0</v>
      </c>
    </row>
    <row r="964" spans="1:22" x14ac:dyDescent="0.25">
      <c r="A964" s="57">
        <v>963</v>
      </c>
      <c r="B964" s="57" t="s">
        <v>2328</v>
      </c>
      <c r="C964" s="57">
        <v>1</v>
      </c>
      <c r="D964" s="57" t="s">
        <v>2193</v>
      </c>
      <c r="E964" s="57" t="s">
        <v>2431</v>
      </c>
      <c r="F964" s="57">
        <v>4862</v>
      </c>
      <c r="G964" s="57">
        <v>3170</v>
      </c>
      <c r="H964" s="57">
        <v>120</v>
      </c>
      <c r="I964" s="57" t="s">
        <v>1212</v>
      </c>
      <c r="J964" s="57" t="s">
        <v>2020</v>
      </c>
      <c r="L964" s="57" t="s">
        <v>378</v>
      </c>
      <c r="M964" s="156">
        <v>45957</v>
      </c>
      <c r="P964" s="57">
        <v>1.411</v>
      </c>
      <c r="Q964" s="171">
        <v>3.5274999999999999</v>
      </c>
      <c r="R964" s="166">
        <f>IFERROR(VLOOKUP(B964,#REF!,1,0),0)</f>
        <v>0</v>
      </c>
    </row>
    <row r="965" spans="1:22" x14ac:dyDescent="0.25">
      <c r="A965" s="57">
        <v>964</v>
      </c>
      <c r="B965" s="57" t="s">
        <v>2329</v>
      </c>
      <c r="C965" s="57">
        <v>1</v>
      </c>
      <c r="D965" s="57" t="s">
        <v>2193</v>
      </c>
      <c r="E965" s="57" t="s">
        <v>2432</v>
      </c>
      <c r="F965" s="57">
        <v>2400</v>
      </c>
      <c r="G965" s="57">
        <v>3075</v>
      </c>
      <c r="H965" s="57">
        <v>120</v>
      </c>
      <c r="I965" s="57" t="s">
        <v>2022</v>
      </c>
      <c r="J965" s="57" t="s">
        <v>2046</v>
      </c>
      <c r="L965" s="57" t="s">
        <v>378</v>
      </c>
      <c r="M965" s="156">
        <v>45957</v>
      </c>
      <c r="P965" s="57">
        <v>0.97099999999999997</v>
      </c>
      <c r="Q965" s="171">
        <v>2.4274999999999998</v>
      </c>
      <c r="R965" s="166">
        <f>IFERROR(VLOOKUP(B965,#REF!,1,0),0)</f>
        <v>0</v>
      </c>
    </row>
    <row r="966" spans="1:22" x14ac:dyDescent="0.25">
      <c r="A966" s="57">
        <v>965</v>
      </c>
      <c r="B966" s="57" t="s">
        <v>2330</v>
      </c>
      <c r="C966" s="57">
        <v>1</v>
      </c>
      <c r="D966" s="57" t="s">
        <v>2193</v>
      </c>
      <c r="E966" s="57" t="s">
        <v>2432</v>
      </c>
      <c r="F966" s="57">
        <v>4862</v>
      </c>
      <c r="G966" s="57">
        <v>3075</v>
      </c>
      <c r="H966" s="57">
        <v>120</v>
      </c>
      <c r="I966" s="57" t="s">
        <v>1212</v>
      </c>
      <c r="J966" s="57" t="s">
        <v>2020</v>
      </c>
      <c r="L966" s="57" t="s">
        <v>378</v>
      </c>
      <c r="M966" s="156">
        <v>45957</v>
      </c>
      <c r="P966" s="57">
        <v>1.3819999999999999</v>
      </c>
      <c r="Q966" s="171">
        <v>3.4549999999999996</v>
      </c>
      <c r="R966" s="166">
        <f>IFERROR(VLOOKUP(B966,#REF!,1,0),0)</f>
        <v>0</v>
      </c>
    </row>
    <row r="967" spans="1:22" x14ac:dyDescent="0.25">
      <c r="A967" s="57">
        <v>966</v>
      </c>
      <c r="B967" s="57" t="s">
        <v>2331</v>
      </c>
      <c r="C967" s="57">
        <v>1</v>
      </c>
      <c r="D967" s="57" t="s">
        <v>2193</v>
      </c>
      <c r="E967" s="57" t="s">
        <v>2432</v>
      </c>
      <c r="F967" s="57">
        <v>4862</v>
      </c>
      <c r="G967" s="57">
        <v>1875</v>
      </c>
      <c r="H967" s="57">
        <v>120</v>
      </c>
      <c r="I967" s="57" t="s">
        <v>1212</v>
      </c>
      <c r="J967" s="57" t="s">
        <v>2020</v>
      </c>
      <c r="L967" s="57" t="s">
        <v>378</v>
      </c>
      <c r="M967" s="156">
        <v>45957</v>
      </c>
      <c r="P967" s="57">
        <v>1.1359999999999999</v>
      </c>
      <c r="Q967" s="171">
        <v>2.84</v>
      </c>
      <c r="R967" s="166">
        <f>IFERROR(VLOOKUP(B967,#REF!,1,0),0)</f>
        <v>0</v>
      </c>
    </row>
    <row r="968" spans="1:22" x14ac:dyDescent="0.25">
      <c r="A968" s="57">
        <v>967</v>
      </c>
      <c r="B968" s="57" t="s">
        <v>2332</v>
      </c>
      <c r="C968" s="57">
        <v>1</v>
      </c>
      <c r="D968" s="57" t="s">
        <v>2193</v>
      </c>
      <c r="E968" s="57" t="s">
        <v>2433</v>
      </c>
      <c r="F968" s="57">
        <v>5220</v>
      </c>
      <c r="G968" s="57">
        <v>3040</v>
      </c>
      <c r="H968" s="57">
        <v>120</v>
      </c>
      <c r="I968" s="57" t="s">
        <v>2022</v>
      </c>
      <c r="J968" s="57" t="s">
        <v>2031</v>
      </c>
      <c r="L968" s="57" t="s">
        <v>378</v>
      </c>
      <c r="M968" s="156">
        <v>45957</v>
      </c>
      <c r="P968" s="57">
        <v>2.008</v>
      </c>
      <c r="Q968" s="171">
        <v>5.0199999999999996</v>
      </c>
      <c r="R968" s="166">
        <f>IFERROR(VLOOKUP(B968,#REF!,1,0),0)</f>
        <v>0</v>
      </c>
    </row>
    <row r="969" spans="1:22" x14ac:dyDescent="0.25">
      <c r="A969" s="57">
        <v>968</v>
      </c>
      <c r="B969" s="57" t="s">
        <v>2333</v>
      </c>
      <c r="C969" s="57">
        <v>1</v>
      </c>
      <c r="D969" s="57" t="s">
        <v>2193</v>
      </c>
      <c r="E969" s="57" t="s">
        <v>2433</v>
      </c>
      <c r="F969" s="57">
        <v>5220</v>
      </c>
      <c r="G969" s="57">
        <v>3040</v>
      </c>
      <c r="H969" s="57">
        <v>120</v>
      </c>
      <c r="I969" s="57" t="s">
        <v>2022</v>
      </c>
      <c r="J969" s="57" t="s">
        <v>2031</v>
      </c>
      <c r="L969" s="57" t="s">
        <v>378</v>
      </c>
      <c r="M969" s="156">
        <v>45957</v>
      </c>
      <c r="P969" s="57">
        <v>2.008</v>
      </c>
      <c r="Q969" s="171">
        <v>5.0199999999999996</v>
      </c>
      <c r="R969" s="166">
        <f>IFERROR(VLOOKUP(B969,#REF!,1,0),0)</f>
        <v>0</v>
      </c>
    </row>
    <row r="970" spans="1:22" x14ac:dyDescent="0.25">
      <c r="A970" s="57">
        <v>969</v>
      </c>
      <c r="B970" s="57" t="s">
        <v>2334</v>
      </c>
      <c r="C970" s="57">
        <v>1</v>
      </c>
      <c r="D970" s="57" t="s">
        <v>2193</v>
      </c>
      <c r="E970" s="57" t="s">
        <v>2433</v>
      </c>
      <c r="F970" s="57">
        <v>5220</v>
      </c>
      <c r="G970" s="57">
        <v>3040</v>
      </c>
      <c r="H970" s="57">
        <v>120</v>
      </c>
      <c r="I970" s="57" t="s">
        <v>2022</v>
      </c>
      <c r="J970" s="57" t="s">
        <v>2031</v>
      </c>
      <c r="L970" s="57" t="s">
        <v>378</v>
      </c>
      <c r="M970" s="156">
        <v>45957</v>
      </c>
      <c r="P970" s="57">
        <v>2.008</v>
      </c>
      <c r="Q970" s="171">
        <v>5.0199999999999996</v>
      </c>
      <c r="R970" s="166">
        <f>IFERROR(VLOOKUP(B970,#REF!,1,0),0)</f>
        <v>0</v>
      </c>
    </row>
    <row r="971" spans="1:22" x14ac:dyDescent="0.25">
      <c r="A971" s="57">
        <v>970</v>
      </c>
      <c r="B971" s="57" t="s">
        <v>2335</v>
      </c>
      <c r="C971" s="57">
        <v>1</v>
      </c>
      <c r="D971" s="57" t="s">
        <v>2193</v>
      </c>
      <c r="E971" s="57" t="s">
        <v>2433</v>
      </c>
      <c r="F971" s="57">
        <v>5220</v>
      </c>
      <c r="G971" s="57">
        <v>2930</v>
      </c>
      <c r="H971" s="57">
        <v>120</v>
      </c>
      <c r="I971" s="57" t="s">
        <v>2022</v>
      </c>
      <c r="J971" s="57" t="s">
        <v>2031</v>
      </c>
      <c r="L971" s="57" t="s">
        <v>378</v>
      </c>
      <c r="M971" s="156">
        <v>45957</v>
      </c>
      <c r="P971" s="57">
        <v>1.9390000000000001</v>
      </c>
      <c r="Q971" s="171">
        <v>4.8475000000000001</v>
      </c>
      <c r="R971" s="166">
        <f>IFERROR(VLOOKUP(B971,#REF!,1,0),0)</f>
        <v>0</v>
      </c>
    </row>
    <row r="972" spans="1:22" x14ac:dyDescent="0.25">
      <c r="A972" s="57">
        <v>971</v>
      </c>
      <c r="B972" s="57" t="s">
        <v>2336</v>
      </c>
      <c r="C972" s="57">
        <v>1</v>
      </c>
      <c r="D972" s="57" t="s">
        <v>2193</v>
      </c>
      <c r="E972" s="57" t="s">
        <v>2433</v>
      </c>
      <c r="F972" s="57">
        <v>5220</v>
      </c>
      <c r="G972" s="57">
        <v>2930</v>
      </c>
      <c r="H972" s="57">
        <v>120</v>
      </c>
      <c r="I972" s="57" t="s">
        <v>2022</v>
      </c>
      <c r="J972" s="57" t="s">
        <v>2031</v>
      </c>
      <c r="L972" s="57" t="s">
        <v>378</v>
      </c>
      <c r="M972" s="156">
        <v>45957</v>
      </c>
      <c r="P972" s="57">
        <v>1.9390000000000001</v>
      </c>
      <c r="Q972" s="171">
        <v>4.8475000000000001</v>
      </c>
      <c r="R972" s="166">
        <f>IFERROR(VLOOKUP(B972,#REF!,1,0),0)</f>
        <v>0</v>
      </c>
    </row>
    <row r="973" spans="1:22" x14ac:dyDescent="0.25">
      <c r="A973" s="57">
        <v>972</v>
      </c>
      <c r="B973" s="57" t="s">
        <v>2337</v>
      </c>
      <c r="C973" s="57">
        <v>1</v>
      </c>
      <c r="D973" s="57" t="s">
        <v>2193</v>
      </c>
      <c r="E973" s="57" t="s">
        <v>2433</v>
      </c>
      <c r="F973" s="57">
        <v>5220</v>
      </c>
      <c r="G973" s="57">
        <v>2930</v>
      </c>
      <c r="H973" s="57">
        <v>120</v>
      </c>
      <c r="I973" s="57" t="s">
        <v>2022</v>
      </c>
      <c r="J973" s="57" t="s">
        <v>2031</v>
      </c>
      <c r="L973" s="57" t="s">
        <v>378</v>
      </c>
      <c r="M973" s="156">
        <v>45957</v>
      </c>
      <c r="P973" s="57">
        <v>1.9390000000000001</v>
      </c>
      <c r="Q973" s="171">
        <v>4.8475000000000001</v>
      </c>
      <c r="R973" s="166">
        <f>IFERROR(VLOOKUP(B973,#REF!,1,0),0)</f>
        <v>0</v>
      </c>
    </row>
    <row r="974" spans="1:22" x14ac:dyDescent="0.25">
      <c r="A974" s="57">
        <v>973</v>
      </c>
      <c r="B974" s="57" t="s">
        <v>2338</v>
      </c>
      <c r="C974" s="57">
        <v>1</v>
      </c>
      <c r="D974" s="57" t="s">
        <v>2193</v>
      </c>
      <c r="E974" s="57" t="s">
        <v>2433</v>
      </c>
      <c r="F974" s="57">
        <v>4865</v>
      </c>
      <c r="G974" s="57">
        <v>1875</v>
      </c>
      <c r="H974" s="57">
        <v>120</v>
      </c>
      <c r="I974" s="57" t="s">
        <v>1212</v>
      </c>
      <c r="J974" s="57" t="s">
        <v>2020</v>
      </c>
      <c r="L974" s="57" t="s">
        <v>378</v>
      </c>
      <c r="M974" s="156">
        <v>45957</v>
      </c>
      <c r="P974" s="57">
        <v>1.1359999999999999</v>
      </c>
      <c r="Q974" s="171">
        <v>2.84</v>
      </c>
      <c r="R974" s="166">
        <f>IFERROR(VLOOKUP(B974,#REF!,1,0),0)</f>
        <v>0</v>
      </c>
    </row>
    <row r="975" spans="1:22" x14ac:dyDescent="0.25">
      <c r="A975" s="57">
        <v>974</v>
      </c>
      <c r="B975" s="57" t="s">
        <v>2339</v>
      </c>
      <c r="C975" s="57">
        <v>1</v>
      </c>
      <c r="D975" s="57" t="s">
        <v>2193</v>
      </c>
      <c r="E975" s="57" t="s">
        <v>2433</v>
      </c>
      <c r="F975" s="57">
        <v>4865</v>
      </c>
      <c r="G975" s="57">
        <v>3075</v>
      </c>
      <c r="H975" s="57">
        <v>120</v>
      </c>
      <c r="I975" s="57" t="s">
        <v>1212</v>
      </c>
      <c r="J975" s="57" t="s">
        <v>2020</v>
      </c>
      <c r="L975" s="57" t="s">
        <v>378</v>
      </c>
      <c r="M975" s="156">
        <v>45957</v>
      </c>
      <c r="P975" s="57">
        <v>1.3320000000000001</v>
      </c>
      <c r="Q975" s="171">
        <v>3.33</v>
      </c>
      <c r="R975" s="166">
        <f>IFERROR(VLOOKUP(B975,#REF!,1,0),0)</f>
        <v>0</v>
      </c>
    </row>
    <row r="976" spans="1:22" x14ac:dyDescent="0.25">
      <c r="A976" s="57">
        <v>975</v>
      </c>
      <c r="B976" s="57" t="s">
        <v>2437</v>
      </c>
      <c r="C976" s="57">
        <v>1</v>
      </c>
      <c r="D976" s="57" t="s">
        <v>2019</v>
      </c>
      <c r="E976" s="172" t="s">
        <v>2438</v>
      </c>
      <c r="F976" s="172">
        <v>5260</v>
      </c>
      <c r="G976" s="172">
        <v>2800</v>
      </c>
      <c r="H976" s="172">
        <v>170</v>
      </c>
      <c r="I976" s="172" t="s">
        <v>2022</v>
      </c>
      <c r="J976" s="172" t="s">
        <v>2439</v>
      </c>
      <c r="L976" s="173" t="s">
        <v>165</v>
      </c>
      <c r="M976" s="174">
        <v>46042</v>
      </c>
      <c r="N976" s="173" t="s">
        <v>2440</v>
      </c>
      <c r="O976" s="172"/>
      <c r="P976" s="172">
        <v>4.2320000000000002</v>
      </c>
      <c r="Q976" s="175">
        <v>10.58</v>
      </c>
      <c r="R976" s="166">
        <f>IFERROR(VLOOKUP(B976,#REF!,1,0),0)</f>
        <v>0</v>
      </c>
      <c r="V976" s="172" t="s">
        <v>2441</v>
      </c>
    </row>
    <row r="977" spans="1:22" x14ac:dyDescent="0.25">
      <c r="A977" s="57">
        <v>976</v>
      </c>
      <c r="B977" s="57" t="s">
        <v>2442</v>
      </c>
      <c r="C977" s="57">
        <v>1</v>
      </c>
      <c r="D977" s="57" t="s">
        <v>2019</v>
      </c>
      <c r="E977" s="172" t="s">
        <v>2438</v>
      </c>
      <c r="F977" s="172">
        <v>5260</v>
      </c>
      <c r="G977" s="172">
        <v>2800</v>
      </c>
      <c r="H977" s="172">
        <v>170</v>
      </c>
      <c r="I977" s="172" t="s">
        <v>2022</v>
      </c>
      <c r="J977" s="172" t="s">
        <v>2439</v>
      </c>
      <c r="L977" s="173" t="s">
        <v>165</v>
      </c>
      <c r="M977" s="174">
        <v>46042</v>
      </c>
      <c r="N977" s="173" t="s">
        <v>2440</v>
      </c>
      <c r="O977" s="172"/>
      <c r="P977" s="172">
        <v>4.2859999999999996</v>
      </c>
      <c r="Q977" s="175">
        <v>10.715</v>
      </c>
      <c r="R977" s="166">
        <f>IFERROR(VLOOKUP(B977,#REF!,1,0),0)</f>
        <v>0</v>
      </c>
      <c r="V977" s="172" t="s">
        <v>2441</v>
      </c>
    </row>
    <row r="978" spans="1:22" x14ac:dyDescent="0.25">
      <c r="A978" s="57">
        <v>977</v>
      </c>
      <c r="B978" s="57" t="s">
        <v>2443</v>
      </c>
      <c r="C978" s="57">
        <v>1</v>
      </c>
      <c r="D978" s="57" t="s">
        <v>2019</v>
      </c>
      <c r="E978" s="172" t="s">
        <v>2438</v>
      </c>
      <c r="F978" s="172">
        <v>5260</v>
      </c>
      <c r="G978" s="172">
        <v>2800</v>
      </c>
      <c r="H978" s="172">
        <v>170</v>
      </c>
      <c r="I978" s="172" t="s">
        <v>2022</v>
      </c>
      <c r="J978" s="172" t="s">
        <v>2439</v>
      </c>
      <c r="L978" s="173" t="s">
        <v>165</v>
      </c>
      <c r="M978" s="174">
        <v>46042</v>
      </c>
      <c r="N978" s="173" t="s">
        <v>2440</v>
      </c>
      <c r="O978" s="172"/>
      <c r="P978" s="172">
        <v>4.2859999999999996</v>
      </c>
      <c r="Q978" s="175">
        <v>10.715</v>
      </c>
      <c r="R978" s="166">
        <f>IFERROR(VLOOKUP(B978,#REF!,1,0),0)</f>
        <v>0</v>
      </c>
      <c r="V978" s="172" t="s">
        <v>2441</v>
      </c>
    </row>
    <row r="979" spans="1:22" x14ac:dyDescent="0.25">
      <c r="A979" s="57">
        <v>978</v>
      </c>
      <c r="B979" s="57" t="s">
        <v>2444</v>
      </c>
      <c r="C979" s="57">
        <v>1</v>
      </c>
      <c r="D979" s="57" t="s">
        <v>2019</v>
      </c>
      <c r="E979" s="172" t="s">
        <v>2438</v>
      </c>
      <c r="F979" s="172">
        <v>5260</v>
      </c>
      <c r="G979" s="172">
        <v>2800</v>
      </c>
      <c r="H979" s="172">
        <v>170</v>
      </c>
      <c r="I979" s="172" t="s">
        <v>2022</v>
      </c>
      <c r="J979" s="172" t="s">
        <v>2439</v>
      </c>
      <c r="L979" s="173" t="s">
        <v>165</v>
      </c>
      <c r="M979" s="174">
        <v>46042</v>
      </c>
      <c r="N979" s="173" t="s">
        <v>2440</v>
      </c>
      <c r="O979" s="172"/>
      <c r="P979" s="172">
        <v>4.2859999999999996</v>
      </c>
      <c r="Q979" s="175">
        <v>10.715</v>
      </c>
      <c r="R979" s="166">
        <f>IFERROR(VLOOKUP(B979,#REF!,1,0),0)</f>
        <v>0</v>
      </c>
      <c r="V979" s="172" t="s">
        <v>2441</v>
      </c>
    </row>
    <row r="980" spans="1:22" x14ac:dyDescent="0.25">
      <c r="A980" s="57">
        <v>979</v>
      </c>
      <c r="B980" s="57" t="s">
        <v>2445</v>
      </c>
      <c r="C980" s="57">
        <v>1</v>
      </c>
      <c r="D980" s="57" t="s">
        <v>2019</v>
      </c>
      <c r="E980" s="172" t="s">
        <v>2438</v>
      </c>
      <c r="F980" s="172">
        <v>5260</v>
      </c>
      <c r="G980" s="172">
        <v>2800</v>
      </c>
      <c r="H980" s="172">
        <v>170</v>
      </c>
      <c r="I980" s="172" t="s">
        <v>2022</v>
      </c>
      <c r="J980" s="172" t="s">
        <v>2439</v>
      </c>
      <c r="L980" s="173" t="s">
        <v>165</v>
      </c>
      <c r="M980" s="174">
        <v>46042</v>
      </c>
      <c r="N980" s="173" t="s">
        <v>2440</v>
      </c>
      <c r="O980" s="172"/>
      <c r="P980" s="172">
        <v>4.2859999999999996</v>
      </c>
      <c r="Q980" s="175">
        <v>10.715</v>
      </c>
      <c r="R980" s="166">
        <f>IFERROR(VLOOKUP(B980,#REF!,1,0),0)</f>
        <v>0</v>
      </c>
      <c r="V980" s="172" t="s">
        <v>2441</v>
      </c>
    </row>
    <row r="981" spans="1:22" x14ac:dyDescent="0.25">
      <c r="A981" s="57">
        <v>980</v>
      </c>
      <c r="B981" s="57" t="s">
        <v>2446</v>
      </c>
      <c r="C981" s="57">
        <v>1</v>
      </c>
      <c r="D981" s="57" t="s">
        <v>2019</v>
      </c>
      <c r="E981" s="172" t="s">
        <v>2438</v>
      </c>
      <c r="F981" s="172">
        <v>5170</v>
      </c>
      <c r="G981" s="172">
        <v>2800</v>
      </c>
      <c r="H981" s="172">
        <v>170</v>
      </c>
      <c r="I981" s="172" t="s">
        <v>2022</v>
      </c>
      <c r="J981" s="172" t="s">
        <v>2447</v>
      </c>
      <c r="L981" s="173" t="s">
        <v>165</v>
      </c>
      <c r="M981" s="174">
        <v>46042</v>
      </c>
      <c r="N981" s="173" t="s">
        <v>2440</v>
      </c>
      <c r="O981" s="172"/>
      <c r="P981" s="172">
        <v>3.8220000000000001</v>
      </c>
      <c r="Q981" s="175">
        <v>9.5549999999999997</v>
      </c>
      <c r="R981" s="166">
        <f>IFERROR(VLOOKUP(B981,#REF!,1,0),0)</f>
        <v>0</v>
      </c>
      <c r="V981" s="172" t="s">
        <v>2441</v>
      </c>
    </row>
    <row r="982" spans="1:22" x14ac:dyDescent="0.25">
      <c r="A982" s="57">
        <v>981</v>
      </c>
      <c r="B982" s="57" t="s">
        <v>2448</v>
      </c>
      <c r="C982" s="57">
        <v>1</v>
      </c>
      <c r="D982" s="57" t="s">
        <v>2019</v>
      </c>
      <c r="E982" s="172" t="s">
        <v>2438</v>
      </c>
      <c r="F982" s="176">
        <v>4000</v>
      </c>
      <c r="G982" s="172">
        <v>2800</v>
      </c>
      <c r="H982" s="172">
        <v>170</v>
      </c>
      <c r="I982" s="172" t="s">
        <v>2022</v>
      </c>
      <c r="J982" s="172" t="s">
        <v>2449</v>
      </c>
      <c r="L982" s="173" t="s">
        <v>165</v>
      </c>
      <c r="M982" s="174">
        <v>46042</v>
      </c>
      <c r="N982" s="173" t="s">
        <v>2440</v>
      </c>
      <c r="O982" s="172"/>
      <c r="P982" s="172">
        <v>2.6720000000000002</v>
      </c>
      <c r="Q982" s="175">
        <v>6.68</v>
      </c>
      <c r="R982" s="166">
        <f>IFERROR(VLOOKUP(B982,#REF!,1,0),0)</f>
        <v>0</v>
      </c>
      <c r="V982" s="172" t="s">
        <v>2441</v>
      </c>
    </row>
    <row r="983" spans="1:22" x14ac:dyDescent="0.25">
      <c r="A983" s="57">
        <v>982</v>
      </c>
      <c r="B983" s="57" t="s">
        <v>2450</v>
      </c>
      <c r="C983" s="57">
        <v>1</v>
      </c>
      <c r="D983" s="57" t="s">
        <v>2019</v>
      </c>
      <c r="E983" s="172" t="s">
        <v>2438</v>
      </c>
      <c r="F983" s="172">
        <v>2400</v>
      </c>
      <c r="G983" s="172">
        <v>3251</v>
      </c>
      <c r="H983" s="172">
        <v>170</v>
      </c>
      <c r="I983" s="172" t="s">
        <v>2022</v>
      </c>
      <c r="J983" s="172" t="s">
        <v>2451</v>
      </c>
      <c r="L983" s="173" t="s">
        <v>165</v>
      </c>
      <c r="M983" s="174">
        <v>46042</v>
      </c>
      <c r="N983" s="173" t="s">
        <v>2440</v>
      </c>
      <c r="O983" s="172"/>
      <c r="P983" s="172">
        <v>1.95</v>
      </c>
      <c r="Q983" s="175">
        <v>4.875</v>
      </c>
      <c r="R983" s="166">
        <f>IFERROR(VLOOKUP(B983,#REF!,1,0),0)</f>
        <v>0</v>
      </c>
      <c r="V983" s="172" t="s">
        <v>2441</v>
      </c>
    </row>
    <row r="984" spans="1:22" x14ac:dyDescent="0.25">
      <c r="A984" s="57">
        <v>983</v>
      </c>
      <c r="B984" s="57" t="s">
        <v>2340</v>
      </c>
      <c r="C984" s="57">
        <v>1</v>
      </c>
      <c r="D984" s="57" t="s">
        <v>2341</v>
      </c>
      <c r="E984" s="57" t="s">
        <v>2563</v>
      </c>
      <c r="F984" s="57">
        <v>5220</v>
      </c>
      <c r="G984" s="57">
        <v>2985</v>
      </c>
      <c r="H984" s="57">
        <v>120</v>
      </c>
      <c r="I984" s="57" t="s">
        <v>2022</v>
      </c>
      <c r="J984" s="57" t="s">
        <v>2031</v>
      </c>
      <c r="L984" s="57" t="s">
        <v>378</v>
      </c>
      <c r="M984" s="156">
        <v>45964</v>
      </c>
      <c r="P984" s="57">
        <v>1.9870000000000001</v>
      </c>
      <c r="Q984" s="171">
        <v>4.9675000000000002</v>
      </c>
      <c r="R984" s="166">
        <f>IFERROR(VLOOKUP(B984,#REF!,1,0),0)</f>
        <v>0</v>
      </c>
    </row>
    <row r="985" spans="1:22" x14ac:dyDescent="0.25">
      <c r="A985" s="57">
        <v>984</v>
      </c>
      <c r="B985" s="57" t="s">
        <v>2342</v>
      </c>
      <c r="C985" s="57">
        <v>1</v>
      </c>
      <c r="D985" s="57" t="s">
        <v>2341</v>
      </c>
      <c r="E985" s="57" t="s">
        <v>2563</v>
      </c>
      <c r="F985" s="57">
        <v>5220</v>
      </c>
      <c r="G985" s="57">
        <v>2985</v>
      </c>
      <c r="H985" s="57">
        <v>120</v>
      </c>
      <c r="I985" s="57" t="s">
        <v>2022</v>
      </c>
      <c r="J985" s="57" t="s">
        <v>2031</v>
      </c>
      <c r="L985" s="57" t="s">
        <v>378</v>
      </c>
      <c r="M985" s="156">
        <v>45964</v>
      </c>
      <c r="P985" s="57">
        <v>1.9870000000000001</v>
      </c>
      <c r="Q985" s="171">
        <v>4.9675000000000002</v>
      </c>
      <c r="R985" s="166">
        <f>IFERROR(VLOOKUP(B985,#REF!,1,0),0)</f>
        <v>0</v>
      </c>
    </row>
    <row r="986" spans="1:22" x14ac:dyDescent="0.25">
      <c r="A986" s="57">
        <v>985</v>
      </c>
      <c r="B986" s="57" t="s">
        <v>2343</v>
      </c>
      <c r="C986" s="57">
        <v>1</v>
      </c>
      <c r="D986" s="57" t="s">
        <v>2341</v>
      </c>
      <c r="E986" s="57" t="s">
        <v>2563</v>
      </c>
      <c r="F986" s="57">
        <v>5220</v>
      </c>
      <c r="G986" s="57">
        <v>2985</v>
      </c>
      <c r="H986" s="57">
        <v>120</v>
      </c>
      <c r="I986" s="57" t="s">
        <v>2022</v>
      </c>
      <c r="J986" s="57" t="s">
        <v>2031</v>
      </c>
      <c r="L986" s="57" t="s">
        <v>378</v>
      </c>
      <c r="M986" s="156">
        <v>45964</v>
      </c>
      <c r="P986" s="57">
        <v>1.9870000000000001</v>
      </c>
      <c r="Q986" s="171">
        <v>4.9675000000000002</v>
      </c>
      <c r="R986" s="166">
        <f>IFERROR(VLOOKUP(B986,#REF!,1,0),0)</f>
        <v>0</v>
      </c>
    </row>
    <row r="987" spans="1:22" x14ac:dyDescent="0.25">
      <c r="A987" s="57">
        <v>986</v>
      </c>
      <c r="B987" s="57" t="s">
        <v>2344</v>
      </c>
      <c r="C987" s="57">
        <v>1</v>
      </c>
      <c r="D987" s="57" t="s">
        <v>2341</v>
      </c>
      <c r="E987" s="57" t="s">
        <v>2563</v>
      </c>
      <c r="F987" s="57">
        <v>5220</v>
      </c>
      <c r="G987" s="57">
        <v>2985</v>
      </c>
      <c r="H987" s="57">
        <v>120</v>
      </c>
      <c r="I987" s="57" t="s">
        <v>2022</v>
      </c>
      <c r="J987" s="57" t="s">
        <v>2031</v>
      </c>
      <c r="L987" s="57" t="s">
        <v>378</v>
      </c>
      <c r="M987" s="156">
        <v>45964</v>
      </c>
      <c r="P987" s="57">
        <v>1.9870000000000001</v>
      </c>
      <c r="Q987" s="171">
        <v>4.9675000000000002</v>
      </c>
      <c r="R987" s="166">
        <f>IFERROR(VLOOKUP(B987,#REF!,1,0),0)</f>
        <v>0</v>
      </c>
    </row>
    <row r="988" spans="1:22" x14ac:dyDescent="0.25">
      <c r="A988" s="57">
        <v>987</v>
      </c>
      <c r="B988" s="57" t="s">
        <v>2345</v>
      </c>
      <c r="C988" s="57">
        <v>1</v>
      </c>
      <c r="D988" s="57" t="s">
        <v>2341</v>
      </c>
      <c r="E988" s="57" t="s">
        <v>2563</v>
      </c>
      <c r="F988" s="57">
        <v>5220</v>
      </c>
      <c r="G988" s="57">
        <v>2900</v>
      </c>
      <c r="H988" s="57">
        <v>120</v>
      </c>
      <c r="I988" s="57" t="s">
        <v>2022</v>
      </c>
      <c r="J988" s="57" t="s">
        <v>2031</v>
      </c>
      <c r="L988" s="57" t="s">
        <v>378</v>
      </c>
      <c r="M988" s="156">
        <v>45964</v>
      </c>
      <c r="P988" s="57">
        <v>1.921</v>
      </c>
      <c r="Q988" s="171">
        <v>4.8025000000000002</v>
      </c>
      <c r="R988" s="166">
        <f>IFERROR(VLOOKUP(B988,#REF!,1,0),0)</f>
        <v>0</v>
      </c>
    </row>
    <row r="989" spans="1:22" x14ac:dyDescent="0.25">
      <c r="A989" s="57">
        <v>988</v>
      </c>
      <c r="B989" s="57" t="s">
        <v>2346</v>
      </c>
      <c r="C989" s="57">
        <v>1</v>
      </c>
      <c r="D989" s="57" t="s">
        <v>2341</v>
      </c>
      <c r="E989" s="57" t="s">
        <v>2563</v>
      </c>
      <c r="F989" s="57">
        <v>5220</v>
      </c>
      <c r="G989" s="57">
        <v>2900</v>
      </c>
      <c r="H989" s="57">
        <v>120</v>
      </c>
      <c r="I989" s="57" t="s">
        <v>2022</v>
      </c>
      <c r="J989" s="57" t="s">
        <v>2031</v>
      </c>
      <c r="L989" s="57" t="s">
        <v>378</v>
      </c>
      <c r="M989" s="156">
        <v>45964</v>
      </c>
      <c r="P989" s="57">
        <v>1.921</v>
      </c>
      <c r="Q989" s="171">
        <v>4.8025000000000002</v>
      </c>
      <c r="R989" s="166">
        <f>IFERROR(VLOOKUP(B989,#REF!,1,0),0)</f>
        <v>0</v>
      </c>
    </row>
    <row r="990" spans="1:22" x14ac:dyDescent="0.25">
      <c r="A990" s="57">
        <v>989</v>
      </c>
      <c r="B990" s="57" t="s">
        <v>2347</v>
      </c>
      <c r="C990" s="57">
        <v>1</v>
      </c>
      <c r="D990" s="57" t="s">
        <v>2341</v>
      </c>
      <c r="E990" s="57" t="s">
        <v>2563</v>
      </c>
      <c r="F990" s="57">
        <v>4320</v>
      </c>
      <c r="G990" s="57">
        <v>2800</v>
      </c>
      <c r="H990" s="57">
        <v>120</v>
      </c>
      <c r="I990" s="57" t="s">
        <v>1161</v>
      </c>
      <c r="J990" s="57" t="s">
        <v>2034</v>
      </c>
      <c r="L990" s="57" t="s">
        <v>378</v>
      </c>
      <c r="M990" s="156">
        <v>45964</v>
      </c>
      <c r="P990" s="57">
        <v>1.413</v>
      </c>
      <c r="Q990" s="171">
        <v>3.5325000000000002</v>
      </c>
      <c r="R990" s="166">
        <f>IFERROR(VLOOKUP(B990,#REF!,1,0),0)</f>
        <v>0</v>
      </c>
    </row>
    <row r="991" spans="1:22" x14ac:dyDescent="0.25">
      <c r="A991" s="57">
        <v>990</v>
      </c>
      <c r="B991" s="57" t="s">
        <v>2348</v>
      </c>
      <c r="C991" s="57">
        <v>1</v>
      </c>
      <c r="D991" s="57" t="s">
        <v>2341</v>
      </c>
      <c r="E991" s="57" t="s">
        <v>2564</v>
      </c>
      <c r="F991" s="57">
        <v>4320</v>
      </c>
      <c r="G991" s="57">
        <v>2800</v>
      </c>
      <c r="H991" s="57">
        <v>120</v>
      </c>
      <c r="I991" s="57" t="s">
        <v>1161</v>
      </c>
      <c r="J991" s="57" t="s">
        <v>2034</v>
      </c>
      <c r="L991" s="57" t="s">
        <v>378</v>
      </c>
      <c r="M991" s="156">
        <v>45964</v>
      </c>
      <c r="P991" s="57">
        <v>1.413</v>
      </c>
      <c r="Q991" s="171">
        <v>3.5325000000000002</v>
      </c>
      <c r="R991" s="166">
        <f>IFERROR(VLOOKUP(B991,#REF!,1,0),0)</f>
        <v>0</v>
      </c>
    </row>
    <row r="992" spans="1:22" x14ac:dyDescent="0.25">
      <c r="A992" s="57">
        <v>991</v>
      </c>
      <c r="B992" s="57" t="s">
        <v>2349</v>
      </c>
      <c r="C992" s="57">
        <v>1</v>
      </c>
      <c r="D992" s="57" t="s">
        <v>2341</v>
      </c>
      <c r="E992" s="57" t="s">
        <v>2565</v>
      </c>
      <c r="F992" s="57">
        <v>4320</v>
      </c>
      <c r="G992" s="57">
        <v>2800</v>
      </c>
      <c r="H992" s="57">
        <v>120</v>
      </c>
      <c r="I992" s="57" t="s">
        <v>1161</v>
      </c>
      <c r="J992" s="57" t="s">
        <v>2034</v>
      </c>
      <c r="L992" s="57" t="s">
        <v>378</v>
      </c>
      <c r="M992" s="156">
        <v>45964</v>
      </c>
      <c r="P992" s="57">
        <v>1.413</v>
      </c>
      <c r="Q992" s="171">
        <v>3.5325000000000002</v>
      </c>
      <c r="R992" s="166">
        <f>IFERROR(VLOOKUP(B992,#REF!,1,0),0)</f>
        <v>0</v>
      </c>
    </row>
    <row r="993" spans="1:18" x14ac:dyDescent="0.25">
      <c r="A993" s="57">
        <v>992</v>
      </c>
      <c r="B993" s="57" t="s">
        <v>2350</v>
      </c>
      <c r="C993" s="57">
        <v>1</v>
      </c>
      <c r="D993" s="57" t="s">
        <v>2341</v>
      </c>
      <c r="E993" s="57" t="s">
        <v>2563</v>
      </c>
      <c r="F993" s="57">
        <v>4865</v>
      </c>
      <c r="G993" s="57">
        <v>3080</v>
      </c>
      <c r="H993" s="57">
        <v>120</v>
      </c>
      <c r="I993" s="57" t="s">
        <v>1212</v>
      </c>
      <c r="J993" s="57" t="s">
        <v>2020</v>
      </c>
      <c r="L993" s="57" t="s">
        <v>378</v>
      </c>
      <c r="M993" s="156">
        <v>45964</v>
      </c>
      <c r="P993" s="57">
        <v>1.385</v>
      </c>
      <c r="Q993" s="171">
        <v>3.4624999999999999</v>
      </c>
      <c r="R993" s="166">
        <f>IFERROR(VLOOKUP(B993,#REF!,1,0),0)</f>
        <v>0</v>
      </c>
    </row>
    <row r="994" spans="1:18" x14ac:dyDescent="0.25">
      <c r="A994" s="57">
        <v>993</v>
      </c>
      <c r="B994" s="57" t="s">
        <v>2351</v>
      </c>
      <c r="C994" s="57">
        <v>1</v>
      </c>
      <c r="D994" s="57" t="s">
        <v>2341</v>
      </c>
      <c r="E994" s="57" t="s">
        <v>2563</v>
      </c>
      <c r="F994" s="57">
        <v>4865</v>
      </c>
      <c r="G994" s="57">
        <v>1880</v>
      </c>
      <c r="H994" s="57">
        <v>120</v>
      </c>
      <c r="I994" s="57" t="s">
        <v>1212</v>
      </c>
      <c r="J994" s="57" t="s">
        <v>2020</v>
      </c>
      <c r="L994" s="57" t="s">
        <v>378</v>
      </c>
      <c r="M994" s="156">
        <v>45964</v>
      </c>
      <c r="P994" s="57">
        <v>1.137</v>
      </c>
      <c r="Q994" s="171">
        <v>2.8425000000000002</v>
      </c>
      <c r="R994" s="166">
        <f>IFERROR(VLOOKUP(B994,#REF!,1,0),0)</f>
        <v>0</v>
      </c>
    </row>
    <row r="995" spans="1:18" x14ac:dyDescent="0.25">
      <c r="A995" s="57">
        <v>994</v>
      </c>
      <c r="B995" s="57" t="s">
        <v>2352</v>
      </c>
      <c r="C995" s="57">
        <v>1</v>
      </c>
      <c r="D995" s="57" t="s">
        <v>2341</v>
      </c>
      <c r="E995" s="57" t="s">
        <v>2566</v>
      </c>
      <c r="F995" s="57">
        <v>2400</v>
      </c>
      <c r="G995" s="57">
        <v>3080</v>
      </c>
      <c r="H995" s="57">
        <v>120</v>
      </c>
      <c r="I995" s="57" t="s">
        <v>2022</v>
      </c>
      <c r="J995" s="57" t="s">
        <v>2046</v>
      </c>
      <c r="L995" s="57" t="s">
        <v>378</v>
      </c>
      <c r="M995" s="156">
        <v>45964</v>
      </c>
      <c r="P995" s="57">
        <v>0.95499999999999996</v>
      </c>
      <c r="Q995" s="171">
        <v>2.3874999999999997</v>
      </c>
      <c r="R995" s="166">
        <f>IFERROR(VLOOKUP(B995,#REF!,1,0),0)</f>
        <v>0</v>
      </c>
    </row>
    <row r="996" spans="1:18" x14ac:dyDescent="0.25">
      <c r="A996" s="57">
        <v>995</v>
      </c>
      <c r="B996" s="57" t="s">
        <v>2353</v>
      </c>
      <c r="C996" s="57">
        <v>1</v>
      </c>
      <c r="D996" s="57" t="s">
        <v>2341</v>
      </c>
      <c r="E996" s="57" t="s">
        <v>2566</v>
      </c>
      <c r="F996" s="57">
        <v>5220</v>
      </c>
      <c r="G996" s="57">
        <v>2990</v>
      </c>
      <c r="H996" s="57">
        <v>120</v>
      </c>
      <c r="I996" s="57" t="s">
        <v>2022</v>
      </c>
      <c r="J996" s="57" t="s">
        <v>2033</v>
      </c>
      <c r="L996" s="57" t="s">
        <v>378</v>
      </c>
      <c r="M996" s="156">
        <v>45964</v>
      </c>
      <c r="P996" s="57">
        <v>2.1280000000000001</v>
      </c>
      <c r="Q996" s="171">
        <v>5.32</v>
      </c>
      <c r="R996" s="166">
        <f>IFERROR(VLOOKUP(B996,#REF!,1,0),0)</f>
        <v>0</v>
      </c>
    </row>
    <row r="997" spans="1:18" x14ac:dyDescent="0.25">
      <c r="A997" s="57">
        <v>996</v>
      </c>
      <c r="B997" s="57" t="s">
        <v>2354</v>
      </c>
      <c r="C997" s="57">
        <v>1</v>
      </c>
      <c r="D997" s="57" t="s">
        <v>2341</v>
      </c>
      <c r="E997" s="57" t="s">
        <v>2564</v>
      </c>
      <c r="F997" s="57">
        <v>5220</v>
      </c>
      <c r="G997" s="57">
        <v>2990</v>
      </c>
      <c r="H997" s="57">
        <v>120</v>
      </c>
      <c r="I997" s="57" t="s">
        <v>2022</v>
      </c>
      <c r="J997" s="57" t="s">
        <v>2033</v>
      </c>
      <c r="L997" s="57" t="s">
        <v>378</v>
      </c>
      <c r="M997" s="156">
        <v>45964</v>
      </c>
      <c r="P997" s="57">
        <v>2.1280000000000001</v>
      </c>
      <c r="Q997" s="171">
        <v>5.32</v>
      </c>
      <c r="R997" s="166">
        <f>IFERROR(VLOOKUP(B997,#REF!,1,0),0)</f>
        <v>0</v>
      </c>
    </row>
    <row r="998" spans="1:18" x14ac:dyDescent="0.25">
      <c r="A998" s="57">
        <v>997</v>
      </c>
      <c r="B998" s="57" t="s">
        <v>2355</v>
      </c>
      <c r="C998" s="57">
        <v>1</v>
      </c>
      <c r="D998" s="57" t="s">
        <v>2341</v>
      </c>
      <c r="E998" s="57" t="s">
        <v>2566</v>
      </c>
      <c r="F998" s="57">
        <v>5220</v>
      </c>
      <c r="G998" s="57">
        <v>2990</v>
      </c>
      <c r="H998" s="57">
        <v>120</v>
      </c>
      <c r="I998" s="57" t="s">
        <v>2022</v>
      </c>
      <c r="J998" s="57" t="s">
        <v>2033</v>
      </c>
      <c r="L998" s="57" t="s">
        <v>378</v>
      </c>
      <c r="M998" s="156">
        <v>45964</v>
      </c>
      <c r="P998" s="57">
        <v>2.1280000000000001</v>
      </c>
      <c r="Q998" s="171">
        <v>5.32</v>
      </c>
      <c r="R998" s="166">
        <f>IFERROR(VLOOKUP(B998,#REF!,1,0),0)</f>
        <v>0</v>
      </c>
    </row>
    <row r="999" spans="1:18" x14ac:dyDescent="0.25">
      <c r="A999" s="57">
        <v>998</v>
      </c>
      <c r="B999" s="57" t="s">
        <v>2356</v>
      </c>
      <c r="C999" s="57">
        <v>1</v>
      </c>
      <c r="D999" s="57" t="s">
        <v>2341</v>
      </c>
      <c r="E999" s="57" t="s">
        <v>2566</v>
      </c>
      <c r="F999" s="57">
        <v>5220</v>
      </c>
      <c r="G999" s="57">
        <v>2990</v>
      </c>
      <c r="H999" s="57">
        <v>120</v>
      </c>
      <c r="I999" s="57" t="s">
        <v>2022</v>
      </c>
      <c r="J999" s="57" t="s">
        <v>2033</v>
      </c>
      <c r="L999" s="57" t="s">
        <v>378</v>
      </c>
      <c r="M999" s="156">
        <v>45964</v>
      </c>
      <c r="P999" s="57">
        <v>2.1280000000000001</v>
      </c>
      <c r="Q999" s="171">
        <v>5.32</v>
      </c>
      <c r="R999" s="166">
        <f>IFERROR(VLOOKUP(B999,#REF!,1,0),0)</f>
        <v>0</v>
      </c>
    </row>
    <row r="1000" spans="1:18" x14ac:dyDescent="0.25">
      <c r="A1000" s="57">
        <v>999</v>
      </c>
      <c r="B1000" s="57" t="s">
        <v>2357</v>
      </c>
      <c r="C1000" s="57">
        <v>1</v>
      </c>
      <c r="D1000" s="57" t="s">
        <v>2341</v>
      </c>
      <c r="E1000" s="57" t="s">
        <v>2566</v>
      </c>
      <c r="F1000" s="57">
        <v>5220</v>
      </c>
      <c r="G1000" s="57">
        <v>2990</v>
      </c>
      <c r="H1000" s="57">
        <v>120</v>
      </c>
      <c r="I1000" s="57" t="s">
        <v>2022</v>
      </c>
      <c r="J1000" s="57" t="s">
        <v>2033</v>
      </c>
      <c r="L1000" s="57" t="s">
        <v>378</v>
      </c>
      <c r="M1000" s="156">
        <v>45964</v>
      </c>
      <c r="P1000" s="57">
        <v>2.1280000000000001</v>
      </c>
      <c r="Q1000" s="171">
        <v>5.32</v>
      </c>
      <c r="R1000" s="166">
        <f>IFERROR(VLOOKUP(B1000,#REF!,1,0),0)</f>
        <v>0</v>
      </c>
    </row>
    <row r="1001" spans="1:18" x14ac:dyDescent="0.25">
      <c r="A1001" s="57">
        <v>1000</v>
      </c>
      <c r="B1001" s="57" t="s">
        <v>2358</v>
      </c>
      <c r="C1001" s="57">
        <v>1</v>
      </c>
      <c r="D1001" s="57" t="s">
        <v>2341</v>
      </c>
      <c r="E1001" s="57" t="s">
        <v>2566</v>
      </c>
      <c r="F1001" s="57">
        <v>5220</v>
      </c>
      <c r="G1001" s="57">
        <v>2990</v>
      </c>
      <c r="H1001" s="57">
        <v>120</v>
      </c>
      <c r="I1001" s="57" t="s">
        <v>2022</v>
      </c>
      <c r="J1001" s="57" t="s">
        <v>2033</v>
      </c>
      <c r="L1001" s="57" t="s">
        <v>378</v>
      </c>
      <c r="M1001" s="156">
        <v>45964</v>
      </c>
      <c r="P1001" s="57">
        <v>2.1280000000000001</v>
      </c>
      <c r="Q1001" s="171">
        <v>5.32</v>
      </c>
      <c r="R1001" s="166">
        <f>IFERROR(VLOOKUP(B1001,#REF!,1,0),0)</f>
        <v>0</v>
      </c>
    </row>
    <row r="1002" spans="1:18" x14ac:dyDescent="0.25">
      <c r="A1002" s="57">
        <v>1001</v>
      </c>
      <c r="B1002" s="57" t="s">
        <v>2359</v>
      </c>
      <c r="C1002" s="57">
        <v>1</v>
      </c>
      <c r="D1002" s="57" t="s">
        <v>2341</v>
      </c>
      <c r="E1002" s="57" t="s">
        <v>2564</v>
      </c>
      <c r="F1002" s="57">
        <v>5220</v>
      </c>
      <c r="G1002" s="57">
        <v>2990</v>
      </c>
      <c r="H1002" s="57">
        <v>120</v>
      </c>
      <c r="I1002" s="57" t="s">
        <v>2022</v>
      </c>
      <c r="J1002" s="57" t="s">
        <v>2033</v>
      </c>
      <c r="L1002" s="57" t="s">
        <v>378</v>
      </c>
      <c r="M1002" s="156">
        <v>45964</v>
      </c>
      <c r="P1002" s="57">
        <v>2.1280000000000001</v>
      </c>
      <c r="Q1002" s="171">
        <v>5.32</v>
      </c>
      <c r="R1002" s="166">
        <f>IFERROR(VLOOKUP(B1002,#REF!,1,0),0)</f>
        <v>0</v>
      </c>
    </row>
    <row r="1003" spans="1:18" x14ac:dyDescent="0.25">
      <c r="A1003" s="57">
        <v>1002</v>
      </c>
      <c r="B1003" s="57" t="s">
        <v>2360</v>
      </c>
      <c r="C1003" s="57">
        <v>1</v>
      </c>
      <c r="D1003" s="57" t="s">
        <v>2341</v>
      </c>
      <c r="E1003" s="57" t="s">
        <v>2564</v>
      </c>
      <c r="F1003" s="57">
        <v>5220</v>
      </c>
      <c r="G1003" s="57">
        <v>2990</v>
      </c>
      <c r="H1003" s="57">
        <v>120</v>
      </c>
      <c r="I1003" s="57" t="s">
        <v>2022</v>
      </c>
      <c r="J1003" s="57" t="s">
        <v>2033</v>
      </c>
      <c r="L1003" s="57" t="s">
        <v>378</v>
      </c>
      <c r="M1003" s="156">
        <v>45964</v>
      </c>
      <c r="P1003" s="57">
        <v>2.1280000000000001</v>
      </c>
      <c r="Q1003" s="171">
        <v>5.32</v>
      </c>
      <c r="R1003" s="166">
        <f>IFERROR(VLOOKUP(B1003,#REF!,1,0),0)</f>
        <v>0</v>
      </c>
    </row>
    <row r="1004" spans="1:18" x14ac:dyDescent="0.25">
      <c r="A1004" s="57">
        <v>1003</v>
      </c>
      <c r="B1004" s="57" t="s">
        <v>2361</v>
      </c>
      <c r="C1004" s="57">
        <v>1</v>
      </c>
      <c r="D1004" s="57" t="s">
        <v>2341</v>
      </c>
      <c r="E1004" s="57" t="s">
        <v>2564</v>
      </c>
      <c r="F1004" s="57">
        <v>5220</v>
      </c>
      <c r="G1004" s="57">
        <v>2990</v>
      </c>
      <c r="H1004" s="57">
        <v>120</v>
      </c>
      <c r="I1004" s="57" t="s">
        <v>2022</v>
      </c>
      <c r="J1004" s="57" t="s">
        <v>2033</v>
      </c>
      <c r="L1004" s="57" t="s">
        <v>378</v>
      </c>
      <c r="M1004" s="156">
        <v>45964</v>
      </c>
      <c r="P1004" s="57">
        <v>2.1280000000000001</v>
      </c>
      <c r="Q1004" s="171">
        <v>5.32</v>
      </c>
      <c r="R1004" s="166">
        <f>IFERROR(VLOOKUP(B1004,#REF!,1,0),0)</f>
        <v>0</v>
      </c>
    </row>
    <row r="1005" spans="1:18" x14ac:dyDescent="0.25">
      <c r="A1005" s="57">
        <v>1004</v>
      </c>
      <c r="B1005" s="57" t="s">
        <v>2362</v>
      </c>
      <c r="C1005" s="57">
        <v>1</v>
      </c>
      <c r="D1005" s="57" t="s">
        <v>2341</v>
      </c>
      <c r="E1005" s="57" t="s">
        <v>2564</v>
      </c>
      <c r="F1005" s="57">
        <v>5220</v>
      </c>
      <c r="G1005" s="57">
        <v>2990</v>
      </c>
      <c r="H1005" s="57">
        <v>120</v>
      </c>
      <c r="I1005" s="57" t="s">
        <v>2022</v>
      </c>
      <c r="J1005" s="57" t="s">
        <v>2033</v>
      </c>
      <c r="L1005" s="57" t="s">
        <v>378</v>
      </c>
      <c r="M1005" s="156">
        <v>45964</v>
      </c>
      <c r="P1005" s="57">
        <v>2.1280000000000001</v>
      </c>
      <c r="Q1005" s="171">
        <v>5.32</v>
      </c>
      <c r="R1005" s="166">
        <f>IFERROR(VLOOKUP(B1005,#REF!,1,0),0)</f>
        <v>0</v>
      </c>
    </row>
    <row r="1006" spans="1:18" x14ac:dyDescent="0.25">
      <c r="A1006" s="57">
        <v>1005</v>
      </c>
      <c r="B1006" s="57" t="s">
        <v>2363</v>
      </c>
      <c r="C1006" s="57">
        <v>1</v>
      </c>
      <c r="D1006" s="57" t="s">
        <v>2341</v>
      </c>
      <c r="E1006" s="57" t="s">
        <v>2566</v>
      </c>
      <c r="F1006" s="57">
        <v>5220</v>
      </c>
      <c r="G1006" s="57">
        <v>2990</v>
      </c>
      <c r="H1006" s="57">
        <v>120</v>
      </c>
      <c r="I1006" s="57" t="s">
        <v>2022</v>
      </c>
      <c r="J1006" s="57" t="s">
        <v>2033</v>
      </c>
      <c r="L1006" s="57" t="s">
        <v>378</v>
      </c>
      <c r="M1006" s="156">
        <v>45964</v>
      </c>
      <c r="P1006" s="57">
        <v>2.1280000000000001</v>
      </c>
      <c r="Q1006" s="171">
        <v>5.32</v>
      </c>
      <c r="R1006" s="166">
        <f>IFERROR(VLOOKUP(B1006,#REF!,1,0),0)</f>
        <v>0</v>
      </c>
    </row>
    <row r="1007" spans="1:18" x14ac:dyDescent="0.25">
      <c r="A1007" s="57">
        <v>1006</v>
      </c>
      <c r="B1007" s="57" t="s">
        <v>2364</v>
      </c>
      <c r="C1007" s="57">
        <v>1</v>
      </c>
      <c r="D1007" s="57" t="s">
        <v>2341</v>
      </c>
      <c r="E1007" s="57" t="s">
        <v>2564</v>
      </c>
      <c r="F1007" s="57">
        <v>5220</v>
      </c>
      <c r="G1007" s="57">
        <v>2990</v>
      </c>
      <c r="H1007" s="57">
        <v>120</v>
      </c>
      <c r="I1007" s="57" t="s">
        <v>2022</v>
      </c>
      <c r="J1007" s="57" t="s">
        <v>2033</v>
      </c>
      <c r="L1007" s="57" t="s">
        <v>378</v>
      </c>
      <c r="M1007" s="156">
        <v>45964</v>
      </c>
      <c r="P1007" s="57">
        <v>2.1280000000000001</v>
      </c>
      <c r="Q1007" s="171">
        <v>5.32</v>
      </c>
      <c r="R1007" s="166">
        <f>IFERROR(VLOOKUP(B1007,#REF!,1,0),0)</f>
        <v>0</v>
      </c>
    </row>
    <row r="1008" spans="1:18" x14ac:dyDescent="0.25">
      <c r="A1008" s="57">
        <v>1007</v>
      </c>
      <c r="B1008" s="57" t="s">
        <v>2365</v>
      </c>
      <c r="C1008" s="57">
        <v>1</v>
      </c>
      <c r="D1008" s="57" t="s">
        <v>2341</v>
      </c>
      <c r="E1008" s="57" t="s">
        <v>2566</v>
      </c>
      <c r="F1008" s="57">
        <v>4862</v>
      </c>
      <c r="G1008" s="57">
        <v>1975</v>
      </c>
      <c r="H1008" s="57">
        <v>120</v>
      </c>
      <c r="I1008" s="57" t="s">
        <v>1212</v>
      </c>
      <c r="J1008" s="57" t="s">
        <v>2020</v>
      </c>
      <c r="L1008" s="57" t="s">
        <v>378</v>
      </c>
      <c r="M1008" s="156">
        <v>45964</v>
      </c>
      <c r="P1008" s="57">
        <v>1.1859999999999999</v>
      </c>
      <c r="Q1008" s="171">
        <v>2.9649999999999999</v>
      </c>
      <c r="R1008" s="166">
        <f>IFERROR(VLOOKUP(B1008,#REF!,1,0),0)</f>
        <v>0</v>
      </c>
    </row>
    <row r="1009" spans="1:18" x14ac:dyDescent="0.25">
      <c r="A1009" s="57">
        <v>1008</v>
      </c>
      <c r="B1009" s="57" t="s">
        <v>2366</v>
      </c>
      <c r="C1009" s="57">
        <v>1</v>
      </c>
      <c r="D1009" s="57" t="s">
        <v>2341</v>
      </c>
      <c r="E1009" s="57" t="s">
        <v>2566</v>
      </c>
      <c r="F1009" s="57">
        <v>4862</v>
      </c>
      <c r="G1009" s="57">
        <v>3175</v>
      </c>
      <c r="H1009" s="57">
        <v>120</v>
      </c>
      <c r="I1009" s="57" t="s">
        <v>1212</v>
      </c>
      <c r="J1009" s="57" t="s">
        <v>2021</v>
      </c>
      <c r="L1009" s="57" t="s">
        <v>378</v>
      </c>
      <c r="M1009" s="156">
        <v>45964</v>
      </c>
      <c r="P1009" s="57">
        <v>1.4650000000000001</v>
      </c>
      <c r="Q1009" s="171">
        <v>3.6625000000000001</v>
      </c>
      <c r="R1009" s="166">
        <f>IFERROR(VLOOKUP(B1009,#REF!,1,0),0)</f>
        <v>0</v>
      </c>
    </row>
    <row r="1010" spans="1:18" x14ac:dyDescent="0.25">
      <c r="A1010" s="57">
        <v>1009</v>
      </c>
      <c r="B1010" s="57" t="s">
        <v>2367</v>
      </c>
      <c r="C1010" s="57">
        <v>1</v>
      </c>
      <c r="D1010" s="57" t="s">
        <v>2341</v>
      </c>
      <c r="E1010" s="57" t="s">
        <v>2564</v>
      </c>
      <c r="F1010" s="57">
        <v>4862</v>
      </c>
      <c r="G1010" s="57">
        <v>3270</v>
      </c>
      <c r="H1010" s="57">
        <v>120</v>
      </c>
      <c r="I1010" s="57" t="s">
        <v>1212</v>
      </c>
      <c r="J1010" s="57" t="s">
        <v>2020</v>
      </c>
      <c r="L1010" s="57" t="s">
        <v>378</v>
      </c>
      <c r="M1010" s="156">
        <v>45964</v>
      </c>
      <c r="P1010" s="57">
        <v>1.4119999999999999</v>
      </c>
      <c r="Q1010" s="171">
        <v>3.53</v>
      </c>
      <c r="R1010" s="166">
        <f>IFERROR(VLOOKUP(B1010,#REF!,1,0),0)</f>
        <v>0</v>
      </c>
    </row>
    <row r="1011" spans="1:18" x14ac:dyDescent="0.25">
      <c r="A1011" s="57">
        <v>1010</v>
      </c>
      <c r="B1011" s="57" t="s">
        <v>2368</v>
      </c>
      <c r="C1011" s="57">
        <v>1</v>
      </c>
      <c r="D1011" s="57" t="s">
        <v>2341</v>
      </c>
      <c r="E1011" s="57" t="s">
        <v>2564</v>
      </c>
      <c r="F1011" s="57">
        <v>4863</v>
      </c>
      <c r="G1011" s="57">
        <v>1880</v>
      </c>
      <c r="H1011" s="57">
        <v>120</v>
      </c>
      <c r="I1011" s="57" t="s">
        <v>1212</v>
      </c>
      <c r="J1011" s="57" t="s">
        <v>2020</v>
      </c>
      <c r="L1011" s="57" t="s">
        <v>378</v>
      </c>
      <c r="M1011" s="156">
        <v>45964</v>
      </c>
      <c r="P1011" s="57">
        <v>1.1379999999999999</v>
      </c>
      <c r="Q1011" s="171">
        <v>2.8449999999999998</v>
      </c>
      <c r="R1011" s="166">
        <f>IFERROR(VLOOKUP(B1011,#REF!,1,0),0)</f>
        <v>0</v>
      </c>
    </row>
    <row r="1012" spans="1:18" x14ac:dyDescent="0.25">
      <c r="A1012" s="57">
        <v>1011</v>
      </c>
      <c r="B1012" s="57" t="s">
        <v>2369</v>
      </c>
      <c r="C1012" s="57">
        <v>1</v>
      </c>
      <c r="D1012" s="57" t="s">
        <v>2341</v>
      </c>
      <c r="E1012" s="57" t="s">
        <v>2567</v>
      </c>
      <c r="F1012" s="57">
        <v>2400</v>
      </c>
      <c r="G1012" s="57">
        <v>3080</v>
      </c>
      <c r="H1012" s="57">
        <v>120</v>
      </c>
      <c r="I1012" s="57" t="s">
        <v>2022</v>
      </c>
      <c r="J1012" s="57" t="s">
        <v>2046</v>
      </c>
      <c r="L1012" s="57" t="s">
        <v>378</v>
      </c>
      <c r="M1012" s="156">
        <v>45964</v>
      </c>
      <c r="P1012" s="57">
        <v>0.95499999999999996</v>
      </c>
      <c r="Q1012" s="171">
        <v>2.3874999999999997</v>
      </c>
      <c r="R1012" s="166">
        <f>IFERROR(VLOOKUP(B1012,#REF!,1,0),0)</f>
        <v>0</v>
      </c>
    </row>
    <row r="1013" spans="1:18" x14ac:dyDescent="0.25">
      <c r="A1013" s="57">
        <v>1012</v>
      </c>
      <c r="B1013" s="57" t="s">
        <v>2370</v>
      </c>
      <c r="C1013" s="57">
        <v>1</v>
      </c>
      <c r="D1013" s="57" t="s">
        <v>2341</v>
      </c>
      <c r="E1013" s="57" t="s">
        <v>2567</v>
      </c>
      <c r="F1013" s="57">
        <v>5220</v>
      </c>
      <c r="G1013" s="57">
        <v>3080</v>
      </c>
      <c r="H1013" s="57">
        <v>120</v>
      </c>
      <c r="I1013" s="57" t="s">
        <v>2022</v>
      </c>
      <c r="J1013" s="57" t="s">
        <v>2033</v>
      </c>
      <c r="L1013" s="57" t="s">
        <v>378</v>
      </c>
      <c r="M1013" s="156">
        <v>45964</v>
      </c>
      <c r="P1013" s="57">
        <v>2.1850000000000001</v>
      </c>
      <c r="Q1013" s="171">
        <v>5.4625000000000004</v>
      </c>
      <c r="R1013" s="166">
        <f>IFERROR(VLOOKUP(B1013,#REF!,1,0),0)</f>
        <v>0</v>
      </c>
    </row>
    <row r="1014" spans="1:18" x14ac:dyDescent="0.25">
      <c r="A1014" s="57">
        <v>1013</v>
      </c>
      <c r="B1014" s="57" t="s">
        <v>2371</v>
      </c>
      <c r="C1014" s="57">
        <v>1</v>
      </c>
      <c r="D1014" s="57" t="s">
        <v>2341</v>
      </c>
      <c r="E1014" s="57" t="s">
        <v>2565</v>
      </c>
      <c r="F1014" s="57">
        <v>5220</v>
      </c>
      <c r="G1014" s="57">
        <v>3080</v>
      </c>
      <c r="H1014" s="57">
        <v>120</v>
      </c>
      <c r="I1014" s="57" t="s">
        <v>2022</v>
      </c>
      <c r="J1014" s="57" t="s">
        <v>2033</v>
      </c>
      <c r="L1014" s="57" t="s">
        <v>378</v>
      </c>
      <c r="M1014" s="156">
        <v>45964</v>
      </c>
      <c r="P1014" s="57">
        <v>2.1850000000000001</v>
      </c>
      <c r="Q1014" s="171">
        <v>5.4625000000000004</v>
      </c>
      <c r="R1014" s="166">
        <f>IFERROR(VLOOKUP(B1014,#REF!,1,0),0)</f>
        <v>0</v>
      </c>
    </row>
    <row r="1015" spans="1:18" x14ac:dyDescent="0.25">
      <c r="A1015" s="57">
        <v>1014</v>
      </c>
      <c r="B1015" s="57" t="s">
        <v>2372</v>
      </c>
      <c r="C1015" s="57">
        <v>1</v>
      </c>
      <c r="D1015" s="57" t="s">
        <v>2341</v>
      </c>
      <c r="E1015" s="57" t="s">
        <v>2567</v>
      </c>
      <c r="F1015" s="57">
        <v>5220</v>
      </c>
      <c r="G1015" s="57">
        <v>3080</v>
      </c>
      <c r="H1015" s="57">
        <v>120</v>
      </c>
      <c r="I1015" s="57" t="s">
        <v>2022</v>
      </c>
      <c r="J1015" s="57" t="s">
        <v>2033</v>
      </c>
      <c r="L1015" s="57" t="s">
        <v>378</v>
      </c>
      <c r="M1015" s="156">
        <v>45964</v>
      </c>
      <c r="P1015" s="57">
        <v>2.1850000000000001</v>
      </c>
      <c r="Q1015" s="171">
        <v>5.4625000000000004</v>
      </c>
      <c r="R1015" s="166">
        <f>IFERROR(VLOOKUP(B1015,#REF!,1,0),0)</f>
        <v>0</v>
      </c>
    </row>
    <row r="1016" spans="1:18" x14ac:dyDescent="0.25">
      <c r="A1016" s="57">
        <v>1015</v>
      </c>
      <c r="B1016" s="57" t="s">
        <v>2373</v>
      </c>
      <c r="C1016" s="57">
        <v>1</v>
      </c>
      <c r="D1016" s="57" t="s">
        <v>2341</v>
      </c>
      <c r="E1016" s="57" t="s">
        <v>2567</v>
      </c>
      <c r="F1016" s="57">
        <v>5220</v>
      </c>
      <c r="G1016" s="57">
        <v>3080</v>
      </c>
      <c r="H1016" s="57">
        <v>120</v>
      </c>
      <c r="I1016" s="57" t="s">
        <v>2022</v>
      </c>
      <c r="J1016" s="57" t="s">
        <v>2033</v>
      </c>
      <c r="L1016" s="57" t="s">
        <v>378</v>
      </c>
      <c r="M1016" s="156">
        <v>45964</v>
      </c>
      <c r="P1016" s="57">
        <v>2.1850000000000001</v>
      </c>
      <c r="Q1016" s="171">
        <v>5.4625000000000004</v>
      </c>
      <c r="R1016" s="166">
        <f>IFERROR(VLOOKUP(B1016,#REF!,1,0),0)</f>
        <v>0</v>
      </c>
    </row>
    <row r="1017" spans="1:18" x14ac:dyDescent="0.25">
      <c r="A1017" s="57">
        <v>1016</v>
      </c>
      <c r="B1017" s="57" t="s">
        <v>2374</v>
      </c>
      <c r="C1017" s="57">
        <v>1</v>
      </c>
      <c r="D1017" s="57" t="s">
        <v>2341</v>
      </c>
      <c r="E1017" s="57" t="s">
        <v>2567</v>
      </c>
      <c r="F1017" s="57">
        <v>5220</v>
      </c>
      <c r="G1017" s="57">
        <v>3080</v>
      </c>
      <c r="H1017" s="57">
        <v>120</v>
      </c>
      <c r="I1017" s="57" t="s">
        <v>2022</v>
      </c>
      <c r="J1017" s="57" t="s">
        <v>2033</v>
      </c>
      <c r="L1017" s="57" t="s">
        <v>378</v>
      </c>
      <c r="M1017" s="156">
        <v>45964</v>
      </c>
      <c r="P1017" s="57">
        <v>2.1850000000000001</v>
      </c>
      <c r="Q1017" s="171">
        <v>5.4625000000000004</v>
      </c>
      <c r="R1017" s="166">
        <f>IFERROR(VLOOKUP(B1017,#REF!,1,0),0)</f>
        <v>0</v>
      </c>
    </row>
    <row r="1018" spans="1:18" x14ac:dyDescent="0.25">
      <c r="A1018" s="57">
        <v>1017</v>
      </c>
      <c r="B1018" s="57" t="s">
        <v>2375</v>
      </c>
      <c r="C1018" s="57">
        <v>1</v>
      </c>
      <c r="D1018" s="57" t="s">
        <v>2341</v>
      </c>
      <c r="E1018" s="57" t="s">
        <v>2567</v>
      </c>
      <c r="F1018" s="57">
        <v>5220</v>
      </c>
      <c r="G1018" s="57">
        <v>3080</v>
      </c>
      <c r="H1018" s="57">
        <v>120</v>
      </c>
      <c r="I1018" s="57" t="s">
        <v>2022</v>
      </c>
      <c r="J1018" s="57" t="s">
        <v>2033</v>
      </c>
      <c r="L1018" s="57" t="s">
        <v>378</v>
      </c>
      <c r="M1018" s="156">
        <v>45964</v>
      </c>
      <c r="P1018" s="57">
        <v>2.1850000000000001</v>
      </c>
      <c r="Q1018" s="171">
        <v>5.4625000000000004</v>
      </c>
      <c r="R1018" s="166">
        <f>IFERROR(VLOOKUP(B1018,#REF!,1,0),0)</f>
        <v>0</v>
      </c>
    </row>
    <row r="1019" spans="1:18" x14ac:dyDescent="0.25">
      <c r="A1019" s="57">
        <v>1018</v>
      </c>
      <c r="B1019" s="57" t="s">
        <v>2376</v>
      </c>
      <c r="C1019" s="57">
        <v>1</v>
      </c>
      <c r="D1019" s="57" t="s">
        <v>2341</v>
      </c>
      <c r="E1019" s="57" t="s">
        <v>2565</v>
      </c>
      <c r="F1019" s="57">
        <v>5220</v>
      </c>
      <c r="G1019" s="57">
        <v>3080</v>
      </c>
      <c r="H1019" s="57">
        <v>120</v>
      </c>
      <c r="I1019" s="57" t="s">
        <v>2022</v>
      </c>
      <c r="J1019" s="57" t="s">
        <v>2033</v>
      </c>
      <c r="L1019" s="57" t="s">
        <v>378</v>
      </c>
      <c r="M1019" s="156">
        <v>45964</v>
      </c>
      <c r="P1019" s="57">
        <v>2.1850000000000001</v>
      </c>
      <c r="Q1019" s="171">
        <v>5.4625000000000004</v>
      </c>
      <c r="R1019" s="166">
        <f>IFERROR(VLOOKUP(B1019,#REF!,1,0),0)</f>
        <v>0</v>
      </c>
    </row>
    <row r="1020" spans="1:18" x14ac:dyDescent="0.25">
      <c r="A1020" s="57">
        <v>1019</v>
      </c>
      <c r="B1020" s="57" t="s">
        <v>2377</v>
      </c>
      <c r="C1020" s="57">
        <v>1</v>
      </c>
      <c r="D1020" s="57" t="s">
        <v>2341</v>
      </c>
      <c r="E1020" s="57" t="s">
        <v>2565</v>
      </c>
      <c r="F1020" s="57">
        <v>5220</v>
      </c>
      <c r="G1020" s="57">
        <v>3080</v>
      </c>
      <c r="H1020" s="57">
        <v>120</v>
      </c>
      <c r="I1020" s="57" t="s">
        <v>2022</v>
      </c>
      <c r="J1020" s="57" t="s">
        <v>2033</v>
      </c>
      <c r="L1020" s="57" t="s">
        <v>378</v>
      </c>
      <c r="M1020" s="156">
        <v>45964</v>
      </c>
      <c r="P1020" s="57">
        <v>2.1850000000000001</v>
      </c>
      <c r="Q1020" s="171">
        <v>5.4625000000000004</v>
      </c>
      <c r="R1020" s="166">
        <f>IFERROR(VLOOKUP(B1020,#REF!,1,0),0)</f>
        <v>0</v>
      </c>
    </row>
    <row r="1021" spans="1:18" x14ac:dyDescent="0.25">
      <c r="A1021" s="57">
        <v>1020</v>
      </c>
      <c r="B1021" s="57" t="s">
        <v>2378</v>
      </c>
      <c r="C1021" s="57">
        <v>1</v>
      </c>
      <c r="D1021" s="57" t="s">
        <v>2341</v>
      </c>
      <c r="E1021" s="57" t="s">
        <v>2565</v>
      </c>
      <c r="F1021" s="57">
        <v>5220</v>
      </c>
      <c r="G1021" s="57">
        <v>3080</v>
      </c>
      <c r="H1021" s="57">
        <v>120</v>
      </c>
      <c r="I1021" s="57" t="s">
        <v>2022</v>
      </c>
      <c r="J1021" s="57" t="s">
        <v>2033</v>
      </c>
      <c r="L1021" s="57" t="s">
        <v>378</v>
      </c>
      <c r="M1021" s="156">
        <v>45964</v>
      </c>
      <c r="P1021" s="57">
        <v>2.1850000000000001</v>
      </c>
      <c r="Q1021" s="171">
        <v>5.4625000000000004</v>
      </c>
      <c r="R1021" s="166">
        <f>IFERROR(VLOOKUP(B1021,#REF!,1,0),0)</f>
        <v>0</v>
      </c>
    </row>
    <row r="1022" spans="1:18" x14ac:dyDescent="0.25">
      <c r="A1022" s="57">
        <v>1021</v>
      </c>
      <c r="B1022" s="57" t="s">
        <v>2379</v>
      </c>
      <c r="C1022" s="57">
        <v>1</v>
      </c>
      <c r="D1022" s="57" t="s">
        <v>2341</v>
      </c>
      <c r="E1022" s="57" t="s">
        <v>2565</v>
      </c>
      <c r="F1022" s="57">
        <v>5220</v>
      </c>
      <c r="G1022" s="57">
        <v>3080</v>
      </c>
      <c r="H1022" s="57">
        <v>120</v>
      </c>
      <c r="I1022" s="57" t="s">
        <v>2022</v>
      </c>
      <c r="J1022" s="57" t="s">
        <v>2033</v>
      </c>
      <c r="L1022" s="57" t="s">
        <v>378</v>
      </c>
      <c r="M1022" s="156">
        <v>45964</v>
      </c>
      <c r="P1022" s="57">
        <v>2.1850000000000001</v>
      </c>
      <c r="Q1022" s="171">
        <v>5.4625000000000004</v>
      </c>
      <c r="R1022" s="166">
        <f>IFERROR(VLOOKUP(B1022,#REF!,1,0),0)</f>
        <v>0</v>
      </c>
    </row>
    <row r="1023" spans="1:18" x14ac:dyDescent="0.25">
      <c r="A1023" s="57">
        <v>1022</v>
      </c>
      <c r="B1023" s="57" t="s">
        <v>2380</v>
      </c>
      <c r="C1023" s="57">
        <v>1</v>
      </c>
      <c r="D1023" s="57" t="s">
        <v>2341</v>
      </c>
      <c r="E1023" s="57" t="s">
        <v>2567</v>
      </c>
      <c r="F1023" s="57">
        <v>5220</v>
      </c>
      <c r="G1023" s="57">
        <v>3080</v>
      </c>
      <c r="H1023" s="57">
        <v>120</v>
      </c>
      <c r="I1023" s="57" t="s">
        <v>2022</v>
      </c>
      <c r="J1023" s="57" t="s">
        <v>2033</v>
      </c>
      <c r="L1023" s="57" t="s">
        <v>378</v>
      </c>
      <c r="M1023" s="156">
        <v>45964</v>
      </c>
      <c r="P1023" s="57">
        <v>2.1850000000000001</v>
      </c>
      <c r="Q1023" s="171">
        <v>5.4625000000000004</v>
      </c>
      <c r="R1023" s="166">
        <f>IFERROR(VLOOKUP(B1023,#REF!,1,0),0)</f>
        <v>0</v>
      </c>
    </row>
    <row r="1024" spans="1:18" x14ac:dyDescent="0.25">
      <c r="A1024" s="57">
        <v>1023</v>
      </c>
      <c r="B1024" s="57" t="s">
        <v>2381</v>
      </c>
      <c r="C1024" s="57">
        <v>1</v>
      </c>
      <c r="D1024" s="57" t="s">
        <v>2341</v>
      </c>
      <c r="E1024" s="57" t="s">
        <v>2565</v>
      </c>
      <c r="F1024" s="57">
        <v>5220</v>
      </c>
      <c r="G1024" s="57">
        <v>3080</v>
      </c>
      <c r="H1024" s="57">
        <v>120</v>
      </c>
      <c r="I1024" s="57" t="s">
        <v>2022</v>
      </c>
      <c r="J1024" s="57" t="s">
        <v>2033</v>
      </c>
      <c r="L1024" s="57" t="s">
        <v>378</v>
      </c>
      <c r="M1024" s="156">
        <v>45964</v>
      </c>
      <c r="P1024" s="57">
        <v>2.1850000000000001</v>
      </c>
      <c r="Q1024" s="171">
        <v>5.4625000000000004</v>
      </c>
      <c r="R1024" s="166">
        <f>IFERROR(VLOOKUP(B1024,#REF!,1,0),0)</f>
        <v>0</v>
      </c>
    </row>
    <row r="1025" spans="1:18" x14ac:dyDescent="0.25">
      <c r="A1025" s="57">
        <v>1024</v>
      </c>
      <c r="B1025" s="57" t="s">
        <v>2382</v>
      </c>
      <c r="C1025" s="57">
        <v>1</v>
      </c>
      <c r="D1025" s="57" t="s">
        <v>2341</v>
      </c>
      <c r="E1025" s="57" t="s">
        <v>2567</v>
      </c>
      <c r="F1025" s="57">
        <v>4862</v>
      </c>
      <c r="G1025" s="57">
        <v>2040</v>
      </c>
      <c r="H1025" s="57">
        <v>120</v>
      </c>
      <c r="I1025" s="57" t="s">
        <v>1212</v>
      </c>
      <c r="J1025" s="57" t="s">
        <v>2021</v>
      </c>
      <c r="L1025" s="57" t="s">
        <v>378</v>
      </c>
      <c r="M1025" s="156">
        <v>45964</v>
      </c>
      <c r="P1025" s="57">
        <v>1.2490000000000001</v>
      </c>
      <c r="Q1025" s="171">
        <v>3.1225000000000005</v>
      </c>
      <c r="R1025" s="166">
        <f>IFERROR(VLOOKUP(B1025,#REF!,1,0),0)</f>
        <v>0</v>
      </c>
    </row>
    <row r="1026" spans="1:18" x14ac:dyDescent="0.25">
      <c r="A1026" s="57">
        <v>1025</v>
      </c>
      <c r="B1026" s="57" t="s">
        <v>2383</v>
      </c>
      <c r="C1026" s="57">
        <v>1</v>
      </c>
      <c r="D1026" s="57" t="s">
        <v>2341</v>
      </c>
      <c r="E1026" s="57" t="s">
        <v>2567</v>
      </c>
      <c r="F1026" s="57">
        <v>4862</v>
      </c>
      <c r="G1026" s="57">
        <v>3370</v>
      </c>
      <c r="H1026" s="57">
        <v>120</v>
      </c>
      <c r="I1026" s="57" t="s">
        <v>1212</v>
      </c>
      <c r="J1026" s="57" t="s">
        <v>2021</v>
      </c>
      <c r="L1026" s="57" t="s">
        <v>378</v>
      </c>
      <c r="M1026" s="156">
        <v>45964</v>
      </c>
      <c r="P1026" s="57">
        <v>1.579</v>
      </c>
      <c r="Q1026" s="171">
        <v>3.9474999999999998</v>
      </c>
      <c r="R1026" s="166">
        <f>IFERROR(VLOOKUP(B1026,#REF!,1,0),0)</f>
        <v>0</v>
      </c>
    </row>
    <row r="1027" spans="1:18" x14ac:dyDescent="0.25">
      <c r="A1027" s="57">
        <v>1026</v>
      </c>
      <c r="B1027" s="57" t="s">
        <v>2384</v>
      </c>
      <c r="C1027" s="57">
        <v>1</v>
      </c>
      <c r="D1027" s="57" t="s">
        <v>2341</v>
      </c>
      <c r="E1027" s="57" t="s">
        <v>2565</v>
      </c>
      <c r="F1027" s="57">
        <v>4862</v>
      </c>
      <c r="G1027" s="57">
        <v>3500</v>
      </c>
      <c r="H1027" s="57">
        <v>120</v>
      </c>
      <c r="I1027" s="57" t="s">
        <v>1212</v>
      </c>
      <c r="J1027" s="57" t="s">
        <v>2021</v>
      </c>
      <c r="L1027" s="57" t="s">
        <v>378</v>
      </c>
      <c r="M1027" s="156">
        <v>45964</v>
      </c>
      <c r="P1027" s="57">
        <v>1.5309999999999999</v>
      </c>
      <c r="Q1027" s="171">
        <v>3.8274999999999997</v>
      </c>
      <c r="R1027" s="166">
        <f>IFERROR(VLOOKUP(B1027,#REF!,1,0),0)</f>
        <v>0</v>
      </c>
    </row>
    <row r="1028" spans="1:18" x14ac:dyDescent="0.25">
      <c r="A1028" s="57">
        <v>1027</v>
      </c>
      <c r="B1028" s="57" t="s">
        <v>2385</v>
      </c>
      <c r="C1028" s="57">
        <v>1</v>
      </c>
      <c r="D1028" s="57" t="s">
        <v>2341</v>
      </c>
      <c r="E1028" s="57" t="s">
        <v>2565</v>
      </c>
      <c r="F1028" s="57">
        <v>4862</v>
      </c>
      <c r="G1028" s="57">
        <v>2180</v>
      </c>
      <c r="H1028" s="57">
        <v>120</v>
      </c>
      <c r="I1028" s="57" t="s">
        <v>1212</v>
      </c>
      <c r="J1028" s="57" t="s">
        <v>2021</v>
      </c>
      <c r="L1028" s="57" t="s">
        <v>378</v>
      </c>
      <c r="M1028" s="156">
        <v>45964</v>
      </c>
      <c r="P1028" s="57">
        <v>1.3049999999999999</v>
      </c>
      <c r="Q1028" s="171">
        <v>3.2624999999999997</v>
      </c>
      <c r="R1028" s="166">
        <f>IFERROR(VLOOKUP(B1028,#REF!,1,0),0)</f>
        <v>0</v>
      </c>
    </row>
    <row r="1029" spans="1:18" x14ac:dyDescent="0.25">
      <c r="A1029" s="57">
        <v>1028</v>
      </c>
      <c r="B1029" s="57" t="s">
        <v>2386</v>
      </c>
      <c r="C1029" s="57">
        <v>1</v>
      </c>
      <c r="D1029" s="57" t="s">
        <v>2341</v>
      </c>
      <c r="E1029" s="57" t="s">
        <v>2568</v>
      </c>
      <c r="F1029" s="57">
        <v>2400</v>
      </c>
      <c r="G1029" s="57">
        <v>3380</v>
      </c>
      <c r="H1029" s="57">
        <v>120</v>
      </c>
      <c r="I1029" s="57" t="s">
        <v>2022</v>
      </c>
      <c r="J1029" s="57" t="s">
        <v>2023</v>
      </c>
      <c r="L1029" s="57" t="s">
        <v>378</v>
      </c>
      <c r="M1029" s="156">
        <v>45964</v>
      </c>
      <c r="P1029" s="57">
        <v>1.0840000000000001</v>
      </c>
      <c r="Q1029" s="171">
        <v>2.71</v>
      </c>
      <c r="R1029" s="166">
        <f>IFERROR(VLOOKUP(B1029,#REF!,1,0),0)</f>
        <v>0</v>
      </c>
    </row>
    <row r="1030" spans="1:18" x14ac:dyDescent="0.25">
      <c r="A1030" s="57">
        <v>1029</v>
      </c>
      <c r="B1030" s="57" t="s">
        <v>2387</v>
      </c>
      <c r="C1030" s="57">
        <v>1</v>
      </c>
      <c r="D1030" s="57" t="s">
        <v>2341</v>
      </c>
      <c r="E1030" s="57" t="s">
        <v>2568</v>
      </c>
      <c r="F1030" s="57">
        <v>5220</v>
      </c>
      <c r="G1030" s="57">
        <v>3090</v>
      </c>
      <c r="H1030" s="57">
        <v>120</v>
      </c>
      <c r="I1030" s="57" t="s">
        <v>2022</v>
      </c>
      <c r="J1030" s="57" t="s">
        <v>2033</v>
      </c>
      <c r="L1030" s="57" t="s">
        <v>378</v>
      </c>
      <c r="M1030" s="156">
        <v>45964</v>
      </c>
      <c r="P1030" s="57">
        <v>2.1909999999999998</v>
      </c>
      <c r="Q1030" s="171">
        <v>5.4774999999999991</v>
      </c>
      <c r="R1030" s="166">
        <f>IFERROR(VLOOKUP(B1030,#REF!,1,0),0)</f>
        <v>0</v>
      </c>
    </row>
    <row r="1031" spans="1:18" x14ac:dyDescent="0.25">
      <c r="A1031" s="57">
        <v>1030</v>
      </c>
      <c r="B1031" s="57" t="s">
        <v>2388</v>
      </c>
      <c r="C1031" s="57">
        <v>1</v>
      </c>
      <c r="D1031" s="57" t="s">
        <v>2341</v>
      </c>
      <c r="E1031" s="57" t="s">
        <v>2569</v>
      </c>
      <c r="F1031" s="57">
        <v>5220</v>
      </c>
      <c r="G1031" s="57">
        <v>3090</v>
      </c>
      <c r="H1031" s="57">
        <v>120</v>
      </c>
      <c r="I1031" s="57" t="s">
        <v>2022</v>
      </c>
      <c r="J1031" s="57" t="s">
        <v>2033</v>
      </c>
      <c r="L1031" s="57" t="s">
        <v>378</v>
      </c>
      <c r="M1031" s="156">
        <v>45964</v>
      </c>
      <c r="P1031" s="57">
        <v>2.1909999999999998</v>
      </c>
      <c r="Q1031" s="171">
        <v>5.4774999999999991</v>
      </c>
      <c r="R1031" s="166">
        <f>IFERROR(VLOOKUP(B1031,#REF!,1,0),0)</f>
        <v>0</v>
      </c>
    </row>
    <row r="1032" spans="1:18" x14ac:dyDescent="0.25">
      <c r="A1032" s="57">
        <v>1031</v>
      </c>
      <c r="B1032" s="57" t="s">
        <v>2389</v>
      </c>
      <c r="C1032" s="57">
        <v>1</v>
      </c>
      <c r="D1032" s="57" t="s">
        <v>2341</v>
      </c>
      <c r="E1032" s="57" t="s">
        <v>2568</v>
      </c>
      <c r="F1032" s="57">
        <v>5220</v>
      </c>
      <c r="G1032" s="57">
        <v>3090</v>
      </c>
      <c r="H1032" s="57">
        <v>120</v>
      </c>
      <c r="I1032" s="57" t="s">
        <v>2022</v>
      </c>
      <c r="J1032" s="57" t="s">
        <v>2033</v>
      </c>
      <c r="L1032" s="57" t="s">
        <v>378</v>
      </c>
      <c r="M1032" s="156">
        <v>45964</v>
      </c>
      <c r="P1032" s="57">
        <v>2.1909999999999998</v>
      </c>
      <c r="Q1032" s="171">
        <v>5.4774999999999991</v>
      </c>
      <c r="R1032" s="166">
        <f>IFERROR(VLOOKUP(B1032,#REF!,1,0),0)</f>
        <v>0</v>
      </c>
    </row>
    <row r="1033" spans="1:18" x14ac:dyDescent="0.25">
      <c r="A1033" s="57">
        <v>1032</v>
      </c>
      <c r="B1033" s="57" t="s">
        <v>2390</v>
      </c>
      <c r="C1033" s="57">
        <v>1</v>
      </c>
      <c r="D1033" s="57" t="s">
        <v>2341</v>
      </c>
      <c r="E1033" s="57" t="s">
        <v>2568</v>
      </c>
      <c r="F1033" s="57">
        <v>5220</v>
      </c>
      <c r="G1033" s="57">
        <v>3090</v>
      </c>
      <c r="H1033" s="57">
        <v>120</v>
      </c>
      <c r="I1033" s="57" t="s">
        <v>2022</v>
      </c>
      <c r="J1033" s="57" t="s">
        <v>2033</v>
      </c>
      <c r="L1033" s="57" t="s">
        <v>378</v>
      </c>
      <c r="M1033" s="156">
        <v>45964</v>
      </c>
      <c r="P1033" s="57">
        <v>2.1909999999999998</v>
      </c>
      <c r="Q1033" s="171">
        <v>5.4774999999999991</v>
      </c>
      <c r="R1033" s="166">
        <f>IFERROR(VLOOKUP(B1033,#REF!,1,0),0)</f>
        <v>0</v>
      </c>
    </row>
    <row r="1034" spans="1:18" x14ac:dyDescent="0.25">
      <c r="A1034" s="57">
        <v>1033</v>
      </c>
      <c r="B1034" s="57" t="s">
        <v>2391</v>
      </c>
      <c r="C1034" s="57">
        <v>1</v>
      </c>
      <c r="D1034" s="57" t="s">
        <v>2341</v>
      </c>
      <c r="E1034" s="57" t="s">
        <v>2568</v>
      </c>
      <c r="F1034" s="57">
        <v>5220</v>
      </c>
      <c r="G1034" s="57">
        <v>3090</v>
      </c>
      <c r="H1034" s="57">
        <v>120</v>
      </c>
      <c r="I1034" s="57" t="s">
        <v>2022</v>
      </c>
      <c r="J1034" s="57" t="s">
        <v>2033</v>
      </c>
      <c r="L1034" s="57" t="s">
        <v>378</v>
      </c>
      <c r="M1034" s="156">
        <v>45964</v>
      </c>
      <c r="P1034" s="57">
        <v>2.1909999999999998</v>
      </c>
      <c r="Q1034" s="171">
        <v>5.4774999999999991</v>
      </c>
      <c r="R1034" s="166">
        <f>IFERROR(VLOOKUP(B1034,#REF!,1,0),0)</f>
        <v>0</v>
      </c>
    </row>
    <row r="1035" spans="1:18" x14ac:dyDescent="0.25">
      <c r="A1035" s="57">
        <v>1034</v>
      </c>
      <c r="B1035" s="57" t="s">
        <v>2392</v>
      </c>
      <c r="C1035" s="57">
        <v>1</v>
      </c>
      <c r="D1035" s="57" t="s">
        <v>2341</v>
      </c>
      <c r="E1035" s="57" t="s">
        <v>2568</v>
      </c>
      <c r="F1035" s="57">
        <v>5220</v>
      </c>
      <c r="G1035" s="57">
        <v>3090</v>
      </c>
      <c r="H1035" s="57">
        <v>120</v>
      </c>
      <c r="I1035" s="57" t="s">
        <v>2022</v>
      </c>
      <c r="J1035" s="57" t="s">
        <v>2033</v>
      </c>
      <c r="L1035" s="57" t="s">
        <v>378</v>
      </c>
      <c r="M1035" s="156">
        <v>45964</v>
      </c>
      <c r="P1035" s="57">
        <v>2.1909999999999998</v>
      </c>
      <c r="Q1035" s="171">
        <v>5.4774999999999991</v>
      </c>
      <c r="R1035" s="166">
        <f>IFERROR(VLOOKUP(B1035,#REF!,1,0),0)</f>
        <v>0</v>
      </c>
    </row>
    <row r="1036" spans="1:18" x14ac:dyDescent="0.25">
      <c r="A1036" s="57">
        <v>1035</v>
      </c>
      <c r="B1036" s="57" t="s">
        <v>2393</v>
      </c>
      <c r="C1036" s="57">
        <v>1</v>
      </c>
      <c r="D1036" s="57" t="s">
        <v>2341</v>
      </c>
      <c r="E1036" s="57" t="s">
        <v>2569</v>
      </c>
      <c r="F1036" s="57">
        <v>5220</v>
      </c>
      <c r="G1036" s="57">
        <v>3090</v>
      </c>
      <c r="H1036" s="57">
        <v>120</v>
      </c>
      <c r="I1036" s="57" t="s">
        <v>2022</v>
      </c>
      <c r="J1036" s="57" t="s">
        <v>2033</v>
      </c>
      <c r="L1036" s="57" t="s">
        <v>378</v>
      </c>
      <c r="M1036" s="156">
        <v>45964</v>
      </c>
      <c r="P1036" s="57">
        <v>2.1909999999999998</v>
      </c>
      <c r="Q1036" s="171">
        <v>5.4774999999999991</v>
      </c>
      <c r="R1036" s="166">
        <f>IFERROR(VLOOKUP(B1036,#REF!,1,0),0)</f>
        <v>0</v>
      </c>
    </row>
    <row r="1037" spans="1:18" x14ac:dyDescent="0.25">
      <c r="A1037" s="57">
        <v>1036</v>
      </c>
      <c r="B1037" s="57" t="s">
        <v>2394</v>
      </c>
      <c r="C1037" s="57">
        <v>1</v>
      </c>
      <c r="D1037" s="57" t="s">
        <v>2341</v>
      </c>
      <c r="E1037" s="57" t="s">
        <v>2569</v>
      </c>
      <c r="F1037" s="57">
        <v>5220</v>
      </c>
      <c r="G1037" s="57">
        <v>3090</v>
      </c>
      <c r="H1037" s="57">
        <v>120</v>
      </c>
      <c r="I1037" s="57" t="s">
        <v>2022</v>
      </c>
      <c r="J1037" s="57" t="s">
        <v>2033</v>
      </c>
      <c r="L1037" s="57" t="s">
        <v>378</v>
      </c>
      <c r="M1037" s="156">
        <v>45964</v>
      </c>
      <c r="P1037" s="57">
        <v>2.1909999999999998</v>
      </c>
      <c r="Q1037" s="171">
        <v>5.4774999999999991</v>
      </c>
      <c r="R1037" s="166">
        <f>IFERROR(VLOOKUP(B1037,#REF!,1,0),0)</f>
        <v>0</v>
      </c>
    </row>
    <row r="1038" spans="1:18" x14ac:dyDescent="0.25">
      <c r="A1038" s="57">
        <v>1037</v>
      </c>
      <c r="B1038" s="57" t="s">
        <v>2395</v>
      </c>
      <c r="C1038" s="57">
        <v>1</v>
      </c>
      <c r="D1038" s="57" t="s">
        <v>2341</v>
      </c>
      <c r="E1038" s="57" t="s">
        <v>2569</v>
      </c>
      <c r="F1038" s="57">
        <v>5220</v>
      </c>
      <c r="G1038" s="57">
        <v>3090</v>
      </c>
      <c r="H1038" s="57">
        <v>120</v>
      </c>
      <c r="I1038" s="57" t="s">
        <v>2022</v>
      </c>
      <c r="J1038" s="57" t="s">
        <v>2033</v>
      </c>
      <c r="L1038" s="57" t="s">
        <v>378</v>
      </c>
      <c r="M1038" s="156">
        <v>45964</v>
      </c>
      <c r="P1038" s="57">
        <v>2.1909999999999998</v>
      </c>
      <c r="Q1038" s="171">
        <v>5.4774999999999991</v>
      </c>
      <c r="R1038" s="166">
        <f>IFERROR(VLOOKUP(B1038,#REF!,1,0),0)</f>
        <v>0</v>
      </c>
    </row>
    <row r="1039" spans="1:18" x14ac:dyDescent="0.25">
      <c r="A1039" s="57">
        <v>1038</v>
      </c>
      <c r="B1039" s="57" t="s">
        <v>2396</v>
      </c>
      <c r="C1039" s="57">
        <v>1</v>
      </c>
      <c r="D1039" s="57" t="s">
        <v>2341</v>
      </c>
      <c r="E1039" s="57" t="s">
        <v>2569</v>
      </c>
      <c r="F1039" s="57">
        <v>5220</v>
      </c>
      <c r="G1039" s="57">
        <v>3090</v>
      </c>
      <c r="H1039" s="57">
        <v>120</v>
      </c>
      <c r="I1039" s="57" t="s">
        <v>2022</v>
      </c>
      <c r="J1039" s="57" t="s">
        <v>2033</v>
      </c>
      <c r="L1039" s="57" t="s">
        <v>378</v>
      </c>
      <c r="M1039" s="156">
        <v>45964</v>
      </c>
      <c r="P1039" s="57">
        <v>2.1909999999999998</v>
      </c>
      <c r="Q1039" s="171">
        <v>5.4774999999999991</v>
      </c>
      <c r="R1039" s="166">
        <f>IFERROR(VLOOKUP(B1039,#REF!,1,0),0)</f>
        <v>0</v>
      </c>
    </row>
    <row r="1040" spans="1:18" x14ac:dyDescent="0.25">
      <c r="A1040" s="57">
        <v>1039</v>
      </c>
      <c r="B1040" s="57" t="s">
        <v>2397</v>
      </c>
      <c r="C1040" s="57">
        <v>1</v>
      </c>
      <c r="D1040" s="57" t="s">
        <v>2341</v>
      </c>
      <c r="E1040" s="57" t="s">
        <v>2568</v>
      </c>
      <c r="F1040" s="57">
        <v>5220</v>
      </c>
      <c r="G1040" s="57">
        <v>3090</v>
      </c>
      <c r="H1040" s="57">
        <v>120</v>
      </c>
      <c r="I1040" s="57" t="s">
        <v>2022</v>
      </c>
      <c r="J1040" s="57" t="s">
        <v>2033</v>
      </c>
      <c r="L1040" s="57" t="s">
        <v>378</v>
      </c>
      <c r="M1040" s="156">
        <v>45964</v>
      </c>
      <c r="P1040" s="57">
        <v>2.1909999999999998</v>
      </c>
      <c r="Q1040" s="171">
        <v>5.4774999999999991</v>
      </c>
      <c r="R1040" s="166">
        <f>IFERROR(VLOOKUP(B1040,#REF!,1,0),0)</f>
        <v>0</v>
      </c>
    </row>
    <row r="1041" spans="1:18" x14ac:dyDescent="0.25">
      <c r="A1041" s="57">
        <v>1040</v>
      </c>
      <c r="B1041" s="57" t="s">
        <v>2398</v>
      </c>
      <c r="C1041" s="57">
        <v>1</v>
      </c>
      <c r="D1041" s="57" t="s">
        <v>2341</v>
      </c>
      <c r="E1041" s="57" t="s">
        <v>2569</v>
      </c>
      <c r="F1041" s="57">
        <v>5220</v>
      </c>
      <c r="G1041" s="57">
        <v>3090</v>
      </c>
      <c r="H1041" s="57">
        <v>120</v>
      </c>
      <c r="I1041" s="57" t="s">
        <v>2022</v>
      </c>
      <c r="J1041" s="57" t="s">
        <v>2033</v>
      </c>
      <c r="L1041" s="57" t="s">
        <v>378</v>
      </c>
      <c r="M1041" s="156">
        <v>45964</v>
      </c>
      <c r="P1041" s="57">
        <v>2.1909999999999998</v>
      </c>
      <c r="Q1041" s="171">
        <v>5.4774999999999991</v>
      </c>
      <c r="R1041" s="166">
        <f>IFERROR(VLOOKUP(B1041,#REF!,1,0),0)</f>
        <v>0</v>
      </c>
    </row>
    <row r="1042" spans="1:18" x14ac:dyDescent="0.25">
      <c r="A1042" s="57">
        <v>1041</v>
      </c>
      <c r="B1042" s="57" t="s">
        <v>2399</v>
      </c>
      <c r="C1042" s="57">
        <v>1</v>
      </c>
      <c r="D1042" s="57" t="s">
        <v>2341</v>
      </c>
      <c r="E1042" s="57" t="s">
        <v>2568</v>
      </c>
      <c r="F1042" s="57">
        <v>4862</v>
      </c>
      <c r="G1042" s="57">
        <v>2180</v>
      </c>
      <c r="H1042" s="57">
        <v>120</v>
      </c>
      <c r="I1042" s="57" t="s">
        <v>1212</v>
      </c>
      <c r="J1042" s="57" t="s">
        <v>2021</v>
      </c>
      <c r="L1042" s="57" t="s">
        <v>378</v>
      </c>
      <c r="M1042" s="156">
        <v>45964</v>
      </c>
      <c r="P1042" s="57">
        <v>1.33</v>
      </c>
      <c r="Q1042" s="171">
        <v>3.3250000000000002</v>
      </c>
      <c r="R1042" s="166">
        <f>IFERROR(VLOOKUP(B1042,#REF!,1,0),0)</f>
        <v>0</v>
      </c>
    </row>
    <row r="1043" spans="1:18" x14ac:dyDescent="0.25">
      <c r="A1043" s="57">
        <v>1042</v>
      </c>
      <c r="B1043" s="57" t="s">
        <v>2400</v>
      </c>
      <c r="C1043" s="57">
        <v>1</v>
      </c>
      <c r="D1043" s="57" t="s">
        <v>2341</v>
      </c>
      <c r="E1043" s="57" t="s">
        <v>2568</v>
      </c>
      <c r="F1043" s="57">
        <v>4862</v>
      </c>
      <c r="G1043" s="57">
        <v>3380</v>
      </c>
      <c r="H1043" s="57">
        <v>120</v>
      </c>
      <c r="I1043" s="57" t="s">
        <v>1212</v>
      </c>
      <c r="J1043" s="57" t="s">
        <v>2021</v>
      </c>
      <c r="L1043" s="57" t="s">
        <v>378</v>
      </c>
      <c r="M1043" s="156">
        <v>45964</v>
      </c>
      <c r="P1043" s="57">
        <v>1.583</v>
      </c>
      <c r="Q1043" s="171">
        <v>3.9575</v>
      </c>
      <c r="R1043" s="166">
        <f>IFERROR(VLOOKUP(B1043,#REF!,1,0),0)</f>
        <v>0</v>
      </c>
    </row>
    <row r="1044" spans="1:18" x14ac:dyDescent="0.25">
      <c r="A1044" s="57">
        <v>1043</v>
      </c>
      <c r="B1044" s="57" t="s">
        <v>2401</v>
      </c>
      <c r="C1044" s="57">
        <v>1</v>
      </c>
      <c r="D1044" s="57" t="s">
        <v>2341</v>
      </c>
      <c r="E1044" s="57" t="s">
        <v>2569</v>
      </c>
      <c r="F1044" s="57">
        <v>5755</v>
      </c>
      <c r="G1044" s="57">
        <v>2800</v>
      </c>
      <c r="H1044" s="57">
        <v>120</v>
      </c>
      <c r="I1044" s="57" t="s">
        <v>1161</v>
      </c>
      <c r="J1044" s="57" t="s">
        <v>2452</v>
      </c>
      <c r="L1044" s="57" t="s">
        <v>378</v>
      </c>
      <c r="M1044" s="156">
        <v>45964</v>
      </c>
      <c r="P1044" s="57">
        <v>1.8220000000000001</v>
      </c>
      <c r="Q1044" s="171">
        <v>4.5549999999999997</v>
      </c>
      <c r="R1044" s="166">
        <f>IFERROR(VLOOKUP(B1044,#REF!,1,0),0)</f>
        <v>0</v>
      </c>
    </row>
    <row r="1045" spans="1:18" x14ac:dyDescent="0.25">
      <c r="A1045" s="57">
        <v>1044</v>
      </c>
      <c r="B1045" s="57" t="s">
        <v>2402</v>
      </c>
      <c r="C1045" s="57">
        <v>1</v>
      </c>
      <c r="D1045" s="57" t="s">
        <v>2341</v>
      </c>
      <c r="E1045" s="57" t="s">
        <v>2569</v>
      </c>
      <c r="F1045" s="57">
        <v>4924</v>
      </c>
      <c r="G1045" s="57">
        <v>3380</v>
      </c>
      <c r="H1045" s="57">
        <v>120</v>
      </c>
      <c r="I1045" s="57" t="s">
        <v>1212</v>
      </c>
      <c r="J1045" s="57" t="s">
        <v>2020</v>
      </c>
      <c r="L1045" s="57" t="s">
        <v>378</v>
      </c>
      <c r="M1045" s="156">
        <v>45964</v>
      </c>
      <c r="P1045" s="57">
        <v>1.4379999999999999</v>
      </c>
      <c r="Q1045" s="171">
        <v>3.5949999999999998</v>
      </c>
      <c r="R1045" s="166">
        <f>IFERROR(VLOOKUP(B1045,#REF!,1,0),0)</f>
        <v>0</v>
      </c>
    </row>
    <row r="1046" spans="1:18" x14ac:dyDescent="0.25">
      <c r="A1046" s="57">
        <v>1045</v>
      </c>
      <c r="B1046" s="57" t="s">
        <v>2403</v>
      </c>
      <c r="C1046" s="57">
        <v>1</v>
      </c>
      <c r="D1046" s="57" t="s">
        <v>2341</v>
      </c>
      <c r="E1046" s="57" t="s">
        <v>2569</v>
      </c>
      <c r="F1046" s="57">
        <v>4910</v>
      </c>
      <c r="G1046" s="57">
        <v>1890</v>
      </c>
      <c r="H1046" s="57">
        <v>120</v>
      </c>
      <c r="I1046" s="57" t="s">
        <v>1212</v>
      </c>
      <c r="J1046" s="57" t="s">
        <v>2020</v>
      </c>
      <c r="L1046" s="57" t="s">
        <v>378</v>
      </c>
      <c r="M1046" s="156">
        <v>45964</v>
      </c>
      <c r="P1046" s="57">
        <v>1.1499999999999999</v>
      </c>
      <c r="Q1046" s="171">
        <v>2.875</v>
      </c>
      <c r="R1046" s="166">
        <f>IFERROR(VLOOKUP(B1046,#REF!,1,0),0)</f>
        <v>0</v>
      </c>
    </row>
    <row r="1047" spans="1:18" x14ac:dyDescent="0.25">
      <c r="A1047" s="57">
        <v>1046</v>
      </c>
      <c r="B1047" s="57" t="s">
        <v>2404</v>
      </c>
      <c r="C1047" s="57">
        <v>1</v>
      </c>
      <c r="D1047" s="57" t="s">
        <v>2341</v>
      </c>
      <c r="E1047" s="57" t="s">
        <v>2464</v>
      </c>
      <c r="F1047" s="57">
        <v>2385</v>
      </c>
      <c r="G1047" s="57">
        <v>3070</v>
      </c>
      <c r="H1047" s="57">
        <v>120</v>
      </c>
      <c r="I1047" s="57" t="s">
        <v>2022</v>
      </c>
      <c r="J1047" s="57" t="s">
        <v>2046</v>
      </c>
      <c r="L1047" s="57" t="s">
        <v>378</v>
      </c>
      <c r="M1047" s="156">
        <v>45964</v>
      </c>
      <c r="P1047" s="57">
        <v>0.96499999999999997</v>
      </c>
      <c r="Q1047" s="171">
        <v>2.4125000000000001</v>
      </c>
      <c r="R1047" s="166">
        <f>IFERROR(VLOOKUP(B1047,#REF!,1,0),0)</f>
        <v>0</v>
      </c>
    </row>
    <row r="1048" spans="1:18" x14ac:dyDescent="0.25">
      <c r="A1048" s="57">
        <v>1047</v>
      </c>
      <c r="B1048" s="57" t="s">
        <v>2405</v>
      </c>
      <c r="C1048" s="57">
        <v>1</v>
      </c>
      <c r="D1048" s="57" t="s">
        <v>2341</v>
      </c>
      <c r="E1048" s="57" t="s">
        <v>2464</v>
      </c>
      <c r="F1048" s="57">
        <v>2370</v>
      </c>
      <c r="G1048" s="57">
        <v>3070</v>
      </c>
      <c r="H1048" s="57">
        <v>120</v>
      </c>
      <c r="I1048" s="57" t="s">
        <v>2022</v>
      </c>
      <c r="J1048" s="57" t="s">
        <v>2046</v>
      </c>
      <c r="L1048" s="57" t="s">
        <v>378</v>
      </c>
      <c r="M1048" s="156">
        <v>45964</v>
      </c>
      <c r="P1048" s="57">
        <v>0.96199999999999997</v>
      </c>
      <c r="Q1048" s="171">
        <v>2.4049999999999998</v>
      </c>
      <c r="R1048" s="166">
        <f>IFERROR(VLOOKUP(B1048,#REF!,1,0),0)</f>
        <v>0</v>
      </c>
    </row>
    <row r="1049" spans="1:18" x14ac:dyDescent="0.25">
      <c r="A1049" s="57">
        <v>1048</v>
      </c>
      <c r="B1049" s="57" t="s">
        <v>2406</v>
      </c>
      <c r="C1049" s="57">
        <v>1</v>
      </c>
      <c r="D1049" s="57" t="s">
        <v>2341</v>
      </c>
      <c r="E1049" s="57" t="s">
        <v>2464</v>
      </c>
      <c r="F1049" s="57">
        <v>2370</v>
      </c>
      <c r="G1049" s="57">
        <v>3070</v>
      </c>
      <c r="H1049" s="57">
        <v>120</v>
      </c>
      <c r="I1049" s="57" t="s">
        <v>2022</v>
      </c>
      <c r="J1049" s="57" t="s">
        <v>2046</v>
      </c>
      <c r="L1049" s="57" t="s">
        <v>378</v>
      </c>
      <c r="M1049" s="156">
        <v>45964</v>
      </c>
      <c r="P1049" s="57">
        <v>0.96199999999999997</v>
      </c>
      <c r="Q1049" s="171">
        <v>2.4049999999999998</v>
      </c>
      <c r="R1049" s="166">
        <f>IFERROR(VLOOKUP(B1049,#REF!,1,0),0)</f>
        <v>0</v>
      </c>
    </row>
    <row r="1050" spans="1:18" x14ac:dyDescent="0.25">
      <c r="A1050" s="57">
        <v>1049</v>
      </c>
      <c r="B1050" s="57" t="s">
        <v>2407</v>
      </c>
      <c r="C1050" s="57">
        <v>1</v>
      </c>
      <c r="D1050" s="57" t="s">
        <v>2341</v>
      </c>
      <c r="E1050" s="57" t="s">
        <v>2464</v>
      </c>
      <c r="F1050" s="57">
        <v>2370</v>
      </c>
      <c r="G1050" s="57">
        <v>3070</v>
      </c>
      <c r="H1050" s="57">
        <v>120</v>
      </c>
      <c r="I1050" s="57" t="s">
        <v>2022</v>
      </c>
      <c r="J1050" s="57" t="s">
        <v>2046</v>
      </c>
      <c r="L1050" s="57" t="s">
        <v>378</v>
      </c>
      <c r="M1050" s="156">
        <v>45964</v>
      </c>
      <c r="P1050" s="57">
        <v>0.96199999999999997</v>
      </c>
      <c r="Q1050" s="171">
        <v>2.4049999999999998</v>
      </c>
      <c r="R1050" s="166">
        <f>IFERROR(VLOOKUP(B1050,#REF!,1,0),0)</f>
        <v>0</v>
      </c>
    </row>
    <row r="1051" spans="1:18" x14ac:dyDescent="0.25">
      <c r="A1051" s="57">
        <v>1050</v>
      </c>
      <c r="B1051" s="57" t="s">
        <v>2408</v>
      </c>
      <c r="C1051" s="57">
        <v>1</v>
      </c>
      <c r="D1051" s="57" t="s">
        <v>2341</v>
      </c>
      <c r="E1051" s="57" t="s">
        <v>2464</v>
      </c>
      <c r="F1051" s="57">
        <v>2370</v>
      </c>
      <c r="G1051" s="57">
        <v>3070</v>
      </c>
      <c r="H1051" s="57">
        <v>120</v>
      </c>
      <c r="I1051" s="57" t="s">
        <v>2022</v>
      </c>
      <c r="J1051" s="57" t="s">
        <v>2046</v>
      </c>
      <c r="L1051" s="57" t="s">
        <v>378</v>
      </c>
      <c r="M1051" s="156">
        <v>45964</v>
      </c>
      <c r="P1051" s="57">
        <v>0.96199999999999997</v>
      </c>
      <c r="Q1051" s="171">
        <v>2.4049999999999998</v>
      </c>
      <c r="R1051" s="166">
        <f>IFERROR(VLOOKUP(B1051,#REF!,1,0),0)</f>
        <v>0</v>
      </c>
    </row>
    <row r="1052" spans="1:18" x14ac:dyDescent="0.25">
      <c r="A1052" s="57">
        <v>1051</v>
      </c>
      <c r="B1052" s="57" t="s">
        <v>2409</v>
      </c>
      <c r="C1052" s="57">
        <v>1</v>
      </c>
      <c r="D1052" s="57" t="s">
        <v>2341</v>
      </c>
      <c r="E1052" s="57" t="s">
        <v>2464</v>
      </c>
      <c r="F1052" s="57">
        <v>2370</v>
      </c>
      <c r="G1052" s="57">
        <v>3070</v>
      </c>
      <c r="H1052" s="57">
        <v>120</v>
      </c>
      <c r="I1052" s="57" t="s">
        <v>2022</v>
      </c>
      <c r="J1052" s="57" t="s">
        <v>2046</v>
      </c>
      <c r="L1052" s="57" t="s">
        <v>378</v>
      </c>
      <c r="M1052" s="156">
        <v>45964</v>
      </c>
      <c r="P1052" s="57">
        <v>0.96199999999999997</v>
      </c>
      <c r="Q1052" s="171">
        <v>2.4049999999999998</v>
      </c>
      <c r="R1052" s="166">
        <f>IFERROR(VLOOKUP(B1052,#REF!,1,0),0)</f>
        <v>0</v>
      </c>
    </row>
    <row r="1053" spans="1:18" x14ac:dyDescent="0.25">
      <c r="A1053" s="57">
        <v>1052</v>
      </c>
      <c r="B1053" s="57" t="s">
        <v>2410</v>
      </c>
      <c r="C1053" s="57">
        <v>1</v>
      </c>
      <c r="D1053" s="57" t="s">
        <v>2341</v>
      </c>
      <c r="E1053" s="57" t="s">
        <v>2464</v>
      </c>
      <c r="F1053" s="57">
        <v>2367</v>
      </c>
      <c r="G1053" s="57">
        <v>3070</v>
      </c>
      <c r="H1053" s="57">
        <v>120</v>
      </c>
      <c r="I1053" s="57" t="s">
        <v>2022</v>
      </c>
      <c r="J1053" s="57" t="s">
        <v>2046</v>
      </c>
      <c r="L1053" s="57" t="s">
        <v>378</v>
      </c>
      <c r="M1053" s="156">
        <v>45964</v>
      </c>
      <c r="P1053" s="57">
        <v>0.96</v>
      </c>
      <c r="Q1053" s="171">
        <v>2.4</v>
      </c>
      <c r="R1053" s="166">
        <f>IFERROR(VLOOKUP(B1053,#REF!,1,0),0)</f>
        <v>0</v>
      </c>
    </row>
    <row r="1054" spans="1:18" x14ac:dyDescent="0.25">
      <c r="A1054" s="57">
        <v>1053</v>
      </c>
      <c r="B1054" s="57" t="s">
        <v>2411</v>
      </c>
      <c r="C1054" s="57">
        <v>1</v>
      </c>
      <c r="D1054" s="57" t="s">
        <v>2341</v>
      </c>
      <c r="E1054" s="57" t="s">
        <v>2464</v>
      </c>
      <c r="F1054" s="57">
        <v>2400</v>
      </c>
      <c r="G1054" s="57">
        <v>2985</v>
      </c>
      <c r="H1054" s="57">
        <v>120</v>
      </c>
      <c r="I1054" s="57" t="s">
        <v>2022</v>
      </c>
      <c r="J1054" s="57" t="s">
        <v>2046</v>
      </c>
      <c r="L1054" s="57" t="s">
        <v>378</v>
      </c>
      <c r="M1054" s="156">
        <v>45964</v>
      </c>
      <c r="P1054" s="57">
        <v>0.92800000000000005</v>
      </c>
      <c r="Q1054" s="171">
        <v>2.3200000000000003</v>
      </c>
      <c r="R1054" s="166">
        <f>IFERROR(VLOOKUP(B1054,#REF!,1,0),0)</f>
        <v>0</v>
      </c>
    </row>
    <row r="1055" spans="1:18" x14ac:dyDescent="0.25">
      <c r="A1055" s="57">
        <v>1054</v>
      </c>
      <c r="B1055" s="57" t="s">
        <v>2412</v>
      </c>
      <c r="C1055" s="57">
        <v>1</v>
      </c>
      <c r="D1055" s="57" t="s">
        <v>2341</v>
      </c>
      <c r="E1055" s="57" t="s">
        <v>2464</v>
      </c>
      <c r="F1055" s="57">
        <v>3139</v>
      </c>
      <c r="G1055" s="57">
        <v>3030</v>
      </c>
      <c r="H1055" s="57">
        <v>120</v>
      </c>
      <c r="I1055" s="57" t="s">
        <v>2022</v>
      </c>
      <c r="J1055" s="57" t="s">
        <v>2047</v>
      </c>
      <c r="L1055" s="57" t="s">
        <v>378</v>
      </c>
      <c r="M1055" s="156">
        <v>45964</v>
      </c>
      <c r="P1055" s="57">
        <v>1.3759999999999999</v>
      </c>
      <c r="Q1055" s="171">
        <v>3.4399999999999995</v>
      </c>
      <c r="R1055" s="166">
        <f>IFERROR(VLOOKUP(B1055,#REF!,1,0),0)</f>
        <v>0</v>
      </c>
    </row>
    <row r="1056" spans="1:18" x14ac:dyDescent="0.25">
      <c r="A1056" s="57">
        <v>1055</v>
      </c>
      <c r="B1056" s="57" t="s">
        <v>2413</v>
      </c>
      <c r="C1056" s="57">
        <v>1</v>
      </c>
      <c r="D1056" s="57" t="s">
        <v>2341</v>
      </c>
      <c r="E1056" s="57" t="s">
        <v>2464</v>
      </c>
      <c r="F1056" s="57">
        <v>3139</v>
      </c>
      <c r="G1056" s="57">
        <v>3030</v>
      </c>
      <c r="H1056" s="57">
        <v>120</v>
      </c>
      <c r="I1056" s="57" t="s">
        <v>2022</v>
      </c>
      <c r="J1056" s="57" t="s">
        <v>2047</v>
      </c>
      <c r="L1056" s="57" t="s">
        <v>378</v>
      </c>
      <c r="M1056" s="156">
        <v>45964</v>
      </c>
      <c r="P1056" s="57">
        <v>1.3759999999999999</v>
      </c>
      <c r="Q1056" s="171">
        <v>3.4399999999999995</v>
      </c>
      <c r="R1056" s="166">
        <f>IFERROR(VLOOKUP(B1056,#REF!,1,0),0)</f>
        <v>0</v>
      </c>
    </row>
    <row r="1057" spans="1:18" x14ac:dyDescent="0.25">
      <c r="A1057" s="57">
        <v>1056</v>
      </c>
      <c r="B1057" s="57" t="s">
        <v>2414</v>
      </c>
      <c r="C1057" s="57">
        <v>1</v>
      </c>
      <c r="D1057" s="57" t="s">
        <v>2341</v>
      </c>
      <c r="E1057" s="57" t="s">
        <v>2464</v>
      </c>
      <c r="F1057" s="57">
        <v>5215</v>
      </c>
      <c r="G1057" s="57">
        <v>3625</v>
      </c>
      <c r="H1057" s="57">
        <v>120</v>
      </c>
      <c r="I1057" s="57" t="s">
        <v>1212</v>
      </c>
      <c r="J1057" s="57" t="s">
        <v>2020</v>
      </c>
      <c r="L1057" s="57" t="s">
        <v>378</v>
      </c>
      <c r="M1057" s="156">
        <v>45964</v>
      </c>
      <c r="P1057" s="57">
        <v>1.421</v>
      </c>
      <c r="Q1057" s="171">
        <v>3.5525000000000002</v>
      </c>
      <c r="R1057" s="166">
        <f>IFERROR(VLOOKUP(B1057,#REF!,1,0),0)</f>
        <v>0</v>
      </c>
    </row>
    <row r="1058" spans="1:18" x14ac:dyDescent="0.25">
      <c r="A1058" s="57">
        <v>1057</v>
      </c>
      <c r="B1058" s="57" t="s">
        <v>2463</v>
      </c>
      <c r="C1058" s="57">
        <v>1</v>
      </c>
      <c r="D1058" s="57" t="s">
        <v>2341</v>
      </c>
      <c r="E1058" s="57" t="s">
        <v>2464</v>
      </c>
      <c r="F1058" s="57">
        <v>5472</v>
      </c>
      <c r="G1058" s="57">
        <v>3440</v>
      </c>
      <c r="H1058" s="57">
        <v>120</v>
      </c>
      <c r="I1058" s="57" t="s">
        <v>2022</v>
      </c>
      <c r="J1058" s="57" t="s">
        <v>2465</v>
      </c>
      <c r="L1058" s="57" t="s">
        <v>531</v>
      </c>
      <c r="M1058" s="156">
        <v>46044</v>
      </c>
      <c r="P1058" s="57">
        <v>2.5649999999999999</v>
      </c>
      <c r="Q1058" s="57">
        <v>6.1429999999999998</v>
      </c>
      <c r="R1058" s="166">
        <f>IFERROR(VLOOKUP(B1058,#REF!,1,0),0)</f>
        <v>0</v>
      </c>
    </row>
    <row r="1059" spans="1:18" x14ac:dyDescent="0.25">
      <c r="A1059" s="57">
        <v>1058</v>
      </c>
      <c r="B1059" s="57" t="s">
        <v>2466</v>
      </c>
      <c r="C1059" s="57">
        <v>1</v>
      </c>
      <c r="D1059" s="57" t="s">
        <v>2341</v>
      </c>
      <c r="E1059" s="57" t="s">
        <v>2464</v>
      </c>
      <c r="F1059" s="57">
        <v>5472</v>
      </c>
      <c r="G1059" s="57">
        <v>3440</v>
      </c>
      <c r="H1059" s="57">
        <v>120</v>
      </c>
      <c r="I1059" s="57" t="s">
        <v>2022</v>
      </c>
      <c r="J1059" s="57" t="s">
        <v>2465</v>
      </c>
      <c r="L1059" s="57" t="s">
        <v>531</v>
      </c>
      <c r="M1059" s="156">
        <v>46044</v>
      </c>
      <c r="P1059" s="57">
        <v>2.5649999999999999</v>
      </c>
      <c r="Q1059" s="57">
        <v>6.1429999999999998</v>
      </c>
      <c r="R1059" s="166">
        <f>IFERROR(VLOOKUP(B1059,#REF!,1,0),0)</f>
        <v>0</v>
      </c>
    </row>
    <row r="1060" spans="1:18" x14ac:dyDescent="0.25">
      <c r="A1060" s="57">
        <v>1059</v>
      </c>
      <c r="B1060" s="57" t="s">
        <v>2467</v>
      </c>
      <c r="C1060" s="57">
        <v>1</v>
      </c>
      <c r="D1060" s="57" t="s">
        <v>2341</v>
      </c>
      <c r="E1060" s="57" t="s">
        <v>2464</v>
      </c>
      <c r="F1060" s="57">
        <v>5472</v>
      </c>
      <c r="G1060" s="57">
        <v>3440</v>
      </c>
      <c r="H1060" s="57">
        <v>120</v>
      </c>
      <c r="I1060" s="57" t="s">
        <v>2022</v>
      </c>
      <c r="J1060" s="57" t="s">
        <v>2465</v>
      </c>
      <c r="L1060" s="57" t="s">
        <v>531</v>
      </c>
      <c r="M1060" s="156">
        <v>46044</v>
      </c>
      <c r="P1060" s="57">
        <v>2.5649999999999999</v>
      </c>
      <c r="Q1060" s="57">
        <v>6.1429999999999998</v>
      </c>
      <c r="R1060" s="166">
        <f>IFERROR(VLOOKUP(B1060,#REF!,1,0),0)</f>
        <v>0</v>
      </c>
    </row>
    <row r="1061" spans="1:18" x14ac:dyDescent="0.25">
      <c r="A1061" s="57">
        <v>1060</v>
      </c>
      <c r="B1061" s="57" t="s">
        <v>2468</v>
      </c>
      <c r="C1061" s="57">
        <v>1</v>
      </c>
      <c r="D1061" s="57" t="s">
        <v>2341</v>
      </c>
      <c r="E1061" s="57" t="s">
        <v>2464</v>
      </c>
      <c r="F1061" s="57">
        <v>5472</v>
      </c>
      <c r="G1061" s="57">
        <v>3440</v>
      </c>
      <c r="H1061" s="57">
        <v>120</v>
      </c>
      <c r="I1061" s="57" t="s">
        <v>2022</v>
      </c>
      <c r="J1061" s="57" t="s">
        <v>2465</v>
      </c>
      <c r="L1061" s="57" t="s">
        <v>531</v>
      </c>
      <c r="M1061" s="156">
        <v>46044</v>
      </c>
      <c r="P1061" s="57">
        <v>2.5649999999999999</v>
      </c>
      <c r="Q1061" s="57">
        <v>6.1429999999999998</v>
      </c>
      <c r="R1061" s="166">
        <f>IFERROR(VLOOKUP(B1061,#REF!,1,0),0)</f>
        <v>0</v>
      </c>
    </row>
    <row r="1062" spans="1:18" x14ac:dyDescent="0.25">
      <c r="A1062" s="57">
        <v>1061</v>
      </c>
      <c r="B1062" s="57" t="s">
        <v>2469</v>
      </c>
      <c r="C1062" s="57">
        <v>1</v>
      </c>
      <c r="D1062" s="57" t="s">
        <v>2341</v>
      </c>
      <c r="E1062" s="57" t="s">
        <v>2464</v>
      </c>
      <c r="F1062" s="57">
        <v>5472</v>
      </c>
      <c r="G1062" s="57">
        <v>3440</v>
      </c>
      <c r="H1062" s="57">
        <v>120</v>
      </c>
      <c r="I1062" s="57" t="s">
        <v>2022</v>
      </c>
      <c r="J1062" s="57" t="s">
        <v>2465</v>
      </c>
      <c r="L1062" s="57" t="s">
        <v>531</v>
      </c>
      <c r="M1062" s="156">
        <v>46044</v>
      </c>
      <c r="P1062" s="57">
        <v>2.5649999999999999</v>
      </c>
      <c r="Q1062" s="57">
        <v>6.1429999999999998</v>
      </c>
      <c r="R1062" s="166">
        <f>IFERROR(VLOOKUP(B1062,#REF!,1,0),0)</f>
        <v>0</v>
      </c>
    </row>
    <row r="1063" spans="1:18" x14ac:dyDescent="0.25">
      <c r="A1063" s="57">
        <v>1062</v>
      </c>
      <c r="B1063" s="57" t="s">
        <v>2470</v>
      </c>
      <c r="C1063" s="57">
        <v>1</v>
      </c>
      <c r="D1063" s="57" t="s">
        <v>2341</v>
      </c>
      <c r="E1063" s="57" t="s">
        <v>2464</v>
      </c>
      <c r="F1063" s="57">
        <v>5476</v>
      </c>
      <c r="G1063" s="57">
        <v>3440</v>
      </c>
      <c r="H1063" s="57">
        <v>120</v>
      </c>
      <c r="I1063" s="57" t="s">
        <v>2022</v>
      </c>
      <c r="J1063" s="57" t="s">
        <v>2465</v>
      </c>
      <c r="L1063" s="57" t="s">
        <v>531</v>
      </c>
      <c r="M1063" s="156">
        <v>46044</v>
      </c>
      <c r="P1063" s="57">
        <v>2.5649999999999999</v>
      </c>
      <c r="Q1063" s="57">
        <v>6.1429999999999998</v>
      </c>
      <c r="R1063" s="166">
        <f>IFERROR(VLOOKUP(B1063,#REF!,1,0),0)</f>
        <v>0</v>
      </c>
    </row>
    <row r="1064" spans="1:18" x14ac:dyDescent="0.25">
      <c r="A1064" s="57">
        <v>1063</v>
      </c>
      <c r="B1064" s="57" t="s">
        <v>2456</v>
      </c>
      <c r="C1064" s="57">
        <v>1</v>
      </c>
      <c r="D1064" s="57" t="s">
        <v>2341</v>
      </c>
      <c r="E1064" s="57" t="s">
        <v>2471</v>
      </c>
      <c r="F1064" s="57">
        <v>2271</v>
      </c>
      <c r="G1064" s="57">
        <v>3480</v>
      </c>
      <c r="H1064" s="57">
        <v>120</v>
      </c>
      <c r="I1064" s="57" t="s">
        <v>2022</v>
      </c>
      <c r="J1064" s="57" t="s">
        <v>2023</v>
      </c>
      <c r="L1064" s="57" t="s">
        <v>531</v>
      </c>
      <c r="M1064" s="156">
        <v>46044</v>
      </c>
      <c r="P1064" s="57">
        <v>1.214</v>
      </c>
      <c r="Q1064" s="57">
        <v>3.0350000000000001</v>
      </c>
      <c r="R1064" s="166">
        <f>IFERROR(VLOOKUP(B1064,#REF!,1,0),0)</f>
        <v>0</v>
      </c>
    </row>
    <row r="1065" spans="1:18" x14ac:dyDescent="0.25">
      <c r="A1065" s="57">
        <v>1064</v>
      </c>
      <c r="B1065" s="57" t="s">
        <v>2457</v>
      </c>
      <c r="C1065" s="57">
        <v>1</v>
      </c>
      <c r="D1065" s="57" t="s">
        <v>2341</v>
      </c>
      <c r="E1065" s="57" t="s">
        <v>2471</v>
      </c>
      <c r="F1065" s="57">
        <v>2271</v>
      </c>
      <c r="G1065" s="57">
        <v>3390</v>
      </c>
      <c r="H1065" s="57">
        <v>120</v>
      </c>
      <c r="I1065" s="57" t="s">
        <v>2022</v>
      </c>
      <c r="J1065" s="57" t="s">
        <v>2023</v>
      </c>
      <c r="L1065" s="57" t="s">
        <v>531</v>
      </c>
      <c r="M1065" s="156">
        <v>46044</v>
      </c>
      <c r="P1065" s="57">
        <v>1.1890000000000001</v>
      </c>
      <c r="Q1065" s="57">
        <v>2.9729999999999999</v>
      </c>
      <c r="R1065" s="166">
        <f>IFERROR(VLOOKUP(B1065,#REF!,1,0),0)</f>
        <v>0</v>
      </c>
    </row>
    <row r="1066" spans="1:18" x14ac:dyDescent="0.25">
      <c r="A1066" s="57">
        <v>1065</v>
      </c>
      <c r="B1066" s="57" t="s">
        <v>2460</v>
      </c>
      <c r="C1066" s="57">
        <v>1</v>
      </c>
      <c r="D1066" s="57" t="s">
        <v>2341</v>
      </c>
      <c r="E1066" s="57" t="s">
        <v>2471</v>
      </c>
      <c r="F1066" s="57">
        <v>2271</v>
      </c>
      <c r="G1066" s="57">
        <v>3390</v>
      </c>
      <c r="H1066" s="57">
        <v>120</v>
      </c>
      <c r="I1066" s="57" t="s">
        <v>2022</v>
      </c>
      <c r="J1066" s="57" t="s">
        <v>2023</v>
      </c>
      <c r="L1066" s="57" t="s">
        <v>531</v>
      </c>
      <c r="M1066" s="156">
        <v>46044</v>
      </c>
      <c r="P1066" s="57">
        <v>1.1890000000000001</v>
      </c>
      <c r="Q1066" s="57">
        <v>2.9729999999999999</v>
      </c>
      <c r="R1066" s="166">
        <f>IFERROR(VLOOKUP(B1066,#REF!,1,0),0)</f>
        <v>0</v>
      </c>
    </row>
    <row r="1067" spans="1:18" x14ac:dyDescent="0.25">
      <c r="A1067" s="57">
        <v>1066</v>
      </c>
      <c r="B1067" s="57" t="s">
        <v>2472</v>
      </c>
      <c r="C1067" s="57">
        <v>1</v>
      </c>
      <c r="D1067" s="57" t="s">
        <v>2341</v>
      </c>
      <c r="E1067" s="57" t="s">
        <v>2471</v>
      </c>
      <c r="F1067" s="57">
        <v>2271</v>
      </c>
      <c r="G1067" s="57">
        <v>3600</v>
      </c>
      <c r="H1067" s="57">
        <v>120</v>
      </c>
      <c r="I1067" s="57" t="s">
        <v>2022</v>
      </c>
      <c r="J1067" s="57" t="s">
        <v>2028</v>
      </c>
      <c r="L1067" s="57" t="s">
        <v>531</v>
      </c>
      <c r="M1067" s="156">
        <v>46044</v>
      </c>
      <c r="P1067" s="57">
        <v>1.3180000000000001</v>
      </c>
      <c r="Q1067" s="57">
        <v>3.2949999999999999</v>
      </c>
      <c r="R1067" s="166">
        <f>IFERROR(VLOOKUP(B1067,#REF!,1,0),0)</f>
        <v>0</v>
      </c>
    </row>
    <row r="1068" spans="1:18" x14ac:dyDescent="0.25">
      <c r="A1068" s="57">
        <v>1067</v>
      </c>
      <c r="B1068" s="57" t="s">
        <v>2473</v>
      </c>
      <c r="C1068" s="57">
        <v>1</v>
      </c>
      <c r="D1068" s="57" t="s">
        <v>2341</v>
      </c>
      <c r="E1068" s="57" t="s">
        <v>2471</v>
      </c>
      <c r="F1068" s="57">
        <v>2271</v>
      </c>
      <c r="G1068" s="57">
        <v>3600</v>
      </c>
      <c r="H1068" s="57">
        <v>120</v>
      </c>
      <c r="I1068" s="57" t="s">
        <v>2022</v>
      </c>
      <c r="J1068" s="57" t="s">
        <v>2028</v>
      </c>
      <c r="L1068" s="57" t="s">
        <v>531</v>
      </c>
      <c r="M1068" s="156">
        <v>46044</v>
      </c>
      <c r="P1068" s="57">
        <v>1.3180000000000001</v>
      </c>
      <c r="Q1068" s="57">
        <v>3.2949999999999999</v>
      </c>
      <c r="R1068" s="166">
        <f>IFERROR(VLOOKUP(B1068,#REF!,1,0),0)</f>
        <v>0</v>
      </c>
    </row>
    <row r="1069" spans="1:18" x14ac:dyDescent="0.25">
      <c r="A1069" s="57">
        <v>1068</v>
      </c>
      <c r="B1069" s="57" t="s">
        <v>2474</v>
      </c>
      <c r="C1069" s="57">
        <v>1</v>
      </c>
      <c r="D1069" s="57" t="s">
        <v>2341</v>
      </c>
      <c r="E1069" s="57" t="s">
        <v>2471</v>
      </c>
      <c r="F1069" s="57">
        <v>2271</v>
      </c>
      <c r="G1069" s="57">
        <v>3600</v>
      </c>
      <c r="H1069" s="57">
        <v>120</v>
      </c>
      <c r="I1069" s="57" t="s">
        <v>2022</v>
      </c>
      <c r="J1069" s="57" t="s">
        <v>2028</v>
      </c>
      <c r="L1069" s="57" t="s">
        <v>531</v>
      </c>
      <c r="M1069" s="156">
        <v>46044</v>
      </c>
      <c r="P1069" s="57">
        <v>1.3180000000000001</v>
      </c>
      <c r="Q1069" s="57">
        <v>3.2949999999999999</v>
      </c>
      <c r="R1069" s="166">
        <f>IFERROR(VLOOKUP(B1069,#REF!,1,0),0)</f>
        <v>0</v>
      </c>
    </row>
    <row r="1070" spans="1:18" x14ac:dyDescent="0.25">
      <c r="A1070" s="57">
        <v>1069</v>
      </c>
      <c r="B1070" s="57" t="s">
        <v>2475</v>
      </c>
      <c r="C1070" s="57">
        <v>1</v>
      </c>
      <c r="D1070" s="57" t="s">
        <v>2341</v>
      </c>
      <c r="E1070" s="57" t="s">
        <v>2471</v>
      </c>
      <c r="F1070" s="57">
        <v>2271</v>
      </c>
      <c r="G1070" s="57">
        <v>3480</v>
      </c>
      <c r="H1070" s="57">
        <v>120</v>
      </c>
      <c r="I1070" s="57" t="s">
        <v>2022</v>
      </c>
      <c r="J1070" s="57" t="s">
        <v>2028</v>
      </c>
      <c r="L1070" s="57" t="s">
        <v>531</v>
      </c>
      <c r="M1070" s="156">
        <v>46044</v>
      </c>
      <c r="P1070" s="57">
        <v>1.286</v>
      </c>
      <c r="Q1070" s="57">
        <v>3.2149999999999999</v>
      </c>
      <c r="R1070" s="166">
        <f>IFERROR(VLOOKUP(B1070,#REF!,1,0),0)</f>
        <v>0</v>
      </c>
    </row>
    <row r="1071" spans="1:18" x14ac:dyDescent="0.25">
      <c r="A1071" s="57">
        <v>1070</v>
      </c>
      <c r="B1071" s="57" t="s">
        <v>2476</v>
      </c>
      <c r="C1071" s="57">
        <v>1</v>
      </c>
      <c r="D1071" s="57" t="s">
        <v>2341</v>
      </c>
      <c r="E1071" s="57" t="s">
        <v>2471</v>
      </c>
      <c r="F1071" s="57">
        <v>5479</v>
      </c>
      <c r="G1071" s="57">
        <v>3440</v>
      </c>
      <c r="H1071" s="57">
        <v>120</v>
      </c>
      <c r="I1071" s="57" t="s">
        <v>2022</v>
      </c>
      <c r="J1071" s="57" t="s">
        <v>2465</v>
      </c>
      <c r="L1071" s="57" t="s">
        <v>531</v>
      </c>
      <c r="M1071" s="156">
        <v>46044</v>
      </c>
      <c r="P1071" s="57">
        <v>2.5670000000000002</v>
      </c>
      <c r="Q1071" s="57">
        <v>6.4180000000000001</v>
      </c>
      <c r="R1071" s="166">
        <f>IFERROR(VLOOKUP(B1071,#REF!,1,0),0)</f>
        <v>0</v>
      </c>
    </row>
    <row r="1072" spans="1:18" x14ac:dyDescent="0.25">
      <c r="A1072" s="57">
        <v>1071</v>
      </c>
      <c r="B1072" s="57" t="s">
        <v>2477</v>
      </c>
      <c r="C1072" s="57">
        <v>1</v>
      </c>
      <c r="D1072" s="57" t="s">
        <v>2341</v>
      </c>
      <c r="E1072" s="57" t="s">
        <v>2471</v>
      </c>
      <c r="F1072" s="57">
        <v>5472</v>
      </c>
      <c r="G1072" s="57">
        <v>3440</v>
      </c>
      <c r="H1072" s="57">
        <v>120</v>
      </c>
      <c r="I1072" s="57" t="s">
        <v>2022</v>
      </c>
      <c r="J1072" s="57" t="s">
        <v>2465</v>
      </c>
      <c r="L1072" s="57" t="s">
        <v>531</v>
      </c>
      <c r="M1072" s="156">
        <v>46044</v>
      </c>
      <c r="P1072" s="57">
        <v>2.5649999999999999</v>
      </c>
      <c r="Q1072" s="57">
        <v>6.4130000000000003</v>
      </c>
      <c r="R1072" s="166">
        <f>IFERROR(VLOOKUP(B1072,#REF!,1,0),0)</f>
        <v>0</v>
      </c>
    </row>
    <row r="1073" spans="1:18" x14ac:dyDescent="0.25">
      <c r="A1073" s="57">
        <v>1072</v>
      </c>
      <c r="B1073" s="57" t="s">
        <v>2478</v>
      </c>
      <c r="C1073" s="57">
        <v>1</v>
      </c>
      <c r="D1073" s="57" t="s">
        <v>2341</v>
      </c>
      <c r="E1073" s="57" t="s">
        <v>2471</v>
      </c>
      <c r="F1073" s="57">
        <v>5472</v>
      </c>
      <c r="G1073" s="57">
        <v>3440</v>
      </c>
      <c r="H1073" s="57">
        <v>120</v>
      </c>
      <c r="I1073" s="57" t="s">
        <v>2022</v>
      </c>
      <c r="J1073" s="57" t="s">
        <v>2465</v>
      </c>
      <c r="L1073" s="57" t="s">
        <v>531</v>
      </c>
      <c r="M1073" s="156">
        <v>46044</v>
      </c>
      <c r="P1073" s="57">
        <v>2.5649999999999999</v>
      </c>
      <c r="Q1073" s="57">
        <v>6.4130000000000003</v>
      </c>
      <c r="R1073" s="166">
        <f>IFERROR(VLOOKUP(B1073,#REF!,1,0),0)</f>
        <v>0</v>
      </c>
    </row>
    <row r="1074" spans="1:18" x14ac:dyDescent="0.25">
      <c r="A1074" s="57">
        <v>1073</v>
      </c>
      <c r="B1074" s="57" t="s">
        <v>2479</v>
      </c>
      <c r="C1074" s="57">
        <v>1</v>
      </c>
      <c r="D1074" s="57" t="s">
        <v>2341</v>
      </c>
      <c r="E1074" s="57" t="s">
        <v>2471</v>
      </c>
      <c r="F1074" s="57">
        <v>5472</v>
      </c>
      <c r="G1074" s="57">
        <v>3440</v>
      </c>
      <c r="H1074" s="57">
        <v>120</v>
      </c>
      <c r="I1074" s="57" t="s">
        <v>2022</v>
      </c>
      <c r="J1074" s="57" t="s">
        <v>2465</v>
      </c>
      <c r="L1074" s="57" t="s">
        <v>531</v>
      </c>
      <c r="M1074" s="156">
        <v>46044</v>
      </c>
      <c r="P1074" s="57">
        <v>2.5649999999999999</v>
      </c>
      <c r="Q1074" s="57">
        <v>6.4130000000000003</v>
      </c>
      <c r="R1074" s="166">
        <f>IFERROR(VLOOKUP(B1074,#REF!,1,0),0)</f>
        <v>0</v>
      </c>
    </row>
    <row r="1075" spans="1:18" x14ac:dyDescent="0.25">
      <c r="A1075" s="57">
        <v>1074</v>
      </c>
      <c r="B1075" s="57" t="s">
        <v>2480</v>
      </c>
      <c r="C1075" s="57">
        <v>1</v>
      </c>
      <c r="D1075" s="57" t="s">
        <v>2341</v>
      </c>
      <c r="E1075" s="57" t="s">
        <v>2471</v>
      </c>
      <c r="F1075" s="57">
        <v>5472</v>
      </c>
      <c r="G1075" s="57">
        <v>3440</v>
      </c>
      <c r="H1075" s="57">
        <v>120</v>
      </c>
      <c r="I1075" s="57" t="s">
        <v>2022</v>
      </c>
      <c r="J1075" s="57" t="s">
        <v>2465</v>
      </c>
      <c r="L1075" s="57" t="s">
        <v>531</v>
      </c>
      <c r="M1075" s="156">
        <v>46044</v>
      </c>
      <c r="P1075" s="57">
        <v>2.5649999999999999</v>
      </c>
      <c r="Q1075" s="57">
        <v>6.4130000000000003</v>
      </c>
      <c r="R1075" s="166">
        <f>IFERROR(VLOOKUP(B1075,#REF!,1,0),0)</f>
        <v>0</v>
      </c>
    </row>
    <row r="1076" spans="1:18" x14ac:dyDescent="0.25">
      <c r="A1076" s="57">
        <v>1075</v>
      </c>
      <c r="B1076" s="57" t="s">
        <v>2481</v>
      </c>
      <c r="C1076" s="57">
        <v>1</v>
      </c>
      <c r="D1076" s="57" t="s">
        <v>2341</v>
      </c>
      <c r="E1076" s="57" t="s">
        <v>2471</v>
      </c>
      <c r="F1076" s="57">
        <v>5450</v>
      </c>
      <c r="G1076" s="57">
        <v>3440</v>
      </c>
      <c r="H1076" s="57">
        <v>120</v>
      </c>
      <c r="I1076" s="57" t="s">
        <v>2022</v>
      </c>
      <c r="J1076" s="57" t="s">
        <v>2465</v>
      </c>
      <c r="L1076" s="57" t="s">
        <v>531</v>
      </c>
      <c r="M1076" s="156">
        <v>46044</v>
      </c>
      <c r="P1076" s="57">
        <v>2.5649999999999999</v>
      </c>
      <c r="Q1076" s="57">
        <v>6.4130000000000003</v>
      </c>
      <c r="R1076" s="166">
        <f>IFERROR(VLOOKUP(B1076,#REF!,1,0),0)</f>
        <v>0</v>
      </c>
    </row>
    <row r="1077" spans="1:18" x14ac:dyDescent="0.25">
      <c r="A1077" s="57">
        <v>1076</v>
      </c>
      <c r="B1077" s="57" t="s">
        <v>2482</v>
      </c>
      <c r="C1077" s="57">
        <v>1</v>
      </c>
      <c r="D1077" s="57" t="s">
        <v>2341</v>
      </c>
      <c r="E1077" s="57" t="s">
        <v>2471</v>
      </c>
      <c r="F1077" s="57">
        <v>3281</v>
      </c>
      <c r="G1077" s="57">
        <v>3265</v>
      </c>
      <c r="H1077" s="57">
        <v>120</v>
      </c>
      <c r="I1077" s="57" t="s">
        <v>2022</v>
      </c>
      <c r="J1077" s="57" t="s">
        <v>2027</v>
      </c>
      <c r="L1077" s="57" t="s">
        <v>531</v>
      </c>
      <c r="M1077" s="156">
        <v>46044</v>
      </c>
      <c r="P1077" s="57">
        <v>1.556</v>
      </c>
      <c r="Q1077" s="57">
        <v>3.89</v>
      </c>
      <c r="R1077" s="166">
        <f>IFERROR(VLOOKUP(B1077,#REF!,1,0),0)</f>
        <v>0</v>
      </c>
    </row>
    <row r="1078" spans="1:18" x14ac:dyDescent="0.25">
      <c r="A1078" s="57">
        <v>1077</v>
      </c>
      <c r="B1078" s="57" t="s">
        <v>2483</v>
      </c>
      <c r="C1078" s="57">
        <v>1</v>
      </c>
      <c r="D1078" s="57" t="s">
        <v>2341</v>
      </c>
      <c r="E1078" s="57" t="s">
        <v>2471</v>
      </c>
      <c r="F1078" s="57">
        <v>3281</v>
      </c>
      <c r="G1078" s="57">
        <v>3265</v>
      </c>
      <c r="H1078" s="57">
        <v>120</v>
      </c>
      <c r="I1078" s="57" t="s">
        <v>2022</v>
      </c>
      <c r="J1078" s="57" t="s">
        <v>2027</v>
      </c>
      <c r="L1078" s="57" t="s">
        <v>531</v>
      </c>
      <c r="M1078" s="156">
        <v>46044</v>
      </c>
      <c r="P1078" s="57">
        <v>1.556</v>
      </c>
      <c r="Q1078" s="57">
        <v>3.89</v>
      </c>
      <c r="R1078" s="166">
        <f>IFERROR(VLOOKUP(B1078,#REF!,1,0),0)</f>
        <v>0</v>
      </c>
    </row>
    <row r="1079" spans="1:18" x14ac:dyDescent="0.25">
      <c r="A1079" s="57">
        <v>1078</v>
      </c>
      <c r="B1079" s="57" t="s">
        <v>2455</v>
      </c>
      <c r="C1079" s="57">
        <v>1</v>
      </c>
      <c r="D1079" s="57" t="s">
        <v>2341</v>
      </c>
      <c r="E1079" s="57" t="s">
        <v>2471</v>
      </c>
      <c r="F1079" s="57">
        <v>3477</v>
      </c>
      <c r="G1079" s="57">
        <v>2800</v>
      </c>
      <c r="H1079" s="57">
        <v>170</v>
      </c>
      <c r="I1079" s="57" t="s">
        <v>2022</v>
      </c>
      <c r="J1079" s="57" t="s">
        <v>2484</v>
      </c>
      <c r="L1079" s="57" t="s">
        <v>531</v>
      </c>
      <c r="M1079" s="156">
        <v>46044</v>
      </c>
      <c r="P1079" s="57">
        <v>2.8330000000000002</v>
      </c>
      <c r="Q1079" s="57">
        <v>7.0830000000000002</v>
      </c>
      <c r="R1079" s="166">
        <f>IFERROR(VLOOKUP(B1079,#REF!,1,0),0)</f>
        <v>0</v>
      </c>
    </row>
    <row r="1080" spans="1:18" x14ac:dyDescent="0.25">
      <c r="A1080" s="57">
        <v>1079</v>
      </c>
      <c r="B1080" s="57" t="s">
        <v>2458</v>
      </c>
      <c r="C1080" s="57">
        <v>1</v>
      </c>
      <c r="D1080" s="57" t="s">
        <v>2341</v>
      </c>
      <c r="E1080" s="57" t="s">
        <v>2471</v>
      </c>
      <c r="F1080" s="57">
        <v>3477</v>
      </c>
      <c r="G1080" s="57">
        <v>2800</v>
      </c>
      <c r="H1080" s="57">
        <v>170</v>
      </c>
      <c r="I1080" s="57" t="s">
        <v>2022</v>
      </c>
      <c r="J1080" s="57" t="s">
        <v>2484</v>
      </c>
      <c r="L1080" s="57" t="s">
        <v>531</v>
      </c>
      <c r="M1080" s="156">
        <v>46044</v>
      </c>
      <c r="P1080" s="57">
        <v>2.8330000000000002</v>
      </c>
      <c r="Q1080" s="57">
        <v>7.0830000000000002</v>
      </c>
      <c r="R1080" s="166">
        <f>IFERROR(VLOOKUP(B1080,#REF!,1,0),0)</f>
        <v>0</v>
      </c>
    </row>
    <row r="1081" spans="1:18" x14ac:dyDescent="0.25">
      <c r="A1081" s="57">
        <v>1080</v>
      </c>
      <c r="B1081" s="57" t="s">
        <v>2459</v>
      </c>
      <c r="C1081" s="57">
        <v>1</v>
      </c>
      <c r="D1081" s="57" t="s">
        <v>2341</v>
      </c>
      <c r="E1081" s="57" t="s">
        <v>2471</v>
      </c>
      <c r="F1081" s="57">
        <v>3477</v>
      </c>
      <c r="G1081" s="57">
        <v>2800</v>
      </c>
      <c r="H1081" s="57">
        <v>170</v>
      </c>
      <c r="I1081" s="57" t="s">
        <v>2022</v>
      </c>
      <c r="J1081" s="57" t="s">
        <v>2484</v>
      </c>
      <c r="L1081" s="57" t="s">
        <v>531</v>
      </c>
      <c r="M1081" s="156">
        <v>46044</v>
      </c>
      <c r="P1081" s="57">
        <v>2.8330000000000002</v>
      </c>
      <c r="Q1081" s="57">
        <v>7.0830000000000002</v>
      </c>
      <c r="R1081" s="166">
        <f>IFERROR(VLOOKUP(B1081,#REF!,1,0),0)</f>
        <v>0</v>
      </c>
    </row>
    <row r="1082" spans="1:18" x14ac:dyDescent="0.25">
      <c r="A1082" s="57">
        <v>1081</v>
      </c>
      <c r="B1082" s="57" t="s">
        <v>2461</v>
      </c>
      <c r="C1082" s="57">
        <v>1</v>
      </c>
      <c r="D1082" s="57" t="s">
        <v>2341</v>
      </c>
      <c r="E1082" s="57" t="s">
        <v>2471</v>
      </c>
      <c r="F1082" s="57">
        <v>3477</v>
      </c>
      <c r="G1082" s="57">
        <v>2800</v>
      </c>
      <c r="H1082" s="57">
        <v>170</v>
      </c>
      <c r="I1082" s="57" t="s">
        <v>2022</v>
      </c>
      <c r="J1082" s="57" t="s">
        <v>2484</v>
      </c>
      <c r="L1082" s="57" t="s">
        <v>531</v>
      </c>
      <c r="M1082" s="156">
        <v>46044</v>
      </c>
      <c r="P1082" s="57">
        <v>2.8330000000000002</v>
      </c>
      <c r="Q1082" s="57">
        <v>7.0830000000000002</v>
      </c>
      <c r="R1082" s="166">
        <f>IFERROR(VLOOKUP(B1082,#REF!,1,0),0)</f>
        <v>0</v>
      </c>
    </row>
    <row r="1083" spans="1:18" x14ac:dyDescent="0.25">
      <c r="A1083" s="57">
        <v>1082</v>
      </c>
      <c r="B1083" s="57" t="s">
        <v>2485</v>
      </c>
      <c r="C1083" s="57">
        <v>1</v>
      </c>
      <c r="D1083" s="57" t="s">
        <v>2341</v>
      </c>
      <c r="E1083" s="57" t="s">
        <v>2471</v>
      </c>
      <c r="F1083" s="57">
        <v>3477</v>
      </c>
      <c r="G1083" s="57">
        <v>2800</v>
      </c>
      <c r="H1083" s="57">
        <v>170</v>
      </c>
      <c r="I1083" s="57" t="s">
        <v>2022</v>
      </c>
      <c r="J1083" s="57" t="s">
        <v>2484</v>
      </c>
      <c r="L1083" s="57" t="s">
        <v>531</v>
      </c>
      <c r="M1083" s="156">
        <v>46044</v>
      </c>
      <c r="P1083" s="57">
        <v>2.8330000000000002</v>
      </c>
      <c r="Q1083" s="57">
        <v>7.0830000000000002</v>
      </c>
      <c r="R1083" s="166">
        <f>IFERROR(VLOOKUP(B1083,#REF!,1,0),0)</f>
        <v>0</v>
      </c>
    </row>
    <row r="1084" spans="1:18" x14ac:dyDescent="0.25">
      <c r="A1084" s="57">
        <v>1083</v>
      </c>
      <c r="B1084" s="57" t="s">
        <v>2486</v>
      </c>
      <c r="C1084" s="57">
        <v>1</v>
      </c>
      <c r="D1084" s="57" t="s">
        <v>2341</v>
      </c>
      <c r="E1084" s="57" t="s">
        <v>2471</v>
      </c>
      <c r="F1084" s="57">
        <v>3477</v>
      </c>
      <c r="G1084" s="57">
        <v>2800</v>
      </c>
      <c r="H1084" s="57">
        <v>170</v>
      </c>
      <c r="I1084" s="57" t="s">
        <v>2022</v>
      </c>
      <c r="J1084" s="57" t="s">
        <v>2484</v>
      </c>
      <c r="L1084" s="57" t="s">
        <v>531</v>
      </c>
      <c r="M1084" s="156">
        <v>46044</v>
      </c>
      <c r="P1084" s="57">
        <v>2.8330000000000002</v>
      </c>
      <c r="Q1084" s="57">
        <v>7.0830000000000002</v>
      </c>
      <c r="R1084" s="166">
        <f>IFERROR(VLOOKUP(B1084,#REF!,1,0),0)</f>
        <v>0</v>
      </c>
    </row>
    <row r="1085" spans="1:18" x14ac:dyDescent="0.25">
      <c r="A1085" s="57">
        <v>1084</v>
      </c>
      <c r="B1085" s="57" t="s">
        <v>2487</v>
      </c>
      <c r="C1085" s="57">
        <v>1</v>
      </c>
      <c r="D1085" s="57" t="s">
        <v>2341</v>
      </c>
      <c r="E1085" s="57" t="s">
        <v>2471</v>
      </c>
      <c r="F1085" s="57">
        <v>3477</v>
      </c>
      <c r="G1085" s="57">
        <v>2800</v>
      </c>
      <c r="H1085" s="57">
        <v>170</v>
      </c>
      <c r="I1085" s="57" t="s">
        <v>2022</v>
      </c>
      <c r="J1085" s="57" t="s">
        <v>2484</v>
      </c>
      <c r="L1085" s="57" t="s">
        <v>531</v>
      </c>
      <c r="M1085" s="156">
        <v>46044</v>
      </c>
      <c r="P1085" s="57">
        <v>2.8330000000000002</v>
      </c>
      <c r="Q1085" s="57">
        <v>7.0830000000000002</v>
      </c>
      <c r="R1085" s="166">
        <f>IFERROR(VLOOKUP(B1085,#REF!,1,0),0)</f>
        <v>0</v>
      </c>
    </row>
    <row r="1086" spans="1:18" x14ac:dyDescent="0.25">
      <c r="A1086" s="57">
        <v>1085</v>
      </c>
      <c r="B1086" s="57" t="s">
        <v>2488</v>
      </c>
      <c r="C1086" s="57">
        <v>1</v>
      </c>
      <c r="D1086" s="57" t="s">
        <v>2341</v>
      </c>
      <c r="E1086" s="57" t="s">
        <v>2471</v>
      </c>
      <c r="F1086" s="57">
        <v>3477</v>
      </c>
      <c r="G1086" s="57">
        <v>2800</v>
      </c>
      <c r="H1086" s="57">
        <v>170</v>
      </c>
      <c r="I1086" s="57" t="s">
        <v>2022</v>
      </c>
      <c r="J1086" s="57" t="s">
        <v>2484</v>
      </c>
      <c r="L1086" s="57" t="s">
        <v>531</v>
      </c>
      <c r="M1086" s="156">
        <v>46044</v>
      </c>
      <c r="P1086" s="57">
        <v>2.8330000000000002</v>
      </c>
      <c r="Q1086" s="57">
        <v>7.0830000000000002</v>
      </c>
      <c r="R1086" s="166">
        <f>IFERROR(VLOOKUP(B1086,#REF!,1,0),0)</f>
        <v>0</v>
      </c>
    </row>
    <row r="1087" spans="1:18" x14ac:dyDescent="0.25">
      <c r="A1087" s="57">
        <v>1086</v>
      </c>
      <c r="B1087" s="57" t="s">
        <v>2489</v>
      </c>
      <c r="C1087" s="57">
        <v>1</v>
      </c>
      <c r="D1087" s="57" t="s">
        <v>2341</v>
      </c>
      <c r="E1087" s="57" t="s">
        <v>2471</v>
      </c>
      <c r="F1087" s="57">
        <v>3477</v>
      </c>
      <c r="G1087" s="57">
        <v>2800</v>
      </c>
      <c r="H1087" s="57">
        <v>170</v>
      </c>
      <c r="I1087" s="57" t="s">
        <v>2022</v>
      </c>
      <c r="J1087" s="57" t="s">
        <v>2484</v>
      </c>
      <c r="L1087" s="57" t="s">
        <v>531</v>
      </c>
      <c r="M1087" s="156">
        <v>46044</v>
      </c>
      <c r="P1087" s="57">
        <v>2.8330000000000002</v>
      </c>
      <c r="Q1087" s="57">
        <v>7.0830000000000002</v>
      </c>
      <c r="R1087" s="166">
        <f>IFERROR(VLOOKUP(B1087,#REF!,1,0),0)</f>
        <v>0</v>
      </c>
    </row>
    <row r="1088" spans="1:18" x14ac:dyDescent="0.25">
      <c r="A1088" s="57">
        <v>1087</v>
      </c>
      <c r="B1088" s="57" t="s">
        <v>2454</v>
      </c>
      <c r="C1088" s="57">
        <v>1</v>
      </c>
      <c r="D1088" s="57" t="s">
        <v>2341</v>
      </c>
      <c r="E1088" s="57" t="s">
        <v>2471</v>
      </c>
      <c r="F1088" s="57">
        <v>5046</v>
      </c>
      <c r="G1088" s="57">
        <v>2800</v>
      </c>
      <c r="H1088" s="57">
        <v>120</v>
      </c>
      <c r="I1088" s="57" t="s">
        <v>1161</v>
      </c>
      <c r="J1088" s="57" t="s">
        <v>2452</v>
      </c>
      <c r="L1088" s="57" t="s">
        <v>531</v>
      </c>
      <c r="M1088" s="156">
        <v>46044</v>
      </c>
      <c r="P1088" s="57">
        <v>1.6519999999999999</v>
      </c>
      <c r="Q1088" s="57">
        <v>4.13</v>
      </c>
      <c r="R1088" s="166">
        <f>IFERROR(VLOOKUP(B1088,#REF!,1,0),0)</f>
        <v>0</v>
      </c>
    </row>
    <row r="1089" spans="1:22" x14ac:dyDescent="0.25">
      <c r="A1089" s="57">
        <v>1088</v>
      </c>
      <c r="B1089" s="57" t="s">
        <v>2490</v>
      </c>
      <c r="C1089" s="57">
        <v>1</v>
      </c>
      <c r="D1089" s="57" t="s">
        <v>2341</v>
      </c>
      <c r="E1089" s="57" t="s">
        <v>2471</v>
      </c>
      <c r="F1089" s="57">
        <v>4061</v>
      </c>
      <c r="G1089" s="57">
        <v>2240</v>
      </c>
      <c r="H1089" s="57">
        <v>120</v>
      </c>
      <c r="I1089" s="57" t="s">
        <v>2022</v>
      </c>
      <c r="J1089" s="57" t="s">
        <v>2172</v>
      </c>
      <c r="L1089" s="57" t="s">
        <v>531</v>
      </c>
      <c r="M1089" s="156">
        <v>46044</v>
      </c>
      <c r="P1089" s="57">
        <v>1.075</v>
      </c>
      <c r="Q1089" s="57">
        <v>2.6880000000000002</v>
      </c>
      <c r="R1089" s="166">
        <f>IFERROR(VLOOKUP(B1089,#REF!,1,0),0)</f>
        <v>0</v>
      </c>
    </row>
    <row r="1090" spans="1:22" x14ac:dyDescent="0.25">
      <c r="A1090" s="57">
        <v>1089</v>
      </c>
      <c r="B1090" s="57" t="s">
        <v>2491</v>
      </c>
      <c r="C1090" s="57">
        <v>1</v>
      </c>
      <c r="D1090" s="57" t="s">
        <v>2341</v>
      </c>
      <c r="E1090" s="57" t="s">
        <v>2471</v>
      </c>
      <c r="F1090" s="57">
        <v>4130</v>
      </c>
      <c r="G1090" s="57">
        <v>3505</v>
      </c>
      <c r="H1090" s="57">
        <v>120</v>
      </c>
      <c r="I1090" s="57" t="s">
        <v>2022</v>
      </c>
      <c r="J1090" s="57" t="s">
        <v>2027</v>
      </c>
      <c r="L1090" s="57" t="s">
        <v>531</v>
      </c>
      <c r="M1090" s="156">
        <v>46044</v>
      </c>
      <c r="P1090" s="57">
        <v>1.605</v>
      </c>
      <c r="Q1090" s="57">
        <v>4.0129999999999999</v>
      </c>
      <c r="R1090" s="166">
        <f>IFERROR(VLOOKUP(B1090,#REF!,1,0),0)</f>
        <v>0</v>
      </c>
    </row>
    <row r="1091" spans="1:22" x14ac:dyDescent="0.25">
      <c r="A1091" s="57">
        <v>1090</v>
      </c>
      <c r="B1091" s="57" t="s">
        <v>2462</v>
      </c>
      <c r="C1091" s="57">
        <v>1</v>
      </c>
      <c r="D1091" s="57" t="s">
        <v>2341</v>
      </c>
      <c r="E1091" s="57" t="s">
        <v>2492</v>
      </c>
      <c r="F1091" s="57">
        <v>2400</v>
      </c>
      <c r="G1091" s="57">
        <v>3440</v>
      </c>
      <c r="H1091" s="57">
        <v>120</v>
      </c>
      <c r="I1091" s="57" t="s">
        <v>2022</v>
      </c>
      <c r="J1091" s="57" t="s">
        <v>2023</v>
      </c>
      <c r="L1091" s="57" t="s">
        <v>531</v>
      </c>
      <c r="M1091" s="156">
        <v>46044</v>
      </c>
      <c r="P1091" s="57">
        <v>1.101</v>
      </c>
      <c r="Q1091" s="57">
        <v>2.7530000000000001</v>
      </c>
      <c r="R1091" s="166">
        <f>IFERROR(VLOOKUP(B1091,#REF!,1,0),0)</f>
        <v>0</v>
      </c>
    </row>
    <row r="1092" spans="1:22" x14ac:dyDescent="0.25">
      <c r="A1092" s="57">
        <v>1091</v>
      </c>
      <c r="B1092" s="57" t="s">
        <v>2493</v>
      </c>
      <c r="C1092" s="57">
        <v>1</v>
      </c>
      <c r="D1092" s="57" t="s">
        <v>2341</v>
      </c>
      <c r="E1092" s="57" t="s">
        <v>2492</v>
      </c>
      <c r="F1092" s="57">
        <v>4867</v>
      </c>
      <c r="G1092" s="57">
        <v>2125</v>
      </c>
      <c r="H1092" s="57">
        <v>120</v>
      </c>
      <c r="I1092" s="57" t="s">
        <v>1212</v>
      </c>
      <c r="J1092" s="57" t="s">
        <v>2021</v>
      </c>
      <c r="L1092" s="57" t="s">
        <v>531</v>
      </c>
      <c r="M1092" s="156">
        <v>46044</v>
      </c>
      <c r="P1092" s="57">
        <v>1.2989999999999999</v>
      </c>
      <c r="Q1092" s="57">
        <v>3.2480000000000002</v>
      </c>
      <c r="R1092" s="166">
        <f>IFERROR(VLOOKUP(B1092,#REF!,1,0),0)</f>
        <v>0</v>
      </c>
    </row>
    <row r="1093" spans="1:22" x14ac:dyDescent="0.25">
      <c r="A1093" s="57">
        <v>1092</v>
      </c>
      <c r="B1093" s="57" t="s">
        <v>2494</v>
      </c>
      <c r="C1093" s="57">
        <v>1</v>
      </c>
      <c r="D1093" s="57" t="s">
        <v>2341</v>
      </c>
      <c r="E1093" s="57" t="s">
        <v>2492</v>
      </c>
      <c r="F1093" s="57">
        <v>4867</v>
      </c>
      <c r="G1093" s="57">
        <v>3230</v>
      </c>
      <c r="H1093" s="57">
        <v>120</v>
      </c>
      <c r="I1093" s="57" t="s">
        <v>2022</v>
      </c>
      <c r="J1093" s="57" t="s">
        <v>2495</v>
      </c>
      <c r="L1093" s="57" t="s">
        <v>531</v>
      </c>
      <c r="M1093" s="156">
        <v>46044</v>
      </c>
      <c r="P1093" s="57">
        <v>1.498</v>
      </c>
      <c r="Q1093" s="57">
        <v>3.7450000000000001</v>
      </c>
      <c r="R1093" s="166">
        <f>IFERROR(VLOOKUP(B1093,#REF!,1,0),0)</f>
        <v>0</v>
      </c>
    </row>
    <row r="1094" spans="1:22" x14ac:dyDescent="0.25">
      <c r="A1094" s="57">
        <v>1100</v>
      </c>
      <c r="B1094" s="57" t="s">
        <v>2496</v>
      </c>
      <c r="C1094" s="57">
        <v>1</v>
      </c>
      <c r="D1094" s="57" t="s">
        <v>2019</v>
      </c>
      <c r="E1094" s="57" t="s">
        <v>2438</v>
      </c>
      <c r="F1094" s="57">
        <v>4038</v>
      </c>
      <c r="G1094" s="57">
        <v>1600</v>
      </c>
      <c r="H1094" s="57">
        <v>170</v>
      </c>
      <c r="I1094" s="57" t="s">
        <v>2022</v>
      </c>
      <c r="J1094" s="57" t="s">
        <v>2497</v>
      </c>
      <c r="K1094" s="172"/>
      <c r="L1094" s="173" t="s">
        <v>787</v>
      </c>
      <c r="M1094" s="174">
        <v>46041</v>
      </c>
      <c r="N1094" s="172">
        <v>0</v>
      </c>
      <c r="O1094" s="172"/>
      <c r="P1094" s="172">
        <v>2.4820000000000002</v>
      </c>
      <c r="Q1094" s="172">
        <v>6.2050000000000001</v>
      </c>
      <c r="R1094" s="166">
        <f>IFERROR(VLOOKUP(B1094,#REF!,1,0),0)</f>
        <v>0</v>
      </c>
      <c r="V1094" s="179" t="e">
        <f>_xlfn.XLOOKUP(B1094,#REF!,#REF!)</f>
        <v>#REF!</v>
      </c>
    </row>
    <row r="1095" spans="1:22" x14ac:dyDescent="0.25">
      <c r="A1095" s="57">
        <v>1101</v>
      </c>
      <c r="B1095" s="57" t="s">
        <v>2498</v>
      </c>
      <c r="C1095" s="57">
        <v>1</v>
      </c>
      <c r="D1095" s="57" t="s">
        <v>2019</v>
      </c>
      <c r="E1095" s="57" t="s">
        <v>2438</v>
      </c>
      <c r="F1095" s="57">
        <v>4035</v>
      </c>
      <c r="G1095" s="57">
        <v>1600</v>
      </c>
      <c r="H1095" s="57">
        <v>170</v>
      </c>
      <c r="I1095" s="57" t="s">
        <v>2022</v>
      </c>
      <c r="J1095" s="57" t="s">
        <v>2499</v>
      </c>
      <c r="K1095" s="172"/>
      <c r="L1095" s="173" t="s">
        <v>787</v>
      </c>
      <c r="M1095" s="174">
        <v>46041</v>
      </c>
      <c r="N1095" s="172">
        <v>0</v>
      </c>
      <c r="O1095" s="172"/>
      <c r="P1095" s="172">
        <v>2.4809999999999999</v>
      </c>
      <c r="Q1095" s="172">
        <v>6.2030000000000003</v>
      </c>
      <c r="R1095" s="166">
        <f>IFERROR(VLOOKUP(B1095,#REF!,1,0),0)</f>
        <v>0</v>
      </c>
      <c r="V1095" s="179" t="e">
        <f>_xlfn.XLOOKUP(B1095,#REF!,#REF!)</f>
        <v>#REF!</v>
      </c>
    </row>
    <row r="1096" spans="1:22" x14ac:dyDescent="0.25">
      <c r="A1096" s="57">
        <v>1102</v>
      </c>
      <c r="B1096" s="57" t="s">
        <v>2500</v>
      </c>
      <c r="C1096" s="57">
        <v>1</v>
      </c>
      <c r="D1096" s="57" t="s">
        <v>2019</v>
      </c>
      <c r="E1096" s="57" t="s">
        <v>2501</v>
      </c>
      <c r="F1096" s="57">
        <v>5220</v>
      </c>
      <c r="G1096" s="57">
        <v>3190</v>
      </c>
      <c r="H1096" s="57">
        <v>120</v>
      </c>
      <c r="I1096" s="57" t="s">
        <v>2022</v>
      </c>
      <c r="J1096" s="57" t="s">
        <v>2033</v>
      </c>
      <c r="K1096" s="172"/>
      <c r="L1096" s="173" t="s">
        <v>787</v>
      </c>
      <c r="M1096" s="174">
        <v>46041</v>
      </c>
      <c r="N1096" s="172">
        <v>0</v>
      </c>
      <c r="O1096" s="172"/>
      <c r="P1096" s="172">
        <v>2.2530000000000001</v>
      </c>
      <c r="Q1096" s="172">
        <v>5.633</v>
      </c>
      <c r="R1096" s="166">
        <f>IFERROR(VLOOKUP(B1096,#REF!,1,0),0)</f>
        <v>0</v>
      </c>
      <c r="V1096" s="179" t="e">
        <f>_xlfn.XLOOKUP(B1096,#REF!,#REF!)</f>
        <v>#REF!</v>
      </c>
    </row>
    <row r="1097" spans="1:22" x14ac:dyDescent="0.25">
      <c r="A1097" s="57">
        <v>1103</v>
      </c>
      <c r="B1097" s="57" t="s">
        <v>2502</v>
      </c>
      <c r="C1097" s="57">
        <v>1</v>
      </c>
      <c r="D1097" s="57" t="s">
        <v>2019</v>
      </c>
      <c r="E1097" s="57" t="s">
        <v>1781</v>
      </c>
      <c r="F1097" s="57">
        <v>5220</v>
      </c>
      <c r="G1097" s="57">
        <v>3190</v>
      </c>
      <c r="H1097" s="57">
        <v>120</v>
      </c>
      <c r="I1097" s="57" t="s">
        <v>2022</v>
      </c>
      <c r="J1097" s="57" t="s">
        <v>2033</v>
      </c>
      <c r="K1097" s="172"/>
      <c r="L1097" s="173" t="s">
        <v>787</v>
      </c>
      <c r="M1097" s="174">
        <v>46041</v>
      </c>
      <c r="N1097" s="172">
        <v>0</v>
      </c>
      <c r="O1097" s="172"/>
      <c r="P1097" s="172">
        <v>2.2530000000000001</v>
      </c>
      <c r="Q1097" s="172">
        <v>5.633</v>
      </c>
      <c r="R1097" s="166">
        <f>IFERROR(VLOOKUP(B1097,#REF!,1,0),0)</f>
        <v>0</v>
      </c>
      <c r="V1097" s="179" t="e">
        <f>_xlfn.XLOOKUP(B1097,#REF!,#REF!)</f>
        <v>#REF!</v>
      </c>
    </row>
    <row r="1098" spans="1:22" x14ac:dyDescent="0.25">
      <c r="A1098" s="57">
        <v>1104</v>
      </c>
      <c r="B1098" s="57" t="s">
        <v>2503</v>
      </c>
      <c r="C1098" s="57">
        <v>1</v>
      </c>
      <c r="D1098" s="57" t="s">
        <v>2019</v>
      </c>
      <c r="E1098" s="57" t="s">
        <v>2501</v>
      </c>
      <c r="F1098" s="57">
        <v>5220</v>
      </c>
      <c r="G1098" s="57">
        <v>3190</v>
      </c>
      <c r="H1098" s="57">
        <v>120</v>
      </c>
      <c r="I1098" s="57" t="s">
        <v>2022</v>
      </c>
      <c r="J1098" s="57" t="s">
        <v>2033</v>
      </c>
      <c r="K1098" s="172"/>
      <c r="L1098" s="173" t="s">
        <v>787</v>
      </c>
      <c r="M1098" s="174">
        <v>46041</v>
      </c>
      <c r="N1098" s="172">
        <v>0</v>
      </c>
      <c r="O1098" s="172"/>
      <c r="P1098" s="172">
        <v>2.2530000000000001</v>
      </c>
      <c r="Q1098" s="172">
        <v>5.633</v>
      </c>
      <c r="R1098" s="166">
        <f>IFERROR(VLOOKUP(B1098,#REF!,1,0),0)</f>
        <v>0</v>
      </c>
      <c r="V1098" s="179" t="e">
        <f>_xlfn.XLOOKUP(B1098,#REF!,#REF!)</f>
        <v>#REF!</v>
      </c>
    </row>
    <row r="1099" spans="1:22" x14ac:dyDescent="0.25">
      <c r="A1099" s="57">
        <v>1105</v>
      </c>
      <c r="B1099" s="57" t="s">
        <v>2504</v>
      </c>
      <c r="C1099" s="57">
        <v>1</v>
      </c>
      <c r="D1099" s="57" t="s">
        <v>2019</v>
      </c>
      <c r="E1099" s="57" t="s">
        <v>1781</v>
      </c>
      <c r="F1099" s="57">
        <v>5220</v>
      </c>
      <c r="G1099" s="57">
        <v>3190</v>
      </c>
      <c r="H1099" s="57">
        <v>120</v>
      </c>
      <c r="I1099" s="57" t="s">
        <v>2022</v>
      </c>
      <c r="J1099" s="57" t="s">
        <v>2033</v>
      </c>
      <c r="K1099" s="172"/>
      <c r="L1099" s="173" t="s">
        <v>787</v>
      </c>
      <c r="M1099" s="174">
        <v>46041</v>
      </c>
      <c r="N1099" s="172">
        <v>0</v>
      </c>
      <c r="O1099" s="172"/>
      <c r="P1099" s="172">
        <v>2.2530000000000001</v>
      </c>
      <c r="Q1099" s="172">
        <v>5.633</v>
      </c>
      <c r="R1099" s="166">
        <f>IFERROR(VLOOKUP(B1099,#REF!,1,0),0)</f>
        <v>0</v>
      </c>
      <c r="V1099" s="179" t="e">
        <f>_xlfn.XLOOKUP(B1099,#REF!,#REF!)</f>
        <v>#REF!</v>
      </c>
    </row>
    <row r="1100" spans="1:22" x14ac:dyDescent="0.25">
      <c r="A1100" s="57">
        <v>1106</v>
      </c>
      <c r="B1100" s="57" t="s">
        <v>2505</v>
      </c>
      <c r="C1100" s="57">
        <v>1</v>
      </c>
      <c r="D1100" s="57" t="s">
        <v>2019</v>
      </c>
      <c r="E1100" s="57" t="s">
        <v>2501</v>
      </c>
      <c r="F1100" s="57">
        <v>5220</v>
      </c>
      <c r="G1100" s="57">
        <v>3130</v>
      </c>
      <c r="H1100" s="57">
        <v>120</v>
      </c>
      <c r="I1100" s="57" t="s">
        <v>2022</v>
      </c>
      <c r="J1100" s="57" t="s">
        <v>2033</v>
      </c>
      <c r="K1100" s="172"/>
      <c r="L1100" s="173" t="s">
        <v>787</v>
      </c>
      <c r="M1100" s="174">
        <v>46041</v>
      </c>
      <c r="N1100" s="172">
        <v>0</v>
      </c>
      <c r="O1100" s="172"/>
      <c r="P1100" s="172">
        <v>2.2160000000000002</v>
      </c>
      <c r="Q1100" s="172">
        <v>5.54</v>
      </c>
      <c r="R1100" s="166">
        <f>IFERROR(VLOOKUP(B1100,#REF!,1,0),0)</f>
        <v>0</v>
      </c>
      <c r="V1100" s="179" t="e">
        <f>_xlfn.XLOOKUP(B1100,#REF!,#REF!)</f>
        <v>#REF!</v>
      </c>
    </row>
    <row r="1101" spans="1:22" x14ac:dyDescent="0.25">
      <c r="A1101" s="57">
        <v>1107</v>
      </c>
      <c r="B1101" s="57" t="s">
        <v>2506</v>
      </c>
      <c r="C1101" s="57">
        <v>1</v>
      </c>
      <c r="D1101" s="57" t="s">
        <v>2019</v>
      </c>
      <c r="E1101" s="57" t="s">
        <v>1781</v>
      </c>
      <c r="F1101" s="57">
        <v>5220</v>
      </c>
      <c r="G1101" s="57">
        <v>3130</v>
      </c>
      <c r="H1101" s="57">
        <v>120</v>
      </c>
      <c r="I1101" s="57" t="s">
        <v>2022</v>
      </c>
      <c r="J1101" s="57" t="s">
        <v>2033</v>
      </c>
      <c r="K1101" s="172"/>
      <c r="L1101" s="173" t="s">
        <v>787</v>
      </c>
      <c r="M1101" s="174">
        <v>46041</v>
      </c>
      <c r="N1101" s="172">
        <v>0</v>
      </c>
      <c r="O1101" s="172"/>
      <c r="P1101" s="172">
        <v>2.2160000000000002</v>
      </c>
      <c r="Q1101" s="172">
        <v>5.54</v>
      </c>
      <c r="R1101" s="166">
        <f>IFERROR(VLOOKUP(B1101,#REF!,1,0),0)</f>
        <v>0</v>
      </c>
      <c r="V1101" s="179" t="e">
        <f>_xlfn.XLOOKUP(B1101,#REF!,#REF!)</f>
        <v>#REF!</v>
      </c>
    </row>
    <row r="1102" spans="1:22" x14ac:dyDescent="0.25">
      <c r="A1102" s="57">
        <v>1108</v>
      </c>
      <c r="B1102" s="57" t="s">
        <v>2507</v>
      </c>
      <c r="C1102" s="57">
        <v>1</v>
      </c>
      <c r="D1102" s="57" t="s">
        <v>2019</v>
      </c>
      <c r="E1102" s="57" t="s">
        <v>2501</v>
      </c>
      <c r="F1102" s="57">
        <v>5220</v>
      </c>
      <c r="G1102" s="57">
        <v>3130</v>
      </c>
      <c r="H1102" s="57">
        <v>120</v>
      </c>
      <c r="I1102" s="57" t="s">
        <v>2022</v>
      </c>
      <c r="J1102" s="57" t="s">
        <v>2033</v>
      </c>
      <c r="K1102" s="172"/>
      <c r="L1102" s="173" t="s">
        <v>787</v>
      </c>
      <c r="M1102" s="174">
        <v>46041</v>
      </c>
      <c r="N1102" s="172">
        <v>0</v>
      </c>
      <c r="O1102" s="172"/>
      <c r="P1102" s="172">
        <v>2.2160000000000002</v>
      </c>
      <c r="Q1102" s="172">
        <v>5.54</v>
      </c>
      <c r="R1102" s="166">
        <f>IFERROR(VLOOKUP(B1102,#REF!,1,0),0)</f>
        <v>0</v>
      </c>
      <c r="V1102" s="179" t="e">
        <f>_xlfn.XLOOKUP(B1102,#REF!,#REF!)</f>
        <v>#REF!</v>
      </c>
    </row>
    <row r="1103" spans="1:22" x14ac:dyDescent="0.25">
      <c r="A1103" s="57">
        <v>1109</v>
      </c>
      <c r="B1103" s="57" t="s">
        <v>2508</v>
      </c>
      <c r="C1103" s="57">
        <v>1</v>
      </c>
      <c r="D1103" s="57" t="s">
        <v>2019</v>
      </c>
      <c r="E1103" s="57" t="s">
        <v>1781</v>
      </c>
      <c r="F1103" s="57">
        <v>5220</v>
      </c>
      <c r="G1103" s="57">
        <v>3130</v>
      </c>
      <c r="H1103" s="57">
        <v>120</v>
      </c>
      <c r="I1103" s="57" t="s">
        <v>2022</v>
      </c>
      <c r="J1103" s="57" t="s">
        <v>2033</v>
      </c>
      <c r="K1103" s="172"/>
      <c r="L1103" s="173" t="s">
        <v>787</v>
      </c>
      <c r="M1103" s="174">
        <v>46041</v>
      </c>
      <c r="N1103" s="172">
        <v>0</v>
      </c>
      <c r="O1103" s="172"/>
      <c r="P1103" s="172">
        <v>2.2160000000000002</v>
      </c>
      <c r="Q1103" s="172">
        <v>5.54</v>
      </c>
      <c r="R1103" s="166">
        <f>IFERROR(VLOOKUP(B1103,#REF!,1,0),0)</f>
        <v>0</v>
      </c>
      <c r="V1103" s="179" t="e">
        <f>_xlfn.XLOOKUP(B1103,#REF!,#REF!)</f>
        <v>#REF!</v>
      </c>
    </row>
    <row r="1104" spans="1:22" x14ac:dyDescent="0.25">
      <c r="A1104" s="57">
        <v>1110</v>
      </c>
      <c r="B1104" s="57" t="s">
        <v>2509</v>
      </c>
      <c r="C1104" s="57">
        <v>1</v>
      </c>
      <c r="D1104" s="57" t="s">
        <v>2019</v>
      </c>
      <c r="E1104" s="57" t="s">
        <v>2501</v>
      </c>
      <c r="F1104" s="57">
        <v>5220</v>
      </c>
      <c r="G1104" s="57">
        <v>3130</v>
      </c>
      <c r="H1104" s="57">
        <v>120</v>
      </c>
      <c r="I1104" s="57" t="s">
        <v>2022</v>
      </c>
      <c r="J1104" s="57" t="s">
        <v>2033</v>
      </c>
      <c r="K1104" s="172"/>
      <c r="L1104" s="173" t="s">
        <v>787</v>
      </c>
      <c r="M1104" s="174">
        <v>46041</v>
      </c>
      <c r="N1104" s="172">
        <v>0</v>
      </c>
      <c r="O1104" s="172"/>
      <c r="P1104" s="172">
        <v>2.2160000000000002</v>
      </c>
      <c r="Q1104" s="172">
        <v>5.54</v>
      </c>
      <c r="R1104" s="166">
        <f>IFERROR(VLOOKUP(B1104,#REF!,1,0),0)</f>
        <v>0</v>
      </c>
      <c r="V1104" s="179" t="e">
        <f>_xlfn.XLOOKUP(B1104,#REF!,#REF!)</f>
        <v>#REF!</v>
      </c>
    </row>
    <row r="1105" spans="1:22" x14ac:dyDescent="0.25">
      <c r="A1105" s="57">
        <v>1111</v>
      </c>
      <c r="B1105" s="57" t="s">
        <v>2510</v>
      </c>
      <c r="C1105" s="57">
        <v>1</v>
      </c>
      <c r="D1105" s="57" t="s">
        <v>2019</v>
      </c>
      <c r="E1105" s="57" t="s">
        <v>2501</v>
      </c>
      <c r="F1105" s="57">
        <v>5220</v>
      </c>
      <c r="G1105" s="57">
        <v>3190</v>
      </c>
      <c r="H1105" s="57">
        <v>120</v>
      </c>
      <c r="I1105" s="57" t="s">
        <v>2022</v>
      </c>
      <c r="J1105" s="57" t="s">
        <v>2465</v>
      </c>
      <c r="K1105" s="172"/>
      <c r="L1105" s="173" t="s">
        <v>787</v>
      </c>
      <c r="M1105" s="174">
        <v>46041</v>
      </c>
      <c r="N1105" s="172">
        <v>0</v>
      </c>
      <c r="O1105" s="172"/>
      <c r="P1105" s="172">
        <v>2.3279999999999998</v>
      </c>
      <c r="Q1105" s="172">
        <v>5.82</v>
      </c>
      <c r="R1105" s="166">
        <f>IFERROR(VLOOKUP(B1105,#REF!,1,0),0)</f>
        <v>0</v>
      </c>
      <c r="V1105" s="179" t="e">
        <f>_xlfn.XLOOKUP(B1105,#REF!,#REF!)</f>
        <v>#REF!</v>
      </c>
    </row>
    <row r="1106" spans="1:22" x14ac:dyDescent="0.25">
      <c r="A1106" s="57">
        <v>1113</v>
      </c>
      <c r="B1106" s="57" t="s">
        <v>2511</v>
      </c>
      <c r="C1106" s="57">
        <v>1</v>
      </c>
      <c r="D1106" s="57" t="s">
        <v>2019</v>
      </c>
      <c r="E1106" s="57" t="s">
        <v>2501</v>
      </c>
      <c r="F1106" s="57">
        <v>4180</v>
      </c>
      <c r="G1106" s="57">
        <v>2800</v>
      </c>
      <c r="H1106" s="57">
        <v>120</v>
      </c>
      <c r="I1106" s="57" t="s">
        <v>2512</v>
      </c>
      <c r="J1106" s="57" t="s">
        <v>2034</v>
      </c>
      <c r="K1106" s="172"/>
      <c r="L1106" s="173" t="s">
        <v>787</v>
      </c>
      <c r="M1106" s="174">
        <v>46041</v>
      </c>
      <c r="N1106" s="172">
        <v>0</v>
      </c>
      <c r="O1106" s="172"/>
      <c r="P1106" s="172">
        <v>1.381</v>
      </c>
      <c r="Q1106" s="172">
        <v>3.4529999999999998</v>
      </c>
      <c r="R1106" s="166">
        <f>IFERROR(VLOOKUP(B1106,#REF!,1,0),0)</f>
        <v>0</v>
      </c>
      <c r="V1106" s="179" t="e">
        <f>_xlfn.XLOOKUP(B1106,#REF!,#REF!)</f>
        <v>#REF!</v>
      </c>
    </row>
    <row r="1107" spans="1:22" x14ac:dyDescent="0.25">
      <c r="A1107" s="57">
        <v>1114</v>
      </c>
      <c r="B1107" s="57" t="s">
        <v>2513</v>
      </c>
      <c r="C1107" s="57">
        <v>1</v>
      </c>
      <c r="D1107" s="57" t="s">
        <v>2019</v>
      </c>
      <c r="E1107" s="57" t="s">
        <v>2501</v>
      </c>
      <c r="F1107" s="57">
        <v>4009</v>
      </c>
      <c r="G1107" s="57">
        <v>2050</v>
      </c>
      <c r="H1107" s="57">
        <v>120</v>
      </c>
      <c r="I1107" s="57" t="s">
        <v>2022</v>
      </c>
      <c r="J1107" s="57" t="s">
        <v>2172</v>
      </c>
      <c r="K1107" s="172"/>
      <c r="L1107" s="173" t="s">
        <v>787</v>
      </c>
      <c r="M1107" s="174">
        <v>46041</v>
      </c>
      <c r="N1107" s="172">
        <v>0</v>
      </c>
      <c r="O1107" s="172"/>
      <c r="P1107" s="172">
        <v>1.0549999999999999</v>
      </c>
      <c r="Q1107" s="172">
        <v>2.6379999999999999</v>
      </c>
      <c r="R1107" s="166">
        <f>IFERROR(VLOOKUP(B1107,#REF!,1,0),0)</f>
        <v>0</v>
      </c>
      <c r="V1107" s="179" t="e">
        <f>_xlfn.XLOOKUP(B1107,#REF!,#REF!)</f>
        <v>#REF!</v>
      </c>
    </row>
    <row r="1108" spans="1:22" x14ac:dyDescent="0.25">
      <c r="A1108" s="57">
        <v>1115</v>
      </c>
      <c r="B1108" s="57" t="s">
        <v>2514</v>
      </c>
      <c r="C1108" s="57">
        <v>1</v>
      </c>
      <c r="D1108" s="57" t="s">
        <v>2019</v>
      </c>
      <c r="E1108" s="57" t="s">
        <v>2501</v>
      </c>
      <c r="F1108" s="57">
        <v>4005</v>
      </c>
      <c r="G1108" s="57">
        <v>2250</v>
      </c>
      <c r="H1108" s="57">
        <v>120</v>
      </c>
      <c r="I1108" s="57" t="s">
        <v>2022</v>
      </c>
      <c r="J1108" s="57" t="s">
        <v>2172</v>
      </c>
      <c r="K1108" s="172"/>
      <c r="L1108" s="173" t="s">
        <v>787</v>
      </c>
      <c r="M1108" s="174">
        <v>46041</v>
      </c>
      <c r="N1108" s="172">
        <v>0</v>
      </c>
      <c r="O1108" s="172"/>
      <c r="P1108" s="172">
        <v>1.151</v>
      </c>
      <c r="Q1108" s="172">
        <v>2.8780000000000001</v>
      </c>
      <c r="R1108" s="166">
        <f>IFERROR(VLOOKUP(B1108,#REF!,1,0),0)</f>
        <v>0</v>
      </c>
      <c r="V1108" s="179" t="e">
        <f>_xlfn.XLOOKUP(B1108,#REF!,#REF!)</f>
        <v>#REF!</v>
      </c>
    </row>
    <row r="1109" spans="1:22" x14ac:dyDescent="0.25">
      <c r="A1109" s="57">
        <v>1116</v>
      </c>
      <c r="B1109" s="57" t="s">
        <v>2515</v>
      </c>
      <c r="C1109" s="57">
        <v>1</v>
      </c>
      <c r="D1109" s="57" t="s">
        <v>2019</v>
      </c>
      <c r="E1109" s="57" t="s">
        <v>2501</v>
      </c>
      <c r="F1109" s="57">
        <v>4005</v>
      </c>
      <c r="G1109" s="57">
        <v>2250</v>
      </c>
      <c r="H1109" s="57">
        <v>120</v>
      </c>
      <c r="I1109" s="57" t="s">
        <v>2022</v>
      </c>
      <c r="J1109" s="57" t="s">
        <v>2027</v>
      </c>
      <c r="K1109" s="172"/>
      <c r="L1109" s="173" t="s">
        <v>787</v>
      </c>
      <c r="M1109" s="174">
        <v>46041</v>
      </c>
      <c r="N1109" s="172">
        <v>0</v>
      </c>
      <c r="O1109" s="172"/>
      <c r="P1109" s="172">
        <v>1.546</v>
      </c>
      <c r="Q1109" s="172">
        <v>3.8650000000000002</v>
      </c>
      <c r="R1109" s="166">
        <f>IFERROR(VLOOKUP(B1109,#REF!,1,0),0)</f>
        <v>0</v>
      </c>
      <c r="V1109" s="179" t="e">
        <f>_xlfn.XLOOKUP(B1109,#REF!,#REF!)</f>
        <v>#REF!</v>
      </c>
    </row>
    <row r="1110" spans="1:22" x14ac:dyDescent="0.25">
      <c r="A1110" s="57">
        <v>1117</v>
      </c>
      <c r="B1110" s="57" t="s">
        <v>2516</v>
      </c>
      <c r="C1110" s="57">
        <v>1</v>
      </c>
      <c r="D1110" s="57" t="s">
        <v>2019</v>
      </c>
      <c r="E1110" s="57" t="s">
        <v>1781</v>
      </c>
      <c r="F1110" s="57">
        <v>5220</v>
      </c>
      <c r="G1110" s="57">
        <v>3130</v>
      </c>
      <c r="H1110" s="57">
        <v>120</v>
      </c>
      <c r="I1110" s="57" t="s">
        <v>2022</v>
      </c>
      <c r="J1110" s="57" t="s">
        <v>2033</v>
      </c>
      <c r="K1110" s="172"/>
      <c r="L1110" s="173" t="s">
        <v>787</v>
      </c>
      <c r="M1110" s="174">
        <v>46041</v>
      </c>
      <c r="N1110" s="172">
        <v>0</v>
      </c>
      <c r="O1110" s="172"/>
      <c r="P1110" s="172">
        <v>2.2160000000000002</v>
      </c>
      <c r="Q1110" s="172">
        <v>5.54</v>
      </c>
      <c r="R1110" s="166">
        <f>IFERROR(VLOOKUP(B1110,#REF!,1,0),0)</f>
        <v>0</v>
      </c>
      <c r="V1110" s="179" t="e">
        <f>_xlfn.XLOOKUP(B1110,#REF!,#REF!)</f>
        <v>#REF!</v>
      </c>
    </row>
    <row r="1111" spans="1:22" x14ac:dyDescent="0.25">
      <c r="A1111" s="57">
        <v>1118</v>
      </c>
      <c r="B1111" s="57" t="s">
        <v>2517</v>
      </c>
      <c r="C1111" s="57">
        <v>1</v>
      </c>
      <c r="D1111" s="57" t="s">
        <v>2019</v>
      </c>
      <c r="E1111" s="57" t="s">
        <v>1781</v>
      </c>
      <c r="F1111" s="57">
        <v>5220</v>
      </c>
      <c r="G1111" s="57">
        <v>3190</v>
      </c>
      <c r="H1111" s="57">
        <v>120</v>
      </c>
      <c r="I1111" s="57" t="s">
        <v>2022</v>
      </c>
      <c r="J1111" s="57" t="s">
        <v>2465</v>
      </c>
      <c r="K1111" s="172"/>
      <c r="L1111" s="173" t="s">
        <v>787</v>
      </c>
      <c r="M1111" s="174">
        <v>46041</v>
      </c>
      <c r="N1111" s="172">
        <v>0</v>
      </c>
      <c r="O1111" s="172"/>
      <c r="P1111" s="172">
        <v>2.3279999999999998</v>
      </c>
      <c r="Q1111" s="172">
        <v>5.82</v>
      </c>
      <c r="R1111" s="166">
        <f>IFERROR(VLOOKUP(B1111,#REF!,1,0),0)</f>
        <v>0</v>
      </c>
      <c r="V1111" s="179" t="e">
        <f>_xlfn.XLOOKUP(B1111,#REF!,#REF!)</f>
        <v>#REF!</v>
      </c>
    </row>
    <row r="1112" spans="1:22" x14ac:dyDescent="0.25">
      <c r="A1112" s="57">
        <v>1119</v>
      </c>
      <c r="B1112" s="57" t="s">
        <v>2518</v>
      </c>
      <c r="C1112" s="57">
        <v>1</v>
      </c>
      <c r="D1112" s="57" t="s">
        <v>2019</v>
      </c>
      <c r="E1112" s="57" t="s">
        <v>1781</v>
      </c>
      <c r="F1112" s="57">
        <v>4690</v>
      </c>
      <c r="G1112" s="57">
        <v>3560</v>
      </c>
      <c r="H1112" s="57">
        <v>120</v>
      </c>
      <c r="I1112" s="57" t="s">
        <v>1212</v>
      </c>
      <c r="J1112" s="57" t="s">
        <v>2020</v>
      </c>
      <c r="K1112" s="172"/>
      <c r="L1112" s="173" t="s">
        <v>787</v>
      </c>
      <c r="M1112" s="174">
        <v>46041</v>
      </c>
      <c r="N1112" s="172">
        <v>0</v>
      </c>
      <c r="O1112" s="172"/>
      <c r="P1112" s="172">
        <v>1.4690000000000001</v>
      </c>
      <c r="Q1112" s="172">
        <v>3.673</v>
      </c>
      <c r="R1112" s="166">
        <f>IFERROR(VLOOKUP(B1112,#REF!,1,0),0)</f>
        <v>0</v>
      </c>
      <c r="V1112" s="179" t="e">
        <f>_xlfn.XLOOKUP(B1112,#REF!,#REF!)</f>
        <v>#REF!</v>
      </c>
    </row>
    <row r="1121" ht="19.899999999999999" customHeight="1" x14ac:dyDescent="0.25"/>
    <row r="1122" ht="19.899999999999999" customHeight="1" x14ac:dyDescent="0.25"/>
    <row r="1123" ht="19.899999999999999" customHeight="1" x14ac:dyDescent="0.25"/>
    <row r="1124" ht="19.899999999999999" customHeight="1" x14ac:dyDescent="0.25"/>
    <row r="1125" ht="19.899999999999999" customHeight="1" x14ac:dyDescent="0.25"/>
    <row r="1126" ht="19.899999999999999" customHeight="1" x14ac:dyDescent="0.25"/>
    <row r="1127" ht="19.899999999999999" customHeight="1" x14ac:dyDescent="0.25"/>
    <row r="1128" ht="19.899999999999999" customHeight="1" x14ac:dyDescent="0.25"/>
    <row r="1129" ht="19.899999999999999" customHeight="1" x14ac:dyDescent="0.25"/>
    <row r="1130" ht="19.899999999999999" customHeight="1" x14ac:dyDescent="0.25"/>
    <row r="1131" ht="19.899999999999999" customHeight="1" x14ac:dyDescent="0.25"/>
    <row r="1132" ht="19.899999999999999" customHeight="1" x14ac:dyDescent="0.25"/>
    <row r="1133" ht="19.899999999999999" customHeight="1" x14ac:dyDescent="0.25"/>
    <row r="1134" ht="19.899999999999999" customHeight="1" x14ac:dyDescent="0.25"/>
    <row r="1135" ht="19.899999999999999" customHeight="1" x14ac:dyDescent="0.25"/>
    <row r="1136" ht="19.899999999999999" customHeight="1" x14ac:dyDescent="0.25"/>
    <row r="1137" ht="19.899999999999999" customHeight="1" x14ac:dyDescent="0.25"/>
    <row r="1138" ht="19.899999999999999" customHeight="1" x14ac:dyDescent="0.25"/>
    <row r="1139" ht="19.899999999999999" customHeight="1" x14ac:dyDescent="0.25"/>
    <row r="1140" ht="19.899999999999999" customHeight="1" x14ac:dyDescent="0.25"/>
    <row r="1141" ht="19.899999999999999" customHeight="1" x14ac:dyDescent="0.25"/>
    <row r="1142" ht="19.899999999999999" customHeight="1" x14ac:dyDescent="0.25"/>
    <row r="1143" ht="19.899999999999999" customHeight="1" x14ac:dyDescent="0.25"/>
    <row r="1144" ht="19.899999999999999" customHeight="1" x14ac:dyDescent="0.25"/>
    <row r="1145" ht="19.899999999999999" customHeight="1" x14ac:dyDescent="0.25"/>
    <row r="1146" ht="19.899999999999999" customHeight="1" x14ac:dyDescent="0.25"/>
    <row r="1147" ht="19.899999999999999" customHeight="1" x14ac:dyDescent="0.25"/>
    <row r="1148" ht="19.899999999999999" customHeight="1" x14ac:dyDescent="0.25"/>
    <row r="1149" ht="19.899999999999999" customHeight="1" x14ac:dyDescent="0.25"/>
    <row r="1150" ht="19.899999999999999" customHeight="1" x14ac:dyDescent="0.25"/>
    <row r="1151" ht="19.899999999999999" customHeight="1" x14ac:dyDescent="0.25"/>
    <row r="1152" ht="19.899999999999999" customHeight="1" x14ac:dyDescent="0.25"/>
    <row r="1153" ht="19.899999999999999" customHeight="1" x14ac:dyDescent="0.25"/>
    <row r="1154" ht="19.899999999999999" customHeight="1" x14ac:dyDescent="0.25"/>
    <row r="1155" ht="19.899999999999999" customHeight="1" x14ac:dyDescent="0.25"/>
    <row r="1156" ht="19.899999999999999" customHeight="1" x14ac:dyDescent="0.25"/>
    <row r="1157" ht="19.899999999999999" customHeight="1" x14ac:dyDescent="0.25"/>
    <row r="1158" ht="19.899999999999999" customHeight="1" x14ac:dyDescent="0.25"/>
    <row r="1159" ht="19.899999999999999" customHeight="1" x14ac:dyDescent="0.25"/>
    <row r="1160" ht="19.899999999999999" customHeight="1" x14ac:dyDescent="0.25"/>
    <row r="1161" ht="19.899999999999999" customHeight="1" x14ac:dyDescent="0.25"/>
    <row r="1162" ht="19.899999999999999" customHeight="1" x14ac:dyDescent="0.25"/>
    <row r="1163" ht="19.899999999999999" customHeight="1" x14ac:dyDescent="0.25"/>
    <row r="1164" ht="19.899999999999999" customHeight="1" x14ac:dyDescent="0.25"/>
    <row r="1165" ht="19.899999999999999" customHeight="1" x14ac:dyDescent="0.25"/>
    <row r="1166" ht="19.899999999999999" customHeight="1" x14ac:dyDescent="0.25"/>
    <row r="1167" ht="19.899999999999999" customHeight="1" x14ac:dyDescent="0.25"/>
    <row r="1168" ht="19.899999999999999" customHeight="1" x14ac:dyDescent="0.25"/>
    <row r="1169" ht="19.899999999999999" customHeight="1" x14ac:dyDescent="0.25"/>
    <row r="1170" ht="19.899999999999999" customHeight="1" x14ac:dyDescent="0.25"/>
    <row r="1171" ht="19.899999999999999" customHeight="1" x14ac:dyDescent="0.25"/>
    <row r="1172" ht="19.899999999999999" customHeight="1" x14ac:dyDescent="0.25"/>
    <row r="1173" ht="19.899999999999999" customHeight="1" x14ac:dyDescent="0.25"/>
    <row r="1174" ht="19.899999999999999" customHeight="1" x14ac:dyDescent="0.25"/>
    <row r="1175" ht="19.899999999999999" customHeight="1" x14ac:dyDescent="0.25"/>
    <row r="1176" ht="19.899999999999999" customHeight="1" x14ac:dyDescent="0.25"/>
    <row r="1177" ht="19.899999999999999" customHeight="1" x14ac:dyDescent="0.25"/>
    <row r="1178" ht="19.899999999999999" customHeight="1" x14ac:dyDescent="0.25"/>
    <row r="1179" ht="19.899999999999999" customHeight="1" x14ac:dyDescent="0.25"/>
    <row r="1180" ht="19.899999999999999" customHeight="1" x14ac:dyDescent="0.25"/>
    <row r="1181" ht="19.899999999999999" customHeight="1" x14ac:dyDescent="0.25"/>
    <row r="1182" ht="19.899999999999999" customHeight="1" x14ac:dyDescent="0.25"/>
    <row r="1183" ht="19.899999999999999" customHeight="1" x14ac:dyDescent="0.25"/>
    <row r="1184" ht="19.899999999999999" customHeight="1" x14ac:dyDescent="0.25"/>
    <row r="1185" ht="19.899999999999999" customHeight="1" x14ac:dyDescent="0.25"/>
    <row r="1186" ht="19.899999999999999" customHeight="1" x14ac:dyDescent="0.25"/>
    <row r="1187" ht="19.899999999999999" customHeight="1" x14ac:dyDescent="0.25"/>
    <row r="1188" ht="19.899999999999999" customHeight="1" x14ac:dyDescent="0.25"/>
    <row r="1189" ht="19.899999999999999" customHeight="1" x14ac:dyDescent="0.25"/>
    <row r="1190" ht="19.899999999999999" customHeight="1" x14ac:dyDescent="0.25"/>
    <row r="1191" ht="19.899999999999999" customHeight="1" x14ac:dyDescent="0.25"/>
    <row r="1192" ht="19.899999999999999" customHeight="1" x14ac:dyDescent="0.25"/>
    <row r="1193" ht="19.899999999999999" customHeight="1" x14ac:dyDescent="0.25"/>
    <row r="1194" ht="19.899999999999999" customHeight="1" x14ac:dyDescent="0.25"/>
    <row r="1195" ht="19.899999999999999" customHeight="1" x14ac:dyDescent="0.25"/>
    <row r="1196" ht="19.899999999999999" customHeight="1" x14ac:dyDescent="0.25"/>
    <row r="1197" ht="19.899999999999999" customHeight="1" x14ac:dyDescent="0.25"/>
  </sheetData>
  <autoFilter ref="A1:AA1407" xr:uid="{9F94777B-802B-48F2-8565-A2105FF46BF2}"/>
  <phoneticPr fontId="3" type="noConversion"/>
  <conditionalFormatting sqref="B1:B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C97AEEF-778B-4E0C-94E1-79541CCD8869}">
  <ds:schemaRefs/>
</ds:datastoreItem>
</file>

<file path=customXml/itemProps2.xml><?xml version="1.0" encoding="utf-8"?>
<ds:datastoreItem xmlns:ds="http://schemas.openxmlformats.org/officeDocument/2006/customXml" ds:itemID="{CBF4150B-3AA3-4905-B36B-664987636EA9}">
  <ds:schemaRefs/>
</ds:datastoreItem>
</file>

<file path=customXml/itemProps3.xml><?xml version="1.0" encoding="utf-8"?>
<ds:datastoreItem xmlns:ds="http://schemas.openxmlformats.org/officeDocument/2006/customXml" ds:itemID="{2A30402C-0ADD-4380-AFD3-9FF19E588576}">
  <ds:schemaRefs/>
</ds:datastoreItem>
</file>

<file path=customXml/itemProps4.xml><?xml version="1.0" encoding="utf-8"?>
<ds:datastoreItem xmlns:ds="http://schemas.openxmlformats.org/officeDocument/2006/customXml" ds:itemID="{0AE8175D-14E4-4E77-B47C-7B8F55857B1A}">
  <ds:schemaRefs/>
</ds:datastoreItem>
</file>

<file path=customXml/itemProps5.xml><?xml version="1.0" encoding="utf-8"?>
<ds:datastoreItem xmlns:ds="http://schemas.openxmlformats.org/officeDocument/2006/customXml" ds:itemID="{65859F07-5345-4323-9433-878605B2DB8D}">
  <ds:schemaRefs/>
</ds:datastoreItem>
</file>

<file path=customXml/itemProps6.xml><?xml version="1.0" encoding="utf-8"?>
<ds:datastoreItem xmlns:ds="http://schemas.openxmlformats.org/officeDocument/2006/customXml" ds:itemID="{B5864F22-A9C9-490C-827F-BB9B6DE8F1BA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0D9B84F9-11A1-4EAA-A800-AB1B3CD1BA67}">
  <ds:schemaRefs/>
</ds:datastoreItem>
</file>

<file path=customXml/itemProps8.xml><?xml version="1.0" encoding="utf-8"?>
<ds:datastoreItem xmlns:ds="http://schemas.openxmlformats.org/officeDocument/2006/customXml" ds:itemID="{81FF9978-91FF-4824-9DE7-022CE28C3D0E}">
  <ds:schemaRefs/>
</ds:datastoreItem>
</file>

<file path=customXml/itemProps9.xml><?xml version="1.0" encoding="utf-8"?>
<ds:datastoreItem xmlns:ds="http://schemas.openxmlformats.org/officeDocument/2006/customXml" ds:itemID="{02585255-32DF-4791-AE1F-8592BA1CFA8B}">
  <ds:schemaRefs/>
</ds:datastoreItem>
</file>

<file path=customXml/itemProps10.xml><?xml version="1.0" encoding="utf-8"?>
<ds:datastoreItem xmlns:ds="http://schemas.openxmlformats.org/officeDocument/2006/customXml" ds:itemID="{1C28F329-1E12-49A5-B16A-66873D65647D}">
  <ds:schemaRefs/>
</ds:datastoreItem>
</file>

<file path=customXml/itemProps11.xml><?xml version="1.0" encoding="utf-8"?>
<ds:datastoreItem xmlns:ds="http://schemas.openxmlformats.org/officeDocument/2006/customXml" ds:itemID="{4094FA0D-793A-4E07-A05D-33AE2014A1B5}">
  <ds:schemaRefs/>
</ds:datastoreItem>
</file>

<file path=customXml/itemProps12.xml><?xml version="1.0" encoding="utf-8"?>
<ds:datastoreItem xmlns:ds="http://schemas.openxmlformats.org/officeDocument/2006/customXml" ds:itemID="{67AEF7E4-E1E8-42F3-BC08-AD644C5C2C64}">
  <ds:schemaRefs/>
</ds:datastoreItem>
</file>

<file path=customXml/itemProps13.xml><?xml version="1.0" encoding="utf-8"?>
<ds:datastoreItem xmlns:ds="http://schemas.openxmlformats.org/officeDocument/2006/customXml" ds:itemID="{AAFD34FE-E1DB-414A-9E95-49E2AA729770}">
  <ds:schemaRefs/>
</ds:datastoreItem>
</file>

<file path=customXml/itemProps14.xml><?xml version="1.0" encoding="utf-8"?>
<ds:datastoreItem xmlns:ds="http://schemas.openxmlformats.org/officeDocument/2006/customXml" ds:itemID="{9E5D0F33-1990-4796-987D-C08983FF141B}">
  <ds:schemaRefs/>
</ds:datastoreItem>
</file>

<file path=customXml/itemProps15.xml><?xml version="1.0" encoding="utf-8"?>
<ds:datastoreItem xmlns:ds="http://schemas.openxmlformats.org/officeDocument/2006/customXml" ds:itemID="{138E9B73-D4E5-4516-A310-517EDF6CE63B}">
  <ds:schemaRefs/>
</ds:datastoreItem>
</file>

<file path=customXml/itemProps16.xml><?xml version="1.0" encoding="utf-8"?>
<ds:datastoreItem xmlns:ds="http://schemas.openxmlformats.org/officeDocument/2006/customXml" ds:itemID="{BA374C7C-472D-49A0-8EC5-A296ADDD4B12}">
  <ds:schemaRefs/>
</ds:datastoreItem>
</file>

<file path=customXml/itemProps17.xml><?xml version="1.0" encoding="utf-8"?>
<ds:datastoreItem xmlns:ds="http://schemas.openxmlformats.org/officeDocument/2006/customXml" ds:itemID="{7D0BF53B-FA8C-4732-B5CA-B245C3DE550F}">
  <ds:schemaRefs/>
</ds:datastoreItem>
</file>

<file path=customXml/itemProps18.xml><?xml version="1.0" encoding="utf-8"?>
<ds:datastoreItem xmlns:ds="http://schemas.openxmlformats.org/officeDocument/2006/customXml" ds:itemID="{E4B4BA94-09A0-4048-8933-A568EE1DCC0D}">
  <ds:schemaRefs/>
</ds:datastoreItem>
</file>

<file path=customXml/itemProps19.xml><?xml version="1.0" encoding="utf-8"?>
<ds:datastoreItem xmlns:ds="http://schemas.openxmlformats.org/officeDocument/2006/customXml" ds:itemID="{3B696BCA-CB20-4353-BC60-DADA132850CF}">
  <ds:schemaRefs/>
</ds:datastoreItem>
</file>

<file path=customXml/itemProps20.xml><?xml version="1.0" encoding="utf-8"?>
<ds:datastoreItem xmlns:ds="http://schemas.openxmlformats.org/officeDocument/2006/customXml" ds:itemID="{06B9BD41-EC41-4C97-BE12-5C76457B64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Detail Summary</vt:lpstr>
      <vt:lpstr>BW</vt:lpstr>
      <vt:lpstr>Element wise-detail Summary</vt:lpstr>
      <vt:lpstr>Cast</vt:lpstr>
      <vt:lpstr>Del</vt:lpstr>
      <vt:lpstr>Ere</vt:lpstr>
      <vt:lpstr>AFC Data details</vt:lpstr>
      <vt:lpstr>BW!Print_Area</vt:lpstr>
      <vt:lpstr>Cast!Print_Area</vt:lpstr>
      <vt:lpstr>'Element wise-detail Summary'!Print_Area</vt:lpstr>
      <vt:lpstr>BW!Print_Titles</vt:lpstr>
      <vt:lpstr>'Element wise-detail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Patil</dc:creator>
  <cp:lastModifiedBy>Mohammad Noor Alam</cp:lastModifiedBy>
  <cp:lastPrinted>2026-05-09T05:03:08Z</cp:lastPrinted>
  <dcterms:created xsi:type="dcterms:W3CDTF">2025-05-08T06:39:57Z</dcterms:created>
  <dcterms:modified xsi:type="dcterms:W3CDTF">2026-05-09T06:22:33Z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0x01010099E42AA215462747A5ED0911D32164E3</vt:lpwstr>
  </property>
</Properties>
</file>